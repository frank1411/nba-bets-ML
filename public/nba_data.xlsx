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omments3.xml" ContentType="application/vnd.openxmlformats-officedocument.spreadsheetml.comments+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24226"/>
  <mc:AlternateContent xmlns:mc="http://schemas.openxmlformats.org/markup-compatibility/2006">
    <mc:Choice Requires="x15">
      <x15ac:absPath xmlns:x15ac="http://schemas.microsoft.com/office/spreadsheetml/2010/11/ac" url="https://d.docs.live.net/babd47159924494a/Apuestas/19-20/"/>
    </mc:Choice>
  </mc:AlternateContent>
  <xr:revisionPtr revIDLastSave="0" documentId="8_{7A0FF2D3-51CF-4569-B90D-95D17D89E3FF}" xr6:coauthVersionLast="47" xr6:coauthVersionMax="47" xr10:uidLastSave="{00000000-0000-0000-0000-000000000000}"/>
  <bookViews>
    <workbookView xWindow="0" yWindow="0" windowWidth="20490" windowHeight="7755" tabRatio="513" firstSheet="1" activeTab="1" xr2:uid="{00000000-000D-0000-FFFF-FFFF00000000}"/>
  </bookViews>
  <sheets>
    <sheet name="NBA" sheetId="17" r:id="rId1"/>
    <sheet name="Jornada" sheetId="33" r:id="rId2"/>
    <sheet name="Dashboard" sheetId="36" r:id="rId3"/>
    <sheet name="T Dinamica" sheetId="35" r:id="rId4"/>
    <sheet name="Referencia" sheetId="37" r:id="rId5"/>
    <sheet name="MLB ML Over" sheetId="30" state="hidden" r:id="rId6"/>
    <sheet name="MLB ML Over Individual" sheetId="31" state="hidden" r:id="rId7"/>
    <sheet name="MLB ML Over Partidos" sheetId="32" state="hidden" r:id="rId8"/>
    <sheet name="YRFI" sheetId="22" r:id="rId9"/>
    <sheet name="MMP" sheetId="6" r:id="rId10"/>
    <sheet name="Torta" sheetId="14" r:id="rId11"/>
    <sheet name="Redobla" sheetId="9" r:id="rId12"/>
    <sheet name="Yield" sheetId="38" r:id="rId13"/>
  </sheets>
  <calcPr calcId="191028"/>
  <pivotCaches>
    <pivotCache cacheId="267"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51" i="17" l="1"/>
  <c r="C1951" i="17"/>
  <c r="K1932" i="17"/>
  <c r="K1933" i="17"/>
  <c r="K1934" i="17"/>
  <c r="K1935" i="17"/>
  <c r="K1936" i="17"/>
  <c r="K1937" i="17"/>
  <c r="K1938" i="17"/>
  <c r="K1939" i="17"/>
  <c r="K1940" i="17"/>
  <c r="K1941" i="17"/>
  <c r="K1942" i="17"/>
  <c r="K1943" i="17"/>
  <c r="K1944" i="17"/>
  <c r="K1945" i="17"/>
  <c r="K1946" i="17"/>
  <c r="E1889" i="17"/>
  <c r="E1888" i="17"/>
  <c r="I1889" i="17" s="1"/>
  <c r="L1889" i="17" s="1"/>
  <c r="C1318" i="33"/>
  <c r="F1318" i="33"/>
  <c r="G1318" i="33"/>
  <c r="J1318" i="33"/>
  <c r="K1318" i="33"/>
  <c r="L1318" i="33"/>
  <c r="M1318" i="33"/>
  <c r="N1318" i="33"/>
  <c r="O1318" i="33"/>
  <c r="P1318" i="33"/>
  <c r="Q1318" i="33"/>
  <c r="R1318" i="33"/>
  <c r="I1325" i="33"/>
  <c r="H1325" i="33"/>
  <c r="D1325" i="33"/>
  <c r="E1325" i="33"/>
  <c r="E1319" i="33"/>
  <c r="L1319" i="33"/>
  <c r="I1319" i="33"/>
  <c r="E1887" i="17"/>
  <c r="E1886" i="17"/>
  <c r="I1887" i="17"/>
  <c r="L1887" i="17" s="1"/>
  <c r="C1317" i="33"/>
  <c r="F1317" i="33"/>
  <c r="G1317" i="33"/>
  <c r="J1317" i="33"/>
  <c r="K1317" i="33"/>
  <c r="L1317" i="33"/>
  <c r="M1317" i="33"/>
  <c r="N1317" i="33"/>
  <c r="O1317" i="33"/>
  <c r="P1317" i="33"/>
  <c r="Q1317" i="33"/>
  <c r="R1317" i="33"/>
  <c r="E1885" i="17"/>
  <c r="E1884" i="17"/>
  <c r="I1885" i="17"/>
  <c r="L1885" i="17" s="1"/>
  <c r="C1316" i="33"/>
  <c r="F1316" i="33"/>
  <c r="G1316" i="33"/>
  <c r="J1316" i="33"/>
  <c r="K1316" i="33"/>
  <c r="L1316" i="33"/>
  <c r="M1316" i="33"/>
  <c r="N1316" i="33"/>
  <c r="O1316" i="33"/>
  <c r="P1316" i="33"/>
  <c r="Q1316" i="33"/>
  <c r="R1316" i="33"/>
  <c r="C1946" i="17"/>
  <c r="C1945" i="17"/>
  <c r="E1883" i="17"/>
  <c r="C1315" i="33"/>
  <c r="F1315" i="33"/>
  <c r="G1315" i="33"/>
  <c r="J1315" i="33"/>
  <c r="K1315" i="33"/>
  <c r="L1315" i="33"/>
  <c r="M1315" i="33"/>
  <c r="N1315" i="33"/>
  <c r="O1315" i="33"/>
  <c r="P1315" i="33"/>
  <c r="Q1315" i="33"/>
  <c r="R1315" i="33"/>
  <c r="E1882" i="17"/>
  <c r="E1881" i="17"/>
  <c r="C1314" i="33"/>
  <c r="F1314" i="33"/>
  <c r="G1314" i="33"/>
  <c r="J1314" i="33"/>
  <c r="K1314" i="33"/>
  <c r="L1314" i="33"/>
  <c r="M1314" i="33"/>
  <c r="N1314" i="33"/>
  <c r="O1314" i="33"/>
  <c r="P1314" i="33"/>
  <c r="Q1314" i="33"/>
  <c r="R1314" i="33"/>
  <c r="J1949" i="17"/>
  <c r="I1949" i="17"/>
  <c r="K1931" i="17"/>
  <c r="K1949" i="17" s="1"/>
  <c r="E1880" i="17"/>
  <c r="E1879" i="17"/>
  <c r="I1880" i="17"/>
  <c r="L1880" i="17" s="1"/>
  <c r="C1313" i="33"/>
  <c r="F1313" i="33"/>
  <c r="G1313" i="33"/>
  <c r="J1313" i="33"/>
  <c r="K1313" i="33"/>
  <c r="L1313" i="33"/>
  <c r="M1313" i="33"/>
  <c r="N1313" i="33"/>
  <c r="O1313" i="33"/>
  <c r="P1313" i="33"/>
  <c r="Q1313" i="33"/>
  <c r="R1313" i="33"/>
  <c r="E2" i="17"/>
  <c r="F2" i="17"/>
  <c r="G2" i="17"/>
  <c r="E3" i="17"/>
  <c r="F3" i="17"/>
  <c r="G3" i="17"/>
  <c r="E4" i="17"/>
  <c r="F4" i="17"/>
  <c r="G4" i="17"/>
  <c r="E5" i="17"/>
  <c r="F5" i="17"/>
  <c r="G5" i="17"/>
  <c r="E6" i="17"/>
  <c r="F6" i="17"/>
  <c r="G6" i="17"/>
  <c r="E7" i="17"/>
  <c r="F7" i="17"/>
  <c r="G7" i="17"/>
  <c r="E8" i="17"/>
  <c r="F8" i="17"/>
  <c r="G8" i="17"/>
  <c r="E9" i="17"/>
  <c r="F9" i="17"/>
  <c r="G9" i="17"/>
  <c r="E10" i="17"/>
  <c r="F10" i="17"/>
  <c r="G10" i="17"/>
  <c r="E11" i="17"/>
  <c r="F11" i="17"/>
  <c r="G11" i="17"/>
  <c r="E12" i="17"/>
  <c r="F12" i="17"/>
  <c r="G12" i="17"/>
  <c r="E13" i="17"/>
  <c r="F13" i="17"/>
  <c r="G13" i="17"/>
  <c r="E14" i="17"/>
  <c r="F14" i="17"/>
  <c r="G14" i="17"/>
  <c r="E15" i="17"/>
  <c r="F15" i="17"/>
  <c r="G15" i="17"/>
  <c r="E16" i="17"/>
  <c r="F16" i="17"/>
  <c r="G16" i="17"/>
  <c r="E17" i="17"/>
  <c r="F17" i="17"/>
  <c r="G17" i="17"/>
  <c r="E18" i="17"/>
  <c r="F18" i="17"/>
  <c r="G18" i="17"/>
  <c r="E19" i="17"/>
  <c r="F19" i="17"/>
  <c r="G19" i="17"/>
  <c r="E20" i="17"/>
  <c r="F20" i="17"/>
  <c r="G20" i="17"/>
  <c r="E21" i="17"/>
  <c r="F21" i="17"/>
  <c r="G21" i="17"/>
  <c r="E22" i="17"/>
  <c r="F22" i="17"/>
  <c r="G22" i="17"/>
  <c r="E23" i="17"/>
  <c r="F23" i="17"/>
  <c r="G23" i="17"/>
  <c r="E24" i="17"/>
  <c r="F24" i="17"/>
  <c r="G24" i="17"/>
  <c r="E25" i="17"/>
  <c r="F25" i="17"/>
  <c r="G25" i="17"/>
  <c r="E26" i="17"/>
  <c r="F26" i="17"/>
  <c r="G26" i="17"/>
  <c r="E27" i="17"/>
  <c r="F27" i="17"/>
  <c r="G27" i="17"/>
  <c r="E28" i="17"/>
  <c r="F28" i="17"/>
  <c r="G28" i="17"/>
  <c r="E29" i="17"/>
  <c r="F29" i="17"/>
  <c r="G29" i="17"/>
  <c r="E30" i="17"/>
  <c r="F30" i="17"/>
  <c r="G30" i="17"/>
  <c r="E31" i="17"/>
  <c r="F31" i="17"/>
  <c r="G31" i="17"/>
  <c r="E32" i="17"/>
  <c r="F32" i="17"/>
  <c r="G32" i="17"/>
  <c r="E33" i="17"/>
  <c r="F33" i="17"/>
  <c r="G33" i="17"/>
  <c r="E34" i="17"/>
  <c r="F34" i="17"/>
  <c r="G34" i="17"/>
  <c r="E35" i="17"/>
  <c r="F35" i="17"/>
  <c r="G35" i="17"/>
  <c r="E36" i="17"/>
  <c r="F36" i="17"/>
  <c r="G36" i="17"/>
  <c r="E37" i="17"/>
  <c r="F37" i="17"/>
  <c r="G37" i="17"/>
  <c r="E38" i="17"/>
  <c r="F38" i="17"/>
  <c r="G38" i="17"/>
  <c r="E39" i="17"/>
  <c r="F39" i="17"/>
  <c r="G39" i="17"/>
  <c r="E40" i="17"/>
  <c r="F40" i="17"/>
  <c r="G40" i="17"/>
  <c r="E41" i="17"/>
  <c r="F41" i="17"/>
  <c r="G41" i="17"/>
  <c r="E42" i="17"/>
  <c r="F42" i="17"/>
  <c r="G42" i="17"/>
  <c r="E43" i="17"/>
  <c r="F43" i="17"/>
  <c r="G43" i="17"/>
  <c r="E44" i="17"/>
  <c r="F44" i="17"/>
  <c r="G44" i="17"/>
  <c r="E45" i="17"/>
  <c r="F45" i="17"/>
  <c r="G45" i="17"/>
  <c r="E46" i="17"/>
  <c r="F46" i="17"/>
  <c r="G46" i="17"/>
  <c r="E47" i="17"/>
  <c r="F47" i="17"/>
  <c r="G47" i="17"/>
  <c r="E48" i="17"/>
  <c r="F48" i="17"/>
  <c r="G48" i="17"/>
  <c r="E49" i="17"/>
  <c r="F49" i="17"/>
  <c r="G49" i="17"/>
  <c r="E50" i="17"/>
  <c r="F50" i="17"/>
  <c r="G50" i="17"/>
  <c r="E51" i="17"/>
  <c r="F51" i="17"/>
  <c r="G51" i="17"/>
  <c r="E52" i="17"/>
  <c r="F52" i="17"/>
  <c r="G52" i="17"/>
  <c r="E53" i="17"/>
  <c r="F53" i="17"/>
  <c r="G53" i="17"/>
  <c r="E54" i="17"/>
  <c r="F54" i="17"/>
  <c r="G54" i="17"/>
  <c r="E55" i="17"/>
  <c r="F55" i="17"/>
  <c r="G55" i="17"/>
  <c r="E56" i="17"/>
  <c r="F56" i="17"/>
  <c r="G56" i="17"/>
  <c r="E57" i="17"/>
  <c r="F57" i="17"/>
  <c r="G57" i="17"/>
  <c r="E58" i="17"/>
  <c r="F58" i="17"/>
  <c r="G58" i="17"/>
  <c r="E59" i="17"/>
  <c r="F59" i="17"/>
  <c r="G59" i="17"/>
  <c r="E60" i="17"/>
  <c r="F60" i="17"/>
  <c r="G60" i="17"/>
  <c r="E61" i="17"/>
  <c r="F61" i="17"/>
  <c r="G61" i="17"/>
  <c r="E62" i="17"/>
  <c r="F62" i="17"/>
  <c r="G62" i="17"/>
  <c r="E63" i="17"/>
  <c r="F63" i="17"/>
  <c r="G63" i="17"/>
  <c r="E64" i="17"/>
  <c r="F64" i="17"/>
  <c r="G64" i="17"/>
  <c r="E65" i="17"/>
  <c r="F65" i="17"/>
  <c r="G65" i="17"/>
  <c r="E66" i="17"/>
  <c r="F66" i="17"/>
  <c r="G66" i="17"/>
  <c r="E67" i="17"/>
  <c r="F67" i="17"/>
  <c r="G67" i="17"/>
  <c r="E68" i="17"/>
  <c r="F68" i="17"/>
  <c r="G68" i="17"/>
  <c r="E69" i="17"/>
  <c r="F69" i="17"/>
  <c r="G69" i="17"/>
  <c r="E70" i="17"/>
  <c r="F70" i="17"/>
  <c r="G70" i="17"/>
  <c r="E71" i="17"/>
  <c r="F71" i="17"/>
  <c r="G71" i="17"/>
  <c r="E72" i="17"/>
  <c r="F72" i="17"/>
  <c r="G72" i="17"/>
  <c r="E73" i="17"/>
  <c r="F73" i="17"/>
  <c r="G73" i="17"/>
  <c r="E74" i="17"/>
  <c r="F74" i="17"/>
  <c r="G74" i="17"/>
  <c r="E75" i="17"/>
  <c r="F75" i="17"/>
  <c r="G75" i="17"/>
  <c r="E76" i="17"/>
  <c r="F76" i="17"/>
  <c r="G76" i="17"/>
  <c r="E77" i="17"/>
  <c r="F77" i="17"/>
  <c r="G77" i="17"/>
  <c r="E78" i="17"/>
  <c r="F78" i="17"/>
  <c r="G78" i="17"/>
  <c r="E79" i="17"/>
  <c r="F79" i="17"/>
  <c r="G79" i="17"/>
  <c r="E80" i="17"/>
  <c r="F80" i="17"/>
  <c r="G80" i="17"/>
  <c r="E81" i="17"/>
  <c r="F81" i="17"/>
  <c r="G81" i="17"/>
  <c r="E82" i="17"/>
  <c r="F82" i="17"/>
  <c r="G82" i="17"/>
  <c r="E83" i="17"/>
  <c r="F83" i="17"/>
  <c r="G83" i="17"/>
  <c r="E84" i="17"/>
  <c r="F84" i="17"/>
  <c r="G84" i="17"/>
  <c r="E85" i="17"/>
  <c r="F85" i="17"/>
  <c r="G85" i="17"/>
  <c r="E86" i="17"/>
  <c r="F86" i="17"/>
  <c r="G86" i="17"/>
  <c r="E87" i="17"/>
  <c r="F87" i="17"/>
  <c r="G87" i="17"/>
  <c r="E88" i="17"/>
  <c r="F88" i="17"/>
  <c r="G88" i="17"/>
  <c r="E89" i="17"/>
  <c r="F89" i="17"/>
  <c r="G89" i="17"/>
  <c r="E90" i="17"/>
  <c r="F90" i="17"/>
  <c r="G90" i="17"/>
  <c r="E91" i="17"/>
  <c r="F91" i="17"/>
  <c r="G91" i="17"/>
  <c r="E92" i="17"/>
  <c r="F92" i="17"/>
  <c r="G92" i="17"/>
  <c r="E93" i="17"/>
  <c r="F93" i="17"/>
  <c r="G93" i="17"/>
  <c r="E94" i="17"/>
  <c r="F94" i="17"/>
  <c r="G94" i="17"/>
  <c r="E95" i="17"/>
  <c r="F95" i="17"/>
  <c r="G95" i="17"/>
  <c r="E96" i="17"/>
  <c r="F96" i="17"/>
  <c r="G96" i="17"/>
  <c r="E97" i="17"/>
  <c r="F97" i="17"/>
  <c r="G97" i="17"/>
  <c r="E98" i="17"/>
  <c r="F98" i="17"/>
  <c r="G98" i="17"/>
  <c r="E99" i="17"/>
  <c r="F99" i="17"/>
  <c r="G99" i="17"/>
  <c r="E100" i="17"/>
  <c r="F100" i="17"/>
  <c r="G100" i="17"/>
  <c r="E101" i="17"/>
  <c r="F101" i="17"/>
  <c r="G101" i="17"/>
  <c r="E102" i="17"/>
  <c r="F102" i="17"/>
  <c r="G102" i="17"/>
  <c r="E103" i="17"/>
  <c r="F103" i="17"/>
  <c r="G103" i="17"/>
  <c r="E104" i="17"/>
  <c r="F104" i="17"/>
  <c r="G104" i="17"/>
  <c r="E105" i="17"/>
  <c r="F105" i="17"/>
  <c r="G105" i="17"/>
  <c r="E106" i="17"/>
  <c r="F106" i="17"/>
  <c r="G106" i="17"/>
  <c r="E107" i="17"/>
  <c r="F107" i="17"/>
  <c r="G107" i="17"/>
  <c r="E108" i="17"/>
  <c r="F108" i="17"/>
  <c r="G108" i="17"/>
  <c r="E109" i="17"/>
  <c r="F109" i="17"/>
  <c r="G109" i="17"/>
  <c r="E110" i="17"/>
  <c r="F110" i="17"/>
  <c r="G110" i="17"/>
  <c r="E111" i="17"/>
  <c r="F111" i="17"/>
  <c r="G111" i="17"/>
  <c r="E112" i="17"/>
  <c r="F112" i="17"/>
  <c r="G112" i="17"/>
  <c r="E113" i="17"/>
  <c r="F113" i="17"/>
  <c r="G113" i="17"/>
  <c r="E114" i="17"/>
  <c r="F114" i="17"/>
  <c r="G114" i="17"/>
  <c r="E115" i="17"/>
  <c r="F115" i="17"/>
  <c r="G115" i="17"/>
  <c r="E116" i="17"/>
  <c r="F116" i="17"/>
  <c r="G116" i="17"/>
  <c r="E117" i="17"/>
  <c r="F117" i="17"/>
  <c r="G117" i="17"/>
  <c r="E118" i="17"/>
  <c r="F118" i="17"/>
  <c r="G118" i="17"/>
  <c r="E119" i="17"/>
  <c r="F119" i="17"/>
  <c r="G119" i="17"/>
  <c r="E120" i="17"/>
  <c r="F120" i="17"/>
  <c r="G120" i="17"/>
  <c r="E121" i="17"/>
  <c r="F121" i="17"/>
  <c r="G121" i="17"/>
  <c r="E122" i="17"/>
  <c r="F122" i="17"/>
  <c r="G122" i="17"/>
  <c r="E123" i="17"/>
  <c r="F123" i="17"/>
  <c r="G123" i="17"/>
  <c r="E124" i="17"/>
  <c r="F124" i="17"/>
  <c r="G124" i="17"/>
  <c r="E125" i="17"/>
  <c r="F125" i="17"/>
  <c r="G125" i="17"/>
  <c r="E126" i="17"/>
  <c r="F126" i="17"/>
  <c r="G126" i="17"/>
  <c r="E127" i="17"/>
  <c r="F127" i="17"/>
  <c r="G127" i="17"/>
  <c r="E128" i="17"/>
  <c r="F128" i="17"/>
  <c r="G128" i="17"/>
  <c r="E129" i="17"/>
  <c r="F129" i="17"/>
  <c r="G129" i="17"/>
  <c r="E130" i="17"/>
  <c r="F130" i="17"/>
  <c r="G130" i="17"/>
  <c r="E131" i="17"/>
  <c r="F131" i="17"/>
  <c r="G131" i="17"/>
  <c r="E132" i="17"/>
  <c r="F132" i="17"/>
  <c r="G132" i="17"/>
  <c r="E133" i="17"/>
  <c r="F133" i="17"/>
  <c r="G133" i="17"/>
  <c r="E134" i="17"/>
  <c r="F134" i="17"/>
  <c r="G134" i="17"/>
  <c r="E135" i="17"/>
  <c r="F135" i="17"/>
  <c r="G135" i="17"/>
  <c r="E136" i="17"/>
  <c r="F136" i="17"/>
  <c r="G136" i="17"/>
  <c r="E137" i="17"/>
  <c r="F137" i="17"/>
  <c r="G137" i="17"/>
  <c r="E138" i="17"/>
  <c r="F138" i="17"/>
  <c r="G138" i="17"/>
  <c r="E139" i="17"/>
  <c r="F139" i="17"/>
  <c r="G139" i="17"/>
  <c r="E140" i="17"/>
  <c r="F140" i="17"/>
  <c r="G140" i="17"/>
  <c r="E141" i="17"/>
  <c r="F141" i="17"/>
  <c r="G141" i="17"/>
  <c r="E142" i="17"/>
  <c r="F142" i="17"/>
  <c r="G142" i="17"/>
  <c r="E143" i="17"/>
  <c r="F143" i="17"/>
  <c r="G143" i="17"/>
  <c r="E144" i="17"/>
  <c r="F144" i="17"/>
  <c r="G144" i="17"/>
  <c r="E145" i="17"/>
  <c r="F145" i="17"/>
  <c r="G145" i="17"/>
  <c r="E146" i="17"/>
  <c r="F146" i="17"/>
  <c r="G146" i="17"/>
  <c r="E147" i="17"/>
  <c r="F147" i="17"/>
  <c r="G147" i="17"/>
  <c r="E148" i="17"/>
  <c r="F148" i="17"/>
  <c r="G148" i="17"/>
  <c r="E149" i="17"/>
  <c r="F149" i="17"/>
  <c r="G149" i="17"/>
  <c r="E150" i="17"/>
  <c r="F150" i="17"/>
  <c r="G150" i="17"/>
  <c r="E151" i="17"/>
  <c r="F151" i="17"/>
  <c r="G151" i="17"/>
  <c r="E152" i="17"/>
  <c r="F152" i="17"/>
  <c r="G152" i="17"/>
  <c r="E153" i="17"/>
  <c r="F153" i="17"/>
  <c r="G153" i="17"/>
  <c r="E154" i="17"/>
  <c r="F154" i="17"/>
  <c r="G154" i="17"/>
  <c r="E155" i="17"/>
  <c r="F155" i="17"/>
  <c r="G155" i="17"/>
  <c r="E156" i="17"/>
  <c r="F156" i="17"/>
  <c r="G156" i="17"/>
  <c r="E157" i="17"/>
  <c r="F157" i="17"/>
  <c r="G157" i="17"/>
  <c r="E158" i="17"/>
  <c r="F158" i="17"/>
  <c r="G158" i="17"/>
  <c r="E159" i="17"/>
  <c r="F159" i="17"/>
  <c r="G159" i="17"/>
  <c r="E160" i="17"/>
  <c r="F160" i="17"/>
  <c r="G160" i="17"/>
  <c r="E161" i="17"/>
  <c r="F161" i="17"/>
  <c r="G161" i="17"/>
  <c r="E162" i="17"/>
  <c r="F162" i="17"/>
  <c r="G162" i="17"/>
  <c r="E163" i="17"/>
  <c r="F163" i="17"/>
  <c r="G163" i="17"/>
  <c r="E164" i="17"/>
  <c r="F164" i="17"/>
  <c r="G164" i="17"/>
  <c r="E165" i="17"/>
  <c r="F165" i="17"/>
  <c r="G165" i="17"/>
  <c r="E166" i="17"/>
  <c r="F166" i="17"/>
  <c r="G166" i="17"/>
  <c r="E167" i="17"/>
  <c r="F167" i="17"/>
  <c r="G167" i="17"/>
  <c r="E168" i="17"/>
  <c r="F168" i="17"/>
  <c r="G168" i="17"/>
  <c r="E169" i="17"/>
  <c r="F169" i="17"/>
  <c r="G169" i="17"/>
  <c r="E170" i="17"/>
  <c r="F170" i="17"/>
  <c r="G170" i="17"/>
  <c r="E171" i="17"/>
  <c r="F171" i="17"/>
  <c r="G171" i="17"/>
  <c r="E172" i="17"/>
  <c r="F172" i="17"/>
  <c r="G172" i="17"/>
  <c r="E173" i="17"/>
  <c r="F173" i="17"/>
  <c r="G173" i="17"/>
  <c r="E174" i="17"/>
  <c r="F174" i="17"/>
  <c r="G174" i="17"/>
  <c r="E175" i="17"/>
  <c r="F175" i="17"/>
  <c r="G175" i="17"/>
  <c r="E176" i="17"/>
  <c r="F176" i="17"/>
  <c r="G176" i="17"/>
  <c r="E177" i="17"/>
  <c r="F177" i="17"/>
  <c r="G177" i="17"/>
  <c r="E178" i="17"/>
  <c r="F178" i="17"/>
  <c r="G178" i="17"/>
  <c r="E179" i="17"/>
  <c r="F179" i="17"/>
  <c r="G179" i="17"/>
  <c r="E180" i="17"/>
  <c r="F180" i="17"/>
  <c r="G180" i="17"/>
  <c r="E181" i="17"/>
  <c r="F181" i="17"/>
  <c r="G181" i="17"/>
  <c r="E182" i="17"/>
  <c r="F182" i="17"/>
  <c r="G182" i="17"/>
  <c r="E183" i="17"/>
  <c r="F183" i="17"/>
  <c r="G183" i="17"/>
  <c r="E184" i="17"/>
  <c r="F184" i="17"/>
  <c r="G184" i="17"/>
  <c r="E185" i="17"/>
  <c r="F185" i="17"/>
  <c r="G185" i="17"/>
  <c r="E186" i="17"/>
  <c r="F186" i="17"/>
  <c r="G186" i="17"/>
  <c r="E187" i="17"/>
  <c r="F187" i="17"/>
  <c r="G187" i="17"/>
  <c r="E188" i="17"/>
  <c r="F188" i="17"/>
  <c r="G188" i="17"/>
  <c r="E189" i="17"/>
  <c r="F189" i="17"/>
  <c r="G189" i="17"/>
  <c r="E190" i="17"/>
  <c r="F190" i="17"/>
  <c r="G190" i="17"/>
  <c r="E191" i="17"/>
  <c r="F191" i="17"/>
  <c r="G191" i="17"/>
  <c r="E192" i="17"/>
  <c r="F192" i="17"/>
  <c r="G192" i="17"/>
  <c r="E193" i="17"/>
  <c r="F193" i="17"/>
  <c r="G193" i="17"/>
  <c r="E194" i="17"/>
  <c r="F194" i="17"/>
  <c r="G194" i="17"/>
  <c r="E195" i="17"/>
  <c r="F195" i="17"/>
  <c r="G195" i="17"/>
  <c r="E196" i="17"/>
  <c r="F196" i="17"/>
  <c r="G196" i="17"/>
  <c r="E197" i="17"/>
  <c r="F197" i="17"/>
  <c r="G197" i="17"/>
  <c r="E198" i="17"/>
  <c r="F198" i="17"/>
  <c r="G198" i="17"/>
  <c r="E199" i="17"/>
  <c r="F199" i="17"/>
  <c r="G199" i="17"/>
  <c r="E200" i="17"/>
  <c r="F200" i="17"/>
  <c r="G200" i="17"/>
  <c r="E201" i="17"/>
  <c r="F201" i="17"/>
  <c r="G201" i="17"/>
  <c r="E202" i="17"/>
  <c r="F202" i="17"/>
  <c r="G202" i="17"/>
  <c r="E203" i="17"/>
  <c r="F203" i="17"/>
  <c r="G203" i="17"/>
  <c r="E204" i="17"/>
  <c r="F204" i="17"/>
  <c r="G204" i="17"/>
  <c r="E205" i="17"/>
  <c r="F205" i="17"/>
  <c r="G205" i="17"/>
  <c r="E206" i="17"/>
  <c r="F206" i="17"/>
  <c r="G206" i="17"/>
  <c r="E207" i="17"/>
  <c r="F207" i="17"/>
  <c r="G207" i="17"/>
  <c r="E208" i="17"/>
  <c r="F208" i="17"/>
  <c r="G208" i="17"/>
  <c r="E209" i="17"/>
  <c r="F209" i="17"/>
  <c r="G209" i="17"/>
  <c r="E210" i="17"/>
  <c r="F210" i="17"/>
  <c r="G210" i="17"/>
  <c r="E211" i="17"/>
  <c r="F211" i="17"/>
  <c r="G211" i="17"/>
  <c r="E212" i="17"/>
  <c r="F212" i="17"/>
  <c r="G212" i="17"/>
  <c r="E213" i="17"/>
  <c r="F213" i="17"/>
  <c r="G213" i="17"/>
  <c r="E214" i="17"/>
  <c r="F214" i="17"/>
  <c r="G214" i="17"/>
  <c r="E215" i="17"/>
  <c r="F215" i="17"/>
  <c r="G215" i="17"/>
  <c r="E216" i="17"/>
  <c r="F216" i="17"/>
  <c r="G216" i="17"/>
  <c r="E217" i="17"/>
  <c r="F217" i="17"/>
  <c r="G217" i="17"/>
  <c r="E218" i="17"/>
  <c r="F218" i="17"/>
  <c r="G218" i="17"/>
  <c r="E219" i="17"/>
  <c r="F219" i="17"/>
  <c r="G219" i="17"/>
  <c r="E220" i="17"/>
  <c r="F220" i="17"/>
  <c r="G220" i="17"/>
  <c r="E221" i="17"/>
  <c r="F221" i="17"/>
  <c r="G221" i="17"/>
  <c r="E222" i="17"/>
  <c r="F222" i="17"/>
  <c r="G222" i="17"/>
  <c r="E223" i="17"/>
  <c r="F223" i="17"/>
  <c r="G223" i="17"/>
  <c r="E224" i="17"/>
  <c r="F224" i="17"/>
  <c r="G224" i="17"/>
  <c r="E225" i="17"/>
  <c r="F225" i="17"/>
  <c r="G225" i="17"/>
  <c r="E226" i="17"/>
  <c r="F226" i="17"/>
  <c r="G226" i="17"/>
  <c r="E227" i="17"/>
  <c r="F227" i="17"/>
  <c r="G227" i="17"/>
  <c r="E228" i="17"/>
  <c r="F228" i="17"/>
  <c r="G228" i="17"/>
  <c r="E229" i="17"/>
  <c r="F229" i="17"/>
  <c r="G229" i="17"/>
  <c r="E230" i="17"/>
  <c r="F230" i="17"/>
  <c r="G230" i="17"/>
  <c r="E231" i="17"/>
  <c r="F231" i="17"/>
  <c r="G231" i="17"/>
  <c r="E232" i="17"/>
  <c r="F232" i="17"/>
  <c r="G232" i="17"/>
  <c r="E233" i="17"/>
  <c r="F233" i="17"/>
  <c r="G233" i="17"/>
  <c r="E234" i="17"/>
  <c r="F234" i="17"/>
  <c r="G234" i="17"/>
  <c r="E235" i="17"/>
  <c r="F235" i="17"/>
  <c r="G235" i="17"/>
  <c r="E236" i="17"/>
  <c r="F236" i="17"/>
  <c r="G236" i="17"/>
  <c r="E237" i="17"/>
  <c r="F237" i="17"/>
  <c r="G237" i="17"/>
  <c r="E238" i="17"/>
  <c r="F238" i="17"/>
  <c r="G238" i="17"/>
  <c r="E239" i="17"/>
  <c r="F239" i="17"/>
  <c r="G239" i="17"/>
  <c r="E240" i="17"/>
  <c r="F240" i="17"/>
  <c r="G240" i="17"/>
  <c r="E241" i="17"/>
  <c r="F241" i="17"/>
  <c r="G241" i="17"/>
  <c r="E242" i="17"/>
  <c r="F242" i="17"/>
  <c r="G242" i="17"/>
  <c r="E243" i="17"/>
  <c r="F243" i="17"/>
  <c r="G243" i="17"/>
  <c r="E244" i="17"/>
  <c r="F244" i="17"/>
  <c r="G244" i="17"/>
  <c r="E245" i="17"/>
  <c r="F245" i="17"/>
  <c r="G245" i="17"/>
  <c r="E246" i="17"/>
  <c r="F246" i="17"/>
  <c r="G246" i="17"/>
  <c r="E247" i="17"/>
  <c r="F247" i="17"/>
  <c r="G247" i="17"/>
  <c r="E248" i="17"/>
  <c r="F248" i="17"/>
  <c r="G248" i="17"/>
  <c r="E249" i="17"/>
  <c r="F249" i="17"/>
  <c r="G249" i="17"/>
  <c r="E250" i="17"/>
  <c r="F250" i="17"/>
  <c r="G250" i="17"/>
  <c r="E251" i="17"/>
  <c r="F251" i="17"/>
  <c r="G251" i="17"/>
  <c r="E252" i="17"/>
  <c r="F252" i="17"/>
  <c r="G252" i="17"/>
  <c r="E253" i="17"/>
  <c r="F253" i="17"/>
  <c r="G253" i="17"/>
  <c r="E254" i="17"/>
  <c r="F254" i="17"/>
  <c r="G254" i="17"/>
  <c r="E255" i="17"/>
  <c r="F255" i="17"/>
  <c r="G255" i="17"/>
  <c r="E256" i="17"/>
  <c r="F256" i="17"/>
  <c r="G256" i="17"/>
  <c r="E257" i="17"/>
  <c r="F257" i="17"/>
  <c r="G257" i="17"/>
  <c r="E258" i="17"/>
  <c r="F258" i="17"/>
  <c r="G258" i="17"/>
  <c r="E259" i="17"/>
  <c r="F259" i="17"/>
  <c r="G259" i="17"/>
  <c r="E260" i="17"/>
  <c r="F260" i="17"/>
  <c r="G260" i="17"/>
  <c r="E261" i="17"/>
  <c r="F261" i="17"/>
  <c r="G261" i="17"/>
  <c r="E262" i="17"/>
  <c r="F262" i="17"/>
  <c r="G262" i="17"/>
  <c r="E263" i="17"/>
  <c r="F263" i="17"/>
  <c r="G263" i="17"/>
  <c r="E264" i="17"/>
  <c r="F264" i="17"/>
  <c r="G264" i="17"/>
  <c r="E265" i="17"/>
  <c r="F265" i="17"/>
  <c r="G265" i="17"/>
  <c r="E266" i="17"/>
  <c r="F266" i="17"/>
  <c r="G266" i="17"/>
  <c r="E267" i="17"/>
  <c r="F267" i="17"/>
  <c r="G267" i="17"/>
  <c r="E268" i="17"/>
  <c r="F268" i="17"/>
  <c r="G268" i="17"/>
  <c r="E269" i="17"/>
  <c r="F269" i="17"/>
  <c r="G269" i="17"/>
  <c r="E270" i="17"/>
  <c r="F270" i="17"/>
  <c r="G270" i="17"/>
  <c r="E271" i="17"/>
  <c r="F271" i="17"/>
  <c r="G271" i="17"/>
  <c r="E272" i="17"/>
  <c r="F272" i="17"/>
  <c r="G272" i="17"/>
  <c r="E273" i="17"/>
  <c r="F273" i="17"/>
  <c r="G273" i="17"/>
  <c r="E274" i="17"/>
  <c r="F274" i="17"/>
  <c r="G274" i="17"/>
  <c r="E275" i="17"/>
  <c r="F275" i="17"/>
  <c r="G275" i="17"/>
  <c r="E276" i="17"/>
  <c r="F276" i="17"/>
  <c r="G276" i="17"/>
  <c r="E277" i="17"/>
  <c r="F277" i="17"/>
  <c r="G277" i="17"/>
  <c r="E278" i="17"/>
  <c r="F278" i="17"/>
  <c r="G278" i="17"/>
  <c r="E279" i="17"/>
  <c r="F279" i="17"/>
  <c r="G279" i="17"/>
  <c r="E280" i="17"/>
  <c r="F280" i="17"/>
  <c r="G280" i="17"/>
  <c r="E281" i="17"/>
  <c r="F281" i="17"/>
  <c r="G281" i="17"/>
  <c r="E282" i="17"/>
  <c r="F282" i="17"/>
  <c r="G282" i="17"/>
  <c r="E283" i="17"/>
  <c r="F283" i="17"/>
  <c r="G283" i="17"/>
  <c r="E284" i="17"/>
  <c r="F284" i="17"/>
  <c r="G284" i="17"/>
  <c r="E285" i="17"/>
  <c r="F285" i="17"/>
  <c r="G285" i="17"/>
  <c r="E286" i="17"/>
  <c r="F286" i="17"/>
  <c r="G286" i="17"/>
  <c r="E287" i="17"/>
  <c r="F287" i="17"/>
  <c r="G287" i="17"/>
  <c r="E288" i="17"/>
  <c r="F288" i="17"/>
  <c r="G288" i="17"/>
  <c r="E289" i="17"/>
  <c r="F289" i="17"/>
  <c r="G289" i="17"/>
  <c r="E290" i="17"/>
  <c r="F290" i="17"/>
  <c r="G290" i="17"/>
  <c r="E291" i="17"/>
  <c r="F291" i="17"/>
  <c r="G291" i="17"/>
  <c r="E292" i="17"/>
  <c r="F292" i="17"/>
  <c r="G292" i="17"/>
  <c r="E293" i="17"/>
  <c r="F293" i="17"/>
  <c r="G293" i="17"/>
  <c r="E294" i="17"/>
  <c r="F294" i="17"/>
  <c r="G294" i="17"/>
  <c r="E295" i="17"/>
  <c r="F295" i="17"/>
  <c r="G295" i="17"/>
  <c r="E296" i="17"/>
  <c r="F296" i="17"/>
  <c r="G296" i="17"/>
  <c r="E297" i="17"/>
  <c r="F297" i="17"/>
  <c r="G297" i="17"/>
  <c r="E298" i="17"/>
  <c r="F298" i="17"/>
  <c r="G298" i="17"/>
  <c r="E299" i="17"/>
  <c r="F299" i="17"/>
  <c r="G299" i="17"/>
  <c r="E300" i="17"/>
  <c r="F300" i="17"/>
  <c r="G300" i="17"/>
  <c r="E301" i="17"/>
  <c r="F301" i="17"/>
  <c r="G301" i="17"/>
  <c r="E302" i="17"/>
  <c r="F302" i="17"/>
  <c r="G302" i="17"/>
  <c r="E303" i="17"/>
  <c r="F303" i="17"/>
  <c r="G303" i="17"/>
  <c r="E304" i="17"/>
  <c r="F304" i="17"/>
  <c r="G304" i="17"/>
  <c r="E305" i="17"/>
  <c r="F305" i="17"/>
  <c r="G305" i="17"/>
  <c r="E306" i="17"/>
  <c r="F306" i="17"/>
  <c r="G306" i="17"/>
  <c r="E307" i="17"/>
  <c r="F307" i="17"/>
  <c r="G307" i="17"/>
  <c r="E308" i="17"/>
  <c r="F308" i="17"/>
  <c r="G308" i="17"/>
  <c r="E309" i="17"/>
  <c r="F309" i="17"/>
  <c r="G309" i="17"/>
  <c r="E310" i="17"/>
  <c r="F310" i="17"/>
  <c r="G310" i="17"/>
  <c r="E311" i="17"/>
  <c r="F311" i="17"/>
  <c r="G311" i="17"/>
  <c r="E312" i="17"/>
  <c r="F312" i="17"/>
  <c r="G312" i="17"/>
  <c r="E313" i="17"/>
  <c r="F313" i="17"/>
  <c r="G313" i="17"/>
  <c r="E314" i="17"/>
  <c r="F314" i="17"/>
  <c r="G314" i="17"/>
  <c r="E315" i="17"/>
  <c r="F315" i="17"/>
  <c r="G315" i="17"/>
  <c r="E316" i="17"/>
  <c r="F316" i="17"/>
  <c r="G316" i="17"/>
  <c r="E317" i="17"/>
  <c r="F317" i="17"/>
  <c r="G317" i="17"/>
  <c r="E318" i="17"/>
  <c r="F318" i="17"/>
  <c r="G318" i="17"/>
  <c r="E319" i="17"/>
  <c r="F319" i="17"/>
  <c r="G319" i="17"/>
  <c r="E320" i="17"/>
  <c r="F320" i="17"/>
  <c r="G320" i="17"/>
  <c r="E321" i="17"/>
  <c r="F321" i="17"/>
  <c r="G321" i="17"/>
  <c r="E322" i="17"/>
  <c r="F322" i="17"/>
  <c r="G322" i="17"/>
  <c r="E323" i="17"/>
  <c r="F323" i="17"/>
  <c r="G323" i="17"/>
  <c r="E324" i="17"/>
  <c r="F324" i="17"/>
  <c r="G324" i="17"/>
  <c r="E325" i="17"/>
  <c r="F325" i="17"/>
  <c r="G325" i="17"/>
  <c r="E326" i="17"/>
  <c r="F326" i="17"/>
  <c r="G326" i="17"/>
  <c r="E327" i="17"/>
  <c r="F327" i="17"/>
  <c r="G327" i="17"/>
  <c r="E328" i="17"/>
  <c r="F328" i="17"/>
  <c r="G328" i="17"/>
  <c r="E329" i="17"/>
  <c r="F329" i="17"/>
  <c r="G329" i="17"/>
  <c r="E330" i="17"/>
  <c r="F330" i="17"/>
  <c r="G330" i="17"/>
  <c r="E331" i="17"/>
  <c r="F331" i="17"/>
  <c r="G331" i="17"/>
  <c r="E332" i="17"/>
  <c r="F332" i="17"/>
  <c r="G332" i="17"/>
  <c r="E333" i="17"/>
  <c r="F333" i="17"/>
  <c r="G333" i="17"/>
  <c r="E334" i="17"/>
  <c r="F334" i="17"/>
  <c r="G334" i="17"/>
  <c r="E335" i="17"/>
  <c r="F335" i="17"/>
  <c r="G335" i="17"/>
  <c r="E336" i="17"/>
  <c r="F336" i="17"/>
  <c r="G336" i="17"/>
  <c r="E337" i="17"/>
  <c r="F337" i="17"/>
  <c r="G337" i="17"/>
  <c r="E338" i="17"/>
  <c r="F338" i="17"/>
  <c r="G338" i="17"/>
  <c r="E339" i="17"/>
  <c r="F339" i="17"/>
  <c r="G339" i="17"/>
  <c r="E340" i="17"/>
  <c r="F340" i="17"/>
  <c r="G340" i="17"/>
  <c r="E341" i="17"/>
  <c r="F341" i="17"/>
  <c r="G341" i="17"/>
  <c r="E342" i="17"/>
  <c r="F342" i="17"/>
  <c r="G342" i="17"/>
  <c r="E343" i="17"/>
  <c r="F343" i="17"/>
  <c r="G343" i="17"/>
  <c r="E344" i="17"/>
  <c r="F344" i="17"/>
  <c r="G344" i="17"/>
  <c r="E345" i="17"/>
  <c r="F345" i="17"/>
  <c r="G345" i="17"/>
  <c r="E346" i="17"/>
  <c r="F346" i="17"/>
  <c r="G346" i="17"/>
  <c r="E347" i="17"/>
  <c r="F347" i="17"/>
  <c r="G347" i="17"/>
  <c r="E348" i="17"/>
  <c r="F348" i="17"/>
  <c r="G348" i="17"/>
  <c r="E349" i="17"/>
  <c r="F349" i="17"/>
  <c r="G349" i="17"/>
  <c r="E350" i="17"/>
  <c r="F350" i="17"/>
  <c r="G350" i="17"/>
  <c r="E351" i="17"/>
  <c r="F351" i="17"/>
  <c r="G351" i="17"/>
  <c r="E352" i="17"/>
  <c r="F352" i="17"/>
  <c r="G352" i="17"/>
  <c r="E353" i="17"/>
  <c r="F353" i="17"/>
  <c r="G353" i="17"/>
  <c r="E354" i="17"/>
  <c r="F354" i="17"/>
  <c r="G354" i="17"/>
  <c r="E355" i="17"/>
  <c r="F355" i="17"/>
  <c r="G355" i="17"/>
  <c r="E356" i="17"/>
  <c r="F356" i="17"/>
  <c r="G356" i="17"/>
  <c r="E357" i="17"/>
  <c r="F357" i="17"/>
  <c r="G357" i="17"/>
  <c r="E358" i="17"/>
  <c r="F358" i="17"/>
  <c r="G358" i="17"/>
  <c r="E359" i="17"/>
  <c r="F359" i="17"/>
  <c r="G359" i="17"/>
  <c r="E360" i="17"/>
  <c r="F360" i="17"/>
  <c r="G360" i="17"/>
  <c r="E361" i="17"/>
  <c r="F361" i="17"/>
  <c r="G361" i="17"/>
  <c r="E362" i="17"/>
  <c r="F362" i="17"/>
  <c r="G362" i="17"/>
  <c r="E363" i="17"/>
  <c r="F363" i="17"/>
  <c r="G363" i="17"/>
  <c r="E364" i="17"/>
  <c r="F364" i="17"/>
  <c r="G364" i="17"/>
  <c r="E365" i="17"/>
  <c r="F365" i="17"/>
  <c r="G365" i="17"/>
  <c r="E366" i="17"/>
  <c r="F366" i="17"/>
  <c r="G366" i="17"/>
  <c r="E367" i="17"/>
  <c r="F367" i="17"/>
  <c r="G367" i="17"/>
  <c r="E368" i="17"/>
  <c r="F368" i="17"/>
  <c r="G368" i="17"/>
  <c r="E369" i="17"/>
  <c r="F369" i="17"/>
  <c r="G369" i="17"/>
  <c r="E370" i="17"/>
  <c r="F370" i="17"/>
  <c r="G370" i="17"/>
  <c r="E371" i="17"/>
  <c r="F371" i="17"/>
  <c r="G371" i="17"/>
  <c r="E372" i="17"/>
  <c r="F372" i="17"/>
  <c r="G372" i="17"/>
  <c r="E373" i="17"/>
  <c r="F373" i="17"/>
  <c r="G373" i="17"/>
  <c r="E374" i="17"/>
  <c r="F374" i="17"/>
  <c r="G374" i="17"/>
  <c r="E375" i="17"/>
  <c r="F375" i="17"/>
  <c r="G375" i="17"/>
  <c r="E376" i="17"/>
  <c r="F376" i="17"/>
  <c r="G376" i="17"/>
  <c r="E377" i="17"/>
  <c r="F377" i="17"/>
  <c r="G377" i="17"/>
  <c r="E378" i="17"/>
  <c r="F378" i="17"/>
  <c r="G378" i="17"/>
  <c r="E379" i="17"/>
  <c r="F379" i="17"/>
  <c r="G379" i="17"/>
  <c r="E380" i="17"/>
  <c r="F380" i="17"/>
  <c r="G380" i="17"/>
  <c r="E381" i="17"/>
  <c r="F381" i="17"/>
  <c r="G381" i="17"/>
  <c r="E382" i="17"/>
  <c r="F382" i="17"/>
  <c r="G382" i="17"/>
  <c r="E383" i="17"/>
  <c r="F383" i="17"/>
  <c r="G383" i="17"/>
  <c r="E384" i="17"/>
  <c r="F384" i="17"/>
  <c r="G384" i="17"/>
  <c r="E385" i="17"/>
  <c r="F385" i="17"/>
  <c r="G385" i="17"/>
  <c r="E386" i="17"/>
  <c r="F386" i="17"/>
  <c r="G386" i="17"/>
  <c r="E387" i="17"/>
  <c r="F387" i="17"/>
  <c r="G387" i="17"/>
  <c r="E388" i="17"/>
  <c r="F388" i="17"/>
  <c r="G388" i="17"/>
  <c r="E389" i="17"/>
  <c r="F389" i="17"/>
  <c r="G389" i="17"/>
  <c r="E390" i="17"/>
  <c r="F390" i="17"/>
  <c r="G390" i="17"/>
  <c r="E391" i="17"/>
  <c r="F391" i="17"/>
  <c r="G391" i="17"/>
  <c r="E392" i="17"/>
  <c r="F392" i="17"/>
  <c r="G392" i="17"/>
  <c r="E393" i="17"/>
  <c r="F393" i="17"/>
  <c r="G393" i="17"/>
  <c r="E394" i="17"/>
  <c r="F394" i="17"/>
  <c r="G394" i="17"/>
  <c r="E395" i="17"/>
  <c r="F395" i="17"/>
  <c r="G395" i="17"/>
  <c r="E396" i="17"/>
  <c r="F396" i="17"/>
  <c r="G396" i="17"/>
  <c r="E397" i="17"/>
  <c r="F397" i="17"/>
  <c r="G397" i="17"/>
  <c r="E398" i="17"/>
  <c r="F398" i="17"/>
  <c r="G398" i="17"/>
  <c r="E399" i="17"/>
  <c r="F399" i="17"/>
  <c r="G399" i="17"/>
  <c r="E400" i="17"/>
  <c r="F400" i="17"/>
  <c r="G400" i="17"/>
  <c r="E401" i="17"/>
  <c r="F401" i="17"/>
  <c r="G401" i="17"/>
  <c r="E402" i="17"/>
  <c r="F402" i="17"/>
  <c r="G402" i="17"/>
  <c r="E403" i="17"/>
  <c r="F403" i="17"/>
  <c r="G403" i="17"/>
  <c r="E404" i="17"/>
  <c r="F404" i="17"/>
  <c r="G404" i="17"/>
  <c r="E405" i="17"/>
  <c r="F405" i="17"/>
  <c r="G405" i="17"/>
  <c r="E406" i="17"/>
  <c r="F406" i="17"/>
  <c r="G406" i="17"/>
  <c r="E407" i="17"/>
  <c r="F407" i="17"/>
  <c r="G407" i="17"/>
  <c r="E408" i="17"/>
  <c r="F408" i="17"/>
  <c r="G408" i="17"/>
  <c r="E409" i="17"/>
  <c r="F409" i="17"/>
  <c r="G409" i="17"/>
  <c r="E410" i="17"/>
  <c r="F410" i="17"/>
  <c r="G410" i="17"/>
  <c r="E411" i="17"/>
  <c r="F411" i="17"/>
  <c r="G411" i="17"/>
  <c r="E412" i="17"/>
  <c r="F412" i="17"/>
  <c r="G412" i="17"/>
  <c r="E413" i="17"/>
  <c r="F413" i="17"/>
  <c r="G413" i="17"/>
  <c r="E414" i="17"/>
  <c r="F414" i="17"/>
  <c r="G414" i="17"/>
  <c r="E415" i="17"/>
  <c r="F415" i="17"/>
  <c r="G415" i="17"/>
  <c r="E416" i="17"/>
  <c r="F416" i="17"/>
  <c r="G416" i="17"/>
  <c r="E417" i="17"/>
  <c r="F417" i="17"/>
  <c r="G417" i="17"/>
  <c r="E418" i="17"/>
  <c r="F418" i="17"/>
  <c r="G418" i="17"/>
  <c r="E419" i="17"/>
  <c r="F419" i="17"/>
  <c r="G419" i="17"/>
  <c r="E420" i="17"/>
  <c r="F420" i="17"/>
  <c r="G420" i="17"/>
  <c r="E421" i="17"/>
  <c r="F421" i="17"/>
  <c r="G421" i="17"/>
  <c r="E422" i="17"/>
  <c r="F422" i="17"/>
  <c r="G422" i="17"/>
  <c r="E423" i="17"/>
  <c r="F423" i="17"/>
  <c r="G423" i="17"/>
  <c r="E424" i="17"/>
  <c r="F424" i="17"/>
  <c r="G424" i="17"/>
  <c r="E425" i="17"/>
  <c r="F425" i="17"/>
  <c r="G425" i="17"/>
  <c r="E426" i="17"/>
  <c r="F426" i="17"/>
  <c r="G426" i="17"/>
  <c r="E427" i="17"/>
  <c r="F427" i="17"/>
  <c r="G427" i="17"/>
  <c r="E428" i="17"/>
  <c r="F428" i="17"/>
  <c r="G428" i="17"/>
  <c r="E429" i="17"/>
  <c r="F429" i="17"/>
  <c r="G429" i="17"/>
  <c r="E430" i="17"/>
  <c r="F430" i="17"/>
  <c r="G430" i="17"/>
  <c r="E431" i="17"/>
  <c r="F431" i="17"/>
  <c r="G431" i="17"/>
  <c r="E432" i="17"/>
  <c r="F432" i="17"/>
  <c r="G432" i="17"/>
  <c r="E433" i="17"/>
  <c r="F433" i="17"/>
  <c r="G433" i="17"/>
  <c r="E434" i="17"/>
  <c r="F434" i="17"/>
  <c r="G434" i="17"/>
  <c r="E435" i="17"/>
  <c r="F435" i="17"/>
  <c r="G435" i="17"/>
  <c r="E436" i="17"/>
  <c r="F436" i="17"/>
  <c r="G436" i="17"/>
  <c r="E437" i="17"/>
  <c r="F437" i="17"/>
  <c r="G437" i="17"/>
  <c r="E438" i="17"/>
  <c r="F438" i="17"/>
  <c r="G438" i="17"/>
  <c r="E439" i="17"/>
  <c r="F439" i="17"/>
  <c r="G439" i="17"/>
  <c r="E440" i="17"/>
  <c r="F440" i="17"/>
  <c r="G440" i="17"/>
  <c r="E441" i="17"/>
  <c r="F441" i="17"/>
  <c r="G441" i="17"/>
  <c r="E442" i="17"/>
  <c r="F442" i="17"/>
  <c r="G442" i="17"/>
  <c r="E443" i="17"/>
  <c r="F443" i="17"/>
  <c r="G443" i="17"/>
  <c r="E444" i="17"/>
  <c r="F444" i="17"/>
  <c r="G444" i="17"/>
  <c r="E445" i="17"/>
  <c r="F445" i="17"/>
  <c r="G445" i="17"/>
  <c r="E446" i="17"/>
  <c r="F446" i="17"/>
  <c r="G446" i="17"/>
  <c r="E447" i="17"/>
  <c r="F447" i="17"/>
  <c r="G447" i="17"/>
  <c r="E448" i="17"/>
  <c r="F448" i="17"/>
  <c r="G448" i="17"/>
  <c r="E449" i="17"/>
  <c r="F449" i="17"/>
  <c r="G449" i="17"/>
  <c r="E450" i="17"/>
  <c r="F450" i="17"/>
  <c r="G450" i="17"/>
  <c r="E451" i="17"/>
  <c r="F451" i="17"/>
  <c r="G451" i="17"/>
  <c r="E452" i="17"/>
  <c r="F452" i="17"/>
  <c r="G452" i="17"/>
  <c r="E453" i="17"/>
  <c r="F453" i="17"/>
  <c r="G453" i="17"/>
  <c r="E454" i="17"/>
  <c r="F454" i="17"/>
  <c r="G454" i="17"/>
  <c r="E455" i="17"/>
  <c r="F455" i="17"/>
  <c r="G455" i="17"/>
  <c r="E456" i="17"/>
  <c r="F456" i="17"/>
  <c r="G456" i="17"/>
  <c r="E457" i="17"/>
  <c r="F457" i="17"/>
  <c r="G457" i="17"/>
  <c r="E458" i="17"/>
  <c r="F458" i="17"/>
  <c r="G458" i="17"/>
  <c r="E459" i="17"/>
  <c r="F459" i="17"/>
  <c r="G459" i="17"/>
  <c r="E460" i="17"/>
  <c r="F460" i="17"/>
  <c r="G460" i="17"/>
  <c r="E461" i="17"/>
  <c r="F461" i="17"/>
  <c r="G461" i="17"/>
  <c r="E462" i="17"/>
  <c r="F462" i="17"/>
  <c r="G462" i="17"/>
  <c r="E463" i="17"/>
  <c r="F463" i="17"/>
  <c r="G463" i="17"/>
  <c r="E464" i="17"/>
  <c r="F464" i="17"/>
  <c r="G464" i="17"/>
  <c r="E465" i="17"/>
  <c r="F465" i="17"/>
  <c r="G465" i="17"/>
  <c r="E466" i="17"/>
  <c r="F466" i="17"/>
  <c r="G466" i="17"/>
  <c r="E467" i="17"/>
  <c r="F467" i="17"/>
  <c r="G467" i="17"/>
  <c r="E468" i="17"/>
  <c r="F468" i="17"/>
  <c r="G468" i="17"/>
  <c r="E469" i="17"/>
  <c r="F469" i="17"/>
  <c r="G469" i="17"/>
  <c r="E470" i="17"/>
  <c r="F470" i="17"/>
  <c r="G470" i="17"/>
  <c r="E471" i="17"/>
  <c r="F471" i="17"/>
  <c r="G471" i="17"/>
  <c r="E472" i="17"/>
  <c r="F472" i="17"/>
  <c r="G472" i="17"/>
  <c r="E473" i="17"/>
  <c r="F473" i="17"/>
  <c r="G473" i="17"/>
  <c r="E474" i="17"/>
  <c r="F474" i="17"/>
  <c r="G474" i="17"/>
  <c r="E475" i="17"/>
  <c r="F475" i="17"/>
  <c r="G475" i="17"/>
  <c r="E476" i="17"/>
  <c r="F476" i="17"/>
  <c r="G476" i="17"/>
  <c r="E477" i="17"/>
  <c r="F477" i="17"/>
  <c r="G477" i="17"/>
  <c r="E478" i="17"/>
  <c r="F478" i="17"/>
  <c r="G478" i="17"/>
  <c r="E479" i="17"/>
  <c r="F479" i="17"/>
  <c r="G479" i="17"/>
  <c r="E480" i="17"/>
  <c r="F480" i="17"/>
  <c r="G480" i="17"/>
  <c r="E481" i="17"/>
  <c r="F481" i="17"/>
  <c r="G481" i="17"/>
  <c r="E482" i="17"/>
  <c r="F482" i="17"/>
  <c r="G482" i="17"/>
  <c r="E483" i="17"/>
  <c r="F483" i="17"/>
  <c r="G483" i="17"/>
  <c r="E484" i="17"/>
  <c r="F484" i="17"/>
  <c r="G484" i="17"/>
  <c r="E485" i="17"/>
  <c r="F485" i="17"/>
  <c r="G485" i="17"/>
  <c r="E486" i="17"/>
  <c r="F486" i="17"/>
  <c r="G486" i="17"/>
  <c r="E487" i="17"/>
  <c r="F487" i="17"/>
  <c r="G487" i="17"/>
  <c r="E488" i="17"/>
  <c r="F488" i="17"/>
  <c r="G488" i="17"/>
  <c r="E489" i="17"/>
  <c r="F489" i="17"/>
  <c r="G489" i="17"/>
  <c r="E490" i="17"/>
  <c r="F490" i="17"/>
  <c r="G490" i="17"/>
  <c r="E491" i="17"/>
  <c r="F491" i="17"/>
  <c r="G491" i="17"/>
  <c r="E492" i="17"/>
  <c r="F492" i="17"/>
  <c r="G492" i="17"/>
  <c r="E493" i="17"/>
  <c r="F493" i="17"/>
  <c r="G493" i="17"/>
  <c r="E494" i="17"/>
  <c r="F494" i="17"/>
  <c r="G494" i="17"/>
  <c r="E495" i="17"/>
  <c r="F495" i="17"/>
  <c r="G495" i="17"/>
  <c r="E496" i="17"/>
  <c r="F496" i="17"/>
  <c r="G496" i="17"/>
  <c r="E497" i="17"/>
  <c r="F497" i="17"/>
  <c r="G497" i="17"/>
  <c r="E498" i="17"/>
  <c r="F498" i="17"/>
  <c r="G498" i="17"/>
  <c r="E499" i="17"/>
  <c r="F499" i="17"/>
  <c r="G499" i="17"/>
  <c r="E500" i="17"/>
  <c r="F500" i="17"/>
  <c r="G500" i="17"/>
  <c r="C501" i="17"/>
  <c r="E501" i="17"/>
  <c r="F501" i="17"/>
  <c r="G501" i="17"/>
  <c r="C502" i="17"/>
  <c r="E502" i="17"/>
  <c r="F502" i="17"/>
  <c r="G502" i="17"/>
  <c r="E503" i="17"/>
  <c r="F503" i="17"/>
  <c r="G503" i="17"/>
  <c r="E504" i="17"/>
  <c r="F504" i="17"/>
  <c r="G504" i="17"/>
  <c r="E505" i="17"/>
  <c r="F505" i="17"/>
  <c r="G505" i="17"/>
  <c r="E506" i="17"/>
  <c r="F506" i="17"/>
  <c r="G506" i="17"/>
  <c r="E507" i="17"/>
  <c r="F507" i="17"/>
  <c r="G507" i="17"/>
  <c r="E508" i="17"/>
  <c r="F508" i="17"/>
  <c r="G508" i="17"/>
  <c r="E509" i="17"/>
  <c r="F509" i="17"/>
  <c r="G509" i="17"/>
  <c r="E510" i="17"/>
  <c r="F510" i="17"/>
  <c r="G510" i="17"/>
  <c r="E511" i="17"/>
  <c r="F511" i="17"/>
  <c r="G511" i="17"/>
  <c r="E512" i="17"/>
  <c r="F512" i="17"/>
  <c r="G512" i="17"/>
  <c r="E513" i="17"/>
  <c r="F513" i="17"/>
  <c r="G513" i="17"/>
  <c r="E514" i="17"/>
  <c r="F514" i="17"/>
  <c r="G514" i="17"/>
  <c r="E515" i="17"/>
  <c r="F515" i="17"/>
  <c r="G515" i="17"/>
  <c r="E516" i="17"/>
  <c r="F516" i="17"/>
  <c r="G516" i="17"/>
  <c r="E517" i="17"/>
  <c r="F517" i="17"/>
  <c r="G517" i="17"/>
  <c r="E518" i="17"/>
  <c r="F518" i="17"/>
  <c r="G518" i="17"/>
  <c r="E519" i="17"/>
  <c r="F519" i="17"/>
  <c r="G519" i="17"/>
  <c r="E520" i="17"/>
  <c r="F520" i="17"/>
  <c r="G520" i="17"/>
  <c r="E521" i="17"/>
  <c r="F521" i="17"/>
  <c r="G521" i="17"/>
  <c r="E522" i="17"/>
  <c r="F522" i="17"/>
  <c r="G522" i="17"/>
  <c r="E523" i="17"/>
  <c r="F523" i="17"/>
  <c r="G523" i="17"/>
  <c r="E524" i="17"/>
  <c r="F524" i="17"/>
  <c r="G524" i="17"/>
  <c r="E525" i="17"/>
  <c r="F525" i="17"/>
  <c r="G525" i="17"/>
  <c r="E526" i="17"/>
  <c r="F526" i="17"/>
  <c r="G526" i="17"/>
  <c r="E527" i="17"/>
  <c r="F527" i="17"/>
  <c r="G527" i="17"/>
  <c r="E528" i="17"/>
  <c r="F528" i="17"/>
  <c r="G528" i="17"/>
  <c r="E529" i="17"/>
  <c r="F529" i="17"/>
  <c r="G529" i="17"/>
  <c r="E530" i="17"/>
  <c r="F530" i="17"/>
  <c r="G530" i="17"/>
  <c r="E531" i="17"/>
  <c r="F531" i="17"/>
  <c r="G531" i="17"/>
  <c r="E532" i="17"/>
  <c r="F532" i="17"/>
  <c r="G532" i="17"/>
  <c r="E533" i="17"/>
  <c r="F533" i="17"/>
  <c r="G533" i="17"/>
  <c r="E534" i="17"/>
  <c r="F534" i="17"/>
  <c r="G534" i="17"/>
  <c r="E535" i="17"/>
  <c r="F535" i="17"/>
  <c r="G535" i="17"/>
  <c r="E536" i="17"/>
  <c r="F536" i="17"/>
  <c r="G536" i="17"/>
  <c r="E537" i="17"/>
  <c r="F537" i="17"/>
  <c r="G537" i="17"/>
  <c r="E538" i="17"/>
  <c r="F538" i="17"/>
  <c r="G538" i="17"/>
  <c r="E539" i="17"/>
  <c r="F539" i="17"/>
  <c r="G539" i="17"/>
  <c r="E540" i="17"/>
  <c r="F540" i="17"/>
  <c r="G540" i="17"/>
  <c r="E541" i="17"/>
  <c r="F541" i="17"/>
  <c r="G541" i="17"/>
  <c r="E542" i="17"/>
  <c r="F542" i="17"/>
  <c r="G542" i="17"/>
  <c r="E543" i="17"/>
  <c r="F543" i="17"/>
  <c r="G543" i="17"/>
  <c r="E544" i="17"/>
  <c r="F544" i="17"/>
  <c r="G544" i="17"/>
  <c r="E545" i="17"/>
  <c r="F545" i="17"/>
  <c r="G545" i="17"/>
  <c r="E546" i="17"/>
  <c r="F546" i="17"/>
  <c r="G546" i="17"/>
  <c r="E547" i="17"/>
  <c r="F547" i="17"/>
  <c r="G547" i="17"/>
  <c r="E548" i="17"/>
  <c r="F548" i="17"/>
  <c r="G548" i="17"/>
  <c r="E549" i="17"/>
  <c r="F549" i="17"/>
  <c r="G549" i="17"/>
  <c r="E550" i="17"/>
  <c r="F550" i="17"/>
  <c r="G550" i="17"/>
  <c r="E551" i="17"/>
  <c r="F551" i="17"/>
  <c r="G551" i="17"/>
  <c r="E552" i="17"/>
  <c r="F552" i="17"/>
  <c r="G552" i="17"/>
  <c r="E553" i="17"/>
  <c r="F553" i="17"/>
  <c r="G553" i="17"/>
  <c r="E554" i="17"/>
  <c r="F554" i="17"/>
  <c r="G554" i="17"/>
  <c r="E555" i="17"/>
  <c r="F555" i="17"/>
  <c r="G555" i="17"/>
  <c r="E556" i="17"/>
  <c r="F556" i="17"/>
  <c r="G556" i="17"/>
  <c r="E557" i="17"/>
  <c r="F557" i="17"/>
  <c r="G557" i="17"/>
  <c r="E558" i="17"/>
  <c r="F558" i="17"/>
  <c r="G558" i="17"/>
  <c r="E559" i="17"/>
  <c r="F559" i="17"/>
  <c r="G559" i="17"/>
  <c r="E560" i="17"/>
  <c r="F560" i="17"/>
  <c r="G560" i="17"/>
  <c r="E561" i="17"/>
  <c r="F561" i="17"/>
  <c r="G561" i="17"/>
  <c r="E562" i="17"/>
  <c r="F562" i="17"/>
  <c r="G562" i="17"/>
  <c r="E563" i="17"/>
  <c r="F563" i="17"/>
  <c r="G563" i="17"/>
  <c r="E564" i="17"/>
  <c r="F564" i="17"/>
  <c r="G564" i="17"/>
  <c r="E565" i="17"/>
  <c r="F565" i="17"/>
  <c r="G565" i="17"/>
  <c r="E566" i="17"/>
  <c r="F566" i="17"/>
  <c r="G566" i="17"/>
  <c r="E567" i="17"/>
  <c r="F567" i="17"/>
  <c r="G567" i="17"/>
  <c r="E568" i="17"/>
  <c r="F568" i="17"/>
  <c r="G568" i="17"/>
  <c r="E569" i="17"/>
  <c r="F569" i="17"/>
  <c r="G569" i="17"/>
  <c r="E570" i="17"/>
  <c r="F570" i="17"/>
  <c r="G570" i="17"/>
  <c r="E571" i="17"/>
  <c r="F571" i="17"/>
  <c r="G571" i="17"/>
  <c r="E572" i="17"/>
  <c r="F572" i="17"/>
  <c r="G572" i="17"/>
  <c r="E573" i="17"/>
  <c r="F573" i="17"/>
  <c r="G573" i="17"/>
  <c r="E574" i="17"/>
  <c r="F574" i="17"/>
  <c r="G574" i="17"/>
  <c r="E575" i="17"/>
  <c r="F575" i="17"/>
  <c r="G575" i="17"/>
  <c r="E576" i="17"/>
  <c r="F576" i="17"/>
  <c r="G576" i="17"/>
  <c r="E577" i="17"/>
  <c r="F577" i="17"/>
  <c r="G577" i="17"/>
  <c r="E578" i="17"/>
  <c r="F578" i="17"/>
  <c r="G578" i="17"/>
  <c r="E579" i="17"/>
  <c r="F579" i="17"/>
  <c r="G579" i="17"/>
  <c r="E580" i="17"/>
  <c r="F580" i="17"/>
  <c r="G580" i="17"/>
  <c r="E581" i="17"/>
  <c r="F581" i="17"/>
  <c r="G581" i="17"/>
  <c r="E582" i="17"/>
  <c r="F582" i="17"/>
  <c r="G582" i="17"/>
  <c r="E583" i="17"/>
  <c r="F583" i="17"/>
  <c r="G583" i="17"/>
  <c r="E584" i="17"/>
  <c r="F584" i="17"/>
  <c r="G584" i="17"/>
  <c r="E585" i="17"/>
  <c r="F585" i="17"/>
  <c r="G585" i="17"/>
  <c r="E586" i="17"/>
  <c r="F586" i="17"/>
  <c r="G586" i="17"/>
  <c r="E587" i="17"/>
  <c r="F587" i="17"/>
  <c r="G587" i="17"/>
  <c r="E588" i="17"/>
  <c r="F588" i="17"/>
  <c r="G588" i="17"/>
  <c r="E589" i="17"/>
  <c r="F589" i="17"/>
  <c r="G589" i="17"/>
  <c r="E590" i="17"/>
  <c r="F590" i="17"/>
  <c r="G590" i="17"/>
  <c r="E591" i="17"/>
  <c r="F591" i="17"/>
  <c r="G591" i="17"/>
  <c r="E592" i="17"/>
  <c r="F592" i="17"/>
  <c r="G592" i="17"/>
  <c r="E593" i="17"/>
  <c r="F593" i="17"/>
  <c r="G593" i="17"/>
  <c r="E594" i="17"/>
  <c r="F594" i="17"/>
  <c r="G594" i="17"/>
  <c r="E595" i="17"/>
  <c r="F595" i="17"/>
  <c r="G595" i="17"/>
  <c r="E596" i="17"/>
  <c r="F596" i="17"/>
  <c r="G596" i="17"/>
  <c r="E597" i="17"/>
  <c r="F597" i="17"/>
  <c r="G597" i="17"/>
  <c r="E598" i="17"/>
  <c r="F598" i="17"/>
  <c r="G598" i="17"/>
  <c r="E599" i="17"/>
  <c r="F599" i="17"/>
  <c r="G599" i="17"/>
  <c r="E600" i="17"/>
  <c r="F600" i="17"/>
  <c r="G600" i="17"/>
  <c r="E601" i="17"/>
  <c r="F601" i="17"/>
  <c r="G601" i="17"/>
  <c r="E602" i="17"/>
  <c r="F602" i="17"/>
  <c r="G602" i="17"/>
  <c r="E603" i="17"/>
  <c r="F603" i="17"/>
  <c r="G603" i="17"/>
  <c r="E604" i="17"/>
  <c r="F604" i="17"/>
  <c r="G604" i="17"/>
  <c r="E605" i="17"/>
  <c r="F605" i="17"/>
  <c r="G605" i="17"/>
  <c r="E606" i="17"/>
  <c r="F606" i="17"/>
  <c r="G606" i="17"/>
  <c r="E607" i="17"/>
  <c r="F607" i="17"/>
  <c r="G607" i="17"/>
  <c r="E608" i="17"/>
  <c r="F608" i="17"/>
  <c r="G608" i="17"/>
  <c r="E609" i="17"/>
  <c r="F609" i="17"/>
  <c r="G609" i="17"/>
  <c r="E610" i="17"/>
  <c r="F610" i="17"/>
  <c r="G610" i="17"/>
  <c r="E611" i="17"/>
  <c r="F611" i="17"/>
  <c r="G611" i="17"/>
  <c r="E612" i="17"/>
  <c r="F612" i="17"/>
  <c r="G612" i="17"/>
  <c r="E613" i="17"/>
  <c r="F613" i="17"/>
  <c r="G613" i="17"/>
  <c r="E614" i="17"/>
  <c r="F614" i="17"/>
  <c r="G614" i="17"/>
  <c r="E615" i="17"/>
  <c r="F615" i="17"/>
  <c r="G615" i="17"/>
  <c r="E616" i="17"/>
  <c r="F616" i="17"/>
  <c r="G616" i="17"/>
  <c r="E617" i="17"/>
  <c r="F617" i="17"/>
  <c r="G617" i="17"/>
  <c r="E618" i="17"/>
  <c r="F618" i="17"/>
  <c r="G618" i="17"/>
  <c r="E619" i="17"/>
  <c r="F619" i="17"/>
  <c r="G619" i="17"/>
  <c r="E620" i="17"/>
  <c r="F620" i="17"/>
  <c r="G620" i="17"/>
  <c r="E621" i="17"/>
  <c r="F621" i="17"/>
  <c r="G621" i="17"/>
  <c r="E622" i="17"/>
  <c r="F622" i="17"/>
  <c r="G622" i="17"/>
  <c r="E623" i="17"/>
  <c r="F623" i="17"/>
  <c r="G623" i="17"/>
  <c r="E624" i="17"/>
  <c r="F624" i="17"/>
  <c r="G624" i="17"/>
  <c r="E625" i="17"/>
  <c r="F625" i="17"/>
  <c r="G625" i="17"/>
  <c r="E626" i="17"/>
  <c r="F626" i="17"/>
  <c r="G626" i="17"/>
  <c r="E627" i="17"/>
  <c r="F627" i="17"/>
  <c r="G627" i="17"/>
  <c r="E628" i="17"/>
  <c r="F628" i="17"/>
  <c r="G628" i="17"/>
  <c r="E629" i="17"/>
  <c r="F629" i="17"/>
  <c r="G629" i="17"/>
  <c r="E630" i="17"/>
  <c r="F630" i="17"/>
  <c r="G630" i="17"/>
  <c r="E631" i="17"/>
  <c r="F631" i="17"/>
  <c r="G631" i="17"/>
  <c r="E632" i="17"/>
  <c r="F632" i="17"/>
  <c r="G632" i="17"/>
  <c r="E633" i="17"/>
  <c r="F633" i="17"/>
  <c r="G633" i="17"/>
  <c r="E634" i="17"/>
  <c r="F634" i="17"/>
  <c r="G634" i="17"/>
  <c r="E635" i="17"/>
  <c r="F635" i="17"/>
  <c r="G635" i="17"/>
  <c r="E636" i="17"/>
  <c r="F636" i="17"/>
  <c r="G636" i="17"/>
  <c r="E637" i="17"/>
  <c r="F637" i="17"/>
  <c r="G637" i="17"/>
  <c r="E638" i="17"/>
  <c r="F638" i="17"/>
  <c r="G638" i="17"/>
  <c r="E639" i="17"/>
  <c r="F639" i="17"/>
  <c r="G639" i="17"/>
  <c r="C640" i="17"/>
  <c r="E640" i="17"/>
  <c r="F640" i="17"/>
  <c r="G640" i="17"/>
  <c r="E641" i="17"/>
  <c r="F641" i="17"/>
  <c r="G641" i="17"/>
  <c r="E642" i="17"/>
  <c r="F642" i="17"/>
  <c r="G642" i="17"/>
  <c r="E643" i="17"/>
  <c r="F643" i="17"/>
  <c r="G643" i="17"/>
  <c r="E644" i="17"/>
  <c r="F644" i="17"/>
  <c r="G644" i="17"/>
  <c r="E645" i="17"/>
  <c r="F645" i="17"/>
  <c r="G645" i="17"/>
  <c r="E646" i="17"/>
  <c r="F646" i="17"/>
  <c r="G646" i="17"/>
  <c r="E647" i="17"/>
  <c r="F647" i="17"/>
  <c r="G647" i="17"/>
  <c r="E648" i="17"/>
  <c r="F648" i="17"/>
  <c r="G648" i="17"/>
  <c r="E649" i="17"/>
  <c r="F649" i="17"/>
  <c r="G649" i="17"/>
  <c r="E650" i="17"/>
  <c r="F650" i="17"/>
  <c r="G650" i="17"/>
  <c r="E651" i="17"/>
  <c r="F651" i="17"/>
  <c r="G651" i="17"/>
  <c r="E652" i="17"/>
  <c r="F652" i="17"/>
  <c r="G652" i="17"/>
  <c r="E653" i="17"/>
  <c r="F653" i="17"/>
  <c r="G653" i="17"/>
  <c r="E654" i="17"/>
  <c r="F654" i="17"/>
  <c r="G654" i="17"/>
  <c r="E655" i="17"/>
  <c r="F655" i="17"/>
  <c r="G655" i="17"/>
  <c r="E656" i="17"/>
  <c r="F656" i="17"/>
  <c r="G656" i="17"/>
  <c r="E657" i="17"/>
  <c r="F657" i="17"/>
  <c r="G657" i="17"/>
  <c r="E658" i="17"/>
  <c r="F658" i="17"/>
  <c r="G658" i="17"/>
  <c r="E659" i="17"/>
  <c r="F659" i="17"/>
  <c r="G659" i="17"/>
  <c r="E660" i="17"/>
  <c r="F660" i="17"/>
  <c r="G660" i="17"/>
  <c r="E661" i="17"/>
  <c r="F661" i="17"/>
  <c r="G661" i="17"/>
  <c r="E662" i="17"/>
  <c r="F662" i="17"/>
  <c r="G662" i="17"/>
  <c r="E663" i="17"/>
  <c r="F663" i="17"/>
  <c r="G663" i="17"/>
  <c r="E664" i="17"/>
  <c r="F664" i="17"/>
  <c r="G664" i="17"/>
  <c r="E665" i="17"/>
  <c r="F665" i="17"/>
  <c r="G665" i="17"/>
  <c r="E666" i="17"/>
  <c r="F666" i="17"/>
  <c r="G666" i="17"/>
  <c r="E667" i="17"/>
  <c r="F667" i="17"/>
  <c r="G667" i="17"/>
  <c r="E668" i="17"/>
  <c r="F668" i="17"/>
  <c r="G668" i="17"/>
  <c r="E669" i="17"/>
  <c r="F669" i="17"/>
  <c r="G669" i="17"/>
  <c r="E670" i="17"/>
  <c r="F670" i="17"/>
  <c r="G670" i="17"/>
  <c r="E671" i="17"/>
  <c r="F671" i="17"/>
  <c r="G671" i="17"/>
  <c r="E672" i="17"/>
  <c r="F672" i="17"/>
  <c r="G672" i="17"/>
  <c r="E673" i="17"/>
  <c r="F673" i="17"/>
  <c r="G673" i="17"/>
  <c r="E674" i="17"/>
  <c r="F674" i="17"/>
  <c r="G674" i="17"/>
  <c r="E675" i="17"/>
  <c r="F675" i="17"/>
  <c r="G675" i="17"/>
  <c r="E676" i="17"/>
  <c r="F676" i="17"/>
  <c r="G676" i="17"/>
  <c r="E677" i="17"/>
  <c r="F677" i="17"/>
  <c r="G677" i="17"/>
  <c r="E678" i="17"/>
  <c r="F678" i="17"/>
  <c r="G678" i="17"/>
  <c r="E679" i="17"/>
  <c r="F679" i="17"/>
  <c r="G679" i="17"/>
  <c r="E680" i="17"/>
  <c r="F680" i="17"/>
  <c r="G680" i="17"/>
  <c r="E681" i="17"/>
  <c r="F681" i="17"/>
  <c r="G681" i="17"/>
  <c r="E682" i="17"/>
  <c r="F682" i="17"/>
  <c r="G682" i="17"/>
  <c r="E683" i="17"/>
  <c r="F683" i="17"/>
  <c r="G683" i="17"/>
  <c r="E684" i="17"/>
  <c r="F684" i="17"/>
  <c r="G684" i="17"/>
  <c r="E685" i="17"/>
  <c r="F685" i="17"/>
  <c r="G685" i="17"/>
  <c r="E686" i="17"/>
  <c r="F686" i="17"/>
  <c r="G686" i="17"/>
  <c r="E687" i="17"/>
  <c r="F687" i="17"/>
  <c r="G687" i="17"/>
  <c r="E688" i="17"/>
  <c r="F688" i="17"/>
  <c r="G688" i="17"/>
  <c r="E689" i="17"/>
  <c r="F689" i="17"/>
  <c r="G689" i="17"/>
  <c r="E690" i="17"/>
  <c r="F690" i="17"/>
  <c r="G690" i="17"/>
  <c r="E691" i="17"/>
  <c r="F691" i="17"/>
  <c r="G691" i="17"/>
  <c r="E692" i="17"/>
  <c r="F692" i="17"/>
  <c r="G692" i="17"/>
  <c r="E693" i="17"/>
  <c r="F693" i="17"/>
  <c r="G693" i="17"/>
  <c r="E694" i="17"/>
  <c r="F694" i="17"/>
  <c r="G694" i="17"/>
  <c r="E695" i="17"/>
  <c r="F695" i="17"/>
  <c r="G695" i="17"/>
  <c r="E696" i="17"/>
  <c r="F696" i="17"/>
  <c r="G696" i="17"/>
  <c r="E697" i="17"/>
  <c r="F697" i="17"/>
  <c r="G697" i="17"/>
  <c r="E698" i="17"/>
  <c r="F698" i="17"/>
  <c r="G698" i="17"/>
  <c r="E699" i="17"/>
  <c r="F699" i="17"/>
  <c r="G699" i="17"/>
  <c r="E700" i="17"/>
  <c r="F700" i="17"/>
  <c r="G700" i="17"/>
  <c r="E701" i="17"/>
  <c r="F701" i="17"/>
  <c r="G701" i="17"/>
  <c r="E702" i="17"/>
  <c r="F702" i="17"/>
  <c r="G702" i="17"/>
  <c r="E703" i="17"/>
  <c r="F703" i="17"/>
  <c r="G703" i="17"/>
  <c r="E704" i="17"/>
  <c r="F704" i="17"/>
  <c r="G704" i="17"/>
  <c r="E705" i="17"/>
  <c r="F705" i="17"/>
  <c r="G705" i="17"/>
  <c r="E706" i="17"/>
  <c r="F706" i="17"/>
  <c r="G706" i="17"/>
  <c r="E707" i="17"/>
  <c r="F707" i="17"/>
  <c r="G707" i="17"/>
  <c r="E708" i="17"/>
  <c r="F708" i="17"/>
  <c r="G708" i="17"/>
  <c r="E709" i="17"/>
  <c r="F709" i="17"/>
  <c r="G709" i="17"/>
  <c r="E710" i="17"/>
  <c r="F710" i="17"/>
  <c r="G710" i="17"/>
  <c r="E711" i="17"/>
  <c r="F711" i="17"/>
  <c r="G711" i="17"/>
  <c r="E712" i="17"/>
  <c r="F712" i="17"/>
  <c r="G712" i="17"/>
  <c r="E713" i="17"/>
  <c r="F713" i="17"/>
  <c r="G713" i="17"/>
  <c r="E714" i="17"/>
  <c r="F714" i="17"/>
  <c r="G714" i="17"/>
  <c r="E715" i="17"/>
  <c r="F715" i="17"/>
  <c r="G715" i="17"/>
  <c r="E716" i="17"/>
  <c r="F716" i="17"/>
  <c r="G716" i="17"/>
  <c r="E717" i="17"/>
  <c r="F717" i="17"/>
  <c r="G717" i="17"/>
  <c r="E718" i="17"/>
  <c r="F718" i="17"/>
  <c r="G718" i="17"/>
  <c r="E719" i="17"/>
  <c r="F719" i="17"/>
  <c r="G719" i="17"/>
  <c r="E720" i="17"/>
  <c r="F720" i="17"/>
  <c r="G720" i="17"/>
  <c r="E721" i="17"/>
  <c r="F721" i="17"/>
  <c r="G721" i="17"/>
  <c r="E722" i="17"/>
  <c r="F722" i="17"/>
  <c r="G722" i="17"/>
  <c r="E723" i="17"/>
  <c r="F723" i="17"/>
  <c r="G723" i="17"/>
  <c r="E724" i="17"/>
  <c r="F724" i="17"/>
  <c r="G724" i="17"/>
  <c r="E725" i="17"/>
  <c r="F725" i="17"/>
  <c r="G725" i="17"/>
  <c r="E726" i="17"/>
  <c r="F726" i="17"/>
  <c r="G726" i="17"/>
  <c r="E727" i="17"/>
  <c r="F727" i="17"/>
  <c r="G727" i="17"/>
  <c r="E728" i="17"/>
  <c r="F728" i="17"/>
  <c r="G728" i="17"/>
  <c r="E729" i="17"/>
  <c r="F729" i="17"/>
  <c r="G729" i="17"/>
  <c r="E730" i="17"/>
  <c r="F730" i="17"/>
  <c r="G730" i="17"/>
  <c r="E731" i="17"/>
  <c r="F731" i="17"/>
  <c r="G731" i="17"/>
  <c r="E732" i="17"/>
  <c r="F732" i="17"/>
  <c r="G732" i="17"/>
  <c r="E733" i="17"/>
  <c r="F733" i="17"/>
  <c r="G733" i="17"/>
  <c r="E734" i="17"/>
  <c r="F734" i="17"/>
  <c r="G734" i="17"/>
  <c r="E735" i="17"/>
  <c r="F735" i="17"/>
  <c r="G735" i="17"/>
  <c r="E736" i="17"/>
  <c r="F736" i="17"/>
  <c r="G736" i="17"/>
  <c r="E737" i="17"/>
  <c r="F737" i="17"/>
  <c r="G737" i="17"/>
  <c r="E738" i="17"/>
  <c r="F738" i="17"/>
  <c r="G738" i="17"/>
  <c r="E739" i="17"/>
  <c r="F739" i="17"/>
  <c r="G739" i="17"/>
  <c r="E740" i="17"/>
  <c r="F740" i="17"/>
  <c r="G740" i="17"/>
  <c r="E741" i="17"/>
  <c r="F741" i="17"/>
  <c r="G741" i="17"/>
  <c r="E742" i="17"/>
  <c r="F742" i="17"/>
  <c r="G742" i="17"/>
  <c r="E743" i="17"/>
  <c r="F743" i="17"/>
  <c r="G743" i="17"/>
  <c r="E744" i="17"/>
  <c r="F744" i="17"/>
  <c r="G744" i="17"/>
  <c r="E745" i="17"/>
  <c r="F745" i="17"/>
  <c r="G745" i="17"/>
  <c r="E746" i="17"/>
  <c r="F746" i="17"/>
  <c r="G746" i="17"/>
  <c r="E747" i="17"/>
  <c r="F747" i="17"/>
  <c r="G747" i="17"/>
  <c r="E748" i="17"/>
  <c r="F748" i="17"/>
  <c r="G748" i="17"/>
  <c r="E749" i="17"/>
  <c r="F749" i="17"/>
  <c r="G749" i="17"/>
  <c r="E750" i="17"/>
  <c r="F750" i="17"/>
  <c r="G750" i="17"/>
  <c r="E751" i="17"/>
  <c r="F751" i="17"/>
  <c r="G751" i="17"/>
  <c r="E752" i="17"/>
  <c r="F752" i="17"/>
  <c r="G752" i="17"/>
  <c r="E753" i="17"/>
  <c r="F753" i="17"/>
  <c r="G753" i="17"/>
  <c r="E754" i="17"/>
  <c r="F754" i="17"/>
  <c r="G754" i="17"/>
  <c r="E755" i="17"/>
  <c r="F755" i="17"/>
  <c r="G755" i="17"/>
  <c r="E756" i="17"/>
  <c r="F756" i="17"/>
  <c r="G756" i="17"/>
  <c r="E757" i="17"/>
  <c r="F757" i="17"/>
  <c r="G757" i="17"/>
  <c r="E758" i="17"/>
  <c r="F758" i="17"/>
  <c r="G758" i="17"/>
  <c r="E759" i="17"/>
  <c r="F759" i="17"/>
  <c r="G759" i="17"/>
  <c r="E760" i="17"/>
  <c r="F760" i="17"/>
  <c r="G760" i="17"/>
  <c r="E761" i="17"/>
  <c r="F761" i="17"/>
  <c r="G761" i="17"/>
  <c r="E762" i="17"/>
  <c r="F762" i="17"/>
  <c r="G762" i="17"/>
  <c r="E763" i="17"/>
  <c r="F763" i="17"/>
  <c r="G763" i="17"/>
  <c r="E764" i="17"/>
  <c r="F764" i="17"/>
  <c r="G764" i="17"/>
  <c r="E765" i="17"/>
  <c r="F765" i="17"/>
  <c r="G765" i="17"/>
  <c r="E766" i="17"/>
  <c r="F766" i="17"/>
  <c r="G766" i="17"/>
  <c r="E767" i="17"/>
  <c r="F767" i="17"/>
  <c r="G767" i="17"/>
  <c r="E768" i="17"/>
  <c r="F768" i="17"/>
  <c r="G768" i="17"/>
  <c r="E769" i="17"/>
  <c r="F769" i="17"/>
  <c r="G769" i="17"/>
  <c r="E770" i="17"/>
  <c r="F770" i="17"/>
  <c r="G770" i="17"/>
  <c r="E771" i="17"/>
  <c r="F771" i="17"/>
  <c r="G771" i="17"/>
  <c r="E772" i="17"/>
  <c r="F772" i="17"/>
  <c r="G772" i="17"/>
  <c r="E773" i="17"/>
  <c r="F773" i="17"/>
  <c r="G773" i="17"/>
  <c r="E774" i="17"/>
  <c r="F774" i="17"/>
  <c r="G774" i="17"/>
  <c r="E775" i="17"/>
  <c r="F775" i="17"/>
  <c r="G775" i="17"/>
  <c r="E776" i="17"/>
  <c r="F776" i="17"/>
  <c r="G776" i="17"/>
  <c r="E777" i="17"/>
  <c r="F777" i="17"/>
  <c r="G777" i="17"/>
  <c r="E778" i="17"/>
  <c r="F778" i="17"/>
  <c r="G778" i="17"/>
  <c r="E779" i="17"/>
  <c r="F779" i="17"/>
  <c r="G779" i="17"/>
  <c r="E780" i="17"/>
  <c r="F780" i="17"/>
  <c r="G780" i="17"/>
  <c r="E781" i="17"/>
  <c r="F781" i="17"/>
  <c r="G781" i="17"/>
  <c r="E782" i="17"/>
  <c r="F782" i="17"/>
  <c r="G782" i="17"/>
  <c r="E783" i="17"/>
  <c r="F783" i="17"/>
  <c r="G783" i="17"/>
  <c r="E784" i="17"/>
  <c r="F784" i="17"/>
  <c r="G784" i="17"/>
  <c r="E785" i="17"/>
  <c r="F785" i="17"/>
  <c r="G785" i="17"/>
  <c r="E786" i="17"/>
  <c r="F786" i="17"/>
  <c r="G786" i="17"/>
  <c r="E787" i="17"/>
  <c r="F787" i="17"/>
  <c r="G787" i="17"/>
  <c r="E788" i="17"/>
  <c r="F788" i="17"/>
  <c r="G788" i="17"/>
  <c r="E789" i="17"/>
  <c r="F789" i="17"/>
  <c r="G789" i="17"/>
  <c r="E790" i="17"/>
  <c r="F790" i="17"/>
  <c r="G790" i="17"/>
  <c r="E791" i="17"/>
  <c r="F791" i="17"/>
  <c r="G791" i="17"/>
  <c r="E792" i="17"/>
  <c r="F792" i="17"/>
  <c r="G792" i="17"/>
  <c r="E793" i="17"/>
  <c r="F793" i="17"/>
  <c r="G793" i="17"/>
  <c r="E794" i="17"/>
  <c r="F794" i="17"/>
  <c r="G794" i="17"/>
  <c r="E795" i="17"/>
  <c r="F795" i="17"/>
  <c r="G795" i="17"/>
  <c r="E796" i="17"/>
  <c r="F796" i="17"/>
  <c r="G796" i="17"/>
  <c r="E797" i="17"/>
  <c r="F797" i="17"/>
  <c r="G797" i="17"/>
  <c r="E798" i="17"/>
  <c r="F798" i="17"/>
  <c r="G798" i="17"/>
  <c r="E799" i="17"/>
  <c r="F799" i="17"/>
  <c r="G799" i="17"/>
  <c r="E800" i="17"/>
  <c r="F800" i="17"/>
  <c r="G800" i="17"/>
  <c r="E801" i="17"/>
  <c r="F801" i="17"/>
  <c r="G801" i="17"/>
  <c r="E802" i="17"/>
  <c r="F802" i="17"/>
  <c r="G802" i="17"/>
  <c r="E803" i="17"/>
  <c r="F803" i="17"/>
  <c r="G803" i="17"/>
  <c r="E804" i="17"/>
  <c r="F804" i="17"/>
  <c r="G804" i="17"/>
  <c r="E805" i="17"/>
  <c r="F805" i="17"/>
  <c r="G805" i="17"/>
  <c r="E806" i="17"/>
  <c r="F806" i="17"/>
  <c r="G806" i="17"/>
  <c r="E807" i="17"/>
  <c r="F807" i="17"/>
  <c r="G807" i="17"/>
  <c r="E808" i="17"/>
  <c r="F808" i="17"/>
  <c r="G808" i="17"/>
  <c r="E809" i="17"/>
  <c r="F809" i="17"/>
  <c r="G809" i="17"/>
  <c r="E810" i="17"/>
  <c r="F810" i="17"/>
  <c r="G810" i="17"/>
  <c r="E811" i="17"/>
  <c r="F811" i="17"/>
  <c r="G811" i="17"/>
  <c r="E812" i="17"/>
  <c r="F812" i="17"/>
  <c r="G812" i="17"/>
  <c r="E813" i="17"/>
  <c r="F813" i="17"/>
  <c r="G813" i="17"/>
  <c r="E814" i="17"/>
  <c r="F814" i="17"/>
  <c r="G814" i="17"/>
  <c r="E815" i="17"/>
  <c r="F815" i="17"/>
  <c r="G815" i="17"/>
  <c r="E816" i="17"/>
  <c r="F816" i="17"/>
  <c r="G816" i="17"/>
  <c r="E817" i="17"/>
  <c r="F817" i="17"/>
  <c r="G817" i="17"/>
  <c r="E818" i="17"/>
  <c r="F818" i="17"/>
  <c r="G818" i="17"/>
  <c r="E819" i="17"/>
  <c r="F819" i="17"/>
  <c r="G819" i="17"/>
  <c r="E820" i="17"/>
  <c r="F820" i="17"/>
  <c r="G820" i="17"/>
  <c r="E821" i="17"/>
  <c r="F821" i="17"/>
  <c r="G821" i="17"/>
  <c r="E822" i="17"/>
  <c r="F822" i="17"/>
  <c r="G822" i="17"/>
  <c r="E823" i="17"/>
  <c r="F823" i="17"/>
  <c r="G823" i="17"/>
  <c r="E824" i="17"/>
  <c r="F824" i="17"/>
  <c r="G824" i="17"/>
  <c r="E825" i="17"/>
  <c r="F825" i="17"/>
  <c r="G825" i="17"/>
  <c r="E826" i="17"/>
  <c r="F826" i="17"/>
  <c r="G826" i="17"/>
  <c r="E827" i="17"/>
  <c r="F827" i="17"/>
  <c r="G827" i="17"/>
  <c r="E828" i="17"/>
  <c r="F828" i="17"/>
  <c r="G828" i="17"/>
  <c r="E829" i="17"/>
  <c r="F829" i="17"/>
  <c r="G829" i="17"/>
  <c r="E830" i="17"/>
  <c r="F830" i="17"/>
  <c r="G830" i="17"/>
  <c r="E831" i="17"/>
  <c r="F831" i="17"/>
  <c r="G831" i="17"/>
  <c r="E832" i="17"/>
  <c r="F832" i="17"/>
  <c r="G832" i="17"/>
  <c r="E833" i="17"/>
  <c r="F833" i="17"/>
  <c r="G833" i="17"/>
  <c r="E834" i="17"/>
  <c r="F834" i="17"/>
  <c r="G834" i="17"/>
  <c r="E835" i="17"/>
  <c r="F835" i="17"/>
  <c r="G835" i="17"/>
  <c r="E836" i="17"/>
  <c r="F836" i="17"/>
  <c r="G836" i="17"/>
  <c r="E837" i="17"/>
  <c r="F837" i="17"/>
  <c r="G837" i="17"/>
  <c r="E838" i="17"/>
  <c r="F838" i="17"/>
  <c r="G838" i="17"/>
  <c r="E839" i="17"/>
  <c r="F839" i="17"/>
  <c r="G839" i="17"/>
  <c r="E840" i="17"/>
  <c r="F840" i="17"/>
  <c r="G840" i="17"/>
  <c r="E841" i="17"/>
  <c r="F841" i="17"/>
  <c r="G841" i="17"/>
  <c r="E842" i="17"/>
  <c r="F842" i="17"/>
  <c r="G842" i="17"/>
  <c r="E843" i="17"/>
  <c r="F843" i="17"/>
  <c r="G843" i="17"/>
  <c r="E844" i="17"/>
  <c r="F844" i="17"/>
  <c r="G844" i="17"/>
  <c r="E845" i="17"/>
  <c r="F845" i="17"/>
  <c r="G845" i="17"/>
  <c r="E846" i="17"/>
  <c r="F846" i="17"/>
  <c r="G846" i="17"/>
  <c r="E847" i="17"/>
  <c r="F847" i="17"/>
  <c r="G847" i="17"/>
  <c r="E848" i="17"/>
  <c r="F848" i="17"/>
  <c r="G848" i="17"/>
  <c r="E849" i="17"/>
  <c r="F849" i="17"/>
  <c r="G849" i="17"/>
  <c r="E850" i="17"/>
  <c r="F850" i="17"/>
  <c r="G850" i="17"/>
  <c r="E851" i="17"/>
  <c r="F851" i="17"/>
  <c r="G851" i="17"/>
  <c r="E852" i="17"/>
  <c r="F852" i="17"/>
  <c r="G852" i="17"/>
  <c r="E853" i="17"/>
  <c r="F853" i="17"/>
  <c r="G853" i="17"/>
  <c r="E854" i="17"/>
  <c r="F854" i="17"/>
  <c r="G854" i="17"/>
  <c r="E855" i="17"/>
  <c r="F855" i="17"/>
  <c r="G855" i="17"/>
  <c r="E856" i="17"/>
  <c r="F856" i="17"/>
  <c r="G856" i="17"/>
  <c r="E857" i="17"/>
  <c r="F857" i="17"/>
  <c r="G857" i="17"/>
  <c r="E858" i="17"/>
  <c r="F858" i="17"/>
  <c r="G858" i="17"/>
  <c r="E859" i="17"/>
  <c r="F859" i="17"/>
  <c r="G859" i="17"/>
  <c r="E860" i="17"/>
  <c r="F860" i="17"/>
  <c r="G860" i="17"/>
  <c r="E861" i="17"/>
  <c r="F861" i="17"/>
  <c r="G861" i="17"/>
  <c r="E862" i="17"/>
  <c r="F862" i="17"/>
  <c r="G862" i="17"/>
  <c r="E863" i="17"/>
  <c r="F863" i="17"/>
  <c r="G863" i="17"/>
  <c r="E864" i="17"/>
  <c r="F864" i="17"/>
  <c r="G864" i="17"/>
  <c r="E865" i="17"/>
  <c r="F865" i="17"/>
  <c r="G865" i="17"/>
  <c r="E866" i="17"/>
  <c r="F866" i="17"/>
  <c r="G866" i="17"/>
  <c r="E867" i="17"/>
  <c r="F867" i="17"/>
  <c r="G867" i="17"/>
  <c r="E868" i="17"/>
  <c r="F868" i="17"/>
  <c r="G868" i="17"/>
  <c r="E869" i="17"/>
  <c r="F869" i="17"/>
  <c r="G869" i="17"/>
  <c r="E870" i="17"/>
  <c r="F870" i="17"/>
  <c r="G870" i="17"/>
  <c r="E871" i="17"/>
  <c r="F871" i="17"/>
  <c r="G871" i="17"/>
  <c r="E872" i="17"/>
  <c r="F872" i="17"/>
  <c r="G872" i="17"/>
  <c r="E873" i="17"/>
  <c r="F873" i="17"/>
  <c r="G873" i="17"/>
  <c r="E874" i="17"/>
  <c r="F874" i="17"/>
  <c r="G874" i="17"/>
  <c r="E875" i="17"/>
  <c r="F875" i="17"/>
  <c r="G875" i="17"/>
  <c r="E876" i="17"/>
  <c r="F876" i="17"/>
  <c r="G876" i="17"/>
  <c r="E877" i="17"/>
  <c r="F877" i="17"/>
  <c r="G877" i="17"/>
  <c r="E878" i="17"/>
  <c r="F878" i="17"/>
  <c r="G878" i="17"/>
  <c r="E879" i="17"/>
  <c r="F879" i="17"/>
  <c r="G879" i="17"/>
  <c r="E880" i="17"/>
  <c r="F880" i="17"/>
  <c r="G880" i="17"/>
  <c r="E881" i="17"/>
  <c r="F881" i="17"/>
  <c r="G881" i="17"/>
  <c r="E882" i="17"/>
  <c r="F882" i="17"/>
  <c r="G882" i="17"/>
  <c r="E883" i="17"/>
  <c r="F883" i="17"/>
  <c r="G883" i="17"/>
  <c r="E884" i="17"/>
  <c r="F884" i="17"/>
  <c r="G884" i="17"/>
  <c r="E885" i="17"/>
  <c r="F885" i="17"/>
  <c r="G885" i="17"/>
  <c r="E886" i="17"/>
  <c r="F886" i="17"/>
  <c r="G886" i="17"/>
  <c r="E887" i="17"/>
  <c r="F887" i="17"/>
  <c r="G887" i="17"/>
  <c r="E888" i="17"/>
  <c r="F888" i="17"/>
  <c r="G888" i="17"/>
  <c r="E889" i="17"/>
  <c r="F889" i="17"/>
  <c r="G889" i="17"/>
  <c r="E890" i="17"/>
  <c r="F890" i="17"/>
  <c r="G890" i="17"/>
  <c r="E891" i="17"/>
  <c r="F891" i="17"/>
  <c r="G891" i="17"/>
  <c r="E892" i="17"/>
  <c r="F892" i="17"/>
  <c r="G892" i="17"/>
  <c r="E893" i="17"/>
  <c r="F893" i="17"/>
  <c r="G893" i="17"/>
  <c r="E894" i="17"/>
  <c r="F894" i="17"/>
  <c r="G894" i="17"/>
  <c r="E895" i="17"/>
  <c r="F895" i="17"/>
  <c r="G895" i="17"/>
  <c r="E896" i="17"/>
  <c r="F896" i="17"/>
  <c r="G896" i="17"/>
  <c r="E897" i="17"/>
  <c r="F897" i="17"/>
  <c r="G897" i="17"/>
  <c r="E898" i="17"/>
  <c r="F898" i="17"/>
  <c r="G898" i="17"/>
  <c r="E899" i="17"/>
  <c r="F899" i="17"/>
  <c r="G899" i="17"/>
  <c r="E900" i="17"/>
  <c r="F900" i="17"/>
  <c r="G900" i="17"/>
  <c r="E901" i="17"/>
  <c r="F901" i="17"/>
  <c r="G901" i="17"/>
  <c r="E902" i="17"/>
  <c r="F902" i="17"/>
  <c r="G902" i="17"/>
  <c r="E903" i="17"/>
  <c r="F903" i="17"/>
  <c r="G903" i="17"/>
  <c r="E904" i="17"/>
  <c r="F904" i="17"/>
  <c r="G904" i="17"/>
  <c r="E905" i="17"/>
  <c r="F905" i="17"/>
  <c r="G905" i="17"/>
  <c r="E906" i="17"/>
  <c r="F906" i="17"/>
  <c r="G906" i="17"/>
  <c r="E907" i="17"/>
  <c r="F907" i="17"/>
  <c r="G907" i="17"/>
  <c r="E908" i="17"/>
  <c r="F908" i="17"/>
  <c r="G908" i="17"/>
  <c r="E909" i="17"/>
  <c r="F909" i="17"/>
  <c r="G909" i="17"/>
  <c r="E910" i="17"/>
  <c r="F910" i="17"/>
  <c r="G910" i="17"/>
  <c r="E911" i="17"/>
  <c r="F911" i="17"/>
  <c r="G911" i="17"/>
  <c r="E912" i="17"/>
  <c r="F912" i="17"/>
  <c r="G912" i="17"/>
  <c r="E913" i="17"/>
  <c r="F913" i="17"/>
  <c r="G913" i="17"/>
  <c r="E914" i="17"/>
  <c r="F914" i="17"/>
  <c r="G914" i="17"/>
  <c r="E915" i="17"/>
  <c r="F915" i="17"/>
  <c r="G915" i="17"/>
  <c r="E916" i="17"/>
  <c r="F916" i="17"/>
  <c r="G916" i="17"/>
  <c r="E917" i="17"/>
  <c r="F917" i="17"/>
  <c r="G917" i="17"/>
  <c r="E918" i="17"/>
  <c r="F918" i="17"/>
  <c r="G918" i="17"/>
  <c r="E919" i="17"/>
  <c r="F919" i="17"/>
  <c r="G919" i="17"/>
  <c r="E920" i="17"/>
  <c r="F920" i="17"/>
  <c r="G920" i="17"/>
  <c r="E921" i="17"/>
  <c r="F921" i="17"/>
  <c r="G921" i="17"/>
  <c r="E922" i="17"/>
  <c r="F922" i="17"/>
  <c r="G922" i="17"/>
  <c r="E923" i="17"/>
  <c r="F923" i="17"/>
  <c r="G923" i="17"/>
  <c r="E924" i="17"/>
  <c r="F924" i="17"/>
  <c r="G924" i="17"/>
  <c r="E925" i="17"/>
  <c r="F925" i="17"/>
  <c r="G925" i="17"/>
  <c r="E926" i="17"/>
  <c r="F926" i="17"/>
  <c r="G926" i="17"/>
  <c r="E927" i="17"/>
  <c r="F927" i="17"/>
  <c r="G927" i="17"/>
  <c r="E928" i="17"/>
  <c r="F928" i="17"/>
  <c r="G928" i="17"/>
  <c r="E929" i="17"/>
  <c r="F929" i="17"/>
  <c r="G929" i="17"/>
  <c r="E930" i="17"/>
  <c r="F930" i="17"/>
  <c r="G930" i="17"/>
  <c r="E931" i="17"/>
  <c r="F931" i="17"/>
  <c r="G931" i="17"/>
  <c r="E932" i="17"/>
  <c r="F932" i="17"/>
  <c r="G932" i="17"/>
  <c r="E933" i="17"/>
  <c r="F933" i="17"/>
  <c r="G933" i="17"/>
  <c r="E934" i="17"/>
  <c r="F934" i="17"/>
  <c r="G934" i="17"/>
  <c r="E935" i="17"/>
  <c r="F935" i="17"/>
  <c r="G935" i="17"/>
  <c r="E936" i="17"/>
  <c r="F936" i="17"/>
  <c r="G936" i="17"/>
  <c r="E937" i="17"/>
  <c r="F937" i="17"/>
  <c r="G937" i="17"/>
  <c r="E938" i="17"/>
  <c r="F938" i="17"/>
  <c r="G938" i="17"/>
  <c r="E939" i="17"/>
  <c r="F939" i="17"/>
  <c r="G939" i="17"/>
  <c r="E940" i="17"/>
  <c r="F940" i="17"/>
  <c r="G940" i="17"/>
  <c r="E941" i="17"/>
  <c r="F941" i="17"/>
  <c r="G941" i="17"/>
  <c r="E942" i="17"/>
  <c r="F942" i="17"/>
  <c r="G942" i="17"/>
  <c r="E943" i="17"/>
  <c r="F943" i="17"/>
  <c r="G943" i="17"/>
  <c r="E944" i="17"/>
  <c r="F944" i="17"/>
  <c r="G944" i="17"/>
  <c r="E945" i="17"/>
  <c r="F945" i="17"/>
  <c r="G945" i="17"/>
  <c r="E946" i="17"/>
  <c r="F946" i="17"/>
  <c r="G946" i="17"/>
  <c r="E947" i="17"/>
  <c r="F947" i="17"/>
  <c r="G947" i="17"/>
  <c r="E948" i="17"/>
  <c r="F948" i="17"/>
  <c r="G948" i="17"/>
  <c r="E949" i="17"/>
  <c r="F949" i="17"/>
  <c r="G949" i="17"/>
  <c r="E950" i="17"/>
  <c r="F950" i="17"/>
  <c r="G950" i="17"/>
  <c r="E951" i="17"/>
  <c r="F951" i="17"/>
  <c r="G951" i="17"/>
  <c r="E952" i="17"/>
  <c r="F952" i="17"/>
  <c r="G952" i="17"/>
  <c r="E953" i="17"/>
  <c r="F953" i="17"/>
  <c r="G953" i="17"/>
  <c r="E954" i="17"/>
  <c r="F954" i="17"/>
  <c r="G954" i="17"/>
  <c r="E955" i="17"/>
  <c r="F955" i="17"/>
  <c r="G955" i="17"/>
  <c r="E956" i="17"/>
  <c r="F956" i="17"/>
  <c r="G956" i="17"/>
  <c r="E957" i="17"/>
  <c r="F957" i="17"/>
  <c r="G957" i="17"/>
  <c r="E958" i="17"/>
  <c r="F958" i="17"/>
  <c r="G958" i="17"/>
  <c r="E959" i="17"/>
  <c r="F959" i="17"/>
  <c r="G959" i="17"/>
  <c r="E960" i="17"/>
  <c r="F960" i="17"/>
  <c r="G960" i="17"/>
  <c r="E961" i="17"/>
  <c r="F961" i="17"/>
  <c r="G961" i="17"/>
  <c r="E962" i="17"/>
  <c r="F962" i="17"/>
  <c r="G962" i="17"/>
  <c r="E963" i="17"/>
  <c r="F963" i="17"/>
  <c r="G963" i="17"/>
  <c r="E964" i="17"/>
  <c r="F964" i="17"/>
  <c r="G964" i="17"/>
  <c r="E965" i="17"/>
  <c r="F965" i="17"/>
  <c r="G965" i="17"/>
  <c r="E966" i="17"/>
  <c r="F966" i="17"/>
  <c r="G966" i="17"/>
  <c r="E967" i="17"/>
  <c r="F967" i="17"/>
  <c r="G967" i="17"/>
  <c r="E968" i="17"/>
  <c r="F968" i="17"/>
  <c r="G968" i="17"/>
  <c r="E969" i="17"/>
  <c r="F969" i="17"/>
  <c r="G969" i="17"/>
  <c r="E970" i="17"/>
  <c r="F970" i="17"/>
  <c r="G970" i="17"/>
  <c r="E971" i="17"/>
  <c r="F971" i="17"/>
  <c r="G971" i="17"/>
  <c r="E972" i="17"/>
  <c r="F972" i="17"/>
  <c r="G972" i="17"/>
  <c r="E973" i="17"/>
  <c r="F973" i="17"/>
  <c r="G973" i="17"/>
  <c r="E974" i="17"/>
  <c r="F974" i="17"/>
  <c r="G974" i="17"/>
  <c r="E975" i="17"/>
  <c r="F975" i="17"/>
  <c r="G975" i="17"/>
  <c r="E976" i="17"/>
  <c r="F976" i="17"/>
  <c r="G976" i="17"/>
  <c r="E977" i="17"/>
  <c r="F977" i="17"/>
  <c r="G977" i="17"/>
  <c r="E978" i="17"/>
  <c r="F978" i="17"/>
  <c r="G978" i="17"/>
  <c r="E979" i="17"/>
  <c r="F979" i="17"/>
  <c r="G979" i="17"/>
  <c r="E980" i="17"/>
  <c r="F980" i="17"/>
  <c r="G980" i="17"/>
  <c r="E981" i="17"/>
  <c r="F981" i="17"/>
  <c r="G981" i="17"/>
  <c r="E982" i="17"/>
  <c r="F982" i="17"/>
  <c r="G982" i="17"/>
  <c r="E983" i="17"/>
  <c r="F983" i="17"/>
  <c r="G983" i="17"/>
  <c r="E984" i="17"/>
  <c r="F984" i="17"/>
  <c r="G984" i="17"/>
  <c r="E985" i="17"/>
  <c r="F985" i="17"/>
  <c r="G985" i="17"/>
  <c r="E986" i="17"/>
  <c r="F986" i="17"/>
  <c r="G986" i="17"/>
  <c r="E987" i="17"/>
  <c r="F987" i="17"/>
  <c r="G987" i="17"/>
  <c r="E988" i="17"/>
  <c r="F988" i="17"/>
  <c r="G988" i="17"/>
  <c r="E989" i="17"/>
  <c r="F989" i="17"/>
  <c r="G989" i="17"/>
  <c r="E990" i="17"/>
  <c r="F990" i="17"/>
  <c r="G990" i="17"/>
  <c r="E991" i="17"/>
  <c r="F991" i="17"/>
  <c r="G991" i="17"/>
  <c r="E992" i="17"/>
  <c r="F992" i="17"/>
  <c r="G992" i="17"/>
  <c r="E993" i="17"/>
  <c r="F993" i="17"/>
  <c r="G993" i="17"/>
  <c r="E994" i="17"/>
  <c r="F994" i="17"/>
  <c r="G994" i="17"/>
  <c r="E995" i="17"/>
  <c r="F995" i="17"/>
  <c r="G995" i="17"/>
  <c r="E996" i="17"/>
  <c r="F996" i="17"/>
  <c r="G996" i="17"/>
  <c r="E997" i="17"/>
  <c r="F997" i="17"/>
  <c r="G997" i="17"/>
  <c r="E998" i="17"/>
  <c r="F998" i="17"/>
  <c r="G998" i="17"/>
  <c r="E999" i="17"/>
  <c r="F999" i="17"/>
  <c r="G999" i="17"/>
  <c r="E1000" i="17"/>
  <c r="F1000" i="17"/>
  <c r="G1000" i="17"/>
  <c r="E1001" i="17"/>
  <c r="F1001" i="17"/>
  <c r="G1001" i="17"/>
  <c r="E1002" i="17"/>
  <c r="F1002" i="17"/>
  <c r="G1002" i="17"/>
  <c r="E1003" i="17"/>
  <c r="F1003" i="17"/>
  <c r="G1003" i="17"/>
  <c r="E1004" i="17"/>
  <c r="F1004" i="17"/>
  <c r="G1004" i="17"/>
  <c r="E1005" i="17"/>
  <c r="F1005" i="17"/>
  <c r="G1005" i="17"/>
  <c r="E1006" i="17"/>
  <c r="F1006" i="17"/>
  <c r="G1006" i="17"/>
  <c r="E1007" i="17"/>
  <c r="F1007" i="17"/>
  <c r="G1007" i="17"/>
  <c r="E1008" i="17"/>
  <c r="F1008" i="17"/>
  <c r="G1008" i="17"/>
  <c r="E1009" i="17"/>
  <c r="F1009" i="17"/>
  <c r="G1009" i="17"/>
  <c r="E1010" i="17"/>
  <c r="F1010" i="17"/>
  <c r="G1010" i="17"/>
  <c r="E1011" i="17"/>
  <c r="F1011" i="17"/>
  <c r="G1011" i="17"/>
  <c r="E1012" i="17"/>
  <c r="F1012" i="17"/>
  <c r="G1012" i="17"/>
  <c r="E1013" i="17"/>
  <c r="F1013" i="17"/>
  <c r="G1013" i="17"/>
  <c r="E1014" i="17"/>
  <c r="F1014" i="17"/>
  <c r="G1014" i="17"/>
  <c r="E1015" i="17"/>
  <c r="F1015" i="17"/>
  <c r="G1015" i="17"/>
  <c r="E1016" i="17"/>
  <c r="F1016" i="17"/>
  <c r="G1016" i="17"/>
  <c r="E1017" i="17"/>
  <c r="F1017" i="17"/>
  <c r="G1017" i="17"/>
  <c r="E1018" i="17"/>
  <c r="F1018" i="17"/>
  <c r="G1018" i="17"/>
  <c r="E1019" i="17"/>
  <c r="F1019" i="17"/>
  <c r="G1019" i="17"/>
  <c r="E1020" i="17"/>
  <c r="F1020" i="17"/>
  <c r="G1020" i="17"/>
  <c r="E1021" i="17"/>
  <c r="F1021" i="17"/>
  <c r="G1021" i="17"/>
  <c r="E1022" i="17"/>
  <c r="F1022" i="17"/>
  <c r="G1022" i="17"/>
  <c r="E1023" i="17"/>
  <c r="F1023" i="17"/>
  <c r="G1023" i="17"/>
  <c r="E1024" i="17"/>
  <c r="F1024" i="17"/>
  <c r="G1024" i="17"/>
  <c r="E1025" i="17"/>
  <c r="F1025" i="17"/>
  <c r="G1025" i="17"/>
  <c r="E1026" i="17"/>
  <c r="F1026" i="17"/>
  <c r="G1026" i="17"/>
  <c r="E1027" i="17"/>
  <c r="F1027" i="17"/>
  <c r="G1027" i="17"/>
  <c r="E1028" i="17"/>
  <c r="F1028" i="17"/>
  <c r="G1028" i="17"/>
  <c r="E1029" i="17"/>
  <c r="F1029" i="17"/>
  <c r="G1029" i="17"/>
  <c r="E1030" i="17"/>
  <c r="F1030" i="17"/>
  <c r="G1030" i="17"/>
  <c r="E1031" i="17"/>
  <c r="F1031" i="17"/>
  <c r="G1031" i="17"/>
  <c r="E1032" i="17"/>
  <c r="F1032" i="17"/>
  <c r="G1032" i="17"/>
  <c r="E1033" i="17"/>
  <c r="F1033" i="17"/>
  <c r="G1033" i="17"/>
  <c r="E1034" i="17"/>
  <c r="F1034" i="17"/>
  <c r="G1034" i="17"/>
  <c r="E1035" i="17"/>
  <c r="F1035" i="17"/>
  <c r="G1035" i="17"/>
  <c r="E1036" i="17"/>
  <c r="F1036" i="17"/>
  <c r="G1036" i="17"/>
  <c r="E1037" i="17"/>
  <c r="F1037" i="17"/>
  <c r="G1037" i="17"/>
  <c r="E1038" i="17"/>
  <c r="F1038" i="17"/>
  <c r="G1038" i="17"/>
  <c r="E1039" i="17"/>
  <c r="F1039" i="17"/>
  <c r="G1039" i="17"/>
  <c r="E1040" i="17"/>
  <c r="F1040" i="17"/>
  <c r="G1040" i="17"/>
  <c r="E1041" i="17"/>
  <c r="F1041" i="17"/>
  <c r="G1041" i="17"/>
  <c r="E1042" i="17"/>
  <c r="F1042" i="17"/>
  <c r="G1042" i="17"/>
  <c r="E1043" i="17"/>
  <c r="F1043" i="17"/>
  <c r="G1043" i="17"/>
  <c r="E1044" i="17"/>
  <c r="F1044" i="17"/>
  <c r="G1044" i="17"/>
  <c r="E1045" i="17"/>
  <c r="F1045" i="17"/>
  <c r="G1045" i="17"/>
  <c r="E1046" i="17"/>
  <c r="F1046" i="17"/>
  <c r="G1046" i="17"/>
  <c r="E1047" i="17"/>
  <c r="F1047" i="17"/>
  <c r="G1047" i="17"/>
  <c r="E1048" i="17"/>
  <c r="F1048" i="17"/>
  <c r="G1048" i="17"/>
  <c r="E1049" i="17"/>
  <c r="F1049" i="17"/>
  <c r="G1049" i="17"/>
  <c r="E1050" i="17"/>
  <c r="F1050" i="17"/>
  <c r="G1050" i="17"/>
  <c r="E1051" i="17"/>
  <c r="F1051" i="17"/>
  <c r="G1051" i="17"/>
  <c r="E1052" i="17"/>
  <c r="F1052" i="17"/>
  <c r="G1052" i="17"/>
  <c r="E1053" i="17"/>
  <c r="F1053" i="17"/>
  <c r="G1053" i="17"/>
  <c r="E1054" i="17"/>
  <c r="F1054" i="17"/>
  <c r="G1054" i="17"/>
  <c r="E1055" i="17"/>
  <c r="F1055" i="17"/>
  <c r="G1055" i="17"/>
  <c r="E1056" i="17"/>
  <c r="F1056" i="17"/>
  <c r="G1056" i="17"/>
  <c r="E1057" i="17"/>
  <c r="F1057" i="17"/>
  <c r="G1057" i="17"/>
  <c r="E1058" i="17"/>
  <c r="F1058" i="17"/>
  <c r="G1058" i="17"/>
  <c r="E1059" i="17"/>
  <c r="F1059" i="17"/>
  <c r="G1059" i="17"/>
  <c r="E1060" i="17"/>
  <c r="F1060" i="17"/>
  <c r="G1060" i="17"/>
  <c r="E1061" i="17"/>
  <c r="F1061" i="17"/>
  <c r="G1061" i="17"/>
  <c r="E1062" i="17"/>
  <c r="F1062" i="17"/>
  <c r="G1062" i="17"/>
  <c r="E1063" i="17"/>
  <c r="F1063" i="17"/>
  <c r="G1063" i="17"/>
  <c r="E1064" i="17"/>
  <c r="F1064" i="17"/>
  <c r="G1064" i="17"/>
  <c r="E1065" i="17"/>
  <c r="F1065" i="17"/>
  <c r="G1065" i="17"/>
  <c r="E1066" i="17"/>
  <c r="F1066" i="17"/>
  <c r="G1066" i="17"/>
  <c r="E1067" i="17"/>
  <c r="F1067" i="17"/>
  <c r="G1067" i="17"/>
  <c r="E1068" i="17"/>
  <c r="F1068" i="17"/>
  <c r="G1068" i="17"/>
  <c r="E1069" i="17"/>
  <c r="F1069" i="17"/>
  <c r="G1069" i="17"/>
  <c r="E1070" i="17"/>
  <c r="F1070" i="17"/>
  <c r="G1070" i="17"/>
  <c r="E1071" i="17"/>
  <c r="F1071" i="17"/>
  <c r="G1071" i="17"/>
  <c r="E1072" i="17"/>
  <c r="F1072" i="17"/>
  <c r="G1072" i="17"/>
  <c r="E1073" i="17"/>
  <c r="F1073" i="17"/>
  <c r="G1073" i="17"/>
  <c r="E1074" i="17"/>
  <c r="F1074" i="17"/>
  <c r="G1074" i="17"/>
  <c r="E1075" i="17"/>
  <c r="F1075" i="17"/>
  <c r="G1075" i="17"/>
  <c r="E1076" i="17"/>
  <c r="F1076" i="17"/>
  <c r="G1076" i="17"/>
  <c r="E1077" i="17"/>
  <c r="F1077" i="17"/>
  <c r="G1077" i="17"/>
  <c r="E1078" i="17"/>
  <c r="F1078" i="17"/>
  <c r="G1078" i="17"/>
  <c r="E1079" i="17"/>
  <c r="F1079" i="17"/>
  <c r="G1079" i="17"/>
  <c r="E1080" i="17"/>
  <c r="F1080" i="17"/>
  <c r="G1080" i="17"/>
  <c r="E1081" i="17"/>
  <c r="F1081" i="17"/>
  <c r="G1081" i="17"/>
  <c r="E1082" i="17"/>
  <c r="F1082" i="17"/>
  <c r="G1082" i="17"/>
  <c r="E1083" i="17"/>
  <c r="F1083" i="17"/>
  <c r="G1083" i="17"/>
  <c r="E1084" i="17"/>
  <c r="F1084" i="17"/>
  <c r="G1084" i="17"/>
  <c r="E1085" i="17"/>
  <c r="F1085" i="17"/>
  <c r="G1085" i="17"/>
  <c r="E1086" i="17"/>
  <c r="F1086" i="17"/>
  <c r="G1086" i="17"/>
  <c r="E1087" i="17"/>
  <c r="F1087" i="17"/>
  <c r="G1087" i="17"/>
  <c r="E1088" i="17"/>
  <c r="F1088" i="17"/>
  <c r="G1088" i="17"/>
  <c r="E1089" i="17"/>
  <c r="F1089" i="17"/>
  <c r="G1089" i="17"/>
  <c r="E1090" i="17"/>
  <c r="F1090" i="17"/>
  <c r="G1090" i="17"/>
  <c r="E1091" i="17"/>
  <c r="F1091" i="17"/>
  <c r="G1091" i="17"/>
  <c r="E1092" i="17"/>
  <c r="F1092" i="17"/>
  <c r="G1092" i="17"/>
  <c r="E1093" i="17"/>
  <c r="F1093" i="17"/>
  <c r="G1093" i="17"/>
  <c r="E1094" i="17"/>
  <c r="F1094" i="17"/>
  <c r="G1094" i="17"/>
  <c r="E1095" i="17"/>
  <c r="F1095" i="17"/>
  <c r="G1095" i="17"/>
  <c r="E1096" i="17"/>
  <c r="F1096" i="17"/>
  <c r="G1096" i="17"/>
  <c r="E1097" i="17"/>
  <c r="F1097" i="17"/>
  <c r="G1097" i="17"/>
  <c r="E1098" i="17"/>
  <c r="F1098" i="17"/>
  <c r="G1098" i="17"/>
  <c r="E1099" i="17"/>
  <c r="F1099" i="17"/>
  <c r="G1099" i="17"/>
  <c r="E1100" i="17"/>
  <c r="F1100" i="17"/>
  <c r="G1100" i="17"/>
  <c r="E1101" i="17"/>
  <c r="F1101" i="17"/>
  <c r="G1101" i="17"/>
  <c r="E1102" i="17"/>
  <c r="F1102" i="17"/>
  <c r="G1102" i="17"/>
  <c r="E1103" i="17"/>
  <c r="F1103" i="17"/>
  <c r="G1103" i="17"/>
  <c r="E1104" i="17"/>
  <c r="F1104" i="17"/>
  <c r="G1104" i="17"/>
  <c r="E1105" i="17"/>
  <c r="F1105" i="17"/>
  <c r="G1105" i="17"/>
  <c r="E1106" i="17"/>
  <c r="F1106" i="17"/>
  <c r="G1106" i="17"/>
  <c r="E1107" i="17"/>
  <c r="F1107" i="17"/>
  <c r="G1107" i="17"/>
  <c r="E1108" i="17"/>
  <c r="F1108" i="17"/>
  <c r="G1108" i="17"/>
  <c r="E1109" i="17"/>
  <c r="F1109" i="17"/>
  <c r="G1109" i="17"/>
  <c r="E1110" i="17"/>
  <c r="F1110" i="17"/>
  <c r="G1110" i="17"/>
  <c r="E1111" i="17"/>
  <c r="F1111" i="17"/>
  <c r="G1111" i="17"/>
  <c r="E1112" i="17"/>
  <c r="F1112" i="17"/>
  <c r="G1112" i="17"/>
  <c r="E1113" i="17"/>
  <c r="F1113" i="17"/>
  <c r="G1113" i="17"/>
  <c r="E1114" i="17"/>
  <c r="F1114" i="17"/>
  <c r="G1114" i="17"/>
  <c r="E1115" i="17"/>
  <c r="F1115" i="17"/>
  <c r="G1115" i="17"/>
  <c r="E1116" i="17"/>
  <c r="F1116" i="17"/>
  <c r="G1116" i="17"/>
  <c r="E1117" i="17"/>
  <c r="F1117" i="17"/>
  <c r="G1117" i="17"/>
  <c r="E1118" i="17"/>
  <c r="F1118" i="17"/>
  <c r="G1118" i="17"/>
  <c r="E1119" i="17"/>
  <c r="F1119" i="17"/>
  <c r="G1119" i="17"/>
  <c r="E1120" i="17"/>
  <c r="F1120" i="17"/>
  <c r="G1120" i="17"/>
  <c r="E1121" i="17"/>
  <c r="F1121" i="17"/>
  <c r="G1121" i="17"/>
  <c r="E1122" i="17"/>
  <c r="F1122" i="17"/>
  <c r="G1122" i="17"/>
  <c r="E1123" i="17"/>
  <c r="F1123" i="17"/>
  <c r="G1123" i="17"/>
  <c r="E1124" i="17"/>
  <c r="F1124" i="17"/>
  <c r="G1124" i="17"/>
  <c r="E1125" i="17"/>
  <c r="F1125" i="17"/>
  <c r="G1125" i="17"/>
  <c r="E1126" i="17"/>
  <c r="F1126" i="17"/>
  <c r="G1126" i="17"/>
  <c r="E1127" i="17"/>
  <c r="F1127" i="17"/>
  <c r="G1127" i="17"/>
  <c r="E1128" i="17"/>
  <c r="F1128" i="17"/>
  <c r="G1128" i="17"/>
  <c r="E1129" i="17"/>
  <c r="F1129" i="17"/>
  <c r="G1129" i="17"/>
  <c r="E1130" i="17"/>
  <c r="F1130" i="17"/>
  <c r="G1130" i="17"/>
  <c r="E1131" i="17"/>
  <c r="F1131" i="17"/>
  <c r="G1131" i="17"/>
  <c r="E1132" i="17"/>
  <c r="F1132" i="17"/>
  <c r="G1132" i="17"/>
  <c r="E1133" i="17"/>
  <c r="F1133" i="17"/>
  <c r="G1133" i="17"/>
  <c r="E1134" i="17"/>
  <c r="F1134" i="17"/>
  <c r="G1134" i="17"/>
  <c r="E1135" i="17"/>
  <c r="F1135" i="17"/>
  <c r="G1135" i="17"/>
  <c r="E1136" i="17"/>
  <c r="F1136" i="17"/>
  <c r="G1136" i="17"/>
  <c r="E1137" i="17"/>
  <c r="F1137" i="17"/>
  <c r="G1137" i="17"/>
  <c r="E1138" i="17"/>
  <c r="F1138" i="17"/>
  <c r="G1138" i="17"/>
  <c r="E1139" i="17"/>
  <c r="F1139" i="17"/>
  <c r="G1139" i="17"/>
  <c r="E1140" i="17"/>
  <c r="F1140" i="17"/>
  <c r="G1140" i="17"/>
  <c r="E1141" i="17"/>
  <c r="F1141" i="17"/>
  <c r="G1141" i="17"/>
  <c r="E1142" i="17"/>
  <c r="F1142" i="17"/>
  <c r="G1142" i="17"/>
  <c r="E1143" i="17"/>
  <c r="F1143" i="17"/>
  <c r="G1143" i="17"/>
  <c r="E1144" i="17"/>
  <c r="F1144" i="17"/>
  <c r="G1144" i="17"/>
  <c r="E1145" i="17"/>
  <c r="F1145" i="17"/>
  <c r="G1145" i="17"/>
  <c r="E1146" i="17"/>
  <c r="F1146" i="17"/>
  <c r="G1146" i="17"/>
  <c r="E1147" i="17"/>
  <c r="F1147" i="17"/>
  <c r="G1147" i="17"/>
  <c r="E1148" i="17"/>
  <c r="F1148" i="17"/>
  <c r="G1148" i="17"/>
  <c r="E1149" i="17"/>
  <c r="F1149" i="17"/>
  <c r="G1149" i="17"/>
  <c r="E1150" i="17"/>
  <c r="F1150" i="17"/>
  <c r="G1150" i="17"/>
  <c r="E1151" i="17"/>
  <c r="F1151" i="17"/>
  <c r="G1151" i="17"/>
  <c r="E1152" i="17"/>
  <c r="F1152" i="17"/>
  <c r="G1152" i="17"/>
  <c r="E1153" i="17"/>
  <c r="F1153" i="17"/>
  <c r="G1153" i="17"/>
  <c r="E1154" i="17"/>
  <c r="F1154" i="17"/>
  <c r="G1154" i="17"/>
  <c r="E1155" i="17"/>
  <c r="F1155" i="17"/>
  <c r="G1155" i="17"/>
  <c r="E1156" i="17"/>
  <c r="F1156" i="17"/>
  <c r="G1156" i="17"/>
  <c r="E1157" i="17"/>
  <c r="F1157" i="17"/>
  <c r="G1157" i="17"/>
  <c r="E1158" i="17"/>
  <c r="F1158" i="17"/>
  <c r="G1158" i="17"/>
  <c r="E1159" i="17"/>
  <c r="F1159" i="17"/>
  <c r="G1159" i="17"/>
  <c r="E1160" i="17"/>
  <c r="F1160" i="17"/>
  <c r="G1160" i="17"/>
  <c r="E1161" i="17"/>
  <c r="F1161" i="17"/>
  <c r="G1161" i="17"/>
  <c r="E1162" i="17"/>
  <c r="F1162" i="17"/>
  <c r="G1162" i="17"/>
  <c r="E1163" i="17"/>
  <c r="F1163" i="17"/>
  <c r="G1163" i="17"/>
  <c r="E1164" i="17"/>
  <c r="F1164" i="17"/>
  <c r="G1164" i="17"/>
  <c r="E1165" i="17"/>
  <c r="F1165" i="17"/>
  <c r="G1165" i="17"/>
  <c r="E1166" i="17"/>
  <c r="F1166" i="17"/>
  <c r="G1166" i="17"/>
  <c r="E1167" i="17"/>
  <c r="F1167" i="17"/>
  <c r="G1167" i="17"/>
  <c r="E1168" i="17"/>
  <c r="F1168" i="17"/>
  <c r="G1168" i="17"/>
  <c r="E1169" i="17"/>
  <c r="F1169" i="17"/>
  <c r="G1169" i="17"/>
  <c r="E1170" i="17"/>
  <c r="F1170" i="17"/>
  <c r="G1170" i="17"/>
  <c r="E1171" i="17"/>
  <c r="F1171" i="17"/>
  <c r="G1171" i="17"/>
  <c r="E1172" i="17"/>
  <c r="F1172" i="17"/>
  <c r="G1172" i="17"/>
  <c r="E1173" i="17"/>
  <c r="F1173" i="17"/>
  <c r="G1173" i="17"/>
  <c r="E1174" i="17"/>
  <c r="F1174" i="17"/>
  <c r="G1174" i="17"/>
  <c r="E1175" i="17"/>
  <c r="F1175" i="17"/>
  <c r="G1175" i="17"/>
  <c r="E1176" i="17"/>
  <c r="F1176" i="17"/>
  <c r="G1176" i="17"/>
  <c r="E1177" i="17"/>
  <c r="F1177" i="17"/>
  <c r="G1177" i="17"/>
  <c r="E1178" i="17"/>
  <c r="F1178" i="17"/>
  <c r="G1178" i="17"/>
  <c r="E1179" i="17"/>
  <c r="F1179" i="17"/>
  <c r="G1179" i="17"/>
  <c r="E1180" i="17"/>
  <c r="F1180" i="17"/>
  <c r="G1180" i="17"/>
  <c r="E1181" i="17"/>
  <c r="F1181" i="17"/>
  <c r="G1181" i="17"/>
  <c r="E1182" i="17"/>
  <c r="F1182" i="17"/>
  <c r="G1182" i="17"/>
  <c r="E1183" i="17"/>
  <c r="F1183" i="17"/>
  <c r="G1183" i="17"/>
  <c r="E1184" i="17"/>
  <c r="F1184" i="17"/>
  <c r="G1184" i="17"/>
  <c r="E1185" i="17"/>
  <c r="F1185" i="17"/>
  <c r="G1185" i="17"/>
  <c r="E1186" i="17"/>
  <c r="F1186" i="17"/>
  <c r="G1186" i="17"/>
  <c r="E1187" i="17"/>
  <c r="F1187" i="17"/>
  <c r="G1187" i="17"/>
  <c r="E1188" i="17"/>
  <c r="F1188" i="17"/>
  <c r="G1188" i="17"/>
  <c r="E1189" i="17"/>
  <c r="F1189" i="17"/>
  <c r="G1189" i="17"/>
  <c r="E1190" i="17"/>
  <c r="F1190" i="17"/>
  <c r="G1190" i="17"/>
  <c r="E1191" i="17"/>
  <c r="F1191" i="17"/>
  <c r="G1191" i="17"/>
  <c r="E1192" i="17"/>
  <c r="F1192" i="17"/>
  <c r="G1192" i="17"/>
  <c r="E1193" i="17"/>
  <c r="F1193" i="17"/>
  <c r="G1193" i="17"/>
  <c r="E1194" i="17"/>
  <c r="F1194" i="17"/>
  <c r="G1194" i="17"/>
  <c r="E1195" i="17"/>
  <c r="F1195" i="17"/>
  <c r="G1195" i="17"/>
  <c r="E1196" i="17"/>
  <c r="F1196" i="17"/>
  <c r="G1196" i="17"/>
  <c r="E1197" i="17"/>
  <c r="F1197" i="17"/>
  <c r="G1197" i="17"/>
  <c r="E1198" i="17"/>
  <c r="F1198" i="17"/>
  <c r="G1198" i="17"/>
  <c r="E1199" i="17"/>
  <c r="F1199" i="17"/>
  <c r="G1199" i="17"/>
  <c r="E1200" i="17"/>
  <c r="F1200" i="17"/>
  <c r="G1200" i="17"/>
  <c r="E1201" i="17"/>
  <c r="F1201" i="17"/>
  <c r="G1201" i="17"/>
  <c r="E1202" i="17"/>
  <c r="F1202" i="17"/>
  <c r="G1202" i="17"/>
  <c r="E1203" i="17"/>
  <c r="F1203" i="17"/>
  <c r="G1203" i="17"/>
  <c r="E1204" i="17"/>
  <c r="F1204" i="17"/>
  <c r="G1204" i="17"/>
  <c r="E1205" i="17"/>
  <c r="F1205" i="17"/>
  <c r="G1205" i="17"/>
  <c r="E1206" i="17"/>
  <c r="F1206" i="17"/>
  <c r="G1206" i="17"/>
  <c r="E1207" i="17"/>
  <c r="F1207" i="17"/>
  <c r="G1207" i="17"/>
  <c r="E1208" i="17"/>
  <c r="F1208" i="17"/>
  <c r="G1208" i="17"/>
  <c r="E1209" i="17"/>
  <c r="F1209" i="17"/>
  <c r="G1209" i="17"/>
  <c r="E1210" i="17"/>
  <c r="F1210" i="17"/>
  <c r="G1210" i="17"/>
  <c r="E1211" i="17"/>
  <c r="F1211" i="17"/>
  <c r="G1211" i="17"/>
  <c r="E1212" i="17"/>
  <c r="F1212" i="17"/>
  <c r="G1212" i="17"/>
  <c r="E1213" i="17"/>
  <c r="F1213" i="17"/>
  <c r="G1213" i="17"/>
  <c r="E1214" i="17"/>
  <c r="F1214" i="17"/>
  <c r="G1214" i="17"/>
  <c r="E1215" i="17"/>
  <c r="F1215" i="17"/>
  <c r="G1215" i="17"/>
  <c r="E1216" i="17"/>
  <c r="F1216" i="17"/>
  <c r="G1216" i="17"/>
  <c r="E1217" i="17"/>
  <c r="F1217" i="17"/>
  <c r="G1217" i="17"/>
  <c r="E1218" i="17"/>
  <c r="F1218" i="17"/>
  <c r="G1218" i="17"/>
  <c r="E1219" i="17"/>
  <c r="F1219" i="17"/>
  <c r="G1219" i="17"/>
  <c r="E1220" i="17"/>
  <c r="F1220" i="17"/>
  <c r="G1220" i="17"/>
  <c r="E1221" i="17"/>
  <c r="F1221" i="17"/>
  <c r="G1221" i="17"/>
  <c r="E1222" i="17"/>
  <c r="F1222" i="17"/>
  <c r="G1222" i="17"/>
  <c r="E1223" i="17"/>
  <c r="F1223" i="17"/>
  <c r="G1223" i="17"/>
  <c r="E1224" i="17"/>
  <c r="F1224" i="17"/>
  <c r="G1224" i="17"/>
  <c r="E1225" i="17"/>
  <c r="F1225" i="17"/>
  <c r="G1225" i="17"/>
  <c r="E1226" i="17"/>
  <c r="F1226" i="17"/>
  <c r="G1226" i="17"/>
  <c r="E1227" i="17"/>
  <c r="F1227" i="17"/>
  <c r="G1227" i="17"/>
  <c r="E1228" i="17"/>
  <c r="F1228" i="17"/>
  <c r="G1228" i="17"/>
  <c r="E1229" i="17"/>
  <c r="F1229" i="17"/>
  <c r="G1229" i="17"/>
  <c r="E1230" i="17"/>
  <c r="F1230" i="17"/>
  <c r="G1230" i="17"/>
  <c r="E1231" i="17"/>
  <c r="F1231" i="17"/>
  <c r="G1231" i="17"/>
  <c r="E1232" i="17"/>
  <c r="F1232" i="17"/>
  <c r="G1232" i="17"/>
  <c r="E1233" i="17"/>
  <c r="F1233" i="17"/>
  <c r="G1233" i="17"/>
  <c r="E1234" i="17"/>
  <c r="F1234" i="17"/>
  <c r="G1234" i="17"/>
  <c r="E1235" i="17"/>
  <c r="F1235" i="17"/>
  <c r="G1235" i="17"/>
  <c r="E1236" i="17"/>
  <c r="F1236" i="17"/>
  <c r="G1236" i="17"/>
  <c r="E1237" i="17"/>
  <c r="F1237" i="17"/>
  <c r="G1237" i="17"/>
  <c r="E1238" i="17"/>
  <c r="F1238" i="17"/>
  <c r="G1238" i="17"/>
  <c r="E1239" i="17"/>
  <c r="F1239" i="17"/>
  <c r="G1239" i="17"/>
  <c r="E1240" i="17"/>
  <c r="F1240" i="17"/>
  <c r="G1240" i="17"/>
  <c r="E1241" i="17"/>
  <c r="F1241" i="17"/>
  <c r="G1241" i="17"/>
  <c r="E1242" i="17"/>
  <c r="F1242" i="17"/>
  <c r="G1242" i="17"/>
  <c r="E1243" i="17"/>
  <c r="F1243" i="17"/>
  <c r="G1243" i="17"/>
  <c r="E1244" i="17"/>
  <c r="F1244" i="17"/>
  <c r="G1244" i="17"/>
  <c r="E1245" i="17"/>
  <c r="F1245" i="17"/>
  <c r="G1245" i="17"/>
  <c r="E1246" i="17"/>
  <c r="F1246" i="17"/>
  <c r="G1246" i="17"/>
  <c r="E1247" i="17"/>
  <c r="F1247" i="17"/>
  <c r="G1247" i="17"/>
  <c r="E1248" i="17"/>
  <c r="F1248" i="17"/>
  <c r="G1248" i="17"/>
  <c r="E1249" i="17"/>
  <c r="F1249" i="17"/>
  <c r="G1249" i="17"/>
  <c r="E1250" i="17"/>
  <c r="F1250" i="17"/>
  <c r="G1250" i="17"/>
  <c r="E1251" i="17"/>
  <c r="F1251" i="17"/>
  <c r="G1251" i="17"/>
  <c r="E1252" i="17"/>
  <c r="F1252" i="17"/>
  <c r="G1252" i="17"/>
  <c r="E1253" i="17"/>
  <c r="F1253" i="17"/>
  <c r="G1253" i="17"/>
  <c r="E1254" i="17"/>
  <c r="F1254" i="17"/>
  <c r="G1254" i="17"/>
  <c r="E1255" i="17"/>
  <c r="F1255" i="17"/>
  <c r="G1255" i="17"/>
  <c r="E1256" i="17"/>
  <c r="F1256" i="17"/>
  <c r="G1256" i="17"/>
  <c r="E1257" i="17"/>
  <c r="F1257" i="17"/>
  <c r="G1257" i="17"/>
  <c r="E1258" i="17"/>
  <c r="F1258" i="17"/>
  <c r="G1258" i="17"/>
  <c r="E1259" i="17"/>
  <c r="F1259" i="17"/>
  <c r="G1259" i="17"/>
  <c r="E1260" i="17"/>
  <c r="F1260" i="17"/>
  <c r="G1260" i="17"/>
  <c r="E1261" i="17"/>
  <c r="F1261" i="17"/>
  <c r="G1261" i="17"/>
  <c r="E1262" i="17"/>
  <c r="F1262" i="17"/>
  <c r="G1262" i="17"/>
  <c r="E1263" i="17"/>
  <c r="F1263" i="17"/>
  <c r="G1263" i="17"/>
  <c r="E1264" i="17"/>
  <c r="F1264" i="17"/>
  <c r="G1264" i="17"/>
  <c r="E1265" i="17"/>
  <c r="F1265" i="17"/>
  <c r="G1265" i="17"/>
  <c r="E1266" i="17"/>
  <c r="F1266" i="17"/>
  <c r="G1266" i="17"/>
  <c r="E1267" i="17"/>
  <c r="F1267" i="17"/>
  <c r="G1267" i="17"/>
  <c r="E1268" i="17"/>
  <c r="F1268" i="17"/>
  <c r="G1268" i="17"/>
  <c r="E1269" i="17"/>
  <c r="F1269" i="17"/>
  <c r="G1269" i="17"/>
  <c r="E1270" i="17"/>
  <c r="F1270" i="17"/>
  <c r="G1270" i="17"/>
  <c r="E1271" i="17"/>
  <c r="F1271" i="17"/>
  <c r="G1271" i="17"/>
  <c r="E1272" i="17"/>
  <c r="F1272" i="17"/>
  <c r="G1272" i="17"/>
  <c r="E1273" i="17"/>
  <c r="F1273" i="17"/>
  <c r="G1273" i="17"/>
  <c r="E1274" i="17"/>
  <c r="F1274" i="17"/>
  <c r="G1274" i="17"/>
  <c r="E1275" i="17"/>
  <c r="F1275" i="17"/>
  <c r="G1275" i="17"/>
  <c r="E1276" i="17"/>
  <c r="F1276" i="17"/>
  <c r="G1276" i="17"/>
  <c r="E1277" i="17"/>
  <c r="F1277" i="17"/>
  <c r="G1277" i="17"/>
  <c r="E1278" i="17"/>
  <c r="F1278" i="17"/>
  <c r="G1278" i="17"/>
  <c r="E1279" i="17"/>
  <c r="F1279" i="17"/>
  <c r="G1279" i="17"/>
  <c r="E1280" i="17"/>
  <c r="F1280" i="17"/>
  <c r="G1280" i="17"/>
  <c r="E1281" i="17"/>
  <c r="F1281" i="17"/>
  <c r="G1281" i="17"/>
  <c r="E1282" i="17"/>
  <c r="F1282" i="17"/>
  <c r="G1282" i="17"/>
  <c r="E1283" i="17"/>
  <c r="F1283" i="17"/>
  <c r="G1283" i="17"/>
  <c r="E1284" i="17"/>
  <c r="F1284" i="17"/>
  <c r="G1284" i="17"/>
  <c r="E1285" i="17"/>
  <c r="F1285" i="17"/>
  <c r="G1285" i="17"/>
  <c r="E1286" i="17"/>
  <c r="F1286" i="17"/>
  <c r="G1286" i="17"/>
  <c r="E1287" i="17"/>
  <c r="F1287" i="17"/>
  <c r="G1287" i="17"/>
  <c r="E1288" i="17"/>
  <c r="F1288" i="17"/>
  <c r="G1288" i="17"/>
  <c r="E1289" i="17"/>
  <c r="F1289" i="17"/>
  <c r="G1289" i="17"/>
  <c r="E1290" i="17"/>
  <c r="F1290" i="17"/>
  <c r="G1290" i="17"/>
  <c r="E1291" i="17"/>
  <c r="F1291" i="17"/>
  <c r="G1291" i="17"/>
  <c r="E1292" i="17"/>
  <c r="F1292" i="17"/>
  <c r="G1292" i="17"/>
  <c r="E1293" i="17"/>
  <c r="F1293" i="17"/>
  <c r="G1293" i="17"/>
  <c r="E1294" i="17"/>
  <c r="F1294" i="17"/>
  <c r="G1294" i="17"/>
  <c r="E1295" i="17"/>
  <c r="F1295" i="17"/>
  <c r="G1295" i="17"/>
  <c r="E1296" i="17"/>
  <c r="F1296" i="17"/>
  <c r="G1296" i="17"/>
  <c r="E1297" i="17"/>
  <c r="F1297" i="17"/>
  <c r="G1297" i="17"/>
  <c r="E1298" i="17"/>
  <c r="F1298" i="17"/>
  <c r="G1298" i="17"/>
  <c r="E1299" i="17"/>
  <c r="F1299" i="17"/>
  <c r="G1299" i="17"/>
  <c r="E1300" i="17"/>
  <c r="F1300" i="17"/>
  <c r="G1300" i="17"/>
  <c r="E1301" i="17"/>
  <c r="F1301" i="17"/>
  <c r="G1301" i="17"/>
  <c r="E1302" i="17"/>
  <c r="F1302" i="17"/>
  <c r="G1302" i="17"/>
  <c r="E1303" i="17"/>
  <c r="F1303" i="17"/>
  <c r="G1303" i="17"/>
  <c r="E1304" i="17"/>
  <c r="F1304" i="17"/>
  <c r="G1304" i="17"/>
  <c r="E1305" i="17"/>
  <c r="F1305" i="17"/>
  <c r="G1305" i="17"/>
  <c r="E1306" i="17"/>
  <c r="F1306" i="17"/>
  <c r="G1306" i="17"/>
  <c r="E1307" i="17"/>
  <c r="F1307" i="17"/>
  <c r="G1307" i="17"/>
  <c r="E1308" i="17"/>
  <c r="F1308" i="17"/>
  <c r="G1308" i="17"/>
  <c r="E1309" i="17"/>
  <c r="F1309" i="17"/>
  <c r="G1309" i="17"/>
  <c r="E1310" i="17"/>
  <c r="F1310" i="17"/>
  <c r="G1310" i="17"/>
  <c r="E1311" i="17"/>
  <c r="F1311" i="17"/>
  <c r="G1311" i="17"/>
  <c r="E1312" i="17"/>
  <c r="F1312" i="17"/>
  <c r="G1312" i="17"/>
  <c r="E1313" i="17"/>
  <c r="F1313" i="17"/>
  <c r="G1313" i="17"/>
  <c r="E1314" i="17"/>
  <c r="F1314" i="17"/>
  <c r="G1314" i="17"/>
  <c r="E1315" i="17"/>
  <c r="F1315" i="17"/>
  <c r="G1315" i="17"/>
  <c r="E1316" i="17"/>
  <c r="F1316" i="17"/>
  <c r="G1316" i="17"/>
  <c r="E1317" i="17"/>
  <c r="F1317" i="17"/>
  <c r="G1317" i="17"/>
  <c r="E1318" i="17"/>
  <c r="F1318" i="17"/>
  <c r="G1318" i="17"/>
  <c r="E1319" i="17"/>
  <c r="F1319" i="17"/>
  <c r="G1319" i="17"/>
  <c r="E1320" i="17"/>
  <c r="F1320" i="17"/>
  <c r="G1320" i="17"/>
  <c r="E1321" i="17"/>
  <c r="F1321" i="17"/>
  <c r="G1321" i="17"/>
  <c r="E1322" i="17"/>
  <c r="F1322" i="17"/>
  <c r="G1322" i="17"/>
  <c r="E1323" i="17"/>
  <c r="F1323" i="17"/>
  <c r="G1323" i="17"/>
  <c r="E1324" i="17"/>
  <c r="F1324" i="17"/>
  <c r="G1324" i="17"/>
  <c r="E1325" i="17"/>
  <c r="F1325" i="17"/>
  <c r="G1325" i="17"/>
  <c r="E1326" i="17"/>
  <c r="F1326" i="17"/>
  <c r="G1326" i="17"/>
  <c r="E1327" i="17"/>
  <c r="F1327" i="17"/>
  <c r="G1327" i="17"/>
  <c r="E1328" i="17"/>
  <c r="F1328" i="17"/>
  <c r="G1328" i="17"/>
  <c r="E1329" i="17"/>
  <c r="F1329" i="17"/>
  <c r="G1329" i="17"/>
  <c r="E1330" i="17"/>
  <c r="F1330" i="17"/>
  <c r="G1330" i="17"/>
  <c r="E1331" i="17"/>
  <c r="F1331" i="17"/>
  <c r="G1331" i="17"/>
  <c r="E1332" i="17"/>
  <c r="F1332" i="17"/>
  <c r="G1332" i="17"/>
  <c r="E1333" i="17"/>
  <c r="F1333" i="17"/>
  <c r="G1333" i="17"/>
  <c r="E1334" i="17"/>
  <c r="F1334" i="17"/>
  <c r="G1334" i="17"/>
  <c r="E1335" i="17"/>
  <c r="F1335" i="17"/>
  <c r="G1335" i="17"/>
  <c r="E1336" i="17"/>
  <c r="F1336" i="17"/>
  <c r="G1336" i="17"/>
  <c r="E1337" i="17"/>
  <c r="F1337" i="17"/>
  <c r="G1337" i="17"/>
  <c r="E1338" i="17"/>
  <c r="F1338" i="17"/>
  <c r="G1338" i="17"/>
  <c r="E1339" i="17"/>
  <c r="F1339" i="17"/>
  <c r="G1339" i="17"/>
  <c r="E1340" i="17"/>
  <c r="F1340" i="17"/>
  <c r="G1340" i="17"/>
  <c r="E1341" i="17"/>
  <c r="F1341" i="17"/>
  <c r="G1341" i="17"/>
  <c r="E1342" i="17"/>
  <c r="F1342" i="17"/>
  <c r="G1342" i="17"/>
  <c r="E1343" i="17"/>
  <c r="F1343" i="17"/>
  <c r="G1343" i="17"/>
  <c r="E1344" i="17"/>
  <c r="F1344" i="17"/>
  <c r="G1344" i="17"/>
  <c r="E1345" i="17"/>
  <c r="F1345" i="17"/>
  <c r="G1345" i="17"/>
  <c r="E1346" i="17"/>
  <c r="F1346" i="17"/>
  <c r="G1346" i="17"/>
  <c r="E1347" i="17"/>
  <c r="F1347" i="17"/>
  <c r="G1347" i="17"/>
  <c r="E1348" i="17"/>
  <c r="F1348" i="17"/>
  <c r="G1348" i="17"/>
  <c r="E1349" i="17"/>
  <c r="F1349" i="17"/>
  <c r="G1349" i="17"/>
  <c r="E1350" i="17"/>
  <c r="F1350" i="17"/>
  <c r="G1350" i="17"/>
  <c r="E1351" i="17"/>
  <c r="F1351" i="17"/>
  <c r="G1351" i="17"/>
  <c r="E1352" i="17"/>
  <c r="F1352" i="17"/>
  <c r="G1352" i="17"/>
  <c r="E1353" i="17"/>
  <c r="F1353" i="17"/>
  <c r="G1353" i="17"/>
  <c r="E1354" i="17"/>
  <c r="F1354" i="17"/>
  <c r="G1354" i="17"/>
  <c r="E1355" i="17"/>
  <c r="F1355" i="17"/>
  <c r="G1355" i="17"/>
  <c r="E1356" i="17"/>
  <c r="F1356" i="17"/>
  <c r="G1356" i="17"/>
  <c r="E1357" i="17"/>
  <c r="F1357" i="17"/>
  <c r="G1357" i="17"/>
  <c r="E1358" i="17"/>
  <c r="F1358" i="17"/>
  <c r="G1358" i="17"/>
  <c r="E1359" i="17"/>
  <c r="F1359" i="17"/>
  <c r="G1359" i="17"/>
  <c r="E1360" i="17"/>
  <c r="F1360" i="17"/>
  <c r="G1360" i="17"/>
  <c r="E1361" i="17"/>
  <c r="F1361" i="17"/>
  <c r="G1361" i="17"/>
  <c r="E1362" i="17"/>
  <c r="F1362" i="17"/>
  <c r="G1362" i="17"/>
  <c r="E1363" i="17"/>
  <c r="F1363" i="17"/>
  <c r="G1363" i="17"/>
  <c r="E1364" i="17"/>
  <c r="F1364" i="17"/>
  <c r="G1364" i="17"/>
  <c r="E1365" i="17"/>
  <c r="F1365" i="17"/>
  <c r="G1365" i="17"/>
  <c r="E1366" i="17"/>
  <c r="F1366" i="17"/>
  <c r="G1366" i="17"/>
  <c r="E1367" i="17"/>
  <c r="F1367" i="17"/>
  <c r="G1367" i="17"/>
  <c r="E1368" i="17"/>
  <c r="F1368" i="17"/>
  <c r="G1368" i="17"/>
  <c r="E1369" i="17"/>
  <c r="F1369" i="17"/>
  <c r="G1369" i="17"/>
  <c r="E1370" i="17"/>
  <c r="F1370" i="17"/>
  <c r="G1370" i="17"/>
  <c r="E1371" i="17"/>
  <c r="F1371" i="17"/>
  <c r="G1371" i="17"/>
  <c r="E1372" i="17"/>
  <c r="F1372" i="17"/>
  <c r="G1372" i="17"/>
  <c r="E1373" i="17"/>
  <c r="F1373" i="17"/>
  <c r="G1373" i="17"/>
  <c r="E1374" i="17"/>
  <c r="F1374" i="17"/>
  <c r="G1374" i="17"/>
  <c r="E1375" i="17"/>
  <c r="F1375" i="17"/>
  <c r="G1375" i="17"/>
  <c r="E1376" i="17"/>
  <c r="F1376" i="17"/>
  <c r="G1376" i="17"/>
  <c r="E1377" i="17"/>
  <c r="F1377" i="17"/>
  <c r="G1377" i="17"/>
  <c r="E1378" i="17"/>
  <c r="F1378" i="17"/>
  <c r="G1378" i="17"/>
  <c r="E1379" i="17"/>
  <c r="F1379" i="17"/>
  <c r="G1379" i="17"/>
  <c r="E1380" i="17"/>
  <c r="F1380" i="17"/>
  <c r="G1380" i="17"/>
  <c r="E1381" i="17"/>
  <c r="F1381" i="17"/>
  <c r="G1381" i="17"/>
  <c r="E1382" i="17"/>
  <c r="F1382" i="17"/>
  <c r="G1382" i="17"/>
  <c r="E1383" i="17"/>
  <c r="F1383" i="17"/>
  <c r="G1383" i="17"/>
  <c r="E1384" i="17"/>
  <c r="F1384" i="17"/>
  <c r="G1384" i="17"/>
  <c r="E1385" i="17"/>
  <c r="F1385" i="17"/>
  <c r="G1385" i="17"/>
  <c r="E1386" i="17"/>
  <c r="F1386" i="17"/>
  <c r="G1386" i="17"/>
  <c r="E1387" i="17"/>
  <c r="F1387" i="17"/>
  <c r="G1387" i="17"/>
  <c r="E1388" i="17"/>
  <c r="F1388" i="17"/>
  <c r="G1388" i="17"/>
  <c r="E1389" i="17"/>
  <c r="F1389" i="17"/>
  <c r="G1389" i="17"/>
  <c r="E1390" i="17"/>
  <c r="F1390" i="17"/>
  <c r="G1390" i="17"/>
  <c r="E1391" i="17"/>
  <c r="F1391" i="17"/>
  <c r="G1391" i="17"/>
  <c r="E1392" i="17"/>
  <c r="F1392" i="17"/>
  <c r="G1392" i="17"/>
  <c r="E1393" i="17"/>
  <c r="F1393" i="17"/>
  <c r="G1393" i="17"/>
  <c r="E1394" i="17"/>
  <c r="F1394" i="17"/>
  <c r="G1394" i="17"/>
  <c r="E1395" i="17"/>
  <c r="F1395" i="17"/>
  <c r="G1395" i="17"/>
  <c r="E1396" i="17"/>
  <c r="F1396" i="17"/>
  <c r="G1396" i="17"/>
  <c r="E1397" i="17"/>
  <c r="F1397" i="17"/>
  <c r="G1397" i="17"/>
  <c r="E1398" i="17"/>
  <c r="F1398" i="17"/>
  <c r="G1398" i="17"/>
  <c r="E1399" i="17"/>
  <c r="F1399" i="17"/>
  <c r="G1399" i="17"/>
  <c r="E1400" i="17"/>
  <c r="F1400" i="17"/>
  <c r="G1400" i="17"/>
  <c r="E1401" i="17"/>
  <c r="F1401" i="17"/>
  <c r="G1401" i="17"/>
  <c r="E1402" i="17"/>
  <c r="F1402" i="17"/>
  <c r="G1402" i="17"/>
  <c r="E1403" i="17"/>
  <c r="F1403" i="17"/>
  <c r="G1403" i="17"/>
  <c r="E1404" i="17"/>
  <c r="F1404" i="17"/>
  <c r="G1404" i="17"/>
  <c r="E1405" i="17"/>
  <c r="F1405" i="17"/>
  <c r="G1405" i="17"/>
  <c r="E1406" i="17"/>
  <c r="F1406" i="17"/>
  <c r="G1406" i="17"/>
  <c r="E1407" i="17"/>
  <c r="F1407" i="17"/>
  <c r="G1407" i="17"/>
  <c r="E1408" i="17"/>
  <c r="F1408" i="17"/>
  <c r="G1408" i="17"/>
  <c r="E1409" i="17"/>
  <c r="F1409" i="17"/>
  <c r="G1409" i="17"/>
  <c r="E1410" i="17"/>
  <c r="F1410" i="17"/>
  <c r="G1410" i="17"/>
  <c r="E1411" i="17"/>
  <c r="F1411" i="17"/>
  <c r="G1411" i="17"/>
  <c r="E1412" i="17"/>
  <c r="F1412" i="17"/>
  <c r="G1412" i="17"/>
  <c r="E1413" i="17"/>
  <c r="F1413" i="17"/>
  <c r="G1413" i="17"/>
  <c r="E1414" i="17"/>
  <c r="F1414" i="17"/>
  <c r="G1414" i="17"/>
  <c r="E1415" i="17"/>
  <c r="F1415" i="17"/>
  <c r="G1415" i="17"/>
  <c r="E1416" i="17"/>
  <c r="F1416" i="17"/>
  <c r="G1416" i="17"/>
  <c r="E1417" i="17"/>
  <c r="F1417" i="17"/>
  <c r="G1417" i="17"/>
  <c r="E1418" i="17"/>
  <c r="F1418" i="17"/>
  <c r="G1418" i="17"/>
  <c r="E1419" i="17"/>
  <c r="F1419" i="17"/>
  <c r="G1419" i="17"/>
  <c r="E1420" i="17"/>
  <c r="F1420" i="17"/>
  <c r="G1420" i="17"/>
  <c r="E1421" i="17"/>
  <c r="F1421" i="17"/>
  <c r="G1421" i="17"/>
  <c r="E1422" i="17"/>
  <c r="F1422" i="17"/>
  <c r="G1422" i="17"/>
  <c r="E1423" i="17"/>
  <c r="F1423" i="17"/>
  <c r="G1423" i="17"/>
  <c r="E1424" i="17"/>
  <c r="F1424" i="17"/>
  <c r="G1424" i="17"/>
  <c r="E1425" i="17"/>
  <c r="F1425" i="17"/>
  <c r="G1425" i="17"/>
  <c r="E1426" i="17"/>
  <c r="F1426" i="17"/>
  <c r="G1426" i="17"/>
  <c r="E1427" i="17"/>
  <c r="F1427" i="17"/>
  <c r="G1427" i="17"/>
  <c r="E1428" i="17"/>
  <c r="F1428" i="17"/>
  <c r="G1428" i="17"/>
  <c r="E1429" i="17"/>
  <c r="F1429" i="17"/>
  <c r="G1429" i="17"/>
  <c r="E1430" i="17"/>
  <c r="F1430" i="17"/>
  <c r="G1430" i="17"/>
  <c r="E1431" i="17"/>
  <c r="F1431" i="17"/>
  <c r="G1431" i="17"/>
  <c r="E1432" i="17"/>
  <c r="F1432" i="17"/>
  <c r="G1432" i="17"/>
  <c r="E1433" i="17"/>
  <c r="F1433" i="17"/>
  <c r="G1433" i="17"/>
  <c r="E1434" i="17"/>
  <c r="F1434" i="17"/>
  <c r="G1434" i="17"/>
  <c r="E1435" i="17"/>
  <c r="F1435" i="17"/>
  <c r="G1435" i="17"/>
  <c r="E1436" i="17"/>
  <c r="F1436" i="17"/>
  <c r="G1436" i="17"/>
  <c r="E1437" i="17"/>
  <c r="F1437" i="17"/>
  <c r="G1437" i="17"/>
  <c r="E1438" i="17"/>
  <c r="F1438" i="17"/>
  <c r="G1438" i="17"/>
  <c r="E1439" i="17"/>
  <c r="F1439" i="17"/>
  <c r="G1439" i="17"/>
  <c r="E1440" i="17"/>
  <c r="F1440" i="17"/>
  <c r="G1440" i="17"/>
  <c r="E1441" i="17"/>
  <c r="F1441" i="17"/>
  <c r="G1441" i="17"/>
  <c r="E1442" i="17"/>
  <c r="F1442" i="17"/>
  <c r="G1442" i="17"/>
  <c r="E1443" i="17"/>
  <c r="F1443" i="17"/>
  <c r="G1443" i="17"/>
  <c r="E1444" i="17"/>
  <c r="F1444" i="17"/>
  <c r="G1444" i="17"/>
  <c r="E1445" i="17"/>
  <c r="F1445" i="17"/>
  <c r="G1445" i="17"/>
  <c r="E1446" i="17"/>
  <c r="F1446" i="17"/>
  <c r="G1446" i="17"/>
  <c r="E1447" i="17"/>
  <c r="F1447" i="17"/>
  <c r="G1447" i="17"/>
  <c r="E1448" i="17"/>
  <c r="F1448" i="17"/>
  <c r="G1448" i="17"/>
  <c r="E1449" i="17"/>
  <c r="F1449" i="17"/>
  <c r="G1449" i="17"/>
  <c r="E1450" i="17"/>
  <c r="F1450" i="17"/>
  <c r="G1450" i="17"/>
  <c r="E1451" i="17"/>
  <c r="F1451" i="17"/>
  <c r="G1451" i="17"/>
  <c r="E1452" i="17"/>
  <c r="F1452" i="17"/>
  <c r="G1452" i="17"/>
  <c r="E1453" i="17"/>
  <c r="F1453" i="17"/>
  <c r="G1453" i="17"/>
  <c r="E1454" i="17"/>
  <c r="F1454" i="17"/>
  <c r="G1454" i="17"/>
  <c r="E1455" i="17"/>
  <c r="F1455" i="17"/>
  <c r="G1455" i="17"/>
  <c r="E1456" i="17"/>
  <c r="F1456" i="17"/>
  <c r="G1456" i="17"/>
  <c r="E1457" i="17"/>
  <c r="F1457" i="17"/>
  <c r="G1457" i="17"/>
  <c r="E1458" i="17"/>
  <c r="F1458" i="17"/>
  <c r="G1458" i="17"/>
  <c r="E1459" i="17"/>
  <c r="F1459" i="17"/>
  <c r="G1459" i="17"/>
  <c r="E1460" i="17"/>
  <c r="F1460" i="17"/>
  <c r="G1460" i="17"/>
  <c r="E1461" i="17"/>
  <c r="F1461" i="17"/>
  <c r="G1461" i="17"/>
  <c r="E1462" i="17"/>
  <c r="F1462" i="17"/>
  <c r="G1462" i="17"/>
  <c r="E1463" i="17"/>
  <c r="F1463" i="17"/>
  <c r="G1463" i="17"/>
  <c r="E1464" i="17"/>
  <c r="F1464" i="17"/>
  <c r="G1464" i="17"/>
  <c r="E1465" i="17"/>
  <c r="F1465" i="17"/>
  <c r="G1465" i="17"/>
  <c r="E1466" i="17"/>
  <c r="F1466" i="17"/>
  <c r="G1466" i="17"/>
  <c r="E1467" i="17"/>
  <c r="F1467" i="17"/>
  <c r="G1467" i="17"/>
  <c r="E1468" i="17"/>
  <c r="F1468" i="17"/>
  <c r="G1468" i="17"/>
  <c r="E1469" i="17"/>
  <c r="F1469" i="17"/>
  <c r="G1469" i="17"/>
  <c r="E1470" i="17"/>
  <c r="F1470" i="17"/>
  <c r="G1470" i="17"/>
  <c r="E1471" i="17"/>
  <c r="F1471" i="17"/>
  <c r="G1471" i="17"/>
  <c r="E1472" i="17"/>
  <c r="F1472" i="17"/>
  <c r="G1472" i="17"/>
  <c r="E1473" i="17"/>
  <c r="F1473" i="17"/>
  <c r="G1473" i="17"/>
  <c r="E1474" i="17"/>
  <c r="F1474" i="17"/>
  <c r="G1474" i="17"/>
  <c r="E1475" i="17"/>
  <c r="F1475" i="17"/>
  <c r="G1475" i="17"/>
  <c r="E1476" i="17"/>
  <c r="F1476" i="17"/>
  <c r="G1476" i="17"/>
  <c r="E1477" i="17"/>
  <c r="F1477" i="17"/>
  <c r="G1477" i="17"/>
  <c r="E1478" i="17"/>
  <c r="F1478" i="17"/>
  <c r="G1478" i="17"/>
  <c r="E1479" i="17"/>
  <c r="F1479" i="17"/>
  <c r="G1479" i="17"/>
  <c r="E1480" i="17"/>
  <c r="F1480" i="17"/>
  <c r="G1480" i="17"/>
  <c r="E1481" i="17"/>
  <c r="F1481" i="17"/>
  <c r="G1481" i="17"/>
  <c r="E1482" i="17"/>
  <c r="F1482" i="17"/>
  <c r="G1482" i="17"/>
  <c r="E1483" i="17"/>
  <c r="F1483" i="17"/>
  <c r="G1483" i="17"/>
  <c r="E1484" i="17"/>
  <c r="F1484" i="17"/>
  <c r="G1484" i="17"/>
  <c r="E1485" i="17"/>
  <c r="F1485" i="17"/>
  <c r="G1485" i="17"/>
  <c r="E1486" i="17"/>
  <c r="F1486" i="17"/>
  <c r="G1486" i="17"/>
  <c r="E1487" i="17"/>
  <c r="F1487" i="17"/>
  <c r="G1487" i="17"/>
  <c r="E1488" i="17"/>
  <c r="F1488" i="17"/>
  <c r="G1488" i="17"/>
  <c r="E1489" i="17"/>
  <c r="F1489" i="17"/>
  <c r="G1489" i="17"/>
  <c r="E1490" i="17"/>
  <c r="F1490" i="17"/>
  <c r="G1490" i="17"/>
  <c r="E1491" i="17"/>
  <c r="F1491" i="17"/>
  <c r="G1491" i="17"/>
  <c r="E1492" i="17"/>
  <c r="F1492" i="17"/>
  <c r="G1492" i="17"/>
  <c r="E1493" i="17"/>
  <c r="F1493" i="17"/>
  <c r="G1493" i="17"/>
  <c r="E1494" i="17"/>
  <c r="F1494" i="17"/>
  <c r="G1494" i="17"/>
  <c r="E1495" i="17"/>
  <c r="F1495" i="17"/>
  <c r="G1495" i="17"/>
  <c r="E1496" i="17"/>
  <c r="F1496" i="17"/>
  <c r="G1496" i="17"/>
  <c r="E1497" i="17"/>
  <c r="F1497" i="17"/>
  <c r="G1497" i="17"/>
  <c r="E1498" i="17"/>
  <c r="F1498" i="17"/>
  <c r="G1498" i="17"/>
  <c r="E1499" i="17"/>
  <c r="F1499" i="17"/>
  <c r="G1499" i="17"/>
  <c r="E1500" i="17"/>
  <c r="F1500" i="17"/>
  <c r="G1500" i="17"/>
  <c r="E1501" i="17"/>
  <c r="F1501" i="17"/>
  <c r="G1501" i="17"/>
  <c r="E1502" i="17"/>
  <c r="F1502" i="17"/>
  <c r="G1502" i="17"/>
  <c r="E1503" i="17"/>
  <c r="F1503" i="17"/>
  <c r="G1503" i="17"/>
  <c r="E1504" i="17"/>
  <c r="F1504" i="17"/>
  <c r="G1504" i="17"/>
  <c r="E1505" i="17"/>
  <c r="F1505" i="17"/>
  <c r="G1505" i="17"/>
  <c r="E1506" i="17"/>
  <c r="F1506" i="17"/>
  <c r="G1506" i="17"/>
  <c r="E1507" i="17"/>
  <c r="F1507" i="17"/>
  <c r="G1507" i="17"/>
  <c r="E1508" i="17"/>
  <c r="F1508" i="17"/>
  <c r="G1508" i="17"/>
  <c r="E1509" i="17"/>
  <c r="F1509" i="17"/>
  <c r="G1509" i="17"/>
  <c r="E1510" i="17"/>
  <c r="F1510" i="17"/>
  <c r="G1510" i="17"/>
  <c r="E1511" i="17"/>
  <c r="F1511" i="17"/>
  <c r="G1511" i="17"/>
  <c r="E1512" i="17"/>
  <c r="F1512" i="17"/>
  <c r="G1512" i="17"/>
  <c r="E1513" i="17"/>
  <c r="F1513" i="17"/>
  <c r="G1513" i="17"/>
  <c r="E1514" i="17"/>
  <c r="F1514" i="17"/>
  <c r="G1514" i="17"/>
  <c r="E1515" i="17"/>
  <c r="F1515" i="17"/>
  <c r="G1515" i="17"/>
  <c r="E1516" i="17"/>
  <c r="F1516" i="17"/>
  <c r="G1516" i="17"/>
  <c r="E1517" i="17"/>
  <c r="F1517" i="17"/>
  <c r="G1517" i="17"/>
  <c r="E1518" i="17"/>
  <c r="F1518" i="17"/>
  <c r="G1518" i="17"/>
  <c r="E1519" i="17"/>
  <c r="F1519" i="17"/>
  <c r="G1519" i="17"/>
  <c r="E1520" i="17"/>
  <c r="F1520" i="17"/>
  <c r="G1520" i="17"/>
  <c r="E1521" i="17"/>
  <c r="F1521" i="17"/>
  <c r="G1521" i="17"/>
  <c r="E1522" i="17"/>
  <c r="F1522" i="17"/>
  <c r="G1522" i="17"/>
  <c r="E1523" i="17"/>
  <c r="F1523" i="17"/>
  <c r="G1523" i="17"/>
  <c r="E1524" i="17"/>
  <c r="F1524" i="17"/>
  <c r="G1524" i="17"/>
  <c r="E1525" i="17"/>
  <c r="F1525" i="17"/>
  <c r="G1525" i="17"/>
  <c r="E1526" i="17"/>
  <c r="F1526" i="17"/>
  <c r="G1526" i="17"/>
  <c r="E1527" i="17"/>
  <c r="F1527" i="17"/>
  <c r="G1527" i="17"/>
  <c r="E1528" i="17"/>
  <c r="F1528" i="17"/>
  <c r="G1528" i="17"/>
  <c r="E1529" i="17"/>
  <c r="F1529" i="17"/>
  <c r="G1529" i="17"/>
  <c r="E1530" i="17"/>
  <c r="F1530" i="17"/>
  <c r="G1530" i="17"/>
  <c r="E1531" i="17"/>
  <c r="F1531" i="17"/>
  <c r="G1531" i="17"/>
  <c r="E1532" i="17"/>
  <c r="F1532" i="17"/>
  <c r="G1532" i="17"/>
  <c r="E1533" i="17"/>
  <c r="F1533" i="17"/>
  <c r="G1533" i="17"/>
  <c r="E1534" i="17"/>
  <c r="F1534" i="17"/>
  <c r="G1534" i="17"/>
  <c r="E1535" i="17"/>
  <c r="F1535" i="17"/>
  <c r="G1535" i="17"/>
  <c r="E1536" i="17"/>
  <c r="F1536" i="17"/>
  <c r="G1536" i="17"/>
  <c r="E1537" i="17"/>
  <c r="F1537" i="17"/>
  <c r="G1537" i="17"/>
  <c r="E1538" i="17"/>
  <c r="F1538" i="17"/>
  <c r="G1538" i="17"/>
  <c r="E1539" i="17"/>
  <c r="F1539" i="17"/>
  <c r="G1539" i="17"/>
  <c r="E1540" i="17"/>
  <c r="F1540" i="17"/>
  <c r="G1540" i="17"/>
  <c r="E1541" i="17"/>
  <c r="F1541" i="17"/>
  <c r="G1541" i="17"/>
  <c r="E1542" i="17"/>
  <c r="F1542" i="17"/>
  <c r="G1542" i="17"/>
  <c r="E1543" i="17"/>
  <c r="F1543" i="17"/>
  <c r="G1543" i="17"/>
  <c r="E1544" i="17"/>
  <c r="F1544" i="17"/>
  <c r="G1544" i="17"/>
  <c r="E1545" i="17"/>
  <c r="F1545" i="17"/>
  <c r="G1545" i="17"/>
  <c r="E1546" i="17"/>
  <c r="F1546" i="17"/>
  <c r="G1546" i="17"/>
  <c r="E1547" i="17"/>
  <c r="F1547" i="17"/>
  <c r="G1547" i="17"/>
  <c r="E1548" i="17"/>
  <c r="F1548" i="17"/>
  <c r="G1548" i="17"/>
  <c r="E1549" i="17"/>
  <c r="F1549" i="17"/>
  <c r="G1549" i="17"/>
  <c r="E1550" i="17"/>
  <c r="F1550" i="17"/>
  <c r="G1550" i="17"/>
  <c r="E1551" i="17"/>
  <c r="F1551" i="17"/>
  <c r="G1551" i="17"/>
  <c r="E1552" i="17"/>
  <c r="F1552" i="17"/>
  <c r="G1552" i="17"/>
  <c r="E1553" i="17"/>
  <c r="F1553" i="17"/>
  <c r="G1553" i="17"/>
  <c r="E1554" i="17"/>
  <c r="F1554" i="17"/>
  <c r="G1554" i="17"/>
  <c r="E1555" i="17"/>
  <c r="F1555" i="17"/>
  <c r="G1555" i="17"/>
  <c r="E1556" i="17"/>
  <c r="F1556" i="17"/>
  <c r="G1556" i="17"/>
  <c r="E1557" i="17"/>
  <c r="F1557" i="17"/>
  <c r="G1557" i="17"/>
  <c r="E1558" i="17"/>
  <c r="F1558" i="17"/>
  <c r="G1558" i="17"/>
  <c r="E1559" i="17"/>
  <c r="F1559" i="17"/>
  <c r="G1559" i="17"/>
  <c r="E1560" i="17"/>
  <c r="F1560" i="17"/>
  <c r="G1560" i="17"/>
  <c r="E1561" i="17"/>
  <c r="F1561" i="17"/>
  <c r="G1561" i="17"/>
  <c r="E1562" i="17"/>
  <c r="F1562" i="17"/>
  <c r="G1562" i="17"/>
  <c r="E1563" i="17"/>
  <c r="F1563" i="17"/>
  <c r="G1563" i="17"/>
  <c r="E1564" i="17"/>
  <c r="F1564" i="17"/>
  <c r="G1564" i="17"/>
  <c r="E1565" i="17"/>
  <c r="F1565" i="17"/>
  <c r="G1565" i="17"/>
  <c r="E1566" i="17"/>
  <c r="F1566" i="17"/>
  <c r="G1566" i="17"/>
  <c r="E1567" i="17"/>
  <c r="F1567" i="17"/>
  <c r="G1567" i="17"/>
  <c r="E1568" i="17"/>
  <c r="F1568" i="17"/>
  <c r="G1568" i="17"/>
  <c r="E1569" i="17"/>
  <c r="F1569" i="17"/>
  <c r="G1569" i="17"/>
  <c r="E1570" i="17"/>
  <c r="F1570" i="17"/>
  <c r="G1570" i="17"/>
  <c r="E1571" i="17"/>
  <c r="F1571" i="17"/>
  <c r="G1571" i="17"/>
  <c r="E1572" i="17"/>
  <c r="F1572" i="17"/>
  <c r="G1572" i="17"/>
  <c r="E1573" i="17"/>
  <c r="F1573" i="17"/>
  <c r="G1573" i="17"/>
  <c r="E1574" i="17"/>
  <c r="F1574" i="17"/>
  <c r="G1574" i="17"/>
  <c r="E1575" i="17"/>
  <c r="F1575" i="17"/>
  <c r="G1575" i="17"/>
  <c r="E1576" i="17"/>
  <c r="F1576" i="17"/>
  <c r="G1576" i="17"/>
  <c r="E1577" i="17"/>
  <c r="F1577" i="17"/>
  <c r="G1577" i="17"/>
  <c r="E1578" i="17"/>
  <c r="F1578" i="17"/>
  <c r="G1578" i="17"/>
  <c r="E1579" i="17"/>
  <c r="F1579" i="17"/>
  <c r="G1579" i="17"/>
  <c r="E1580" i="17"/>
  <c r="F1580" i="17"/>
  <c r="G1580" i="17"/>
  <c r="E1581" i="17"/>
  <c r="F1581" i="17"/>
  <c r="G1581" i="17"/>
  <c r="E1582" i="17"/>
  <c r="F1582" i="17"/>
  <c r="G1582" i="17"/>
  <c r="E1583" i="17"/>
  <c r="F1583" i="17"/>
  <c r="G1583" i="17"/>
  <c r="E1584" i="17"/>
  <c r="F1584" i="17"/>
  <c r="G1584" i="17"/>
  <c r="E1585" i="17"/>
  <c r="F1585" i="17"/>
  <c r="G1585" i="17"/>
  <c r="E1586" i="17"/>
  <c r="F1586" i="17"/>
  <c r="G1586" i="17"/>
  <c r="E1587" i="17"/>
  <c r="F1587" i="17"/>
  <c r="G1587" i="17"/>
  <c r="E1588" i="17"/>
  <c r="F1588" i="17"/>
  <c r="G1588" i="17"/>
  <c r="E1589" i="17"/>
  <c r="F1589" i="17"/>
  <c r="G1589" i="17"/>
  <c r="E1590" i="17"/>
  <c r="F1590" i="17"/>
  <c r="G1590" i="17"/>
  <c r="E1591" i="17"/>
  <c r="F1591" i="17"/>
  <c r="G1591" i="17"/>
  <c r="E1592" i="17"/>
  <c r="F1592" i="17"/>
  <c r="G1592" i="17"/>
  <c r="E1593" i="17"/>
  <c r="F1593" i="17"/>
  <c r="G1593" i="17"/>
  <c r="E1594" i="17"/>
  <c r="F1594" i="17"/>
  <c r="G1594" i="17"/>
  <c r="E1595" i="17"/>
  <c r="F1595" i="17"/>
  <c r="G1595" i="17"/>
  <c r="E1596" i="17"/>
  <c r="F1596" i="17"/>
  <c r="G1596" i="17"/>
  <c r="E1597" i="17"/>
  <c r="F1597" i="17"/>
  <c r="G1597" i="17"/>
  <c r="E1598" i="17"/>
  <c r="F1598" i="17"/>
  <c r="G1598" i="17"/>
  <c r="E1599" i="17"/>
  <c r="F1599" i="17"/>
  <c r="G1599" i="17"/>
  <c r="E1600" i="17"/>
  <c r="F1600" i="17"/>
  <c r="G1600" i="17"/>
  <c r="E1601" i="17"/>
  <c r="F1601" i="17"/>
  <c r="G1601" i="17"/>
  <c r="E1602" i="17"/>
  <c r="F1602" i="17"/>
  <c r="G1602" i="17"/>
  <c r="E1603" i="17"/>
  <c r="F1603" i="17"/>
  <c r="G1603" i="17"/>
  <c r="E1604" i="17"/>
  <c r="F1604" i="17"/>
  <c r="G1604" i="17"/>
  <c r="E1605" i="17"/>
  <c r="F1605" i="17"/>
  <c r="G1605" i="17"/>
  <c r="E1606" i="17"/>
  <c r="F1606" i="17"/>
  <c r="G1606" i="17"/>
  <c r="E1607" i="17"/>
  <c r="F1607" i="17"/>
  <c r="G1607" i="17"/>
  <c r="E1608" i="17"/>
  <c r="F1608" i="17"/>
  <c r="G1608" i="17"/>
  <c r="E1609" i="17"/>
  <c r="F1609" i="17"/>
  <c r="G1609" i="17"/>
  <c r="E1610" i="17"/>
  <c r="F1610" i="17"/>
  <c r="G1610" i="17"/>
  <c r="E1611" i="17"/>
  <c r="F1611" i="17"/>
  <c r="G1611" i="17"/>
  <c r="E1612" i="17"/>
  <c r="F1612" i="17"/>
  <c r="G1612" i="17"/>
  <c r="E1613" i="17"/>
  <c r="F1613" i="17"/>
  <c r="G1613" i="17"/>
  <c r="E1614" i="17"/>
  <c r="F1614" i="17"/>
  <c r="G1614" i="17"/>
  <c r="E1615" i="17"/>
  <c r="F1615" i="17"/>
  <c r="G1615" i="17"/>
  <c r="E1616" i="17"/>
  <c r="F1616" i="17"/>
  <c r="G1616" i="17"/>
  <c r="E1617" i="17"/>
  <c r="F1617" i="17"/>
  <c r="G1617" i="17"/>
  <c r="E1618" i="17"/>
  <c r="F1618" i="17"/>
  <c r="G1618" i="17"/>
  <c r="E1619" i="17"/>
  <c r="F1619" i="17"/>
  <c r="G1619" i="17"/>
  <c r="E1620" i="17"/>
  <c r="F1620" i="17"/>
  <c r="G1620" i="17"/>
  <c r="E1621" i="17"/>
  <c r="F1621" i="17"/>
  <c r="G1621" i="17"/>
  <c r="E1622" i="17"/>
  <c r="F1622" i="17"/>
  <c r="G1622" i="17"/>
  <c r="E1623" i="17"/>
  <c r="F1623" i="17"/>
  <c r="G1623" i="17"/>
  <c r="E1624" i="17"/>
  <c r="F1624" i="17"/>
  <c r="G1624" i="17"/>
  <c r="E1625" i="17"/>
  <c r="F1625" i="17"/>
  <c r="G1625" i="17"/>
  <c r="E1626" i="17"/>
  <c r="F1626" i="17"/>
  <c r="G1626" i="17"/>
  <c r="E1627" i="17"/>
  <c r="F1627" i="17"/>
  <c r="G1627" i="17"/>
  <c r="E1628" i="17"/>
  <c r="F1628" i="17"/>
  <c r="G1628" i="17"/>
  <c r="E1629" i="17"/>
  <c r="F1629" i="17"/>
  <c r="G1629" i="17"/>
  <c r="E1630" i="17"/>
  <c r="F1630" i="17"/>
  <c r="G1630" i="17"/>
  <c r="E1631" i="17"/>
  <c r="F1631" i="17"/>
  <c r="G1631" i="17"/>
  <c r="E1632" i="17"/>
  <c r="F1632" i="17"/>
  <c r="G1632" i="17"/>
  <c r="E1633" i="17"/>
  <c r="F1633" i="17"/>
  <c r="G1633" i="17"/>
  <c r="E1634" i="17"/>
  <c r="F1634" i="17"/>
  <c r="G1634" i="17"/>
  <c r="E1635" i="17"/>
  <c r="F1635" i="17"/>
  <c r="G1635" i="17"/>
  <c r="E1636" i="17"/>
  <c r="F1636" i="17"/>
  <c r="G1636" i="17"/>
  <c r="E1637" i="17"/>
  <c r="F1637" i="17"/>
  <c r="G1637" i="17"/>
  <c r="E1638" i="17"/>
  <c r="F1638" i="17"/>
  <c r="G1638" i="17"/>
  <c r="E1639" i="17"/>
  <c r="F1639" i="17"/>
  <c r="G1639" i="17"/>
  <c r="E1640" i="17"/>
  <c r="F1640" i="17"/>
  <c r="G1640" i="17"/>
  <c r="E1641" i="17"/>
  <c r="F1641" i="17"/>
  <c r="G1641" i="17"/>
  <c r="E1642" i="17"/>
  <c r="F1642" i="17"/>
  <c r="G1642" i="17"/>
  <c r="E1643" i="17"/>
  <c r="F1643" i="17"/>
  <c r="G1643" i="17"/>
  <c r="E1644" i="17"/>
  <c r="F1644" i="17"/>
  <c r="G1644" i="17"/>
  <c r="E1645" i="17"/>
  <c r="F1645" i="17"/>
  <c r="G1645" i="17"/>
  <c r="E1646" i="17"/>
  <c r="F1646" i="17"/>
  <c r="G1646" i="17"/>
  <c r="E1647" i="17"/>
  <c r="F1647" i="17"/>
  <c r="G1647" i="17"/>
  <c r="E1648" i="17"/>
  <c r="F1648" i="17"/>
  <c r="G1648" i="17"/>
  <c r="E1649" i="17"/>
  <c r="F1649" i="17"/>
  <c r="G1649" i="17"/>
  <c r="E1650" i="17"/>
  <c r="F1650" i="17"/>
  <c r="G1650" i="17"/>
  <c r="E1651" i="17"/>
  <c r="F1651" i="17"/>
  <c r="G1651" i="17"/>
  <c r="E1652" i="17"/>
  <c r="F1652" i="17"/>
  <c r="G1652" i="17"/>
  <c r="E1653" i="17"/>
  <c r="F1653" i="17"/>
  <c r="G1653" i="17"/>
  <c r="E1654" i="17"/>
  <c r="F1654" i="17"/>
  <c r="G1654" i="17"/>
  <c r="E1655" i="17"/>
  <c r="F1655" i="17"/>
  <c r="G1655" i="17"/>
  <c r="E1656" i="17"/>
  <c r="F1656" i="17"/>
  <c r="G1656" i="17"/>
  <c r="E1657" i="17"/>
  <c r="F1657" i="17"/>
  <c r="G1657" i="17"/>
  <c r="E1658" i="17"/>
  <c r="F1658" i="17"/>
  <c r="G1658" i="17"/>
  <c r="E1659" i="17"/>
  <c r="F1659" i="17"/>
  <c r="G1659" i="17"/>
  <c r="E1660" i="17"/>
  <c r="F1660" i="17"/>
  <c r="G1660" i="17"/>
  <c r="E1661" i="17"/>
  <c r="F1661" i="17"/>
  <c r="G1661" i="17"/>
  <c r="E1662" i="17"/>
  <c r="F1662" i="17"/>
  <c r="G1662" i="17"/>
  <c r="E1663" i="17"/>
  <c r="F1663" i="17"/>
  <c r="G1663" i="17"/>
  <c r="E1664" i="17"/>
  <c r="F1664" i="17"/>
  <c r="G1664" i="17"/>
  <c r="E1665" i="17"/>
  <c r="F1665" i="17"/>
  <c r="G1665" i="17"/>
  <c r="E1666" i="17"/>
  <c r="F1666" i="17"/>
  <c r="G1666" i="17"/>
  <c r="E1667" i="17"/>
  <c r="F1667" i="17"/>
  <c r="G1667" i="17"/>
  <c r="E1668" i="17"/>
  <c r="F1668" i="17"/>
  <c r="G1668" i="17"/>
  <c r="E1669" i="17"/>
  <c r="F1669" i="17"/>
  <c r="G1669" i="17"/>
  <c r="E1670" i="17"/>
  <c r="F1670" i="17"/>
  <c r="G1670" i="17"/>
  <c r="E1671" i="17"/>
  <c r="F1671" i="17"/>
  <c r="G1671" i="17"/>
  <c r="E1672" i="17"/>
  <c r="F1672" i="17"/>
  <c r="G1672" i="17"/>
  <c r="E1673" i="17"/>
  <c r="F1673" i="17"/>
  <c r="G1673" i="17"/>
  <c r="E1674" i="17"/>
  <c r="F1674" i="17"/>
  <c r="G1674" i="17"/>
  <c r="E1675" i="17"/>
  <c r="F1675" i="17"/>
  <c r="G1675" i="17"/>
  <c r="E1676" i="17"/>
  <c r="F1676" i="17"/>
  <c r="G1676" i="17"/>
  <c r="E1677" i="17"/>
  <c r="F1677" i="17"/>
  <c r="G1677" i="17"/>
  <c r="E1678" i="17"/>
  <c r="F1678" i="17"/>
  <c r="G1678" i="17"/>
  <c r="E1679" i="17"/>
  <c r="F1679" i="17"/>
  <c r="G1679" i="17"/>
  <c r="E1680" i="17"/>
  <c r="F1680" i="17"/>
  <c r="G1680" i="17"/>
  <c r="E1681" i="17"/>
  <c r="F1681" i="17"/>
  <c r="G1681" i="17"/>
  <c r="E1682" i="17"/>
  <c r="F1682" i="17"/>
  <c r="G1682" i="17"/>
  <c r="E1683" i="17"/>
  <c r="F1683" i="17"/>
  <c r="G1683" i="17"/>
  <c r="E1684" i="17"/>
  <c r="F1684" i="17"/>
  <c r="G1684" i="17"/>
  <c r="E1685" i="17"/>
  <c r="F1685" i="17"/>
  <c r="G1685" i="17"/>
  <c r="E1686" i="17"/>
  <c r="F1686" i="17"/>
  <c r="G1686" i="17"/>
  <c r="E1687" i="17"/>
  <c r="F1687" i="17"/>
  <c r="G1687" i="17"/>
  <c r="E1688" i="17"/>
  <c r="F1688" i="17"/>
  <c r="G1688" i="17"/>
  <c r="E1689" i="17"/>
  <c r="F1689" i="17"/>
  <c r="G1689" i="17"/>
  <c r="E1690" i="17"/>
  <c r="F1690" i="17"/>
  <c r="G1690" i="17"/>
  <c r="E1691" i="17"/>
  <c r="F1691" i="17"/>
  <c r="G1691" i="17"/>
  <c r="E1692" i="17"/>
  <c r="F1692" i="17"/>
  <c r="G1692" i="17"/>
  <c r="E1693" i="17"/>
  <c r="F1693" i="17"/>
  <c r="G1693" i="17"/>
  <c r="E1694" i="17"/>
  <c r="F1694" i="17"/>
  <c r="G1694" i="17"/>
  <c r="E1695" i="17"/>
  <c r="F1695" i="17"/>
  <c r="G1695" i="17"/>
  <c r="E1696" i="17"/>
  <c r="F1696" i="17"/>
  <c r="G1696" i="17"/>
  <c r="E1697" i="17"/>
  <c r="F1697" i="17"/>
  <c r="G1697" i="17"/>
  <c r="E1698" i="17"/>
  <c r="F1698" i="17"/>
  <c r="G1698" i="17"/>
  <c r="E1699" i="17"/>
  <c r="F1699" i="17"/>
  <c r="G1699" i="17"/>
  <c r="E1700" i="17"/>
  <c r="F1700" i="17"/>
  <c r="G1700" i="17"/>
  <c r="E1701" i="17"/>
  <c r="F1701" i="17"/>
  <c r="G1701" i="17"/>
  <c r="E1702" i="17"/>
  <c r="F1702" i="17"/>
  <c r="G1702" i="17"/>
  <c r="E1703" i="17"/>
  <c r="F1703" i="17"/>
  <c r="G1703" i="17"/>
  <c r="E1704" i="17"/>
  <c r="F1704" i="17"/>
  <c r="G1704" i="17"/>
  <c r="E1705" i="17"/>
  <c r="F1705" i="17"/>
  <c r="G1705" i="17"/>
  <c r="E1706" i="17"/>
  <c r="F1706" i="17"/>
  <c r="G1706" i="17"/>
  <c r="E1707" i="17"/>
  <c r="F1707" i="17"/>
  <c r="G1707" i="17"/>
  <c r="E1708" i="17"/>
  <c r="F1708" i="17"/>
  <c r="G1708" i="17"/>
  <c r="E1709" i="17"/>
  <c r="F1709" i="17"/>
  <c r="G1709" i="17"/>
  <c r="E1710" i="17"/>
  <c r="F1710" i="17"/>
  <c r="G1710" i="17"/>
  <c r="E1711" i="17"/>
  <c r="F1711" i="17"/>
  <c r="G1711" i="17"/>
  <c r="E1712" i="17"/>
  <c r="F1712" i="17"/>
  <c r="G1712" i="17"/>
  <c r="E1713" i="17"/>
  <c r="F1713" i="17"/>
  <c r="G1713" i="17"/>
  <c r="E1714" i="17"/>
  <c r="F1714" i="17"/>
  <c r="G1714" i="17"/>
  <c r="E1715" i="17"/>
  <c r="F1715" i="17"/>
  <c r="G1715" i="17"/>
  <c r="E1716" i="17"/>
  <c r="F1716" i="17"/>
  <c r="G1716" i="17"/>
  <c r="E1717" i="17"/>
  <c r="F1717" i="17"/>
  <c r="G1717" i="17"/>
  <c r="E1718" i="17"/>
  <c r="F1718" i="17"/>
  <c r="G1718" i="17"/>
  <c r="E1719" i="17"/>
  <c r="F1719" i="17"/>
  <c r="G1719" i="17"/>
  <c r="E1720" i="17"/>
  <c r="F1720" i="17"/>
  <c r="G1720" i="17"/>
  <c r="E1721" i="17"/>
  <c r="F1721" i="17"/>
  <c r="G1721" i="17"/>
  <c r="E1722" i="17"/>
  <c r="F1722" i="17"/>
  <c r="G1722" i="17"/>
  <c r="E1723" i="17"/>
  <c r="F1723" i="17"/>
  <c r="G1723" i="17"/>
  <c r="E1724" i="17"/>
  <c r="F1724" i="17"/>
  <c r="G1724" i="17"/>
  <c r="E1725" i="17"/>
  <c r="F1725" i="17"/>
  <c r="G1725" i="17"/>
  <c r="E1726" i="17"/>
  <c r="F1726" i="17"/>
  <c r="G1726" i="17"/>
  <c r="E1727" i="17"/>
  <c r="F1727" i="17"/>
  <c r="G1727" i="17"/>
  <c r="E1728" i="17"/>
  <c r="F1728" i="17"/>
  <c r="G1728" i="17"/>
  <c r="E1729" i="17"/>
  <c r="F1729" i="17"/>
  <c r="G1729" i="17"/>
  <c r="E1730" i="17"/>
  <c r="F1730" i="17"/>
  <c r="G1730" i="17"/>
  <c r="E1731" i="17"/>
  <c r="F1731" i="17"/>
  <c r="G1731" i="17"/>
  <c r="E1732" i="17"/>
  <c r="F1732" i="17"/>
  <c r="G1732" i="17"/>
  <c r="E1733" i="17"/>
  <c r="F1733" i="17"/>
  <c r="G1733" i="17"/>
  <c r="E1734" i="17"/>
  <c r="F1734" i="17"/>
  <c r="G1734" i="17"/>
  <c r="E1735" i="17"/>
  <c r="F1735" i="17"/>
  <c r="G1735" i="17"/>
  <c r="E1736" i="17"/>
  <c r="F1736" i="17"/>
  <c r="G1736" i="17"/>
  <c r="E1737" i="17"/>
  <c r="F1737" i="17"/>
  <c r="G1737" i="17"/>
  <c r="E1738" i="17"/>
  <c r="F1738" i="17"/>
  <c r="G1738" i="17"/>
  <c r="E1739" i="17"/>
  <c r="F1739" i="17"/>
  <c r="G1739" i="17"/>
  <c r="E1740" i="17"/>
  <c r="F1740" i="17"/>
  <c r="G1740" i="17"/>
  <c r="E1741" i="17"/>
  <c r="F1741" i="17"/>
  <c r="G1741" i="17"/>
  <c r="E1742" i="17"/>
  <c r="F1742" i="17"/>
  <c r="G1742" i="17"/>
  <c r="E1743" i="17"/>
  <c r="F1743" i="17"/>
  <c r="G1743" i="17"/>
  <c r="E1744" i="17"/>
  <c r="F1744" i="17"/>
  <c r="G1744" i="17"/>
  <c r="E1745" i="17"/>
  <c r="F1745" i="17"/>
  <c r="G1745" i="17"/>
  <c r="E1746" i="17"/>
  <c r="F1746" i="17"/>
  <c r="G1746" i="17"/>
  <c r="E1747" i="17"/>
  <c r="F1747" i="17"/>
  <c r="G1747" i="17"/>
  <c r="E1748" i="17"/>
  <c r="F1748" i="17"/>
  <c r="G1748" i="17"/>
  <c r="E1749" i="17"/>
  <c r="F1749" i="17"/>
  <c r="G1749" i="17"/>
  <c r="E1750" i="17"/>
  <c r="F1750" i="17"/>
  <c r="G1750" i="17"/>
  <c r="E1751" i="17"/>
  <c r="F1751" i="17"/>
  <c r="G1751" i="17"/>
  <c r="E1752" i="17"/>
  <c r="F1752" i="17"/>
  <c r="G1752" i="17"/>
  <c r="E1753" i="17"/>
  <c r="F1753" i="17"/>
  <c r="G1753" i="17"/>
  <c r="E1754" i="17"/>
  <c r="F1754" i="17"/>
  <c r="G1754" i="17"/>
  <c r="E1755" i="17"/>
  <c r="F1755" i="17"/>
  <c r="G1755" i="17"/>
  <c r="E1756" i="17"/>
  <c r="F1756" i="17"/>
  <c r="G1756" i="17"/>
  <c r="E1757" i="17"/>
  <c r="F1757" i="17"/>
  <c r="G1757" i="17"/>
  <c r="E1758" i="17"/>
  <c r="F1758" i="17"/>
  <c r="G1758" i="17"/>
  <c r="E1759" i="17"/>
  <c r="F1759" i="17"/>
  <c r="G1759" i="17"/>
  <c r="E1760" i="17"/>
  <c r="F1760" i="17"/>
  <c r="G1760" i="17"/>
  <c r="E1761" i="17"/>
  <c r="F1761" i="17"/>
  <c r="G1761" i="17"/>
  <c r="E1762" i="17"/>
  <c r="F1762" i="17"/>
  <c r="G1762" i="17"/>
  <c r="E1763" i="17"/>
  <c r="F1763" i="17"/>
  <c r="G1763" i="17"/>
  <c r="E1764" i="17"/>
  <c r="F1764" i="17"/>
  <c r="G1764" i="17"/>
  <c r="E1765" i="17"/>
  <c r="F1765" i="17"/>
  <c r="G1765" i="17"/>
  <c r="E1766" i="17"/>
  <c r="F1766" i="17"/>
  <c r="G1766" i="17"/>
  <c r="E1767" i="17"/>
  <c r="F1767" i="17"/>
  <c r="G1767" i="17"/>
  <c r="E1768" i="17"/>
  <c r="F1768" i="17"/>
  <c r="G1768" i="17"/>
  <c r="E1769" i="17"/>
  <c r="F1769" i="17"/>
  <c r="G1769" i="17"/>
  <c r="E1770" i="17"/>
  <c r="F1770" i="17"/>
  <c r="G1770" i="17"/>
  <c r="E1771" i="17"/>
  <c r="F1771" i="17"/>
  <c r="G1771" i="17"/>
  <c r="E1772" i="17"/>
  <c r="F1772" i="17"/>
  <c r="G1772" i="17"/>
  <c r="E1773" i="17"/>
  <c r="F1773" i="17"/>
  <c r="G1773" i="17"/>
  <c r="E1774" i="17"/>
  <c r="F1774" i="17"/>
  <c r="G1774" i="17"/>
  <c r="E1775" i="17"/>
  <c r="F1775" i="17"/>
  <c r="G1775" i="17"/>
  <c r="E1776" i="17"/>
  <c r="F1776" i="17"/>
  <c r="G1776" i="17"/>
  <c r="E1777" i="17"/>
  <c r="F1777" i="17"/>
  <c r="G1777" i="17"/>
  <c r="E1778" i="17"/>
  <c r="F1778" i="17"/>
  <c r="G1778" i="17"/>
  <c r="E1779" i="17"/>
  <c r="F1779" i="17"/>
  <c r="G1779" i="17"/>
  <c r="E1780" i="17"/>
  <c r="F1780" i="17"/>
  <c r="G1780" i="17"/>
  <c r="E1781" i="17"/>
  <c r="F1781" i="17"/>
  <c r="G1781" i="17"/>
  <c r="E1782" i="17"/>
  <c r="F1782" i="17"/>
  <c r="G1782" i="17"/>
  <c r="E1783" i="17"/>
  <c r="F1783" i="17"/>
  <c r="G1783" i="17"/>
  <c r="E1784" i="17"/>
  <c r="F1784" i="17"/>
  <c r="G1784" i="17"/>
  <c r="E1785" i="17"/>
  <c r="F1785" i="17"/>
  <c r="G1785" i="17"/>
  <c r="E1786" i="17"/>
  <c r="F1786" i="17"/>
  <c r="G1786" i="17"/>
  <c r="E1787" i="17"/>
  <c r="F1787" i="17"/>
  <c r="G1787" i="17"/>
  <c r="E1788" i="17"/>
  <c r="F1788" i="17"/>
  <c r="G1788" i="17"/>
  <c r="E1789" i="17"/>
  <c r="F1789" i="17"/>
  <c r="G1789" i="17"/>
  <c r="E1790" i="17"/>
  <c r="F1790" i="17"/>
  <c r="G1790" i="17"/>
  <c r="E1791" i="17"/>
  <c r="F1791" i="17"/>
  <c r="G1791" i="17"/>
  <c r="E1792" i="17"/>
  <c r="F1792" i="17"/>
  <c r="G1792" i="17"/>
  <c r="E1793" i="17"/>
  <c r="F1793" i="17"/>
  <c r="G1793" i="17"/>
  <c r="E1794" i="17"/>
  <c r="F1794" i="17"/>
  <c r="G1794" i="17"/>
  <c r="E1795" i="17"/>
  <c r="F1795" i="17"/>
  <c r="G1795" i="17"/>
  <c r="E1796" i="17"/>
  <c r="F1796" i="17"/>
  <c r="G1796" i="17"/>
  <c r="E1797" i="17"/>
  <c r="F1797" i="17"/>
  <c r="G1797" i="17"/>
  <c r="E1798" i="17"/>
  <c r="F1798" i="17"/>
  <c r="G1798" i="17"/>
  <c r="E1799" i="17"/>
  <c r="F1799" i="17"/>
  <c r="G1799" i="17"/>
  <c r="E1800" i="17"/>
  <c r="F1800" i="17"/>
  <c r="G1800" i="17"/>
  <c r="E1801" i="17"/>
  <c r="F1801" i="17"/>
  <c r="G1801" i="17"/>
  <c r="E1802" i="17"/>
  <c r="F1802" i="17"/>
  <c r="G1802" i="17"/>
  <c r="E1803" i="17"/>
  <c r="F1803" i="17"/>
  <c r="G1803" i="17"/>
  <c r="E1804" i="17"/>
  <c r="F1804" i="17"/>
  <c r="G1804" i="17"/>
  <c r="E1805" i="17"/>
  <c r="F1805" i="17"/>
  <c r="G1805" i="17"/>
  <c r="E1806" i="17"/>
  <c r="F1806" i="17"/>
  <c r="G1806" i="17"/>
  <c r="E1807" i="17"/>
  <c r="F1807" i="17"/>
  <c r="G1807" i="17"/>
  <c r="E1808" i="17"/>
  <c r="F1808" i="17"/>
  <c r="G1808" i="17"/>
  <c r="E1809" i="17"/>
  <c r="F1809" i="17"/>
  <c r="G1809" i="17"/>
  <c r="E1810" i="17"/>
  <c r="F1810" i="17"/>
  <c r="G1810" i="17"/>
  <c r="E1811" i="17"/>
  <c r="F1811" i="17"/>
  <c r="G1811" i="17"/>
  <c r="E1812" i="17"/>
  <c r="F1812" i="17"/>
  <c r="G1812" i="17"/>
  <c r="E1813" i="17"/>
  <c r="F1813" i="17"/>
  <c r="G1813" i="17"/>
  <c r="E1814" i="17"/>
  <c r="F1814" i="17"/>
  <c r="G1814" i="17"/>
  <c r="E1815" i="17"/>
  <c r="F1815" i="17"/>
  <c r="G1815" i="17"/>
  <c r="E1816" i="17"/>
  <c r="F1816" i="17"/>
  <c r="G1816" i="17"/>
  <c r="E1817" i="17"/>
  <c r="F1817" i="17"/>
  <c r="G1817" i="17"/>
  <c r="E1818" i="17"/>
  <c r="F1818" i="17"/>
  <c r="G1818" i="17"/>
  <c r="E1819" i="17"/>
  <c r="F1819" i="17"/>
  <c r="G1819" i="17"/>
  <c r="E1820" i="17"/>
  <c r="F1820" i="17"/>
  <c r="G1820" i="17"/>
  <c r="E1821" i="17"/>
  <c r="F1821" i="17"/>
  <c r="G1821" i="17"/>
  <c r="E1822" i="17"/>
  <c r="F1822" i="17"/>
  <c r="G1822" i="17"/>
  <c r="E1823" i="17"/>
  <c r="F1823" i="17"/>
  <c r="G1823" i="17"/>
  <c r="E1824" i="17"/>
  <c r="F1824" i="17"/>
  <c r="G1824" i="17"/>
  <c r="E1825" i="17"/>
  <c r="F1825" i="17"/>
  <c r="G1825" i="17"/>
  <c r="E1826" i="17"/>
  <c r="F1826" i="17"/>
  <c r="G1826" i="17"/>
  <c r="E1827" i="17"/>
  <c r="F1827" i="17"/>
  <c r="G1827" i="17"/>
  <c r="E1828" i="17"/>
  <c r="F1828" i="17"/>
  <c r="G1828" i="17"/>
  <c r="E1829" i="17"/>
  <c r="F1829" i="17"/>
  <c r="G1829" i="17"/>
  <c r="E1830" i="17"/>
  <c r="F1830" i="17"/>
  <c r="G1830" i="17"/>
  <c r="E1831" i="17"/>
  <c r="F1831" i="17"/>
  <c r="G1831" i="17"/>
  <c r="E1832" i="17"/>
  <c r="F1832" i="17"/>
  <c r="G1832" i="17"/>
  <c r="E1833" i="17"/>
  <c r="F1833" i="17"/>
  <c r="G1833" i="17"/>
  <c r="E1834" i="17"/>
  <c r="F1834" i="17"/>
  <c r="G1834" i="17"/>
  <c r="E1835" i="17"/>
  <c r="F1835" i="17"/>
  <c r="G1835" i="17"/>
  <c r="E1836" i="17"/>
  <c r="F1836" i="17"/>
  <c r="G1836" i="17"/>
  <c r="E1837" i="17"/>
  <c r="F1837" i="17"/>
  <c r="G1837" i="17"/>
  <c r="E1838" i="17"/>
  <c r="F1838" i="17"/>
  <c r="G1838" i="17"/>
  <c r="E1839" i="17"/>
  <c r="F1839" i="17"/>
  <c r="G1839" i="17"/>
  <c r="E1840" i="17"/>
  <c r="F1840" i="17"/>
  <c r="G1840" i="17"/>
  <c r="E1841" i="17"/>
  <c r="F1841" i="17"/>
  <c r="G1841" i="17"/>
  <c r="E1842" i="17"/>
  <c r="F1842" i="17"/>
  <c r="G1842" i="17"/>
  <c r="E1843" i="17"/>
  <c r="F1843" i="17"/>
  <c r="G1843" i="17"/>
  <c r="E1844" i="17"/>
  <c r="F1844" i="17"/>
  <c r="G1844" i="17"/>
  <c r="E1878" i="17"/>
  <c r="E1877" i="17"/>
  <c r="C1312" i="33"/>
  <c r="F1312" i="33"/>
  <c r="G1312" i="33"/>
  <c r="J1312" i="33"/>
  <c r="K1312" i="33"/>
  <c r="L1312" i="33"/>
  <c r="M1312" i="33"/>
  <c r="N1312" i="33"/>
  <c r="O1312" i="33"/>
  <c r="P1312" i="33"/>
  <c r="Q1312" i="33"/>
  <c r="R1312" i="33"/>
  <c r="E1876" i="17"/>
  <c r="I1876" i="17" s="1"/>
  <c r="L1876" i="17" s="1"/>
  <c r="C1311" i="33"/>
  <c r="F1311" i="33"/>
  <c r="G1311" i="33"/>
  <c r="J1311" i="33"/>
  <c r="K1311" i="33"/>
  <c r="L1311" i="33"/>
  <c r="M1311" i="33"/>
  <c r="N1311" i="33"/>
  <c r="O1311" i="33"/>
  <c r="P1311" i="33"/>
  <c r="Q1311" i="33"/>
  <c r="R1311" i="33"/>
  <c r="E1875" i="17"/>
  <c r="E1874" i="17"/>
  <c r="C1310" i="33"/>
  <c r="F1310" i="33"/>
  <c r="G1310" i="33"/>
  <c r="J1310" i="33"/>
  <c r="K1310" i="33"/>
  <c r="L1310" i="33"/>
  <c r="M1310" i="33"/>
  <c r="N1310" i="33"/>
  <c r="O1310" i="33"/>
  <c r="P1310" i="33"/>
  <c r="Q1310" i="33"/>
  <c r="R1310" i="33"/>
  <c r="E1873" i="17"/>
  <c r="I1873" i="17" s="1"/>
  <c r="L1873" i="17" s="1"/>
  <c r="C1309" i="33"/>
  <c r="F1309" i="33"/>
  <c r="G1309" i="33"/>
  <c r="J1309" i="33"/>
  <c r="K1309" i="33"/>
  <c r="L1309" i="33"/>
  <c r="M1309" i="33"/>
  <c r="N1309" i="33"/>
  <c r="O1309" i="33"/>
  <c r="P1309" i="33"/>
  <c r="Q1309" i="33"/>
  <c r="R1309" i="33"/>
  <c r="E1872" i="17"/>
  <c r="E1871" i="17"/>
  <c r="I1872" i="17"/>
  <c r="L1872" i="17" s="1"/>
  <c r="C1944" i="17"/>
  <c r="C1308" i="33"/>
  <c r="F1308" i="33"/>
  <c r="G1308" i="33"/>
  <c r="J1308" i="33"/>
  <c r="K1308" i="33"/>
  <c r="L1308" i="33"/>
  <c r="M1308" i="33"/>
  <c r="N1308" i="33"/>
  <c r="O1308" i="33"/>
  <c r="P1308" i="33"/>
  <c r="Q1308" i="33"/>
  <c r="R1308" i="33"/>
  <c r="E1870" i="17"/>
  <c r="E1869" i="17"/>
  <c r="I1870" i="17" s="1"/>
  <c r="L1870" i="17" s="1"/>
  <c r="C1307" i="33"/>
  <c r="F1307" i="33"/>
  <c r="G1307" i="33"/>
  <c r="J1307" i="33"/>
  <c r="K1307" i="33"/>
  <c r="L1307" i="33"/>
  <c r="M1307" i="33"/>
  <c r="N1307" i="33"/>
  <c r="O1307" i="33"/>
  <c r="P1307" i="33"/>
  <c r="Q1307" i="33"/>
  <c r="R1307" i="33"/>
  <c r="E1868" i="17"/>
  <c r="E1867" i="17"/>
  <c r="E1866" i="17"/>
  <c r="E1865" i="17"/>
  <c r="C1305" i="33"/>
  <c r="C1306" i="33"/>
  <c r="F1305" i="33"/>
  <c r="F1306" i="33"/>
  <c r="G1305" i="33"/>
  <c r="G1306" i="33"/>
  <c r="J1305" i="33"/>
  <c r="J1306" i="33"/>
  <c r="K1305" i="33"/>
  <c r="K1306" i="33"/>
  <c r="L1305" i="33"/>
  <c r="L1306" i="33"/>
  <c r="M1305" i="33"/>
  <c r="M1306" i="33"/>
  <c r="N1305" i="33"/>
  <c r="N1306" i="33"/>
  <c r="O1305" i="33"/>
  <c r="O1306" i="33"/>
  <c r="P1305" i="33"/>
  <c r="P1306" i="33"/>
  <c r="Q1305" i="33"/>
  <c r="Q1306" i="33"/>
  <c r="R1305" i="33"/>
  <c r="R1306" i="33"/>
  <c r="E1864" i="17"/>
  <c r="E1863" i="17"/>
  <c r="I1864" i="17"/>
  <c r="L1864" i="17" s="1"/>
  <c r="C1304" i="33"/>
  <c r="F1304" i="33"/>
  <c r="G1304" i="33"/>
  <c r="J1304" i="33"/>
  <c r="K1304" i="33"/>
  <c r="L1304" i="33"/>
  <c r="M1304" i="33"/>
  <c r="N1304" i="33"/>
  <c r="O1304" i="33"/>
  <c r="P1304" i="33"/>
  <c r="Q1304" i="33"/>
  <c r="R1304" i="33"/>
  <c r="E1862" i="17"/>
  <c r="E1861" i="17"/>
  <c r="I1862" i="17"/>
  <c r="L1862" i="17" s="1"/>
  <c r="C1303" i="33"/>
  <c r="F1303" i="33"/>
  <c r="G1303" i="33"/>
  <c r="J1303" i="33"/>
  <c r="K1303" i="33"/>
  <c r="L1303" i="33"/>
  <c r="M1303" i="33"/>
  <c r="N1303" i="33"/>
  <c r="O1303" i="33"/>
  <c r="P1303" i="33"/>
  <c r="Q1303" i="33"/>
  <c r="R1303" i="33"/>
  <c r="E1860" i="17"/>
  <c r="E1859" i="17"/>
  <c r="E1858" i="17"/>
  <c r="J1870" i="17" s="1"/>
  <c r="C1943" i="17"/>
  <c r="I1860" i="17"/>
  <c r="L1860" i="17" s="1"/>
  <c r="C1302" i="33"/>
  <c r="F1302" i="33"/>
  <c r="G1302" i="33"/>
  <c r="J1302" i="33"/>
  <c r="K1302" i="33"/>
  <c r="L1302" i="33"/>
  <c r="M1302" i="33"/>
  <c r="N1302" i="33"/>
  <c r="O1302" i="33"/>
  <c r="P1302" i="33"/>
  <c r="Q1302" i="33"/>
  <c r="R1302" i="33"/>
  <c r="C1301" i="33"/>
  <c r="F1301" i="33"/>
  <c r="G1301" i="33"/>
  <c r="J1301" i="33"/>
  <c r="K1301" i="33"/>
  <c r="L1301" i="33"/>
  <c r="M1301" i="33"/>
  <c r="N1301" i="33"/>
  <c r="O1301" i="33"/>
  <c r="P1301" i="33"/>
  <c r="Q1301" i="33"/>
  <c r="R1301" i="33"/>
  <c r="E1857" i="17"/>
  <c r="E1856" i="17"/>
  <c r="E1855" i="17"/>
  <c r="I1857" i="17"/>
  <c r="L1857" i="17" s="1"/>
  <c r="C1300" i="33"/>
  <c r="F1300" i="33"/>
  <c r="G1300" i="33"/>
  <c r="J1300" i="33"/>
  <c r="K1300" i="33"/>
  <c r="L1300" i="33"/>
  <c r="M1300" i="33"/>
  <c r="N1300" i="33"/>
  <c r="O1300" i="33"/>
  <c r="P1300" i="33"/>
  <c r="Q1300" i="33"/>
  <c r="R1300" i="33"/>
  <c r="C1299" i="33"/>
  <c r="F1299" i="33"/>
  <c r="G1299" i="33"/>
  <c r="J1299" i="33"/>
  <c r="K1299" i="33"/>
  <c r="L1299" i="33"/>
  <c r="M1299" i="33"/>
  <c r="N1299" i="33"/>
  <c r="O1299" i="33"/>
  <c r="P1299" i="33"/>
  <c r="Q1299" i="33"/>
  <c r="R1299" i="33"/>
  <c r="E1854" i="17"/>
  <c r="E1853" i="17"/>
  <c r="E1852" i="17"/>
  <c r="E1851" i="17"/>
  <c r="I1854" i="17"/>
  <c r="L1854" i="17" s="1"/>
  <c r="C1298" i="33"/>
  <c r="F1298" i="33"/>
  <c r="G1298" i="33"/>
  <c r="J1298" i="33"/>
  <c r="K1298" i="33"/>
  <c r="L1298" i="33"/>
  <c r="M1298" i="33"/>
  <c r="N1298" i="33"/>
  <c r="O1298" i="33"/>
  <c r="P1298" i="33"/>
  <c r="Q1298" i="33"/>
  <c r="R1298" i="33"/>
  <c r="C1297" i="33"/>
  <c r="F1297" i="33"/>
  <c r="G1297" i="33"/>
  <c r="J1297" i="33"/>
  <c r="K1297" i="33"/>
  <c r="L1297" i="33"/>
  <c r="M1297" i="33"/>
  <c r="N1297" i="33"/>
  <c r="O1297" i="33"/>
  <c r="P1297" i="33"/>
  <c r="Q1297" i="33"/>
  <c r="R1297" i="33"/>
  <c r="E1850" i="17"/>
  <c r="E1849" i="17"/>
  <c r="E1848" i="17"/>
  <c r="E1847" i="17"/>
  <c r="I1850" i="17" s="1"/>
  <c r="L1850" i="17" s="1"/>
  <c r="C1296" i="33"/>
  <c r="F1296" i="33"/>
  <c r="G1296" i="33"/>
  <c r="J1296" i="33"/>
  <c r="K1296" i="33"/>
  <c r="L1296" i="33"/>
  <c r="M1296" i="33"/>
  <c r="N1296" i="33"/>
  <c r="O1296" i="33"/>
  <c r="P1296" i="33"/>
  <c r="Q1296" i="33"/>
  <c r="R1296" i="33"/>
  <c r="C1295" i="33"/>
  <c r="F1295" i="33"/>
  <c r="G1295" i="33"/>
  <c r="J1295" i="33"/>
  <c r="K1295" i="33"/>
  <c r="L1295" i="33"/>
  <c r="M1295" i="33"/>
  <c r="N1295" i="33"/>
  <c r="O1295" i="33"/>
  <c r="P1295" i="33"/>
  <c r="Q1295" i="33"/>
  <c r="R1295" i="33"/>
  <c r="E1846" i="17"/>
  <c r="E1845" i="17"/>
  <c r="I1846" i="17"/>
  <c r="L1846" i="17" s="1"/>
  <c r="C1294" i="33"/>
  <c r="F1294" i="33"/>
  <c r="G1294" i="33"/>
  <c r="J1294" i="33"/>
  <c r="K1294" i="33"/>
  <c r="L1294" i="33"/>
  <c r="M1294" i="33"/>
  <c r="N1294" i="33"/>
  <c r="O1294" i="33"/>
  <c r="P1294" i="33"/>
  <c r="Q1294" i="33"/>
  <c r="R1294" i="33"/>
  <c r="C1293" i="33"/>
  <c r="F1293" i="33"/>
  <c r="G1293" i="33"/>
  <c r="J1293" i="33"/>
  <c r="K1293" i="33"/>
  <c r="L1293" i="33"/>
  <c r="M1293" i="33"/>
  <c r="N1293" i="33"/>
  <c r="O1293" i="33"/>
  <c r="P1293" i="33"/>
  <c r="Q1293" i="33"/>
  <c r="R1293" i="33"/>
  <c r="I1842" i="17"/>
  <c r="L1842" i="17" s="1"/>
  <c r="C1292" i="33"/>
  <c r="F1292" i="33"/>
  <c r="G1292" i="33"/>
  <c r="J1292" i="33"/>
  <c r="K1292" i="33"/>
  <c r="L1292" i="33"/>
  <c r="M1292" i="33"/>
  <c r="N1292" i="33"/>
  <c r="O1292" i="33"/>
  <c r="P1292" i="33"/>
  <c r="Q1292" i="33"/>
  <c r="R1292" i="33"/>
  <c r="C1291" i="33"/>
  <c r="F1291" i="33"/>
  <c r="G1291" i="33"/>
  <c r="J1291" i="33"/>
  <c r="K1291" i="33"/>
  <c r="L1291" i="33"/>
  <c r="M1291" i="33"/>
  <c r="N1291" i="33"/>
  <c r="O1291" i="33"/>
  <c r="P1291" i="33"/>
  <c r="Q1291" i="33"/>
  <c r="R1291" i="33"/>
  <c r="I1838" i="17"/>
  <c r="L1838" i="17" s="1"/>
  <c r="C1290" i="33"/>
  <c r="F1290" i="33"/>
  <c r="G1290" i="33"/>
  <c r="J1290" i="33"/>
  <c r="K1290" i="33"/>
  <c r="L1290" i="33"/>
  <c r="M1290" i="33"/>
  <c r="N1290" i="33"/>
  <c r="O1290" i="33"/>
  <c r="P1290" i="33"/>
  <c r="Q1290" i="33"/>
  <c r="R1290" i="33"/>
  <c r="C1289" i="33"/>
  <c r="F1289" i="33"/>
  <c r="G1289" i="33"/>
  <c r="J1289" i="33"/>
  <c r="K1289" i="33"/>
  <c r="L1289" i="33"/>
  <c r="M1289" i="33"/>
  <c r="N1289" i="33"/>
  <c r="O1289" i="33"/>
  <c r="P1289" i="33"/>
  <c r="Q1289" i="33"/>
  <c r="R1289" i="33"/>
  <c r="I1834" i="17"/>
  <c r="L1834" i="17"/>
  <c r="C1942" i="17"/>
  <c r="C1288" i="33"/>
  <c r="F1288" i="33"/>
  <c r="G1288" i="33"/>
  <c r="J1288" i="33"/>
  <c r="K1288" i="33"/>
  <c r="L1288" i="33"/>
  <c r="M1288" i="33"/>
  <c r="N1288" i="33"/>
  <c r="O1288" i="33"/>
  <c r="P1288" i="33"/>
  <c r="Q1288" i="33"/>
  <c r="R1288" i="33"/>
  <c r="C1287" i="33"/>
  <c r="F1287" i="33"/>
  <c r="G1287" i="33"/>
  <c r="J1287" i="33"/>
  <c r="K1287" i="33"/>
  <c r="L1287" i="33"/>
  <c r="M1287" i="33"/>
  <c r="N1287" i="33"/>
  <c r="O1287" i="33"/>
  <c r="P1287" i="33"/>
  <c r="Q1287" i="33"/>
  <c r="R1287" i="33"/>
  <c r="P1325" i="33"/>
  <c r="C1286" i="33"/>
  <c r="F1286" i="33"/>
  <c r="G1286" i="33"/>
  <c r="J1286" i="33"/>
  <c r="K1286" i="33"/>
  <c r="L1286" i="33"/>
  <c r="M1286" i="33"/>
  <c r="N1286" i="33"/>
  <c r="O1286" i="33"/>
  <c r="P1286" i="33"/>
  <c r="Q1286" i="33"/>
  <c r="R1286" i="33"/>
  <c r="C1285" i="33"/>
  <c r="F1285" i="33"/>
  <c r="G1285" i="33"/>
  <c r="J1285" i="33"/>
  <c r="K1285" i="33"/>
  <c r="L1285" i="33"/>
  <c r="M1285" i="33"/>
  <c r="N1285" i="33"/>
  <c r="O1285" i="33"/>
  <c r="P1285" i="33"/>
  <c r="Q1285" i="33"/>
  <c r="R1285" i="33"/>
  <c r="C1284" i="33"/>
  <c r="F1284" i="33"/>
  <c r="G1284" i="33"/>
  <c r="J1284" i="33"/>
  <c r="K1284" i="33"/>
  <c r="L1284" i="33"/>
  <c r="M1284" i="33"/>
  <c r="N1284" i="33"/>
  <c r="O1284" i="33"/>
  <c r="P1284" i="33"/>
  <c r="Q1284" i="33"/>
  <c r="R1284" i="33"/>
  <c r="I1826" i="17"/>
  <c r="L1826" i="17" s="1"/>
  <c r="C1282" i="33"/>
  <c r="C1283" i="33"/>
  <c r="F1282" i="33"/>
  <c r="F1283" i="33"/>
  <c r="G1282" i="33"/>
  <c r="G1283" i="33"/>
  <c r="J1282" i="33"/>
  <c r="J1283" i="33"/>
  <c r="K1282" i="33"/>
  <c r="K1283" i="33"/>
  <c r="L1282" i="33"/>
  <c r="L1283" i="33"/>
  <c r="M1282" i="33"/>
  <c r="M1283" i="33"/>
  <c r="N1282" i="33"/>
  <c r="N1283" i="33"/>
  <c r="O1282" i="33"/>
  <c r="O1283" i="33"/>
  <c r="P1282" i="33"/>
  <c r="P1283" i="33"/>
  <c r="Q1282" i="33"/>
  <c r="Q1283" i="33"/>
  <c r="R1282" i="33"/>
  <c r="R1283" i="33"/>
  <c r="C1281" i="33"/>
  <c r="F1281" i="33"/>
  <c r="G1281" i="33"/>
  <c r="J1281" i="33"/>
  <c r="K1281" i="33"/>
  <c r="L1281" i="33"/>
  <c r="M1281" i="33"/>
  <c r="N1281" i="33"/>
  <c r="O1281" i="33"/>
  <c r="P1281" i="33"/>
  <c r="Q1281" i="33"/>
  <c r="R1281" i="33"/>
  <c r="C1280" i="33"/>
  <c r="F1280" i="33"/>
  <c r="G1280" i="33"/>
  <c r="J1280" i="33"/>
  <c r="K1280" i="33"/>
  <c r="L1280" i="33"/>
  <c r="M1280" i="33"/>
  <c r="N1280" i="33"/>
  <c r="O1280" i="33"/>
  <c r="P1280" i="33"/>
  <c r="Q1280" i="33"/>
  <c r="R1280" i="33"/>
  <c r="C1279" i="33"/>
  <c r="F1279" i="33"/>
  <c r="G1279" i="33"/>
  <c r="J1279" i="33"/>
  <c r="K1279" i="33"/>
  <c r="L1279" i="33"/>
  <c r="M1279" i="33"/>
  <c r="N1279" i="33"/>
  <c r="O1279" i="33"/>
  <c r="P1279" i="33"/>
  <c r="Q1279" i="33"/>
  <c r="R1279" i="33"/>
  <c r="C1278" i="33"/>
  <c r="F1278" i="33"/>
  <c r="G1278" i="33"/>
  <c r="J1278" i="33"/>
  <c r="K1278" i="33"/>
  <c r="L1278" i="33"/>
  <c r="M1278" i="33"/>
  <c r="N1278" i="33"/>
  <c r="O1278" i="33"/>
  <c r="P1278" i="33"/>
  <c r="Q1278" i="33"/>
  <c r="R1278" i="33"/>
  <c r="I1821" i="17"/>
  <c r="L1821" i="17"/>
  <c r="I1819" i="17"/>
  <c r="L1819" i="17" s="1"/>
  <c r="C1276" i="33"/>
  <c r="C1277" i="33"/>
  <c r="F1276" i="33"/>
  <c r="F1277" i="33"/>
  <c r="G1276" i="33"/>
  <c r="G1277" i="33"/>
  <c r="J1276" i="33"/>
  <c r="J1277" i="33"/>
  <c r="K1276" i="33"/>
  <c r="K1277" i="33"/>
  <c r="L1276" i="33"/>
  <c r="L1277" i="33"/>
  <c r="M1276" i="33"/>
  <c r="M1277" i="33"/>
  <c r="N1276" i="33"/>
  <c r="N1277" i="33"/>
  <c r="O1276" i="33"/>
  <c r="O1277" i="33"/>
  <c r="P1276" i="33"/>
  <c r="P1277" i="33"/>
  <c r="Q1276" i="33"/>
  <c r="Q1277" i="33"/>
  <c r="R1276" i="33"/>
  <c r="R1277" i="33"/>
  <c r="C1275" i="33"/>
  <c r="F1275" i="33"/>
  <c r="G1275" i="33"/>
  <c r="J1275" i="33"/>
  <c r="K1275" i="33"/>
  <c r="L1275" i="33"/>
  <c r="M1275" i="33"/>
  <c r="N1275" i="33"/>
  <c r="O1275" i="33"/>
  <c r="P1275" i="33"/>
  <c r="Q1275" i="33"/>
  <c r="R1275" i="33"/>
  <c r="I1814" i="17"/>
  <c r="L1814" i="17" s="1"/>
  <c r="C1273" i="33"/>
  <c r="C1274" i="33"/>
  <c r="F1273" i="33"/>
  <c r="F1274" i="33"/>
  <c r="G1273" i="33"/>
  <c r="G1274" i="33"/>
  <c r="J1273" i="33"/>
  <c r="J1274" i="33"/>
  <c r="K1273" i="33"/>
  <c r="K1274" i="33"/>
  <c r="L1273" i="33"/>
  <c r="L1274" i="33"/>
  <c r="M1273" i="33"/>
  <c r="M1274" i="33"/>
  <c r="N1273" i="33"/>
  <c r="N1274" i="33"/>
  <c r="O1273" i="33"/>
  <c r="O1274" i="33"/>
  <c r="P1273" i="33"/>
  <c r="P1274" i="33"/>
  <c r="Q1273" i="33"/>
  <c r="Q1274" i="33"/>
  <c r="R1273" i="33"/>
  <c r="R1274" i="33"/>
  <c r="C1272" i="33"/>
  <c r="F1272" i="33"/>
  <c r="G1272" i="33"/>
  <c r="J1272" i="33"/>
  <c r="K1272" i="33"/>
  <c r="L1272" i="33"/>
  <c r="M1272" i="33"/>
  <c r="N1272" i="33"/>
  <c r="O1272" i="33"/>
  <c r="P1272" i="33"/>
  <c r="Q1272" i="33"/>
  <c r="R1272" i="33"/>
  <c r="I1808" i="17"/>
  <c r="C1941" i="17"/>
  <c r="C1270" i="33"/>
  <c r="C1271" i="33"/>
  <c r="F1270" i="33"/>
  <c r="F1271" i="33"/>
  <c r="G1270" i="33"/>
  <c r="G1271" i="33"/>
  <c r="J1270" i="33"/>
  <c r="J1271" i="33"/>
  <c r="K1270" i="33"/>
  <c r="K1271" i="33"/>
  <c r="L1270" i="33"/>
  <c r="L1271" i="33"/>
  <c r="M1270" i="33"/>
  <c r="M1271" i="33"/>
  <c r="N1270" i="33"/>
  <c r="N1271" i="33"/>
  <c r="O1270" i="33"/>
  <c r="O1271" i="33"/>
  <c r="P1270" i="33"/>
  <c r="P1271" i="33"/>
  <c r="Q1270" i="33"/>
  <c r="Q1271" i="33"/>
  <c r="R1270" i="33"/>
  <c r="R1271" i="33"/>
  <c r="C1269" i="33"/>
  <c r="F1269" i="33"/>
  <c r="G1269" i="33"/>
  <c r="J1269" i="33"/>
  <c r="K1269" i="33"/>
  <c r="L1269" i="33"/>
  <c r="M1269" i="33"/>
  <c r="N1269" i="33"/>
  <c r="O1269" i="33"/>
  <c r="P1269" i="33"/>
  <c r="Q1269" i="33"/>
  <c r="R1269" i="33"/>
  <c r="L1808" i="17"/>
  <c r="I1806" i="17"/>
  <c r="L1806" i="17"/>
  <c r="C1266" i="33"/>
  <c r="C1267" i="33"/>
  <c r="C1268" i="33"/>
  <c r="F1266" i="33"/>
  <c r="F1267" i="33"/>
  <c r="F1268" i="33"/>
  <c r="G1266" i="33"/>
  <c r="G1267" i="33"/>
  <c r="G1268" i="33"/>
  <c r="J1266" i="33"/>
  <c r="J1267" i="33"/>
  <c r="J1268" i="33"/>
  <c r="K1266" i="33"/>
  <c r="K1267" i="33"/>
  <c r="K1268" i="33"/>
  <c r="L1266" i="33"/>
  <c r="L1267" i="33"/>
  <c r="L1268" i="33"/>
  <c r="M1266" i="33"/>
  <c r="M1267" i="33"/>
  <c r="M1268" i="33"/>
  <c r="N1266" i="33"/>
  <c r="N1267" i="33"/>
  <c r="N1268" i="33"/>
  <c r="O1266" i="33"/>
  <c r="O1267" i="33"/>
  <c r="O1268" i="33"/>
  <c r="P1266" i="33"/>
  <c r="P1267" i="33"/>
  <c r="P1268" i="33"/>
  <c r="Q1266" i="33"/>
  <c r="Q1267" i="33"/>
  <c r="Q1268" i="33"/>
  <c r="R1266" i="33"/>
  <c r="R1267" i="33"/>
  <c r="R1268" i="33"/>
  <c r="C1265" i="33"/>
  <c r="F1265" i="33"/>
  <c r="G1265" i="33"/>
  <c r="J1265" i="33"/>
  <c r="K1265" i="33"/>
  <c r="L1265" i="33"/>
  <c r="M1265" i="33"/>
  <c r="N1265" i="33"/>
  <c r="O1265" i="33"/>
  <c r="P1265" i="33"/>
  <c r="Q1265" i="33"/>
  <c r="R1265" i="33"/>
  <c r="I1795" i="17"/>
  <c r="L1795" i="17" s="1"/>
  <c r="C1262" i="33"/>
  <c r="C1263" i="33"/>
  <c r="C1264" i="33"/>
  <c r="F1262" i="33"/>
  <c r="F1263" i="33"/>
  <c r="F1264" i="33"/>
  <c r="G1262" i="33"/>
  <c r="G1263" i="33"/>
  <c r="G1264" i="33"/>
  <c r="J1262" i="33"/>
  <c r="J1263" i="33"/>
  <c r="J1264" i="33"/>
  <c r="K1262" i="33"/>
  <c r="K1263" i="33"/>
  <c r="K1264" i="33"/>
  <c r="L1262" i="33"/>
  <c r="L1263" i="33"/>
  <c r="L1264" i="33"/>
  <c r="M1262" i="33"/>
  <c r="M1263" i="33"/>
  <c r="M1264" i="33"/>
  <c r="N1262" i="33"/>
  <c r="N1263" i="33"/>
  <c r="N1264" i="33"/>
  <c r="O1262" i="33"/>
  <c r="O1263" i="33"/>
  <c r="O1264" i="33"/>
  <c r="P1262" i="33"/>
  <c r="P1263" i="33"/>
  <c r="P1264" i="33"/>
  <c r="Q1262" i="33"/>
  <c r="Q1263" i="33"/>
  <c r="Q1264" i="33"/>
  <c r="R1262" i="33"/>
  <c r="R1263" i="33"/>
  <c r="R1264" i="33"/>
  <c r="C1261" i="33"/>
  <c r="F1261" i="33"/>
  <c r="G1261" i="33"/>
  <c r="J1261" i="33"/>
  <c r="K1261" i="33"/>
  <c r="L1261" i="33"/>
  <c r="M1261" i="33"/>
  <c r="N1261" i="33"/>
  <c r="O1261" i="33"/>
  <c r="P1261" i="33"/>
  <c r="Q1261" i="33"/>
  <c r="R1261" i="33"/>
  <c r="I1788" i="17"/>
  <c r="L1788" i="17" s="1"/>
  <c r="C1259" i="33"/>
  <c r="C1260" i="33"/>
  <c r="F1259" i="33"/>
  <c r="F1260" i="33"/>
  <c r="G1259" i="33"/>
  <c r="G1260" i="33"/>
  <c r="J1259" i="33"/>
  <c r="J1260" i="33"/>
  <c r="K1259" i="33"/>
  <c r="K1260" i="33"/>
  <c r="L1259" i="33"/>
  <c r="L1260" i="33"/>
  <c r="M1259" i="33"/>
  <c r="M1260" i="33"/>
  <c r="N1259" i="33"/>
  <c r="N1260" i="33"/>
  <c r="O1259" i="33"/>
  <c r="O1260" i="33"/>
  <c r="P1259" i="33"/>
  <c r="P1260" i="33"/>
  <c r="Q1259" i="33"/>
  <c r="Q1260" i="33"/>
  <c r="R1259" i="33"/>
  <c r="R1260" i="33"/>
  <c r="C1258" i="33"/>
  <c r="F1258" i="33"/>
  <c r="G1258" i="33"/>
  <c r="J1258" i="33"/>
  <c r="K1258" i="33"/>
  <c r="L1258" i="33"/>
  <c r="M1258" i="33"/>
  <c r="N1258" i="33"/>
  <c r="O1258" i="33"/>
  <c r="P1258" i="33"/>
  <c r="Q1258" i="33"/>
  <c r="R1258" i="33"/>
  <c r="I1781" i="17"/>
  <c r="L1781" i="17"/>
  <c r="C1256" i="33"/>
  <c r="C1257" i="33"/>
  <c r="F1256" i="33"/>
  <c r="F1257" i="33"/>
  <c r="G1256" i="33"/>
  <c r="G1257" i="33"/>
  <c r="J1256" i="33"/>
  <c r="J1257" i="33"/>
  <c r="K1256" i="33"/>
  <c r="K1257" i="33"/>
  <c r="L1256" i="33"/>
  <c r="L1257" i="33"/>
  <c r="M1256" i="33"/>
  <c r="M1257" i="33"/>
  <c r="N1256" i="33"/>
  <c r="N1257" i="33"/>
  <c r="O1256" i="33"/>
  <c r="O1257" i="33"/>
  <c r="P1256" i="33"/>
  <c r="P1257" i="33"/>
  <c r="Q1256" i="33"/>
  <c r="Q1257" i="33"/>
  <c r="R1256" i="33"/>
  <c r="R1257" i="33"/>
  <c r="C1255" i="33"/>
  <c r="F1255" i="33"/>
  <c r="G1255" i="33"/>
  <c r="J1255" i="33"/>
  <c r="K1255" i="33"/>
  <c r="L1255" i="33"/>
  <c r="M1255" i="33"/>
  <c r="N1255" i="33"/>
  <c r="O1255" i="33"/>
  <c r="P1255" i="33"/>
  <c r="Q1255" i="33"/>
  <c r="R1255" i="33"/>
  <c r="C2" i="33"/>
  <c r="F2" i="33"/>
  <c r="G2" i="33"/>
  <c r="J2" i="33"/>
  <c r="K2" i="33"/>
  <c r="L2" i="33"/>
  <c r="M2" i="33"/>
  <c r="N2" i="33"/>
  <c r="O2" i="33"/>
  <c r="P2" i="33"/>
  <c r="C3" i="33"/>
  <c r="F3" i="33"/>
  <c r="G3" i="33"/>
  <c r="J3" i="33"/>
  <c r="K3" i="33"/>
  <c r="L3" i="33"/>
  <c r="M3" i="33"/>
  <c r="N3" i="33"/>
  <c r="O3" i="33"/>
  <c r="P3" i="33"/>
  <c r="C4" i="33"/>
  <c r="F4" i="33"/>
  <c r="G4" i="33"/>
  <c r="J4" i="33"/>
  <c r="K4" i="33"/>
  <c r="L4" i="33"/>
  <c r="M4" i="33"/>
  <c r="N4" i="33"/>
  <c r="O4" i="33"/>
  <c r="P4" i="33"/>
  <c r="C5" i="33"/>
  <c r="F5" i="33"/>
  <c r="G5" i="33"/>
  <c r="J5" i="33"/>
  <c r="K5" i="33"/>
  <c r="L5" i="33"/>
  <c r="M5" i="33"/>
  <c r="N5" i="33"/>
  <c r="O5" i="33"/>
  <c r="P5" i="33"/>
  <c r="C6" i="33"/>
  <c r="F6" i="33"/>
  <c r="G6" i="33"/>
  <c r="J6" i="33"/>
  <c r="K6" i="33"/>
  <c r="L6" i="33"/>
  <c r="M6" i="33"/>
  <c r="N6" i="33"/>
  <c r="O6" i="33"/>
  <c r="P6" i="33"/>
  <c r="C7" i="33"/>
  <c r="F7" i="33"/>
  <c r="G7" i="33"/>
  <c r="J7" i="33"/>
  <c r="K7" i="33"/>
  <c r="L7" i="33"/>
  <c r="M7" i="33"/>
  <c r="N7" i="33"/>
  <c r="O7" i="33"/>
  <c r="P7" i="33"/>
  <c r="C8" i="33"/>
  <c r="F8" i="33"/>
  <c r="G8" i="33"/>
  <c r="J8" i="33"/>
  <c r="K8" i="33"/>
  <c r="L8" i="33"/>
  <c r="M8" i="33"/>
  <c r="N8" i="33"/>
  <c r="O8" i="33"/>
  <c r="P8" i="33"/>
  <c r="C9" i="33"/>
  <c r="F9" i="33"/>
  <c r="G9" i="33"/>
  <c r="J9" i="33"/>
  <c r="K9" i="33"/>
  <c r="L9" i="33"/>
  <c r="M9" i="33"/>
  <c r="N9" i="33"/>
  <c r="O9" i="33"/>
  <c r="P9" i="33"/>
  <c r="C10" i="33"/>
  <c r="F10" i="33"/>
  <c r="G10" i="33"/>
  <c r="J10" i="33"/>
  <c r="K10" i="33"/>
  <c r="L10" i="33"/>
  <c r="M10" i="33"/>
  <c r="N10" i="33"/>
  <c r="O10" i="33"/>
  <c r="P10" i="33"/>
  <c r="C11" i="33"/>
  <c r="F11" i="33"/>
  <c r="G11" i="33"/>
  <c r="J11" i="33"/>
  <c r="K11" i="33"/>
  <c r="L11" i="33"/>
  <c r="M11" i="33"/>
  <c r="N11" i="33"/>
  <c r="O11" i="33"/>
  <c r="P11" i="33"/>
  <c r="C12" i="33"/>
  <c r="F12" i="33"/>
  <c r="G12" i="33"/>
  <c r="J12" i="33"/>
  <c r="K12" i="33"/>
  <c r="L12" i="33"/>
  <c r="M12" i="33"/>
  <c r="N12" i="33"/>
  <c r="O12" i="33"/>
  <c r="P12" i="33"/>
  <c r="C13" i="33"/>
  <c r="F13" i="33"/>
  <c r="G13" i="33"/>
  <c r="J13" i="33"/>
  <c r="K13" i="33"/>
  <c r="L13" i="33"/>
  <c r="M13" i="33"/>
  <c r="N13" i="33"/>
  <c r="O13" i="33"/>
  <c r="P13" i="33"/>
  <c r="C14" i="33"/>
  <c r="F14" i="33"/>
  <c r="G14" i="33"/>
  <c r="J14" i="33"/>
  <c r="K14" i="33"/>
  <c r="L14" i="33"/>
  <c r="M14" i="33"/>
  <c r="N14" i="33"/>
  <c r="O14" i="33"/>
  <c r="P14" i="33"/>
  <c r="C15" i="33"/>
  <c r="F15" i="33"/>
  <c r="G15" i="33"/>
  <c r="J15" i="33"/>
  <c r="K15" i="33"/>
  <c r="L15" i="33"/>
  <c r="M15" i="33"/>
  <c r="N15" i="33"/>
  <c r="O15" i="33"/>
  <c r="P15" i="33"/>
  <c r="C16" i="33"/>
  <c r="F16" i="33"/>
  <c r="G16" i="33"/>
  <c r="J16" i="33"/>
  <c r="K16" i="33"/>
  <c r="L16" i="33"/>
  <c r="M16" i="33"/>
  <c r="N16" i="33"/>
  <c r="O16" i="33"/>
  <c r="P16" i="33"/>
  <c r="C17" i="33"/>
  <c r="F17" i="33"/>
  <c r="G17" i="33"/>
  <c r="J17" i="33"/>
  <c r="K17" i="33"/>
  <c r="L17" i="33"/>
  <c r="M17" i="33"/>
  <c r="N17" i="33"/>
  <c r="O17" i="33"/>
  <c r="P17" i="33"/>
  <c r="C18" i="33"/>
  <c r="F18" i="33"/>
  <c r="G18" i="33"/>
  <c r="J18" i="33"/>
  <c r="K18" i="33"/>
  <c r="L18" i="33"/>
  <c r="M18" i="33"/>
  <c r="N18" i="33"/>
  <c r="O18" i="33"/>
  <c r="P18" i="33"/>
  <c r="C19" i="33"/>
  <c r="F19" i="33"/>
  <c r="G19" i="33"/>
  <c r="J19" i="33"/>
  <c r="K19" i="33"/>
  <c r="L19" i="33"/>
  <c r="M19" i="33"/>
  <c r="N19" i="33"/>
  <c r="O19" i="33"/>
  <c r="P19" i="33"/>
  <c r="C20" i="33"/>
  <c r="F20" i="33"/>
  <c r="G20" i="33"/>
  <c r="J20" i="33"/>
  <c r="K20" i="33"/>
  <c r="L20" i="33"/>
  <c r="M20" i="33"/>
  <c r="N20" i="33"/>
  <c r="O20" i="33"/>
  <c r="P20" i="33"/>
  <c r="C21" i="33"/>
  <c r="F21" i="33"/>
  <c r="G21" i="33"/>
  <c r="J21" i="33"/>
  <c r="K21" i="33"/>
  <c r="L21" i="33"/>
  <c r="M21" i="33"/>
  <c r="N21" i="33"/>
  <c r="O21" i="33"/>
  <c r="P21" i="33"/>
  <c r="C22" i="33"/>
  <c r="F22" i="33"/>
  <c r="G22" i="33"/>
  <c r="J22" i="33"/>
  <c r="K22" i="33"/>
  <c r="L22" i="33"/>
  <c r="M22" i="33"/>
  <c r="N22" i="33"/>
  <c r="O22" i="33"/>
  <c r="P22" i="33"/>
  <c r="C23" i="33"/>
  <c r="F23" i="33"/>
  <c r="G23" i="33"/>
  <c r="J23" i="33"/>
  <c r="K23" i="33"/>
  <c r="L23" i="33"/>
  <c r="M23" i="33"/>
  <c r="N23" i="33"/>
  <c r="O23" i="33"/>
  <c r="P23" i="33"/>
  <c r="C24" i="33"/>
  <c r="F24" i="33"/>
  <c r="G24" i="33"/>
  <c r="J24" i="33"/>
  <c r="K24" i="33"/>
  <c r="L24" i="33"/>
  <c r="M24" i="33"/>
  <c r="N24" i="33"/>
  <c r="O24" i="33"/>
  <c r="P24" i="33"/>
  <c r="C25" i="33"/>
  <c r="F25" i="33"/>
  <c r="G25" i="33"/>
  <c r="J25" i="33"/>
  <c r="K25" i="33"/>
  <c r="L25" i="33"/>
  <c r="M25" i="33"/>
  <c r="N25" i="33"/>
  <c r="O25" i="33"/>
  <c r="P25" i="33"/>
  <c r="C26" i="33"/>
  <c r="F26" i="33"/>
  <c r="G26" i="33"/>
  <c r="J26" i="33"/>
  <c r="K26" i="33"/>
  <c r="L26" i="33"/>
  <c r="M26" i="33"/>
  <c r="N26" i="33"/>
  <c r="O26" i="33"/>
  <c r="P26" i="33"/>
  <c r="C27" i="33"/>
  <c r="F27" i="33"/>
  <c r="G27" i="33"/>
  <c r="J27" i="33"/>
  <c r="K27" i="33"/>
  <c r="L27" i="33"/>
  <c r="M27" i="33"/>
  <c r="N27" i="33"/>
  <c r="O27" i="33"/>
  <c r="P27" i="33"/>
  <c r="C28" i="33"/>
  <c r="F28" i="33"/>
  <c r="G28" i="33"/>
  <c r="J28" i="33"/>
  <c r="K28" i="33"/>
  <c r="L28" i="33"/>
  <c r="M28" i="33"/>
  <c r="N28" i="33"/>
  <c r="O28" i="33"/>
  <c r="P28" i="33"/>
  <c r="C29" i="33"/>
  <c r="F29" i="33"/>
  <c r="G29" i="33"/>
  <c r="J29" i="33"/>
  <c r="K29" i="33"/>
  <c r="L29" i="33"/>
  <c r="M29" i="33"/>
  <c r="N29" i="33"/>
  <c r="O29" i="33"/>
  <c r="P29" i="33"/>
  <c r="C30" i="33"/>
  <c r="F30" i="33"/>
  <c r="G30" i="33"/>
  <c r="J30" i="33"/>
  <c r="K30" i="33"/>
  <c r="L30" i="33"/>
  <c r="M30" i="33"/>
  <c r="N30" i="33"/>
  <c r="O30" i="33"/>
  <c r="P30" i="33"/>
  <c r="C31" i="33"/>
  <c r="F31" i="33"/>
  <c r="G31" i="33"/>
  <c r="J31" i="33"/>
  <c r="K31" i="33"/>
  <c r="L31" i="33"/>
  <c r="M31" i="33"/>
  <c r="N31" i="33"/>
  <c r="O31" i="33"/>
  <c r="P31" i="33"/>
  <c r="C32" i="33"/>
  <c r="F32" i="33"/>
  <c r="G32" i="33"/>
  <c r="J32" i="33"/>
  <c r="K32" i="33"/>
  <c r="L32" i="33"/>
  <c r="M32" i="33"/>
  <c r="N32" i="33"/>
  <c r="O32" i="33"/>
  <c r="P32" i="33"/>
  <c r="C33" i="33"/>
  <c r="F33" i="33"/>
  <c r="G33" i="33"/>
  <c r="J33" i="33"/>
  <c r="K33" i="33"/>
  <c r="L33" i="33"/>
  <c r="M33" i="33"/>
  <c r="N33" i="33"/>
  <c r="O33" i="33"/>
  <c r="P33" i="33"/>
  <c r="C34" i="33"/>
  <c r="F34" i="33"/>
  <c r="G34" i="33"/>
  <c r="J34" i="33"/>
  <c r="K34" i="33"/>
  <c r="L34" i="33"/>
  <c r="M34" i="33"/>
  <c r="N34" i="33"/>
  <c r="O34" i="33"/>
  <c r="P34" i="33"/>
  <c r="C35" i="33"/>
  <c r="F35" i="33"/>
  <c r="G35" i="33"/>
  <c r="J35" i="33"/>
  <c r="K35" i="33"/>
  <c r="L35" i="33"/>
  <c r="M35" i="33"/>
  <c r="N35" i="33"/>
  <c r="O35" i="33"/>
  <c r="P35" i="33"/>
  <c r="C36" i="33"/>
  <c r="F36" i="33"/>
  <c r="G36" i="33"/>
  <c r="J36" i="33"/>
  <c r="K36" i="33"/>
  <c r="L36" i="33"/>
  <c r="M36" i="33"/>
  <c r="N36" i="33"/>
  <c r="O36" i="33"/>
  <c r="P36" i="33"/>
  <c r="C37" i="33"/>
  <c r="F37" i="33"/>
  <c r="G37" i="33"/>
  <c r="J37" i="33"/>
  <c r="K37" i="33"/>
  <c r="L37" i="33"/>
  <c r="M37" i="33"/>
  <c r="N37" i="33"/>
  <c r="O37" i="33"/>
  <c r="P37" i="33"/>
  <c r="C38" i="33"/>
  <c r="F38" i="33"/>
  <c r="G38" i="33"/>
  <c r="J38" i="33"/>
  <c r="K38" i="33"/>
  <c r="L38" i="33"/>
  <c r="M38" i="33"/>
  <c r="N38" i="33"/>
  <c r="O38" i="33"/>
  <c r="P38" i="33"/>
  <c r="C39" i="33"/>
  <c r="F39" i="33"/>
  <c r="G39" i="33"/>
  <c r="J39" i="33"/>
  <c r="K39" i="33"/>
  <c r="L39" i="33"/>
  <c r="M39" i="33"/>
  <c r="N39" i="33"/>
  <c r="O39" i="33"/>
  <c r="P39" i="33"/>
  <c r="C40" i="33"/>
  <c r="F40" i="33"/>
  <c r="G40" i="33"/>
  <c r="J40" i="33"/>
  <c r="K40" i="33"/>
  <c r="L40" i="33"/>
  <c r="M40" i="33"/>
  <c r="N40" i="33"/>
  <c r="O40" i="33"/>
  <c r="P40" i="33"/>
  <c r="C41" i="33"/>
  <c r="F41" i="33"/>
  <c r="G41" i="33"/>
  <c r="J41" i="33"/>
  <c r="K41" i="33"/>
  <c r="L41" i="33"/>
  <c r="M41" i="33"/>
  <c r="N41" i="33"/>
  <c r="O41" i="33"/>
  <c r="P41" i="33"/>
  <c r="C42" i="33"/>
  <c r="F42" i="33"/>
  <c r="G42" i="33"/>
  <c r="J42" i="33"/>
  <c r="K42" i="33"/>
  <c r="L42" i="33"/>
  <c r="M42" i="33"/>
  <c r="N42" i="33"/>
  <c r="O42" i="33"/>
  <c r="P42" i="33"/>
  <c r="C43" i="33"/>
  <c r="F43" i="33"/>
  <c r="G43" i="33"/>
  <c r="J43" i="33"/>
  <c r="K43" i="33"/>
  <c r="L43" i="33"/>
  <c r="M43" i="33"/>
  <c r="N43" i="33"/>
  <c r="O43" i="33"/>
  <c r="P43" i="33"/>
  <c r="C44" i="33"/>
  <c r="F44" i="33"/>
  <c r="G44" i="33"/>
  <c r="J44" i="33"/>
  <c r="K44" i="33"/>
  <c r="L44" i="33"/>
  <c r="M44" i="33"/>
  <c r="N44" i="33"/>
  <c r="O44" i="33"/>
  <c r="P44" i="33"/>
  <c r="C45" i="33"/>
  <c r="F45" i="33"/>
  <c r="G45" i="33"/>
  <c r="J45" i="33"/>
  <c r="K45" i="33"/>
  <c r="L45" i="33"/>
  <c r="M45" i="33"/>
  <c r="N45" i="33"/>
  <c r="O45" i="33"/>
  <c r="P45" i="33"/>
  <c r="C46" i="33"/>
  <c r="F46" i="33"/>
  <c r="G46" i="33"/>
  <c r="J46" i="33"/>
  <c r="K46" i="33"/>
  <c r="L46" i="33"/>
  <c r="M46" i="33"/>
  <c r="N46" i="33"/>
  <c r="O46" i="33"/>
  <c r="P46" i="33"/>
  <c r="C47" i="33"/>
  <c r="F47" i="33"/>
  <c r="G47" i="33"/>
  <c r="J47" i="33"/>
  <c r="K47" i="33"/>
  <c r="L47" i="33"/>
  <c r="M47" i="33"/>
  <c r="N47" i="33"/>
  <c r="O47" i="33"/>
  <c r="P47" i="33"/>
  <c r="C48" i="33"/>
  <c r="F48" i="33"/>
  <c r="G48" i="33"/>
  <c r="J48" i="33"/>
  <c r="K48" i="33"/>
  <c r="L48" i="33"/>
  <c r="M48" i="33"/>
  <c r="N48" i="33"/>
  <c r="O48" i="33"/>
  <c r="P48" i="33"/>
  <c r="C49" i="33"/>
  <c r="F49" i="33"/>
  <c r="G49" i="33"/>
  <c r="J49" i="33"/>
  <c r="K49" i="33"/>
  <c r="L49" i="33"/>
  <c r="M49" i="33"/>
  <c r="N49" i="33"/>
  <c r="O49" i="33"/>
  <c r="P49" i="33"/>
  <c r="C50" i="33"/>
  <c r="F50" i="33"/>
  <c r="G50" i="33"/>
  <c r="J50" i="33"/>
  <c r="K50" i="33"/>
  <c r="L50" i="33"/>
  <c r="M50" i="33"/>
  <c r="N50" i="33"/>
  <c r="O50" i="33"/>
  <c r="P50" i="33"/>
  <c r="C51" i="33"/>
  <c r="F51" i="33"/>
  <c r="G51" i="33"/>
  <c r="J51" i="33"/>
  <c r="K51" i="33"/>
  <c r="L51" i="33"/>
  <c r="M51" i="33"/>
  <c r="N51" i="33"/>
  <c r="O51" i="33"/>
  <c r="P51" i="33"/>
  <c r="C52" i="33"/>
  <c r="F52" i="33"/>
  <c r="G52" i="33"/>
  <c r="J52" i="33"/>
  <c r="K52" i="33"/>
  <c r="L52" i="33"/>
  <c r="M52" i="33"/>
  <c r="N52" i="33"/>
  <c r="O52" i="33"/>
  <c r="P52" i="33"/>
  <c r="C53" i="33"/>
  <c r="F53" i="33"/>
  <c r="G53" i="33"/>
  <c r="J53" i="33"/>
  <c r="K53" i="33"/>
  <c r="L53" i="33"/>
  <c r="M53" i="33"/>
  <c r="N53" i="33"/>
  <c r="O53" i="33"/>
  <c r="P53" i="33"/>
  <c r="C54" i="33"/>
  <c r="F54" i="33"/>
  <c r="G54" i="33"/>
  <c r="J54" i="33"/>
  <c r="K54" i="33"/>
  <c r="L54" i="33"/>
  <c r="M54" i="33"/>
  <c r="N54" i="33"/>
  <c r="O54" i="33"/>
  <c r="P54" i="33"/>
  <c r="C55" i="33"/>
  <c r="F55" i="33"/>
  <c r="G55" i="33"/>
  <c r="J55" i="33"/>
  <c r="K55" i="33"/>
  <c r="L55" i="33"/>
  <c r="M55" i="33"/>
  <c r="N55" i="33"/>
  <c r="O55" i="33"/>
  <c r="P55" i="33"/>
  <c r="C56" i="33"/>
  <c r="F56" i="33"/>
  <c r="G56" i="33"/>
  <c r="J56" i="33"/>
  <c r="K56" i="33"/>
  <c r="L56" i="33"/>
  <c r="M56" i="33"/>
  <c r="N56" i="33"/>
  <c r="O56" i="33"/>
  <c r="P56" i="33"/>
  <c r="C57" i="33"/>
  <c r="F57" i="33"/>
  <c r="G57" i="33"/>
  <c r="J57" i="33"/>
  <c r="K57" i="33"/>
  <c r="L57" i="33"/>
  <c r="M57" i="33"/>
  <c r="N57" i="33"/>
  <c r="O57" i="33"/>
  <c r="P57" i="33"/>
  <c r="C58" i="33"/>
  <c r="F58" i="33"/>
  <c r="G58" i="33"/>
  <c r="J58" i="33"/>
  <c r="K58" i="33"/>
  <c r="L58" i="33"/>
  <c r="M58" i="33"/>
  <c r="N58" i="33"/>
  <c r="O58" i="33"/>
  <c r="P58" i="33"/>
  <c r="C59" i="33"/>
  <c r="F59" i="33"/>
  <c r="G59" i="33"/>
  <c r="J59" i="33"/>
  <c r="K59" i="33"/>
  <c r="L59" i="33"/>
  <c r="M59" i="33"/>
  <c r="N59" i="33"/>
  <c r="O59" i="33"/>
  <c r="P59" i="33"/>
  <c r="C60" i="33"/>
  <c r="F60" i="33"/>
  <c r="G60" i="33"/>
  <c r="J60" i="33"/>
  <c r="K60" i="33"/>
  <c r="L60" i="33"/>
  <c r="M60" i="33"/>
  <c r="N60" i="33"/>
  <c r="O60" i="33"/>
  <c r="P60" i="33"/>
  <c r="C61" i="33"/>
  <c r="F61" i="33"/>
  <c r="G61" i="33"/>
  <c r="J61" i="33"/>
  <c r="K61" i="33"/>
  <c r="L61" i="33"/>
  <c r="M61" i="33"/>
  <c r="N61" i="33"/>
  <c r="O61" i="33"/>
  <c r="P61" i="33"/>
  <c r="C62" i="33"/>
  <c r="F62" i="33"/>
  <c r="G62" i="33"/>
  <c r="J62" i="33"/>
  <c r="K62" i="33"/>
  <c r="L62" i="33"/>
  <c r="M62" i="33"/>
  <c r="N62" i="33"/>
  <c r="O62" i="33"/>
  <c r="P62" i="33"/>
  <c r="C63" i="33"/>
  <c r="F63" i="33"/>
  <c r="G63" i="33"/>
  <c r="J63" i="33"/>
  <c r="K63" i="33"/>
  <c r="L63" i="33"/>
  <c r="M63" i="33"/>
  <c r="N63" i="33"/>
  <c r="O63" i="33"/>
  <c r="P63" i="33"/>
  <c r="C64" i="33"/>
  <c r="F64" i="33"/>
  <c r="G64" i="33"/>
  <c r="J64" i="33"/>
  <c r="K64" i="33"/>
  <c r="L64" i="33"/>
  <c r="M64" i="33"/>
  <c r="N64" i="33"/>
  <c r="O64" i="33"/>
  <c r="P64" i="33"/>
  <c r="C65" i="33"/>
  <c r="F65" i="33"/>
  <c r="G65" i="33"/>
  <c r="J65" i="33"/>
  <c r="K65" i="33"/>
  <c r="L65" i="33"/>
  <c r="M65" i="33"/>
  <c r="N65" i="33"/>
  <c r="O65" i="33"/>
  <c r="P65" i="33"/>
  <c r="C66" i="33"/>
  <c r="F66" i="33"/>
  <c r="G66" i="33"/>
  <c r="J66" i="33"/>
  <c r="K66" i="33"/>
  <c r="L66" i="33"/>
  <c r="M66" i="33"/>
  <c r="N66" i="33"/>
  <c r="O66" i="33"/>
  <c r="P66" i="33"/>
  <c r="C67" i="33"/>
  <c r="F67" i="33"/>
  <c r="G67" i="33"/>
  <c r="J67" i="33"/>
  <c r="K67" i="33"/>
  <c r="L67" i="33"/>
  <c r="M67" i="33"/>
  <c r="N67" i="33"/>
  <c r="O67" i="33"/>
  <c r="P67" i="33"/>
  <c r="C68" i="33"/>
  <c r="F68" i="33"/>
  <c r="G68" i="33"/>
  <c r="J68" i="33"/>
  <c r="K68" i="33"/>
  <c r="L68" i="33"/>
  <c r="M68" i="33"/>
  <c r="N68" i="33"/>
  <c r="O68" i="33"/>
  <c r="P68" i="33"/>
  <c r="C69" i="33"/>
  <c r="F69" i="33"/>
  <c r="G69" i="33"/>
  <c r="J69" i="33"/>
  <c r="K69" i="33"/>
  <c r="L69" i="33"/>
  <c r="M69" i="33"/>
  <c r="N69" i="33"/>
  <c r="O69" i="33"/>
  <c r="P69" i="33"/>
  <c r="C70" i="33"/>
  <c r="F70" i="33"/>
  <c r="G70" i="33"/>
  <c r="J70" i="33"/>
  <c r="K70" i="33"/>
  <c r="L70" i="33"/>
  <c r="M70" i="33"/>
  <c r="N70" i="33"/>
  <c r="O70" i="33"/>
  <c r="P70" i="33"/>
  <c r="C71" i="33"/>
  <c r="F71" i="33"/>
  <c r="G71" i="33"/>
  <c r="J71" i="33"/>
  <c r="K71" i="33"/>
  <c r="L71" i="33"/>
  <c r="M71" i="33"/>
  <c r="N71" i="33"/>
  <c r="O71" i="33"/>
  <c r="P71" i="33"/>
  <c r="C72" i="33"/>
  <c r="F72" i="33"/>
  <c r="G72" i="33"/>
  <c r="J72" i="33"/>
  <c r="K72" i="33"/>
  <c r="L72" i="33"/>
  <c r="M72" i="33"/>
  <c r="N72" i="33"/>
  <c r="O72" i="33"/>
  <c r="P72" i="33"/>
  <c r="C73" i="33"/>
  <c r="F73" i="33"/>
  <c r="G73" i="33"/>
  <c r="J73" i="33"/>
  <c r="K73" i="33"/>
  <c r="L73" i="33"/>
  <c r="M73" i="33"/>
  <c r="N73" i="33"/>
  <c r="O73" i="33"/>
  <c r="P73" i="33"/>
  <c r="C74" i="33"/>
  <c r="F74" i="33"/>
  <c r="G74" i="33"/>
  <c r="J74" i="33"/>
  <c r="K74" i="33"/>
  <c r="L74" i="33"/>
  <c r="M74" i="33"/>
  <c r="N74" i="33"/>
  <c r="O74" i="33"/>
  <c r="P74" i="33"/>
  <c r="C75" i="33"/>
  <c r="F75" i="33"/>
  <c r="G75" i="33"/>
  <c r="J75" i="33"/>
  <c r="K75" i="33"/>
  <c r="L75" i="33"/>
  <c r="M75" i="33"/>
  <c r="N75" i="33"/>
  <c r="O75" i="33"/>
  <c r="P75" i="33"/>
  <c r="C76" i="33"/>
  <c r="F76" i="33"/>
  <c r="G76" i="33"/>
  <c r="J76" i="33"/>
  <c r="K76" i="33"/>
  <c r="L76" i="33"/>
  <c r="M76" i="33"/>
  <c r="N76" i="33"/>
  <c r="O76" i="33"/>
  <c r="P76" i="33"/>
  <c r="C77" i="33"/>
  <c r="F77" i="33"/>
  <c r="G77" i="33"/>
  <c r="J77" i="33"/>
  <c r="K77" i="33"/>
  <c r="L77" i="33"/>
  <c r="M77" i="33"/>
  <c r="N77" i="33"/>
  <c r="O77" i="33"/>
  <c r="P77" i="33"/>
  <c r="C78" i="33"/>
  <c r="F78" i="33"/>
  <c r="G78" i="33"/>
  <c r="J78" i="33"/>
  <c r="K78" i="33"/>
  <c r="L78" i="33"/>
  <c r="M78" i="33"/>
  <c r="N78" i="33"/>
  <c r="O78" i="33"/>
  <c r="P78" i="33"/>
  <c r="C79" i="33"/>
  <c r="F79" i="33"/>
  <c r="G79" i="33"/>
  <c r="J79" i="33"/>
  <c r="K79" i="33"/>
  <c r="L79" i="33"/>
  <c r="M79" i="33"/>
  <c r="N79" i="33"/>
  <c r="O79" i="33"/>
  <c r="P79" i="33"/>
  <c r="C80" i="33"/>
  <c r="F80" i="33"/>
  <c r="G80" i="33"/>
  <c r="J80" i="33"/>
  <c r="K80" i="33"/>
  <c r="L80" i="33"/>
  <c r="M80" i="33"/>
  <c r="N80" i="33"/>
  <c r="O80" i="33"/>
  <c r="P80" i="33"/>
  <c r="C81" i="33"/>
  <c r="F81" i="33"/>
  <c r="G81" i="33"/>
  <c r="J81" i="33"/>
  <c r="K81" i="33"/>
  <c r="L81" i="33"/>
  <c r="M81" i="33"/>
  <c r="N81" i="33"/>
  <c r="O81" i="33"/>
  <c r="P81" i="33"/>
  <c r="C82" i="33"/>
  <c r="F82" i="33"/>
  <c r="G82" i="33"/>
  <c r="J82" i="33"/>
  <c r="K82" i="33"/>
  <c r="L82" i="33"/>
  <c r="M82" i="33"/>
  <c r="N82" i="33"/>
  <c r="O82" i="33"/>
  <c r="P82" i="33"/>
  <c r="C83" i="33"/>
  <c r="F83" i="33"/>
  <c r="G83" i="33"/>
  <c r="J83" i="33"/>
  <c r="K83" i="33"/>
  <c r="L83" i="33"/>
  <c r="M83" i="33"/>
  <c r="N83" i="33"/>
  <c r="O83" i="33"/>
  <c r="P83" i="33"/>
  <c r="C84" i="33"/>
  <c r="F84" i="33"/>
  <c r="G84" i="33"/>
  <c r="J84" i="33"/>
  <c r="K84" i="33"/>
  <c r="L84" i="33"/>
  <c r="M84" i="33"/>
  <c r="N84" i="33"/>
  <c r="O84" i="33"/>
  <c r="P84" i="33"/>
  <c r="C85" i="33"/>
  <c r="F85" i="33"/>
  <c r="G85" i="33"/>
  <c r="J85" i="33"/>
  <c r="K85" i="33"/>
  <c r="L85" i="33"/>
  <c r="M85" i="33"/>
  <c r="N85" i="33"/>
  <c r="O85" i="33"/>
  <c r="P85" i="33"/>
  <c r="C86" i="33"/>
  <c r="F86" i="33"/>
  <c r="G86" i="33"/>
  <c r="J86" i="33"/>
  <c r="K86" i="33"/>
  <c r="L86" i="33"/>
  <c r="M86" i="33"/>
  <c r="N86" i="33"/>
  <c r="O86" i="33"/>
  <c r="P86" i="33"/>
  <c r="C87" i="33"/>
  <c r="F87" i="33"/>
  <c r="G87" i="33"/>
  <c r="J87" i="33"/>
  <c r="K87" i="33"/>
  <c r="L87" i="33"/>
  <c r="M87" i="33"/>
  <c r="N87" i="33"/>
  <c r="O87" i="33"/>
  <c r="P87" i="33"/>
  <c r="C88" i="33"/>
  <c r="F88" i="33"/>
  <c r="G88" i="33"/>
  <c r="J88" i="33"/>
  <c r="K88" i="33"/>
  <c r="L88" i="33"/>
  <c r="M88" i="33"/>
  <c r="N88" i="33"/>
  <c r="O88" i="33"/>
  <c r="P88" i="33"/>
  <c r="C89" i="33"/>
  <c r="F89" i="33"/>
  <c r="G89" i="33"/>
  <c r="J89" i="33"/>
  <c r="K89" i="33"/>
  <c r="L89" i="33"/>
  <c r="M89" i="33"/>
  <c r="N89" i="33"/>
  <c r="O89" i="33"/>
  <c r="P89" i="33"/>
  <c r="C90" i="33"/>
  <c r="F90" i="33"/>
  <c r="G90" i="33"/>
  <c r="J90" i="33"/>
  <c r="K90" i="33"/>
  <c r="L90" i="33"/>
  <c r="M90" i="33"/>
  <c r="N90" i="33"/>
  <c r="O90" i="33"/>
  <c r="P90" i="33"/>
  <c r="C91" i="33"/>
  <c r="F91" i="33"/>
  <c r="G91" i="33"/>
  <c r="J91" i="33"/>
  <c r="K91" i="33"/>
  <c r="L91" i="33"/>
  <c r="M91" i="33"/>
  <c r="N91" i="33"/>
  <c r="O91" i="33"/>
  <c r="P91" i="33"/>
  <c r="C92" i="33"/>
  <c r="F92" i="33"/>
  <c r="G92" i="33"/>
  <c r="J92" i="33"/>
  <c r="K92" i="33"/>
  <c r="L92" i="33"/>
  <c r="M92" i="33"/>
  <c r="N92" i="33"/>
  <c r="O92" i="33"/>
  <c r="P92" i="33"/>
  <c r="C93" i="33"/>
  <c r="F93" i="33"/>
  <c r="G93" i="33"/>
  <c r="J93" i="33"/>
  <c r="K93" i="33"/>
  <c r="L93" i="33"/>
  <c r="M93" i="33"/>
  <c r="N93" i="33"/>
  <c r="O93" i="33"/>
  <c r="P93" i="33"/>
  <c r="C94" i="33"/>
  <c r="F94" i="33"/>
  <c r="G94" i="33"/>
  <c r="J94" i="33"/>
  <c r="K94" i="33"/>
  <c r="L94" i="33"/>
  <c r="M94" i="33"/>
  <c r="N94" i="33"/>
  <c r="O94" i="33"/>
  <c r="P94" i="33"/>
  <c r="C95" i="33"/>
  <c r="F95" i="33"/>
  <c r="G95" i="33"/>
  <c r="J95" i="33"/>
  <c r="K95" i="33"/>
  <c r="L95" i="33"/>
  <c r="M95" i="33"/>
  <c r="N95" i="33"/>
  <c r="O95" i="33"/>
  <c r="P95" i="33"/>
  <c r="C96" i="33"/>
  <c r="F96" i="33"/>
  <c r="G96" i="33"/>
  <c r="J96" i="33"/>
  <c r="K96" i="33"/>
  <c r="L96" i="33"/>
  <c r="M96" i="33"/>
  <c r="N96" i="33"/>
  <c r="O96" i="33"/>
  <c r="P96" i="33"/>
  <c r="C97" i="33"/>
  <c r="F97" i="33"/>
  <c r="G97" i="33"/>
  <c r="J97" i="33"/>
  <c r="K97" i="33"/>
  <c r="L97" i="33"/>
  <c r="M97" i="33"/>
  <c r="N97" i="33"/>
  <c r="O97" i="33"/>
  <c r="P97" i="33"/>
  <c r="C98" i="33"/>
  <c r="F98" i="33"/>
  <c r="G98" i="33"/>
  <c r="J98" i="33"/>
  <c r="K98" i="33"/>
  <c r="L98" i="33"/>
  <c r="M98" i="33"/>
  <c r="N98" i="33"/>
  <c r="O98" i="33"/>
  <c r="P98" i="33"/>
  <c r="C99" i="33"/>
  <c r="F99" i="33"/>
  <c r="G99" i="33"/>
  <c r="J99" i="33"/>
  <c r="K99" i="33"/>
  <c r="L99" i="33"/>
  <c r="M99" i="33"/>
  <c r="N99" i="33"/>
  <c r="O99" i="33"/>
  <c r="P99" i="33"/>
  <c r="C100" i="33"/>
  <c r="F100" i="33"/>
  <c r="G100" i="33"/>
  <c r="J100" i="33"/>
  <c r="K100" i="33"/>
  <c r="L100" i="33"/>
  <c r="M100" i="33"/>
  <c r="N100" i="33"/>
  <c r="O100" i="33"/>
  <c r="P100" i="33"/>
  <c r="C101" i="33"/>
  <c r="F101" i="33"/>
  <c r="G101" i="33"/>
  <c r="J101" i="33"/>
  <c r="K101" i="33"/>
  <c r="L101" i="33"/>
  <c r="M101" i="33"/>
  <c r="N101" i="33"/>
  <c r="O101" i="33"/>
  <c r="P101" i="33"/>
  <c r="C102" i="33"/>
  <c r="F102" i="33"/>
  <c r="G102" i="33"/>
  <c r="J102" i="33"/>
  <c r="K102" i="33"/>
  <c r="L102" i="33"/>
  <c r="M102" i="33"/>
  <c r="N102" i="33"/>
  <c r="O102" i="33"/>
  <c r="P102" i="33"/>
  <c r="C103" i="33"/>
  <c r="F103" i="33"/>
  <c r="G103" i="33"/>
  <c r="J103" i="33"/>
  <c r="K103" i="33"/>
  <c r="L103" i="33"/>
  <c r="M103" i="33"/>
  <c r="N103" i="33"/>
  <c r="O103" i="33"/>
  <c r="P103" i="33"/>
  <c r="C104" i="33"/>
  <c r="F104" i="33"/>
  <c r="G104" i="33"/>
  <c r="J104" i="33"/>
  <c r="K104" i="33"/>
  <c r="L104" i="33"/>
  <c r="M104" i="33"/>
  <c r="N104" i="33"/>
  <c r="O104" i="33"/>
  <c r="P104" i="33"/>
  <c r="C105" i="33"/>
  <c r="F105" i="33"/>
  <c r="G105" i="33"/>
  <c r="J105" i="33"/>
  <c r="K105" i="33"/>
  <c r="L105" i="33"/>
  <c r="M105" i="33"/>
  <c r="N105" i="33"/>
  <c r="O105" i="33"/>
  <c r="P105" i="33"/>
  <c r="C106" i="33"/>
  <c r="F106" i="33"/>
  <c r="G106" i="33"/>
  <c r="J106" i="33"/>
  <c r="K106" i="33"/>
  <c r="L106" i="33"/>
  <c r="M106" i="33"/>
  <c r="N106" i="33"/>
  <c r="O106" i="33"/>
  <c r="P106" i="33"/>
  <c r="C107" i="33"/>
  <c r="F107" i="33"/>
  <c r="G107" i="33"/>
  <c r="J107" i="33"/>
  <c r="K107" i="33"/>
  <c r="L107" i="33"/>
  <c r="M107" i="33"/>
  <c r="N107" i="33"/>
  <c r="O107" i="33"/>
  <c r="P107" i="33"/>
  <c r="C108" i="33"/>
  <c r="F108" i="33"/>
  <c r="G108" i="33"/>
  <c r="J108" i="33"/>
  <c r="K108" i="33"/>
  <c r="L108" i="33"/>
  <c r="M108" i="33"/>
  <c r="N108" i="33"/>
  <c r="O108" i="33"/>
  <c r="P108" i="33"/>
  <c r="C109" i="33"/>
  <c r="F109" i="33"/>
  <c r="G109" i="33"/>
  <c r="J109" i="33"/>
  <c r="K109" i="33"/>
  <c r="L109" i="33"/>
  <c r="M109" i="33"/>
  <c r="N109" i="33"/>
  <c r="O109" i="33"/>
  <c r="P109" i="33"/>
  <c r="C110" i="33"/>
  <c r="F110" i="33"/>
  <c r="G110" i="33"/>
  <c r="J110" i="33"/>
  <c r="K110" i="33"/>
  <c r="L110" i="33"/>
  <c r="M110" i="33"/>
  <c r="N110" i="33"/>
  <c r="O110" i="33"/>
  <c r="P110" i="33"/>
  <c r="C111" i="33"/>
  <c r="F111" i="33"/>
  <c r="G111" i="33"/>
  <c r="J111" i="33"/>
  <c r="K111" i="33"/>
  <c r="L111" i="33"/>
  <c r="M111" i="33"/>
  <c r="N111" i="33"/>
  <c r="O111" i="33"/>
  <c r="P111" i="33"/>
  <c r="C112" i="33"/>
  <c r="F112" i="33"/>
  <c r="G112" i="33"/>
  <c r="J112" i="33"/>
  <c r="K112" i="33"/>
  <c r="L112" i="33"/>
  <c r="M112" i="33"/>
  <c r="N112" i="33"/>
  <c r="O112" i="33"/>
  <c r="P112" i="33"/>
  <c r="C113" i="33"/>
  <c r="F113" i="33"/>
  <c r="G113" i="33"/>
  <c r="J113" i="33"/>
  <c r="K113" i="33"/>
  <c r="L113" i="33"/>
  <c r="M113" i="33"/>
  <c r="N113" i="33"/>
  <c r="O113" i="33"/>
  <c r="P113" i="33"/>
  <c r="C114" i="33"/>
  <c r="F114" i="33"/>
  <c r="G114" i="33"/>
  <c r="J114" i="33"/>
  <c r="K114" i="33"/>
  <c r="L114" i="33"/>
  <c r="M114" i="33"/>
  <c r="N114" i="33"/>
  <c r="O114" i="33"/>
  <c r="P114" i="33"/>
  <c r="C115" i="33"/>
  <c r="F115" i="33"/>
  <c r="G115" i="33"/>
  <c r="J115" i="33"/>
  <c r="K115" i="33"/>
  <c r="L115" i="33"/>
  <c r="M115" i="33"/>
  <c r="N115" i="33"/>
  <c r="O115" i="33"/>
  <c r="P115" i="33"/>
  <c r="C116" i="33"/>
  <c r="F116" i="33"/>
  <c r="G116" i="33"/>
  <c r="J116" i="33"/>
  <c r="K116" i="33"/>
  <c r="L116" i="33"/>
  <c r="M116" i="33"/>
  <c r="N116" i="33"/>
  <c r="O116" i="33"/>
  <c r="P116" i="33"/>
  <c r="C117" i="33"/>
  <c r="F117" i="33"/>
  <c r="G117" i="33"/>
  <c r="J117" i="33"/>
  <c r="K117" i="33"/>
  <c r="L117" i="33"/>
  <c r="M117" i="33"/>
  <c r="N117" i="33"/>
  <c r="O117" i="33"/>
  <c r="P117" i="33"/>
  <c r="C118" i="33"/>
  <c r="F118" i="33"/>
  <c r="G118" i="33"/>
  <c r="J118" i="33"/>
  <c r="K118" i="33"/>
  <c r="L118" i="33"/>
  <c r="M118" i="33"/>
  <c r="N118" i="33"/>
  <c r="O118" i="33"/>
  <c r="P118" i="33"/>
  <c r="C119" i="33"/>
  <c r="F119" i="33"/>
  <c r="G119" i="33"/>
  <c r="J119" i="33"/>
  <c r="K119" i="33"/>
  <c r="L119" i="33"/>
  <c r="M119" i="33"/>
  <c r="N119" i="33"/>
  <c r="O119" i="33"/>
  <c r="P119" i="33"/>
  <c r="C120" i="33"/>
  <c r="F120" i="33"/>
  <c r="G120" i="33"/>
  <c r="J120" i="33"/>
  <c r="K120" i="33"/>
  <c r="L120" i="33"/>
  <c r="M120" i="33"/>
  <c r="N120" i="33"/>
  <c r="O120" i="33"/>
  <c r="P120" i="33"/>
  <c r="C121" i="33"/>
  <c r="F121" i="33"/>
  <c r="G121" i="33"/>
  <c r="J121" i="33"/>
  <c r="K121" i="33"/>
  <c r="L121" i="33"/>
  <c r="M121" i="33"/>
  <c r="N121" i="33"/>
  <c r="O121" i="33"/>
  <c r="P121" i="33"/>
  <c r="C122" i="33"/>
  <c r="F122" i="33"/>
  <c r="G122" i="33"/>
  <c r="J122" i="33"/>
  <c r="K122" i="33"/>
  <c r="L122" i="33"/>
  <c r="M122" i="33"/>
  <c r="N122" i="33"/>
  <c r="O122" i="33"/>
  <c r="P122" i="33"/>
  <c r="C123" i="33"/>
  <c r="F123" i="33"/>
  <c r="G123" i="33"/>
  <c r="J123" i="33"/>
  <c r="K123" i="33"/>
  <c r="L123" i="33"/>
  <c r="M123" i="33"/>
  <c r="N123" i="33"/>
  <c r="O123" i="33"/>
  <c r="P123" i="33"/>
  <c r="C124" i="33"/>
  <c r="F124" i="33"/>
  <c r="G124" i="33"/>
  <c r="J124" i="33"/>
  <c r="K124" i="33"/>
  <c r="L124" i="33"/>
  <c r="M124" i="33"/>
  <c r="N124" i="33"/>
  <c r="O124" i="33"/>
  <c r="P124" i="33"/>
  <c r="C125" i="33"/>
  <c r="F125" i="33"/>
  <c r="G125" i="33"/>
  <c r="J125" i="33"/>
  <c r="K125" i="33"/>
  <c r="L125" i="33"/>
  <c r="M125" i="33"/>
  <c r="N125" i="33"/>
  <c r="O125" i="33"/>
  <c r="P125" i="33"/>
  <c r="C126" i="33"/>
  <c r="F126" i="33"/>
  <c r="G126" i="33"/>
  <c r="J126" i="33"/>
  <c r="K126" i="33"/>
  <c r="L126" i="33"/>
  <c r="M126" i="33"/>
  <c r="N126" i="33"/>
  <c r="O126" i="33"/>
  <c r="P126" i="33"/>
  <c r="C127" i="33"/>
  <c r="F127" i="33"/>
  <c r="G127" i="33"/>
  <c r="J127" i="33"/>
  <c r="K127" i="33"/>
  <c r="L127" i="33"/>
  <c r="M127" i="33"/>
  <c r="N127" i="33"/>
  <c r="O127" i="33"/>
  <c r="P127" i="33"/>
  <c r="C128" i="33"/>
  <c r="F128" i="33"/>
  <c r="G128" i="33"/>
  <c r="J128" i="33"/>
  <c r="K128" i="33"/>
  <c r="L128" i="33"/>
  <c r="M128" i="33"/>
  <c r="N128" i="33"/>
  <c r="O128" i="33"/>
  <c r="P128" i="33"/>
  <c r="C129" i="33"/>
  <c r="F129" i="33"/>
  <c r="G129" i="33"/>
  <c r="J129" i="33"/>
  <c r="K129" i="33"/>
  <c r="L129" i="33"/>
  <c r="M129" i="33"/>
  <c r="N129" i="33"/>
  <c r="O129" i="33"/>
  <c r="P129" i="33"/>
  <c r="C130" i="33"/>
  <c r="F130" i="33"/>
  <c r="G130" i="33"/>
  <c r="J130" i="33"/>
  <c r="K130" i="33"/>
  <c r="L130" i="33"/>
  <c r="M130" i="33"/>
  <c r="N130" i="33"/>
  <c r="O130" i="33"/>
  <c r="P130" i="33"/>
  <c r="C131" i="33"/>
  <c r="F131" i="33"/>
  <c r="G131" i="33"/>
  <c r="J131" i="33"/>
  <c r="K131" i="33"/>
  <c r="L131" i="33"/>
  <c r="M131" i="33"/>
  <c r="N131" i="33"/>
  <c r="O131" i="33"/>
  <c r="P131" i="33"/>
  <c r="C132" i="33"/>
  <c r="F132" i="33"/>
  <c r="G132" i="33"/>
  <c r="J132" i="33"/>
  <c r="K132" i="33"/>
  <c r="L132" i="33"/>
  <c r="M132" i="33"/>
  <c r="N132" i="33"/>
  <c r="O132" i="33"/>
  <c r="P132" i="33"/>
  <c r="C133" i="33"/>
  <c r="F133" i="33"/>
  <c r="G133" i="33"/>
  <c r="J133" i="33"/>
  <c r="K133" i="33"/>
  <c r="L133" i="33"/>
  <c r="M133" i="33"/>
  <c r="N133" i="33"/>
  <c r="O133" i="33"/>
  <c r="P133" i="33"/>
  <c r="C134" i="33"/>
  <c r="F134" i="33"/>
  <c r="G134" i="33"/>
  <c r="J134" i="33"/>
  <c r="K134" i="33"/>
  <c r="L134" i="33"/>
  <c r="M134" i="33"/>
  <c r="N134" i="33"/>
  <c r="O134" i="33"/>
  <c r="P134" i="33"/>
  <c r="C135" i="33"/>
  <c r="F135" i="33"/>
  <c r="G135" i="33"/>
  <c r="J135" i="33"/>
  <c r="K135" i="33"/>
  <c r="L135" i="33"/>
  <c r="M135" i="33"/>
  <c r="N135" i="33"/>
  <c r="O135" i="33"/>
  <c r="P135" i="33"/>
  <c r="C136" i="33"/>
  <c r="F136" i="33"/>
  <c r="G136" i="33"/>
  <c r="J136" i="33"/>
  <c r="K136" i="33"/>
  <c r="L136" i="33"/>
  <c r="M136" i="33"/>
  <c r="N136" i="33"/>
  <c r="O136" i="33"/>
  <c r="P136" i="33"/>
  <c r="C137" i="33"/>
  <c r="F137" i="33"/>
  <c r="G137" i="33"/>
  <c r="J137" i="33"/>
  <c r="K137" i="33"/>
  <c r="L137" i="33"/>
  <c r="M137" i="33"/>
  <c r="N137" i="33"/>
  <c r="O137" i="33"/>
  <c r="P137" i="33"/>
  <c r="C138" i="33"/>
  <c r="F138" i="33"/>
  <c r="G138" i="33"/>
  <c r="J138" i="33"/>
  <c r="K138" i="33"/>
  <c r="L138" i="33"/>
  <c r="M138" i="33"/>
  <c r="N138" i="33"/>
  <c r="O138" i="33"/>
  <c r="P138" i="33"/>
  <c r="C139" i="33"/>
  <c r="F139" i="33"/>
  <c r="G139" i="33"/>
  <c r="J139" i="33"/>
  <c r="K139" i="33"/>
  <c r="L139" i="33"/>
  <c r="M139" i="33"/>
  <c r="N139" i="33"/>
  <c r="O139" i="33"/>
  <c r="P139" i="33"/>
  <c r="C140" i="33"/>
  <c r="F140" i="33"/>
  <c r="G140" i="33"/>
  <c r="J140" i="33"/>
  <c r="K140" i="33"/>
  <c r="L140" i="33"/>
  <c r="M140" i="33"/>
  <c r="N140" i="33"/>
  <c r="O140" i="33"/>
  <c r="P140" i="33"/>
  <c r="C141" i="33"/>
  <c r="F141" i="33"/>
  <c r="G141" i="33"/>
  <c r="J141" i="33"/>
  <c r="K141" i="33"/>
  <c r="L141" i="33"/>
  <c r="M141" i="33"/>
  <c r="N141" i="33"/>
  <c r="O141" i="33"/>
  <c r="P141" i="33"/>
  <c r="C142" i="33"/>
  <c r="F142" i="33"/>
  <c r="G142" i="33"/>
  <c r="J142" i="33"/>
  <c r="K142" i="33"/>
  <c r="L142" i="33"/>
  <c r="M142" i="33"/>
  <c r="N142" i="33"/>
  <c r="O142" i="33"/>
  <c r="P142" i="33"/>
  <c r="C143" i="33"/>
  <c r="F143" i="33"/>
  <c r="G143" i="33"/>
  <c r="J143" i="33"/>
  <c r="K143" i="33"/>
  <c r="L143" i="33"/>
  <c r="M143" i="33"/>
  <c r="N143" i="33"/>
  <c r="O143" i="33"/>
  <c r="P143" i="33"/>
  <c r="C144" i="33"/>
  <c r="F144" i="33"/>
  <c r="G144" i="33"/>
  <c r="J144" i="33"/>
  <c r="K144" i="33"/>
  <c r="L144" i="33"/>
  <c r="M144" i="33"/>
  <c r="N144" i="33"/>
  <c r="O144" i="33"/>
  <c r="P144" i="33"/>
  <c r="C145" i="33"/>
  <c r="F145" i="33"/>
  <c r="G145" i="33"/>
  <c r="J145" i="33"/>
  <c r="K145" i="33"/>
  <c r="L145" i="33"/>
  <c r="M145" i="33"/>
  <c r="N145" i="33"/>
  <c r="O145" i="33"/>
  <c r="P145" i="33"/>
  <c r="C146" i="33"/>
  <c r="F146" i="33"/>
  <c r="G146" i="33"/>
  <c r="J146" i="33"/>
  <c r="K146" i="33"/>
  <c r="L146" i="33"/>
  <c r="M146" i="33"/>
  <c r="N146" i="33"/>
  <c r="O146" i="33"/>
  <c r="P146" i="33"/>
  <c r="C147" i="33"/>
  <c r="F147" i="33"/>
  <c r="G147" i="33"/>
  <c r="J147" i="33"/>
  <c r="K147" i="33"/>
  <c r="L147" i="33"/>
  <c r="M147" i="33"/>
  <c r="N147" i="33"/>
  <c r="O147" i="33"/>
  <c r="P147" i="33"/>
  <c r="C148" i="33"/>
  <c r="F148" i="33"/>
  <c r="G148" i="33"/>
  <c r="J148" i="33"/>
  <c r="K148" i="33"/>
  <c r="L148" i="33"/>
  <c r="M148" i="33"/>
  <c r="N148" i="33"/>
  <c r="O148" i="33"/>
  <c r="P148" i="33"/>
  <c r="C149" i="33"/>
  <c r="F149" i="33"/>
  <c r="G149" i="33"/>
  <c r="J149" i="33"/>
  <c r="K149" i="33"/>
  <c r="L149" i="33"/>
  <c r="M149" i="33"/>
  <c r="N149" i="33"/>
  <c r="O149" i="33"/>
  <c r="P149" i="33"/>
  <c r="C150" i="33"/>
  <c r="F150" i="33"/>
  <c r="G150" i="33"/>
  <c r="J150" i="33"/>
  <c r="K150" i="33"/>
  <c r="L150" i="33"/>
  <c r="M150" i="33"/>
  <c r="N150" i="33"/>
  <c r="O150" i="33"/>
  <c r="P150" i="33"/>
  <c r="C151" i="33"/>
  <c r="F151" i="33"/>
  <c r="G151" i="33"/>
  <c r="J151" i="33"/>
  <c r="K151" i="33"/>
  <c r="L151" i="33"/>
  <c r="M151" i="33"/>
  <c r="N151" i="33"/>
  <c r="O151" i="33"/>
  <c r="P151" i="33"/>
  <c r="C152" i="33"/>
  <c r="F152" i="33"/>
  <c r="G152" i="33"/>
  <c r="J152" i="33"/>
  <c r="K152" i="33"/>
  <c r="L152" i="33"/>
  <c r="M152" i="33"/>
  <c r="N152" i="33"/>
  <c r="O152" i="33"/>
  <c r="P152" i="33"/>
  <c r="C153" i="33"/>
  <c r="F153" i="33"/>
  <c r="G153" i="33"/>
  <c r="J153" i="33"/>
  <c r="K153" i="33"/>
  <c r="L153" i="33"/>
  <c r="M153" i="33"/>
  <c r="N153" i="33"/>
  <c r="O153" i="33"/>
  <c r="P153" i="33"/>
  <c r="C154" i="33"/>
  <c r="F154" i="33"/>
  <c r="G154" i="33"/>
  <c r="J154" i="33"/>
  <c r="K154" i="33"/>
  <c r="L154" i="33"/>
  <c r="M154" i="33"/>
  <c r="N154" i="33"/>
  <c r="O154" i="33"/>
  <c r="P154" i="33"/>
  <c r="C155" i="33"/>
  <c r="F155" i="33"/>
  <c r="G155" i="33"/>
  <c r="J155" i="33"/>
  <c r="K155" i="33"/>
  <c r="L155" i="33"/>
  <c r="M155" i="33"/>
  <c r="N155" i="33"/>
  <c r="O155" i="33"/>
  <c r="P155" i="33"/>
  <c r="C156" i="33"/>
  <c r="F156" i="33"/>
  <c r="G156" i="33"/>
  <c r="J156" i="33"/>
  <c r="K156" i="33"/>
  <c r="L156" i="33"/>
  <c r="M156" i="33"/>
  <c r="N156" i="33"/>
  <c r="O156" i="33"/>
  <c r="P156" i="33"/>
  <c r="C157" i="33"/>
  <c r="F157" i="33"/>
  <c r="G157" i="33"/>
  <c r="J157" i="33"/>
  <c r="K157" i="33"/>
  <c r="L157" i="33"/>
  <c r="M157" i="33"/>
  <c r="N157" i="33"/>
  <c r="O157" i="33"/>
  <c r="P157" i="33"/>
  <c r="C158" i="33"/>
  <c r="F158" i="33"/>
  <c r="G158" i="33"/>
  <c r="J158" i="33"/>
  <c r="K158" i="33"/>
  <c r="L158" i="33"/>
  <c r="M158" i="33"/>
  <c r="N158" i="33"/>
  <c r="O158" i="33"/>
  <c r="P158" i="33"/>
  <c r="C159" i="33"/>
  <c r="F159" i="33"/>
  <c r="G159" i="33"/>
  <c r="J159" i="33"/>
  <c r="K159" i="33"/>
  <c r="L159" i="33"/>
  <c r="M159" i="33"/>
  <c r="N159" i="33"/>
  <c r="O159" i="33"/>
  <c r="P159" i="33"/>
  <c r="C160" i="33"/>
  <c r="F160" i="33"/>
  <c r="G160" i="33"/>
  <c r="J160" i="33"/>
  <c r="K160" i="33"/>
  <c r="L160" i="33"/>
  <c r="M160" i="33"/>
  <c r="N160" i="33"/>
  <c r="O160" i="33"/>
  <c r="P160" i="33"/>
  <c r="C161" i="33"/>
  <c r="F161" i="33"/>
  <c r="G161" i="33"/>
  <c r="J161" i="33"/>
  <c r="K161" i="33"/>
  <c r="L161" i="33"/>
  <c r="M161" i="33"/>
  <c r="N161" i="33"/>
  <c r="O161" i="33"/>
  <c r="P161" i="33"/>
  <c r="C162" i="33"/>
  <c r="F162" i="33"/>
  <c r="G162" i="33"/>
  <c r="J162" i="33"/>
  <c r="K162" i="33"/>
  <c r="L162" i="33"/>
  <c r="M162" i="33"/>
  <c r="N162" i="33"/>
  <c r="O162" i="33"/>
  <c r="P162" i="33"/>
  <c r="C163" i="33"/>
  <c r="F163" i="33"/>
  <c r="G163" i="33"/>
  <c r="J163" i="33"/>
  <c r="K163" i="33"/>
  <c r="L163" i="33"/>
  <c r="M163" i="33"/>
  <c r="N163" i="33"/>
  <c r="O163" i="33"/>
  <c r="P163" i="33"/>
  <c r="C164" i="33"/>
  <c r="F164" i="33"/>
  <c r="G164" i="33"/>
  <c r="J164" i="33"/>
  <c r="K164" i="33"/>
  <c r="L164" i="33"/>
  <c r="M164" i="33"/>
  <c r="N164" i="33"/>
  <c r="O164" i="33"/>
  <c r="P164" i="33"/>
  <c r="C165" i="33"/>
  <c r="F165" i="33"/>
  <c r="G165" i="33"/>
  <c r="J165" i="33"/>
  <c r="K165" i="33"/>
  <c r="L165" i="33"/>
  <c r="M165" i="33"/>
  <c r="N165" i="33"/>
  <c r="O165" i="33"/>
  <c r="P165" i="33"/>
  <c r="C166" i="33"/>
  <c r="F166" i="33"/>
  <c r="G166" i="33"/>
  <c r="J166" i="33"/>
  <c r="K166" i="33"/>
  <c r="L166" i="33"/>
  <c r="M166" i="33"/>
  <c r="N166" i="33"/>
  <c r="O166" i="33"/>
  <c r="P166" i="33"/>
  <c r="C167" i="33"/>
  <c r="F167" i="33"/>
  <c r="G167" i="33"/>
  <c r="J167" i="33"/>
  <c r="K167" i="33"/>
  <c r="L167" i="33"/>
  <c r="M167" i="33"/>
  <c r="N167" i="33"/>
  <c r="O167" i="33"/>
  <c r="P167" i="33"/>
  <c r="C168" i="33"/>
  <c r="F168" i="33"/>
  <c r="G168" i="33"/>
  <c r="J168" i="33"/>
  <c r="K168" i="33"/>
  <c r="L168" i="33"/>
  <c r="M168" i="33"/>
  <c r="N168" i="33"/>
  <c r="O168" i="33"/>
  <c r="P168" i="33"/>
  <c r="C169" i="33"/>
  <c r="F169" i="33"/>
  <c r="G169" i="33"/>
  <c r="J169" i="33"/>
  <c r="K169" i="33"/>
  <c r="L169" i="33"/>
  <c r="M169" i="33"/>
  <c r="N169" i="33"/>
  <c r="O169" i="33"/>
  <c r="P169" i="33"/>
  <c r="C170" i="33"/>
  <c r="F170" i="33"/>
  <c r="G170" i="33"/>
  <c r="J170" i="33"/>
  <c r="K170" i="33"/>
  <c r="L170" i="33"/>
  <c r="M170" i="33"/>
  <c r="N170" i="33"/>
  <c r="O170" i="33"/>
  <c r="P170" i="33"/>
  <c r="C171" i="33"/>
  <c r="F171" i="33"/>
  <c r="G171" i="33"/>
  <c r="J171" i="33"/>
  <c r="K171" i="33"/>
  <c r="L171" i="33"/>
  <c r="M171" i="33"/>
  <c r="N171" i="33"/>
  <c r="O171" i="33"/>
  <c r="P171" i="33"/>
  <c r="C172" i="33"/>
  <c r="F172" i="33"/>
  <c r="G172" i="33"/>
  <c r="J172" i="33"/>
  <c r="K172" i="33"/>
  <c r="L172" i="33"/>
  <c r="M172" i="33"/>
  <c r="N172" i="33"/>
  <c r="O172" i="33"/>
  <c r="P172" i="33"/>
  <c r="C173" i="33"/>
  <c r="F173" i="33"/>
  <c r="G173" i="33"/>
  <c r="J173" i="33"/>
  <c r="K173" i="33"/>
  <c r="L173" i="33"/>
  <c r="M173" i="33"/>
  <c r="N173" i="33"/>
  <c r="O173" i="33"/>
  <c r="P173" i="33"/>
  <c r="C174" i="33"/>
  <c r="F174" i="33"/>
  <c r="G174" i="33"/>
  <c r="J174" i="33"/>
  <c r="K174" i="33"/>
  <c r="L174" i="33"/>
  <c r="M174" i="33"/>
  <c r="N174" i="33"/>
  <c r="O174" i="33"/>
  <c r="P174" i="33"/>
  <c r="C175" i="33"/>
  <c r="F175" i="33"/>
  <c r="G175" i="33"/>
  <c r="J175" i="33"/>
  <c r="K175" i="33"/>
  <c r="L175" i="33"/>
  <c r="M175" i="33"/>
  <c r="N175" i="33"/>
  <c r="O175" i="33"/>
  <c r="P175" i="33"/>
  <c r="C176" i="33"/>
  <c r="F176" i="33"/>
  <c r="G176" i="33"/>
  <c r="J176" i="33"/>
  <c r="K176" i="33"/>
  <c r="L176" i="33"/>
  <c r="M176" i="33"/>
  <c r="N176" i="33"/>
  <c r="O176" i="33"/>
  <c r="P176" i="33"/>
  <c r="C177" i="33"/>
  <c r="F177" i="33"/>
  <c r="G177" i="33"/>
  <c r="J177" i="33"/>
  <c r="K177" i="33"/>
  <c r="L177" i="33"/>
  <c r="M177" i="33"/>
  <c r="N177" i="33"/>
  <c r="O177" i="33"/>
  <c r="P177" i="33"/>
  <c r="C178" i="33"/>
  <c r="F178" i="33"/>
  <c r="G178" i="33"/>
  <c r="J178" i="33"/>
  <c r="K178" i="33"/>
  <c r="L178" i="33"/>
  <c r="M178" i="33"/>
  <c r="N178" i="33"/>
  <c r="O178" i="33"/>
  <c r="P178" i="33"/>
  <c r="C179" i="33"/>
  <c r="F179" i="33"/>
  <c r="G179" i="33"/>
  <c r="J179" i="33"/>
  <c r="K179" i="33"/>
  <c r="L179" i="33"/>
  <c r="M179" i="33"/>
  <c r="N179" i="33"/>
  <c r="O179" i="33"/>
  <c r="P179" i="33"/>
  <c r="C180" i="33"/>
  <c r="F180" i="33"/>
  <c r="G180" i="33"/>
  <c r="J180" i="33"/>
  <c r="K180" i="33"/>
  <c r="L180" i="33"/>
  <c r="M180" i="33"/>
  <c r="N180" i="33"/>
  <c r="O180" i="33"/>
  <c r="P180" i="33"/>
  <c r="C181" i="33"/>
  <c r="F181" i="33"/>
  <c r="G181" i="33"/>
  <c r="J181" i="33"/>
  <c r="K181" i="33"/>
  <c r="L181" i="33"/>
  <c r="M181" i="33"/>
  <c r="N181" i="33"/>
  <c r="O181" i="33"/>
  <c r="P181" i="33"/>
  <c r="C182" i="33"/>
  <c r="F182" i="33"/>
  <c r="G182" i="33"/>
  <c r="J182" i="33"/>
  <c r="K182" i="33"/>
  <c r="L182" i="33"/>
  <c r="M182" i="33"/>
  <c r="N182" i="33"/>
  <c r="O182" i="33"/>
  <c r="P182" i="33"/>
  <c r="C183" i="33"/>
  <c r="F183" i="33"/>
  <c r="G183" i="33"/>
  <c r="J183" i="33"/>
  <c r="K183" i="33"/>
  <c r="L183" i="33"/>
  <c r="M183" i="33"/>
  <c r="N183" i="33"/>
  <c r="O183" i="33"/>
  <c r="P183" i="33"/>
  <c r="C184" i="33"/>
  <c r="F184" i="33"/>
  <c r="G184" i="33"/>
  <c r="J184" i="33"/>
  <c r="K184" i="33"/>
  <c r="L184" i="33"/>
  <c r="M184" i="33"/>
  <c r="N184" i="33"/>
  <c r="O184" i="33"/>
  <c r="P184" i="33"/>
  <c r="C185" i="33"/>
  <c r="F185" i="33"/>
  <c r="G185" i="33"/>
  <c r="J185" i="33"/>
  <c r="K185" i="33"/>
  <c r="L185" i="33"/>
  <c r="M185" i="33"/>
  <c r="N185" i="33"/>
  <c r="O185" i="33"/>
  <c r="P185" i="33"/>
  <c r="C186" i="33"/>
  <c r="F186" i="33"/>
  <c r="G186" i="33"/>
  <c r="J186" i="33"/>
  <c r="K186" i="33"/>
  <c r="L186" i="33"/>
  <c r="M186" i="33"/>
  <c r="N186" i="33"/>
  <c r="O186" i="33"/>
  <c r="P186" i="33"/>
  <c r="C187" i="33"/>
  <c r="F187" i="33"/>
  <c r="G187" i="33"/>
  <c r="J187" i="33"/>
  <c r="K187" i="33"/>
  <c r="L187" i="33"/>
  <c r="M187" i="33"/>
  <c r="N187" i="33"/>
  <c r="O187" i="33"/>
  <c r="P187" i="33"/>
  <c r="C188" i="33"/>
  <c r="F188" i="33"/>
  <c r="G188" i="33"/>
  <c r="J188" i="33"/>
  <c r="K188" i="33"/>
  <c r="L188" i="33"/>
  <c r="M188" i="33"/>
  <c r="N188" i="33"/>
  <c r="O188" i="33"/>
  <c r="P188" i="33"/>
  <c r="C189" i="33"/>
  <c r="F189" i="33"/>
  <c r="G189" i="33"/>
  <c r="J189" i="33"/>
  <c r="K189" i="33"/>
  <c r="L189" i="33"/>
  <c r="M189" i="33"/>
  <c r="N189" i="33"/>
  <c r="O189" i="33"/>
  <c r="P189" i="33"/>
  <c r="C190" i="33"/>
  <c r="F190" i="33"/>
  <c r="G190" i="33"/>
  <c r="J190" i="33"/>
  <c r="K190" i="33"/>
  <c r="L190" i="33"/>
  <c r="M190" i="33"/>
  <c r="N190" i="33"/>
  <c r="O190" i="33"/>
  <c r="P190" i="33"/>
  <c r="C191" i="33"/>
  <c r="F191" i="33"/>
  <c r="G191" i="33"/>
  <c r="J191" i="33"/>
  <c r="K191" i="33"/>
  <c r="L191" i="33"/>
  <c r="M191" i="33"/>
  <c r="N191" i="33"/>
  <c r="O191" i="33"/>
  <c r="P191" i="33"/>
  <c r="C192" i="33"/>
  <c r="F192" i="33"/>
  <c r="G192" i="33"/>
  <c r="J192" i="33"/>
  <c r="K192" i="33"/>
  <c r="L192" i="33"/>
  <c r="M192" i="33"/>
  <c r="N192" i="33"/>
  <c r="O192" i="33"/>
  <c r="P192" i="33"/>
  <c r="C193" i="33"/>
  <c r="F193" i="33"/>
  <c r="G193" i="33"/>
  <c r="J193" i="33"/>
  <c r="K193" i="33"/>
  <c r="L193" i="33"/>
  <c r="M193" i="33"/>
  <c r="N193" i="33"/>
  <c r="O193" i="33"/>
  <c r="P193" i="33"/>
  <c r="C194" i="33"/>
  <c r="F194" i="33"/>
  <c r="G194" i="33"/>
  <c r="J194" i="33"/>
  <c r="K194" i="33"/>
  <c r="L194" i="33"/>
  <c r="M194" i="33"/>
  <c r="N194" i="33"/>
  <c r="O194" i="33"/>
  <c r="P194" i="33"/>
  <c r="C195" i="33"/>
  <c r="F195" i="33"/>
  <c r="G195" i="33"/>
  <c r="J195" i="33"/>
  <c r="K195" i="33"/>
  <c r="L195" i="33"/>
  <c r="M195" i="33"/>
  <c r="N195" i="33"/>
  <c r="O195" i="33"/>
  <c r="P195" i="33"/>
  <c r="C196" i="33"/>
  <c r="F196" i="33"/>
  <c r="G196" i="33"/>
  <c r="J196" i="33"/>
  <c r="K196" i="33"/>
  <c r="L196" i="33"/>
  <c r="M196" i="33"/>
  <c r="N196" i="33"/>
  <c r="O196" i="33"/>
  <c r="P196" i="33"/>
  <c r="C197" i="33"/>
  <c r="F197" i="33"/>
  <c r="G197" i="33"/>
  <c r="J197" i="33"/>
  <c r="K197" i="33"/>
  <c r="L197" i="33"/>
  <c r="M197" i="33"/>
  <c r="N197" i="33"/>
  <c r="O197" i="33"/>
  <c r="P197" i="33"/>
  <c r="C198" i="33"/>
  <c r="F198" i="33"/>
  <c r="G198" i="33"/>
  <c r="J198" i="33"/>
  <c r="K198" i="33"/>
  <c r="L198" i="33"/>
  <c r="M198" i="33"/>
  <c r="N198" i="33"/>
  <c r="O198" i="33"/>
  <c r="P198" i="33"/>
  <c r="C199" i="33"/>
  <c r="F199" i="33"/>
  <c r="G199" i="33"/>
  <c r="J199" i="33"/>
  <c r="K199" i="33"/>
  <c r="L199" i="33"/>
  <c r="M199" i="33"/>
  <c r="N199" i="33"/>
  <c r="O199" i="33"/>
  <c r="P199" i="33"/>
  <c r="C200" i="33"/>
  <c r="F200" i="33"/>
  <c r="G200" i="33"/>
  <c r="J200" i="33"/>
  <c r="K200" i="33"/>
  <c r="L200" i="33"/>
  <c r="M200" i="33"/>
  <c r="N200" i="33"/>
  <c r="O200" i="33"/>
  <c r="P200" i="33"/>
  <c r="C201" i="33"/>
  <c r="F201" i="33"/>
  <c r="G201" i="33"/>
  <c r="J201" i="33"/>
  <c r="K201" i="33"/>
  <c r="L201" i="33"/>
  <c r="M201" i="33"/>
  <c r="N201" i="33"/>
  <c r="O201" i="33"/>
  <c r="P201" i="33"/>
  <c r="C202" i="33"/>
  <c r="F202" i="33"/>
  <c r="G202" i="33"/>
  <c r="J202" i="33"/>
  <c r="K202" i="33"/>
  <c r="L202" i="33"/>
  <c r="M202" i="33"/>
  <c r="N202" i="33"/>
  <c r="O202" i="33"/>
  <c r="P202" i="33"/>
  <c r="C203" i="33"/>
  <c r="F203" i="33"/>
  <c r="G203" i="33"/>
  <c r="J203" i="33"/>
  <c r="K203" i="33"/>
  <c r="L203" i="33"/>
  <c r="M203" i="33"/>
  <c r="N203" i="33"/>
  <c r="O203" i="33"/>
  <c r="P203" i="33"/>
  <c r="C204" i="33"/>
  <c r="F204" i="33"/>
  <c r="G204" i="33"/>
  <c r="J204" i="33"/>
  <c r="K204" i="33"/>
  <c r="L204" i="33"/>
  <c r="M204" i="33"/>
  <c r="N204" i="33"/>
  <c r="O204" i="33"/>
  <c r="P204" i="33"/>
  <c r="C205" i="33"/>
  <c r="F205" i="33"/>
  <c r="G205" i="33"/>
  <c r="J205" i="33"/>
  <c r="K205" i="33"/>
  <c r="L205" i="33"/>
  <c r="M205" i="33"/>
  <c r="N205" i="33"/>
  <c r="O205" i="33"/>
  <c r="P205" i="33"/>
  <c r="C206" i="33"/>
  <c r="F206" i="33"/>
  <c r="G206" i="33"/>
  <c r="J206" i="33"/>
  <c r="K206" i="33"/>
  <c r="L206" i="33"/>
  <c r="M206" i="33"/>
  <c r="N206" i="33"/>
  <c r="O206" i="33"/>
  <c r="P206" i="33"/>
  <c r="C207" i="33"/>
  <c r="F207" i="33"/>
  <c r="G207" i="33"/>
  <c r="J207" i="33"/>
  <c r="K207" i="33"/>
  <c r="L207" i="33"/>
  <c r="M207" i="33"/>
  <c r="N207" i="33"/>
  <c r="O207" i="33"/>
  <c r="P207" i="33"/>
  <c r="C208" i="33"/>
  <c r="F208" i="33"/>
  <c r="G208" i="33"/>
  <c r="J208" i="33"/>
  <c r="K208" i="33"/>
  <c r="L208" i="33"/>
  <c r="M208" i="33"/>
  <c r="N208" i="33"/>
  <c r="O208" i="33"/>
  <c r="P208" i="33"/>
  <c r="C209" i="33"/>
  <c r="F209" i="33"/>
  <c r="G209" i="33"/>
  <c r="J209" i="33"/>
  <c r="K209" i="33"/>
  <c r="L209" i="33"/>
  <c r="M209" i="33"/>
  <c r="N209" i="33"/>
  <c r="O209" i="33"/>
  <c r="P209" i="33"/>
  <c r="C210" i="33"/>
  <c r="F210" i="33"/>
  <c r="G210" i="33"/>
  <c r="J210" i="33"/>
  <c r="K210" i="33"/>
  <c r="L210" i="33"/>
  <c r="M210" i="33"/>
  <c r="N210" i="33"/>
  <c r="O210" i="33"/>
  <c r="P210" i="33"/>
  <c r="C211" i="33"/>
  <c r="F211" i="33"/>
  <c r="G211" i="33"/>
  <c r="J211" i="33"/>
  <c r="K211" i="33"/>
  <c r="L211" i="33"/>
  <c r="M211" i="33"/>
  <c r="N211" i="33"/>
  <c r="O211" i="33"/>
  <c r="P211" i="33"/>
  <c r="C212" i="33"/>
  <c r="F212" i="33"/>
  <c r="G212" i="33"/>
  <c r="J212" i="33"/>
  <c r="K212" i="33"/>
  <c r="L212" i="33"/>
  <c r="M212" i="33"/>
  <c r="N212" i="33"/>
  <c r="O212" i="33"/>
  <c r="P212" i="33"/>
  <c r="C213" i="33"/>
  <c r="F213" i="33"/>
  <c r="G213" i="33"/>
  <c r="J213" i="33"/>
  <c r="K213" i="33"/>
  <c r="L213" i="33"/>
  <c r="M213" i="33"/>
  <c r="N213" i="33"/>
  <c r="O213" i="33"/>
  <c r="P213" i="33"/>
  <c r="C214" i="33"/>
  <c r="F214" i="33"/>
  <c r="G214" i="33"/>
  <c r="J214" i="33"/>
  <c r="K214" i="33"/>
  <c r="L214" i="33"/>
  <c r="M214" i="33"/>
  <c r="N214" i="33"/>
  <c r="O214" i="33"/>
  <c r="P214" i="33"/>
  <c r="C215" i="33"/>
  <c r="F215" i="33"/>
  <c r="G215" i="33"/>
  <c r="J215" i="33"/>
  <c r="K215" i="33"/>
  <c r="L215" i="33"/>
  <c r="M215" i="33"/>
  <c r="N215" i="33"/>
  <c r="O215" i="33"/>
  <c r="P215" i="33"/>
  <c r="C216" i="33"/>
  <c r="F216" i="33"/>
  <c r="G216" i="33"/>
  <c r="J216" i="33"/>
  <c r="K216" i="33"/>
  <c r="L216" i="33"/>
  <c r="M216" i="33"/>
  <c r="N216" i="33"/>
  <c r="O216" i="33"/>
  <c r="P216" i="33"/>
  <c r="C217" i="33"/>
  <c r="F217" i="33"/>
  <c r="G217" i="33"/>
  <c r="J217" i="33"/>
  <c r="K217" i="33"/>
  <c r="L217" i="33"/>
  <c r="M217" i="33"/>
  <c r="N217" i="33"/>
  <c r="O217" i="33"/>
  <c r="P217" i="33"/>
  <c r="C218" i="33"/>
  <c r="F218" i="33"/>
  <c r="G218" i="33"/>
  <c r="J218" i="33"/>
  <c r="K218" i="33"/>
  <c r="L218" i="33"/>
  <c r="M218" i="33"/>
  <c r="N218" i="33"/>
  <c r="O218" i="33"/>
  <c r="P218" i="33"/>
  <c r="C219" i="33"/>
  <c r="F219" i="33"/>
  <c r="G219" i="33"/>
  <c r="J219" i="33"/>
  <c r="K219" i="33"/>
  <c r="L219" i="33"/>
  <c r="M219" i="33"/>
  <c r="N219" i="33"/>
  <c r="O219" i="33"/>
  <c r="P219" i="33"/>
  <c r="C220" i="33"/>
  <c r="F220" i="33"/>
  <c r="G220" i="33"/>
  <c r="J220" i="33"/>
  <c r="K220" i="33"/>
  <c r="L220" i="33"/>
  <c r="M220" i="33"/>
  <c r="N220" i="33"/>
  <c r="O220" i="33"/>
  <c r="P220" i="33"/>
  <c r="C221" i="33"/>
  <c r="F221" i="33"/>
  <c r="G221" i="33"/>
  <c r="J221" i="33"/>
  <c r="K221" i="33"/>
  <c r="L221" i="33"/>
  <c r="M221" i="33"/>
  <c r="N221" i="33"/>
  <c r="O221" i="33"/>
  <c r="P221" i="33"/>
  <c r="C222" i="33"/>
  <c r="F222" i="33"/>
  <c r="G222" i="33"/>
  <c r="J222" i="33"/>
  <c r="K222" i="33"/>
  <c r="L222" i="33"/>
  <c r="M222" i="33"/>
  <c r="N222" i="33"/>
  <c r="O222" i="33"/>
  <c r="P222" i="33"/>
  <c r="C223" i="33"/>
  <c r="F223" i="33"/>
  <c r="G223" i="33"/>
  <c r="J223" i="33"/>
  <c r="K223" i="33"/>
  <c r="L223" i="33"/>
  <c r="M223" i="33"/>
  <c r="N223" i="33"/>
  <c r="O223" i="33"/>
  <c r="P223" i="33"/>
  <c r="C224" i="33"/>
  <c r="F224" i="33"/>
  <c r="G224" i="33"/>
  <c r="J224" i="33"/>
  <c r="K224" i="33"/>
  <c r="L224" i="33"/>
  <c r="M224" i="33"/>
  <c r="N224" i="33"/>
  <c r="O224" i="33"/>
  <c r="P224" i="33"/>
  <c r="C225" i="33"/>
  <c r="F225" i="33"/>
  <c r="G225" i="33"/>
  <c r="J225" i="33"/>
  <c r="K225" i="33"/>
  <c r="L225" i="33"/>
  <c r="M225" i="33"/>
  <c r="N225" i="33"/>
  <c r="O225" i="33"/>
  <c r="P225" i="33"/>
  <c r="C226" i="33"/>
  <c r="F226" i="33"/>
  <c r="G226" i="33"/>
  <c r="J226" i="33"/>
  <c r="K226" i="33"/>
  <c r="L226" i="33"/>
  <c r="M226" i="33"/>
  <c r="N226" i="33"/>
  <c r="O226" i="33"/>
  <c r="P226" i="33"/>
  <c r="C227" i="33"/>
  <c r="F227" i="33"/>
  <c r="G227" i="33"/>
  <c r="J227" i="33"/>
  <c r="K227" i="33"/>
  <c r="L227" i="33"/>
  <c r="M227" i="33"/>
  <c r="N227" i="33"/>
  <c r="O227" i="33"/>
  <c r="P227" i="33"/>
  <c r="C228" i="33"/>
  <c r="F228" i="33"/>
  <c r="G228" i="33"/>
  <c r="J228" i="33"/>
  <c r="K228" i="33"/>
  <c r="L228" i="33"/>
  <c r="M228" i="33"/>
  <c r="N228" i="33"/>
  <c r="O228" i="33"/>
  <c r="P228" i="33"/>
  <c r="C229" i="33"/>
  <c r="F229" i="33"/>
  <c r="G229" i="33"/>
  <c r="J229" i="33"/>
  <c r="K229" i="33"/>
  <c r="L229" i="33"/>
  <c r="M229" i="33"/>
  <c r="N229" i="33"/>
  <c r="O229" i="33"/>
  <c r="P229" i="33"/>
  <c r="C230" i="33"/>
  <c r="F230" i="33"/>
  <c r="G230" i="33"/>
  <c r="J230" i="33"/>
  <c r="K230" i="33"/>
  <c r="L230" i="33"/>
  <c r="M230" i="33"/>
  <c r="N230" i="33"/>
  <c r="O230" i="33"/>
  <c r="P230" i="33"/>
  <c r="C231" i="33"/>
  <c r="F231" i="33"/>
  <c r="G231" i="33"/>
  <c r="J231" i="33"/>
  <c r="K231" i="33"/>
  <c r="L231" i="33"/>
  <c r="M231" i="33"/>
  <c r="N231" i="33"/>
  <c r="O231" i="33"/>
  <c r="P231" i="33"/>
  <c r="C232" i="33"/>
  <c r="F232" i="33"/>
  <c r="G232" i="33"/>
  <c r="J232" i="33"/>
  <c r="K232" i="33"/>
  <c r="L232" i="33"/>
  <c r="M232" i="33"/>
  <c r="N232" i="33"/>
  <c r="O232" i="33"/>
  <c r="P232" i="33"/>
  <c r="C233" i="33"/>
  <c r="F233" i="33"/>
  <c r="G233" i="33"/>
  <c r="J233" i="33"/>
  <c r="K233" i="33"/>
  <c r="L233" i="33"/>
  <c r="M233" i="33"/>
  <c r="N233" i="33"/>
  <c r="O233" i="33"/>
  <c r="P233" i="33"/>
  <c r="C234" i="33"/>
  <c r="F234" i="33"/>
  <c r="G234" i="33"/>
  <c r="J234" i="33"/>
  <c r="K234" i="33"/>
  <c r="L234" i="33"/>
  <c r="M234" i="33"/>
  <c r="N234" i="33"/>
  <c r="O234" i="33"/>
  <c r="P234" i="33"/>
  <c r="C235" i="33"/>
  <c r="F235" i="33"/>
  <c r="G235" i="33"/>
  <c r="J235" i="33"/>
  <c r="K235" i="33"/>
  <c r="L235" i="33"/>
  <c r="M235" i="33"/>
  <c r="N235" i="33"/>
  <c r="O235" i="33"/>
  <c r="P235" i="33"/>
  <c r="C236" i="33"/>
  <c r="F236" i="33"/>
  <c r="G236" i="33"/>
  <c r="J236" i="33"/>
  <c r="K236" i="33"/>
  <c r="L236" i="33"/>
  <c r="M236" i="33"/>
  <c r="N236" i="33"/>
  <c r="O236" i="33"/>
  <c r="P236" i="33"/>
  <c r="C237" i="33"/>
  <c r="F237" i="33"/>
  <c r="G237" i="33"/>
  <c r="J237" i="33"/>
  <c r="K237" i="33"/>
  <c r="L237" i="33"/>
  <c r="M237" i="33"/>
  <c r="N237" i="33"/>
  <c r="O237" i="33"/>
  <c r="P237" i="33"/>
  <c r="C238" i="33"/>
  <c r="F238" i="33"/>
  <c r="G238" i="33"/>
  <c r="J238" i="33"/>
  <c r="K238" i="33"/>
  <c r="L238" i="33"/>
  <c r="M238" i="33"/>
  <c r="N238" i="33"/>
  <c r="O238" i="33"/>
  <c r="P238" i="33"/>
  <c r="C239" i="33"/>
  <c r="F239" i="33"/>
  <c r="G239" i="33"/>
  <c r="J239" i="33"/>
  <c r="K239" i="33"/>
  <c r="L239" i="33"/>
  <c r="M239" i="33"/>
  <c r="N239" i="33"/>
  <c r="O239" i="33"/>
  <c r="P239" i="33"/>
  <c r="C240" i="33"/>
  <c r="F240" i="33"/>
  <c r="G240" i="33"/>
  <c r="J240" i="33"/>
  <c r="K240" i="33"/>
  <c r="L240" i="33"/>
  <c r="M240" i="33"/>
  <c r="N240" i="33"/>
  <c r="O240" i="33"/>
  <c r="P240" i="33"/>
  <c r="C241" i="33"/>
  <c r="F241" i="33"/>
  <c r="G241" i="33"/>
  <c r="J241" i="33"/>
  <c r="K241" i="33"/>
  <c r="L241" i="33"/>
  <c r="M241" i="33"/>
  <c r="N241" i="33"/>
  <c r="O241" i="33"/>
  <c r="P241" i="33"/>
  <c r="C242" i="33"/>
  <c r="F242" i="33"/>
  <c r="G242" i="33"/>
  <c r="J242" i="33"/>
  <c r="K242" i="33"/>
  <c r="L242" i="33"/>
  <c r="M242" i="33"/>
  <c r="N242" i="33"/>
  <c r="O242" i="33"/>
  <c r="P242" i="33"/>
  <c r="C243" i="33"/>
  <c r="F243" i="33"/>
  <c r="G243" i="33"/>
  <c r="J243" i="33"/>
  <c r="K243" i="33"/>
  <c r="L243" i="33"/>
  <c r="M243" i="33"/>
  <c r="N243" i="33"/>
  <c r="O243" i="33"/>
  <c r="P243" i="33"/>
  <c r="C244" i="33"/>
  <c r="F244" i="33"/>
  <c r="G244" i="33"/>
  <c r="J244" i="33"/>
  <c r="K244" i="33"/>
  <c r="L244" i="33"/>
  <c r="M244" i="33"/>
  <c r="N244" i="33"/>
  <c r="O244" i="33"/>
  <c r="P244" i="33"/>
  <c r="C245" i="33"/>
  <c r="F245" i="33"/>
  <c r="G245" i="33"/>
  <c r="J245" i="33"/>
  <c r="K245" i="33"/>
  <c r="L245" i="33"/>
  <c r="M245" i="33"/>
  <c r="N245" i="33"/>
  <c r="O245" i="33"/>
  <c r="P245" i="33"/>
  <c r="C246" i="33"/>
  <c r="F246" i="33"/>
  <c r="G246" i="33"/>
  <c r="J246" i="33"/>
  <c r="K246" i="33"/>
  <c r="L246" i="33"/>
  <c r="M246" i="33"/>
  <c r="N246" i="33"/>
  <c r="O246" i="33"/>
  <c r="P246" i="33"/>
  <c r="C247" i="33"/>
  <c r="F247" i="33"/>
  <c r="G247" i="33"/>
  <c r="J247" i="33"/>
  <c r="K247" i="33"/>
  <c r="L247" i="33"/>
  <c r="M247" i="33"/>
  <c r="N247" i="33"/>
  <c r="O247" i="33"/>
  <c r="P247" i="33"/>
  <c r="C248" i="33"/>
  <c r="F248" i="33"/>
  <c r="G248" i="33"/>
  <c r="J248" i="33"/>
  <c r="K248" i="33"/>
  <c r="L248" i="33"/>
  <c r="M248" i="33"/>
  <c r="N248" i="33"/>
  <c r="O248" i="33"/>
  <c r="P248" i="33"/>
  <c r="C249" i="33"/>
  <c r="F249" i="33"/>
  <c r="G249" i="33"/>
  <c r="J249" i="33"/>
  <c r="K249" i="33"/>
  <c r="L249" i="33"/>
  <c r="M249" i="33"/>
  <c r="N249" i="33"/>
  <c r="O249" i="33"/>
  <c r="P249" i="33"/>
  <c r="C250" i="33"/>
  <c r="F250" i="33"/>
  <c r="G250" i="33"/>
  <c r="J250" i="33"/>
  <c r="K250" i="33"/>
  <c r="L250" i="33"/>
  <c r="M250" i="33"/>
  <c r="N250" i="33"/>
  <c r="O250" i="33"/>
  <c r="P250" i="33"/>
  <c r="C251" i="33"/>
  <c r="F251" i="33"/>
  <c r="G251" i="33"/>
  <c r="J251" i="33"/>
  <c r="K251" i="33"/>
  <c r="L251" i="33"/>
  <c r="M251" i="33"/>
  <c r="N251" i="33"/>
  <c r="O251" i="33"/>
  <c r="P251" i="33"/>
  <c r="C252" i="33"/>
  <c r="F252" i="33"/>
  <c r="G252" i="33"/>
  <c r="J252" i="33"/>
  <c r="K252" i="33"/>
  <c r="L252" i="33"/>
  <c r="M252" i="33"/>
  <c r="N252" i="33"/>
  <c r="O252" i="33"/>
  <c r="P252" i="33"/>
  <c r="C253" i="33"/>
  <c r="F253" i="33"/>
  <c r="G253" i="33"/>
  <c r="J253" i="33"/>
  <c r="K253" i="33"/>
  <c r="L253" i="33"/>
  <c r="M253" i="33"/>
  <c r="N253" i="33"/>
  <c r="O253" i="33"/>
  <c r="P253" i="33"/>
  <c r="C254" i="33"/>
  <c r="F254" i="33"/>
  <c r="G254" i="33"/>
  <c r="J254" i="33"/>
  <c r="K254" i="33"/>
  <c r="L254" i="33"/>
  <c r="M254" i="33"/>
  <c r="N254" i="33"/>
  <c r="O254" i="33"/>
  <c r="P254" i="33"/>
  <c r="C255" i="33"/>
  <c r="F255" i="33"/>
  <c r="G255" i="33"/>
  <c r="J255" i="33"/>
  <c r="K255" i="33"/>
  <c r="L255" i="33"/>
  <c r="M255" i="33"/>
  <c r="N255" i="33"/>
  <c r="O255" i="33"/>
  <c r="P255" i="33"/>
  <c r="C256" i="33"/>
  <c r="F256" i="33"/>
  <c r="G256" i="33"/>
  <c r="J256" i="33"/>
  <c r="K256" i="33"/>
  <c r="L256" i="33"/>
  <c r="M256" i="33"/>
  <c r="N256" i="33"/>
  <c r="O256" i="33"/>
  <c r="P256" i="33"/>
  <c r="C257" i="33"/>
  <c r="F257" i="33"/>
  <c r="G257" i="33"/>
  <c r="J257" i="33"/>
  <c r="K257" i="33"/>
  <c r="L257" i="33"/>
  <c r="M257" i="33"/>
  <c r="N257" i="33"/>
  <c r="O257" i="33"/>
  <c r="P257" i="33"/>
  <c r="C258" i="33"/>
  <c r="F258" i="33"/>
  <c r="G258" i="33"/>
  <c r="J258" i="33"/>
  <c r="K258" i="33"/>
  <c r="L258" i="33"/>
  <c r="M258" i="33"/>
  <c r="N258" i="33"/>
  <c r="O258" i="33"/>
  <c r="P258" i="33"/>
  <c r="C259" i="33"/>
  <c r="F259" i="33"/>
  <c r="G259" i="33"/>
  <c r="J259" i="33"/>
  <c r="K259" i="33"/>
  <c r="L259" i="33"/>
  <c r="M259" i="33"/>
  <c r="N259" i="33"/>
  <c r="O259" i="33"/>
  <c r="P259" i="33"/>
  <c r="C260" i="33"/>
  <c r="F260" i="33"/>
  <c r="G260" i="33"/>
  <c r="J260" i="33"/>
  <c r="K260" i="33"/>
  <c r="L260" i="33"/>
  <c r="M260" i="33"/>
  <c r="N260" i="33"/>
  <c r="O260" i="33"/>
  <c r="P260" i="33"/>
  <c r="C261" i="33"/>
  <c r="F261" i="33"/>
  <c r="G261" i="33"/>
  <c r="J261" i="33"/>
  <c r="K261" i="33"/>
  <c r="L261" i="33"/>
  <c r="M261" i="33"/>
  <c r="N261" i="33"/>
  <c r="O261" i="33"/>
  <c r="P261" i="33"/>
  <c r="C262" i="33"/>
  <c r="F262" i="33"/>
  <c r="G262" i="33"/>
  <c r="J262" i="33"/>
  <c r="K262" i="33"/>
  <c r="L262" i="33"/>
  <c r="M262" i="33"/>
  <c r="N262" i="33"/>
  <c r="O262" i="33"/>
  <c r="P262" i="33"/>
  <c r="C263" i="33"/>
  <c r="F263" i="33"/>
  <c r="G263" i="33"/>
  <c r="J263" i="33"/>
  <c r="K263" i="33"/>
  <c r="L263" i="33"/>
  <c r="M263" i="33"/>
  <c r="N263" i="33"/>
  <c r="O263" i="33"/>
  <c r="P263" i="33"/>
  <c r="C264" i="33"/>
  <c r="F264" i="33"/>
  <c r="G264" i="33"/>
  <c r="J264" i="33"/>
  <c r="K264" i="33"/>
  <c r="L264" i="33"/>
  <c r="M264" i="33"/>
  <c r="N264" i="33"/>
  <c r="O264" i="33"/>
  <c r="P264" i="33"/>
  <c r="C265" i="33"/>
  <c r="F265" i="33"/>
  <c r="G265" i="33"/>
  <c r="J265" i="33"/>
  <c r="K265" i="33"/>
  <c r="L265" i="33"/>
  <c r="M265" i="33"/>
  <c r="N265" i="33"/>
  <c r="O265" i="33"/>
  <c r="P265" i="33"/>
  <c r="C266" i="33"/>
  <c r="F266" i="33"/>
  <c r="G266" i="33"/>
  <c r="J266" i="33"/>
  <c r="K266" i="33"/>
  <c r="L266" i="33"/>
  <c r="M266" i="33"/>
  <c r="N266" i="33"/>
  <c r="O266" i="33"/>
  <c r="P266" i="33"/>
  <c r="C267" i="33"/>
  <c r="F267" i="33"/>
  <c r="G267" i="33"/>
  <c r="J267" i="33"/>
  <c r="K267" i="33"/>
  <c r="L267" i="33"/>
  <c r="M267" i="33"/>
  <c r="N267" i="33"/>
  <c r="O267" i="33"/>
  <c r="P267" i="33"/>
  <c r="C268" i="33"/>
  <c r="F268" i="33"/>
  <c r="G268" i="33"/>
  <c r="J268" i="33"/>
  <c r="K268" i="33"/>
  <c r="L268" i="33"/>
  <c r="M268" i="33"/>
  <c r="N268" i="33"/>
  <c r="O268" i="33"/>
  <c r="P268" i="33"/>
  <c r="C269" i="33"/>
  <c r="F269" i="33"/>
  <c r="G269" i="33"/>
  <c r="J269" i="33"/>
  <c r="K269" i="33"/>
  <c r="L269" i="33"/>
  <c r="M269" i="33"/>
  <c r="N269" i="33"/>
  <c r="O269" i="33"/>
  <c r="P269" i="33"/>
  <c r="C270" i="33"/>
  <c r="F270" i="33"/>
  <c r="G270" i="33"/>
  <c r="J270" i="33"/>
  <c r="K270" i="33"/>
  <c r="L270" i="33"/>
  <c r="M270" i="33"/>
  <c r="N270" i="33"/>
  <c r="O270" i="33"/>
  <c r="P270" i="33"/>
  <c r="C271" i="33"/>
  <c r="F271" i="33"/>
  <c r="G271" i="33"/>
  <c r="J271" i="33"/>
  <c r="K271" i="33"/>
  <c r="L271" i="33"/>
  <c r="M271" i="33"/>
  <c r="N271" i="33"/>
  <c r="O271" i="33"/>
  <c r="P271" i="33"/>
  <c r="C272" i="33"/>
  <c r="F272" i="33"/>
  <c r="G272" i="33"/>
  <c r="J272" i="33"/>
  <c r="K272" i="33"/>
  <c r="L272" i="33"/>
  <c r="M272" i="33"/>
  <c r="N272" i="33"/>
  <c r="O272" i="33"/>
  <c r="P272" i="33"/>
  <c r="C273" i="33"/>
  <c r="F273" i="33"/>
  <c r="G273" i="33"/>
  <c r="J273" i="33"/>
  <c r="K273" i="33"/>
  <c r="L273" i="33"/>
  <c r="M273" i="33"/>
  <c r="N273" i="33"/>
  <c r="O273" i="33"/>
  <c r="P273" i="33"/>
  <c r="C274" i="33"/>
  <c r="F274" i="33"/>
  <c r="G274" i="33"/>
  <c r="J274" i="33"/>
  <c r="K274" i="33"/>
  <c r="L274" i="33"/>
  <c r="M274" i="33"/>
  <c r="N274" i="33"/>
  <c r="O274" i="33"/>
  <c r="P274" i="33"/>
  <c r="C275" i="33"/>
  <c r="F275" i="33"/>
  <c r="G275" i="33"/>
  <c r="J275" i="33"/>
  <c r="K275" i="33"/>
  <c r="L275" i="33"/>
  <c r="M275" i="33"/>
  <c r="N275" i="33"/>
  <c r="O275" i="33"/>
  <c r="P275" i="33"/>
  <c r="C276" i="33"/>
  <c r="F276" i="33"/>
  <c r="G276" i="33"/>
  <c r="J276" i="33"/>
  <c r="K276" i="33"/>
  <c r="L276" i="33"/>
  <c r="M276" i="33"/>
  <c r="N276" i="33"/>
  <c r="O276" i="33"/>
  <c r="P276" i="33"/>
  <c r="C277" i="33"/>
  <c r="F277" i="33"/>
  <c r="G277" i="33"/>
  <c r="J277" i="33"/>
  <c r="K277" i="33"/>
  <c r="L277" i="33"/>
  <c r="M277" i="33"/>
  <c r="N277" i="33"/>
  <c r="O277" i="33"/>
  <c r="P277" i="33"/>
  <c r="C278" i="33"/>
  <c r="F278" i="33"/>
  <c r="G278" i="33"/>
  <c r="J278" i="33"/>
  <c r="K278" i="33"/>
  <c r="L278" i="33"/>
  <c r="M278" i="33"/>
  <c r="N278" i="33"/>
  <c r="O278" i="33"/>
  <c r="P278" i="33"/>
  <c r="C279" i="33"/>
  <c r="F279" i="33"/>
  <c r="G279" i="33"/>
  <c r="J279" i="33"/>
  <c r="K279" i="33"/>
  <c r="L279" i="33"/>
  <c r="M279" i="33"/>
  <c r="N279" i="33"/>
  <c r="O279" i="33"/>
  <c r="P279" i="33"/>
  <c r="C280" i="33"/>
  <c r="F280" i="33"/>
  <c r="G280" i="33"/>
  <c r="J280" i="33"/>
  <c r="K280" i="33"/>
  <c r="L280" i="33"/>
  <c r="M280" i="33"/>
  <c r="N280" i="33"/>
  <c r="O280" i="33"/>
  <c r="P280" i="33"/>
  <c r="C281" i="33"/>
  <c r="F281" i="33"/>
  <c r="G281" i="33"/>
  <c r="J281" i="33"/>
  <c r="K281" i="33"/>
  <c r="L281" i="33"/>
  <c r="M281" i="33"/>
  <c r="N281" i="33"/>
  <c r="O281" i="33"/>
  <c r="P281" i="33"/>
  <c r="C282" i="33"/>
  <c r="F282" i="33"/>
  <c r="G282" i="33"/>
  <c r="J282" i="33"/>
  <c r="K282" i="33"/>
  <c r="L282" i="33"/>
  <c r="M282" i="33"/>
  <c r="N282" i="33"/>
  <c r="O282" i="33"/>
  <c r="P282" i="33"/>
  <c r="C283" i="33"/>
  <c r="F283" i="33"/>
  <c r="G283" i="33"/>
  <c r="J283" i="33"/>
  <c r="K283" i="33"/>
  <c r="L283" i="33"/>
  <c r="M283" i="33"/>
  <c r="N283" i="33"/>
  <c r="O283" i="33"/>
  <c r="P283" i="33"/>
  <c r="C284" i="33"/>
  <c r="F284" i="33"/>
  <c r="G284" i="33"/>
  <c r="J284" i="33"/>
  <c r="K284" i="33"/>
  <c r="L284" i="33"/>
  <c r="M284" i="33"/>
  <c r="N284" i="33"/>
  <c r="O284" i="33"/>
  <c r="P284" i="33"/>
  <c r="C285" i="33"/>
  <c r="F285" i="33"/>
  <c r="G285" i="33"/>
  <c r="J285" i="33"/>
  <c r="K285" i="33"/>
  <c r="L285" i="33"/>
  <c r="M285" i="33"/>
  <c r="N285" i="33"/>
  <c r="O285" i="33"/>
  <c r="P285" i="33"/>
  <c r="C286" i="33"/>
  <c r="F286" i="33"/>
  <c r="G286" i="33"/>
  <c r="J286" i="33"/>
  <c r="K286" i="33"/>
  <c r="L286" i="33"/>
  <c r="M286" i="33"/>
  <c r="N286" i="33"/>
  <c r="O286" i="33"/>
  <c r="P286" i="33"/>
  <c r="C287" i="33"/>
  <c r="F287" i="33"/>
  <c r="G287" i="33"/>
  <c r="J287" i="33"/>
  <c r="K287" i="33"/>
  <c r="L287" i="33"/>
  <c r="M287" i="33"/>
  <c r="N287" i="33"/>
  <c r="O287" i="33"/>
  <c r="P287" i="33"/>
  <c r="C288" i="33"/>
  <c r="F288" i="33"/>
  <c r="G288" i="33"/>
  <c r="J288" i="33"/>
  <c r="K288" i="33"/>
  <c r="L288" i="33"/>
  <c r="M288" i="33"/>
  <c r="N288" i="33"/>
  <c r="O288" i="33"/>
  <c r="P288" i="33"/>
  <c r="C289" i="33"/>
  <c r="F289" i="33"/>
  <c r="G289" i="33"/>
  <c r="J289" i="33"/>
  <c r="K289" i="33"/>
  <c r="L289" i="33"/>
  <c r="M289" i="33"/>
  <c r="N289" i="33"/>
  <c r="O289" i="33"/>
  <c r="P289" i="33"/>
  <c r="C290" i="33"/>
  <c r="F290" i="33"/>
  <c r="G290" i="33"/>
  <c r="J290" i="33"/>
  <c r="K290" i="33"/>
  <c r="L290" i="33"/>
  <c r="M290" i="33"/>
  <c r="N290" i="33"/>
  <c r="O290" i="33"/>
  <c r="P290" i="33"/>
  <c r="C291" i="33"/>
  <c r="F291" i="33"/>
  <c r="G291" i="33"/>
  <c r="J291" i="33"/>
  <c r="K291" i="33"/>
  <c r="L291" i="33"/>
  <c r="M291" i="33"/>
  <c r="N291" i="33"/>
  <c r="O291" i="33"/>
  <c r="P291" i="33"/>
  <c r="C292" i="33"/>
  <c r="F292" i="33"/>
  <c r="G292" i="33"/>
  <c r="J292" i="33"/>
  <c r="K292" i="33"/>
  <c r="L292" i="33"/>
  <c r="M292" i="33"/>
  <c r="N292" i="33"/>
  <c r="O292" i="33"/>
  <c r="P292" i="33"/>
  <c r="C293" i="33"/>
  <c r="F293" i="33"/>
  <c r="G293" i="33"/>
  <c r="J293" i="33"/>
  <c r="K293" i="33"/>
  <c r="L293" i="33"/>
  <c r="M293" i="33"/>
  <c r="N293" i="33"/>
  <c r="O293" i="33"/>
  <c r="P293" i="33"/>
  <c r="C294" i="33"/>
  <c r="F294" i="33"/>
  <c r="G294" i="33"/>
  <c r="J294" i="33"/>
  <c r="K294" i="33"/>
  <c r="L294" i="33"/>
  <c r="M294" i="33"/>
  <c r="N294" i="33"/>
  <c r="O294" i="33"/>
  <c r="P294" i="33"/>
  <c r="C295" i="33"/>
  <c r="F295" i="33"/>
  <c r="G295" i="33"/>
  <c r="J295" i="33"/>
  <c r="K295" i="33"/>
  <c r="L295" i="33"/>
  <c r="M295" i="33"/>
  <c r="N295" i="33"/>
  <c r="O295" i="33"/>
  <c r="P295" i="33"/>
  <c r="C296" i="33"/>
  <c r="F296" i="33"/>
  <c r="G296" i="33"/>
  <c r="J296" i="33"/>
  <c r="K296" i="33"/>
  <c r="L296" i="33"/>
  <c r="M296" i="33"/>
  <c r="N296" i="33"/>
  <c r="O296" i="33"/>
  <c r="P296" i="33"/>
  <c r="C297" i="33"/>
  <c r="F297" i="33"/>
  <c r="G297" i="33"/>
  <c r="J297" i="33"/>
  <c r="K297" i="33"/>
  <c r="L297" i="33"/>
  <c r="M297" i="33"/>
  <c r="N297" i="33"/>
  <c r="O297" i="33"/>
  <c r="P297" i="33"/>
  <c r="C298" i="33"/>
  <c r="F298" i="33"/>
  <c r="G298" i="33"/>
  <c r="J298" i="33"/>
  <c r="K298" i="33"/>
  <c r="L298" i="33"/>
  <c r="M298" i="33"/>
  <c r="N298" i="33"/>
  <c r="O298" i="33"/>
  <c r="P298" i="33"/>
  <c r="C299" i="33"/>
  <c r="F299" i="33"/>
  <c r="G299" i="33"/>
  <c r="J299" i="33"/>
  <c r="K299" i="33"/>
  <c r="L299" i="33"/>
  <c r="M299" i="33"/>
  <c r="N299" i="33"/>
  <c r="O299" i="33"/>
  <c r="P299" i="33"/>
  <c r="C300" i="33"/>
  <c r="F300" i="33"/>
  <c r="G300" i="33"/>
  <c r="J300" i="33"/>
  <c r="K300" i="33"/>
  <c r="L300" i="33"/>
  <c r="M300" i="33"/>
  <c r="N300" i="33"/>
  <c r="O300" i="33"/>
  <c r="P300" i="33"/>
  <c r="C301" i="33"/>
  <c r="F301" i="33"/>
  <c r="G301" i="33"/>
  <c r="J301" i="33"/>
  <c r="K301" i="33"/>
  <c r="L301" i="33"/>
  <c r="M301" i="33"/>
  <c r="N301" i="33"/>
  <c r="O301" i="33"/>
  <c r="P301" i="33"/>
  <c r="C302" i="33"/>
  <c r="F302" i="33"/>
  <c r="G302" i="33"/>
  <c r="J302" i="33"/>
  <c r="K302" i="33"/>
  <c r="L302" i="33"/>
  <c r="M302" i="33"/>
  <c r="N302" i="33"/>
  <c r="O302" i="33"/>
  <c r="P302" i="33"/>
  <c r="C303" i="33"/>
  <c r="F303" i="33"/>
  <c r="G303" i="33"/>
  <c r="J303" i="33"/>
  <c r="K303" i="33"/>
  <c r="L303" i="33"/>
  <c r="M303" i="33"/>
  <c r="N303" i="33"/>
  <c r="O303" i="33"/>
  <c r="P303" i="33"/>
  <c r="C304" i="33"/>
  <c r="F304" i="33"/>
  <c r="G304" i="33"/>
  <c r="J304" i="33"/>
  <c r="K304" i="33"/>
  <c r="L304" i="33"/>
  <c r="M304" i="33"/>
  <c r="N304" i="33"/>
  <c r="O304" i="33"/>
  <c r="P304" i="33"/>
  <c r="C305" i="33"/>
  <c r="F305" i="33"/>
  <c r="G305" i="33"/>
  <c r="J305" i="33"/>
  <c r="K305" i="33"/>
  <c r="L305" i="33"/>
  <c r="M305" i="33"/>
  <c r="N305" i="33"/>
  <c r="O305" i="33"/>
  <c r="P305" i="33"/>
  <c r="C306" i="33"/>
  <c r="F306" i="33"/>
  <c r="G306" i="33"/>
  <c r="J306" i="33"/>
  <c r="K306" i="33"/>
  <c r="L306" i="33"/>
  <c r="M306" i="33"/>
  <c r="N306" i="33"/>
  <c r="O306" i="33"/>
  <c r="P306" i="33"/>
  <c r="C307" i="33"/>
  <c r="F307" i="33"/>
  <c r="G307" i="33"/>
  <c r="J307" i="33"/>
  <c r="K307" i="33"/>
  <c r="L307" i="33"/>
  <c r="M307" i="33"/>
  <c r="N307" i="33"/>
  <c r="O307" i="33"/>
  <c r="P307" i="33"/>
  <c r="C308" i="33"/>
  <c r="F308" i="33"/>
  <c r="G308" i="33"/>
  <c r="J308" i="33"/>
  <c r="K308" i="33"/>
  <c r="L308" i="33"/>
  <c r="M308" i="33"/>
  <c r="N308" i="33"/>
  <c r="O308" i="33"/>
  <c r="P308" i="33"/>
  <c r="C309" i="33"/>
  <c r="F309" i="33"/>
  <c r="G309" i="33"/>
  <c r="J309" i="33"/>
  <c r="K309" i="33"/>
  <c r="L309" i="33"/>
  <c r="M309" i="33"/>
  <c r="N309" i="33"/>
  <c r="O309" i="33"/>
  <c r="P309" i="33"/>
  <c r="C310" i="33"/>
  <c r="F310" i="33"/>
  <c r="G310" i="33"/>
  <c r="J310" i="33"/>
  <c r="K310" i="33"/>
  <c r="L310" i="33"/>
  <c r="M310" i="33"/>
  <c r="N310" i="33"/>
  <c r="O310" i="33"/>
  <c r="P310" i="33"/>
  <c r="C311" i="33"/>
  <c r="F311" i="33"/>
  <c r="G311" i="33"/>
  <c r="J311" i="33"/>
  <c r="K311" i="33"/>
  <c r="L311" i="33"/>
  <c r="M311" i="33"/>
  <c r="N311" i="33"/>
  <c r="O311" i="33"/>
  <c r="P311" i="33"/>
  <c r="C312" i="33"/>
  <c r="F312" i="33"/>
  <c r="G312" i="33"/>
  <c r="J312" i="33"/>
  <c r="K312" i="33"/>
  <c r="L312" i="33"/>
  <c r="M312" i="33"/>
  <c r="N312" i="33"/>
  <c r="O312" i="33"/>
  <c r="P312" i="33"/>
  <c r="C313" i="33"/>
  <c r="F313" i="33"/>
  <c r="G313" i="33"/>
  <c r="J313" i="33"/>
  <c r="K313" i="33"/>
  <c r="L313" i="33"/>
  <c r="M313" i="33"/>
  <c r="N313" i="33"/>
  <c r="O313" i="33"/>
  <c r="P313" i="33"/>
  <c r="C314" i="33"/>
  <c r="F314" i="33"/>
  <c r="G314" i="33"/>
  <c r="J314" i="33"/>
  <c r="K314" i="33"/>
  <c r="L314" i="33"/>
  <c r="M314" i="33"/>
  <c r="N314" i="33"/>
  <c r="O314" i="33"/>
  <c r="P314" i="33"/>
  <c r="C315" i="33"/>
  <c r="F315" i="33"/>
  <c r="G315" i="33"/>
  <c r="J315" i="33"/>
  <c r="K315" i="33"/>
  <c r="L315" i="33"/>
  <c r="M315" i="33"/>
  <c r="N315" i="33"/>
  <c r="O315" i="33"/>
  <c r="P315" i="33"/>
  <c r="C316" i="33"/>
  <c r="F316" i="33"/>
  <c r="G316" i="33"/>
  <c r="J316" i="33"/>
  <c r="K316" i="33"/>
  <c r="L316" i="33"/>
  <c r="M316" i="33"/>
  <c r="N316" i="33"/>
  <c r="O316" i="33"/>
  <c r="P316" i="33"/>
  <c r="C317" i="33"/>
  <c r="F317" i="33"/>
  <c r="G317" i="33"/>
  <c r="J317" i="33"/>
  <c r="K317" i="33"/>
  <c r="L317" i="33"/>
  <c r="M317" i="33"/>
  <c r="N317" i="33"/>
  <c r="O317" i="33"/>
  <c r="P317" i="33"/>
  <c r="C318" i="33"/>
  <c r="F318" i="33"/>
  <c r="G318" i="33"/>
  <c r="J318" i="33"/>
  <c r="K318" i="33"/>
  <c r="L318" i="33"/>
  <c r="M318" i="33"/>
  <c r="N318" i="33"/>
  <c r="O318" i="33"/>
  <c r="P318" i="33"/>
  <c r="C319" i="33"/>
  <c r="F319" i="33"/>
  <c r="G319" i="33"/>
  <c r="J319" i="33"/>
  <c r="K319" i="33"/>
  <c r="L319" i="33"/>
  <c r="M319" i="33"/>
  <c r="N319" i="33"/>
  <c r="O319" i="33"/>
  <c r="P319" i="33"/>
  <c r="C320" i="33"/>
  <c r="F320" i="33"/>
  <c r="G320" i="33"/>
  <c r="J320" i="33"/>
  <c r="K320" i="33"/>
  <c r="L320" i="33"/>
  <c r="M320" i="33"/>
  <c r="N320" i="33"/>
  <c r="O320" i="33"/>
  <c r="P320" i="33"/>
  <c r="C321" i="33"/>
  <c r="F321" i="33"/>
  <c r="G321" i="33"/>
  <c r="J321" i="33"/>
  <c r="K321" i="33"/>
  <c r="L321" i="33"/>
  <c r="M321" i="33"/>
  <c r="N321" i="33"/>
  <c r="O321" i="33"/>
  <c r="P321" i="33"/>
  <c r="C322" i="33"/>
  <c r="F322" i="33"/>
  <c r="G322" i="33"/>
  <c r="J322" i="33"/>
  <c r="K322" i="33"/>
  <c r="L322" i="33"/>
  <c r="M322" i="33"/>
  <c r="N322" i="33"/>
  <c r="O322" i="33"/>
  <c r="P322" i="33"/>
  <c r="C323" i="33"/>
  <c r="F323" i="33"/>
  <c r="G323" i="33"/>
  <c r="J323" i="33"/>
  <c r="K323" i="33"/>
  <c r="L323" i="33"/>
  <c r="M323" i="33"/>
  <c r="N323" i="33"/>
  <c r="O323" i="33"/>
  <c r="P323" i="33"/>
  <c r="C324" i="33"/>
  <c r="F324" i="33"/>
  <c r="G324" i="33"/>
  <c r="J324" i="33"/>
  <c r="K324" i="33"/>
  <c r="L324" i="33"/>
  <c r="M324" i="33"/>
  <c r="N324" i="33"/>
  <c r="O324" i="33"/>
  <c r="P324" i="33"/>
  <c r="C325" i="33"/>
  <c r="F325" i="33"/>
  <c r="G325" i="33"/>
  <c r="J325" i="33"/>
  <c r="K325" i="33"/>
  <c r="L325" i="33"/>
  <c r="M325" i="33"/>
  <c r="N325" i="33"/>
  <c r="O325" i="33"/>
  <c r="P325" i="33"/>
  <c r="C326" i="33"/>
  <c r="F326" i="33"/>
  <c r="G326" i="33"/>
  <c r="J326" i="33"/>
  <c r="K326" i="33"/>
  <c r="L326" i="33"/>
  <c r="M326" i="33"/>
  <c r="N326" i="33"/>
  <c r="O326" i="33"/>
  <c r="P326" i="33"/>
  <c r="C327" i="33"/>
  <c r="F327" i="33"/>
  <c r="G327" i="33"/>
  <c r="J327" i="33"/>
  <c r="K327" i="33"/>
  <c r="L327" i="33"/>
  <c r="M327" i="33"/>
  <c r="N327" i="33"/>
  <c r="O327" i="33"/>
  <c r="P327" i="33"/>
  <c r="C328" i="33"/>
  <c r="F328" i="33"/>
  <c r="G328" i="33"/>
  <c r="J328" i="33"/>
  <c r="K328" i="33"/>
  <c r="L328" i="33"/>
  <c r="M328" i="33"/>
  <c r="N328" i="33"/>
  <c r="O328" i="33"/>
  <c r="P328" i="33"/>
  <c r="C329" i="33"/>
  <c r="F329" i="33"/>
  <c r="G329" i="33"/>
  <c r="J329" i="33"/>
  <c r="K329" i="33"/>
  <c r="L329" i="33"/>
  <c r="M329" i="33"/>
  <c r="N329" i="33"/>
  <c r="O329" i="33"/>
  <c r="P329" i="33"/>
  <c r="C330" i="33"/>
  <c r="F330" i="33"/>
  <c r="G330" i="33"/>
  <c r="J330" i="33"/>
  <c r="K330" i="33"/>
  <c r="L330" i="33"/>
  <c r="M330" i="33"/>
  <c r="N330" i="33"/>
  <c r="O330" i="33"/>
  <c r="P330" i="33"/>
  <c r="C331" i="33"/>
  <c r="F331" i="33"/>
  <c r="G331" i="33"/>
  <c r="J331" i="33"/>
  <c r="K331" i="33"/>
  <c r="L331" i="33"/>
  <c r="M331" i="33"/>
  <c r="N331" i="33"/>
  <c r="O331" i="33"/>
  <c r="P331" i="33"/>
  <c r="C332" i="33"/>
  <c r="F332" i="33"/>
  <c r="G332" i="33"/>
  <c r="J332" i="33"/>
  <c r="K332" i="33"/>
  <c r="L332" i="33"/>
  <c r="M332" i="33"/>
  <c r="N332" i="33"/>
  <c r="O332" i="33"/>
  <c r="P332" i="33"/>
  <c r="C333" i="33"/>
  <c r="F333" i="33"/>
  <c r="G333" i="33"/>
  <c r="J333" i="33"/>
  <c r="K333" i="33"/>
  <c r="L333" i="33"/>
  <c r="M333" i="33"/>
  <c r="N333" i="33"/>
  <c r="O333" i="33"/>
  <c r="P333" i="33"/>
  <c r="C334" i="33"/>
  <c r="F334" i="33"/>
  <c r="G334" i="33"/>
  <c r="J334" i="33"/>
  <c r="K334" i="33"/>
  <c r="L334" i="33"/>
  <c r="M334" i="33"/>
  <c r="N334" i="33"/>
  <c r="O334" i="33"/>
  <c r="P334" i="33"/>
  <c r="C335" i="33"/>
  <c r="F335" i="33"/>
  <c r="G335" i="33"/>
  <c r="J335" i="33"/>
  <c r="K335" i="33"/>
  <c r="L335" i="33"/>
  <c r="M335" i="33"/>
  <c r="N335" i="33"/>
  <c r="O335" i="33"/>
  <c r="P335" i="33"/>
  <c r="C336" i="33"/>
  <c r="F336" i="33"/>
  <c r="G336" i="33"/>
  <c r="J336" i="33"/>
  <c r="K336" i="33"/>
  <c r="L336" i="33"/>
  <c r="M336" i="33"/>
  <c r="N336" i="33"/>
  <c r="O336" i="33"/>
  <c r="P336" i="33"/>
  <c r="C337" i="33"/>
  <c r="F337" i="33"/>
  <c r="G337" i="33"/>
  <c r="J337" i="33"/>
  <c r="K337" i="33"/>
  <c r="L337" i="33"/>
  <c r="M337" i="33"/>
  <c r="N337" i="33"/>
  <c r="O337" i="33"/>
  <c r="P337" i="33"/>
  <c r="C338" i="33"/>
  <c r="F338" i="33"/>
  <c r="G338" i="33"/>
  <c r="J338" i="33"/>
  <c r="K338" i="33"/>
  <c r="L338" i="33"/>
  <c r="M338" i="33"/>
  <c r="N338" i="33"/>
  <c r="O338" i="33"/>
  <c r="P338" i="33"/>
  <c r="C339" i="33"/>
  <c r="F339" i="33"/>
  <c r="G339" i="33"/>
  <c r="J339" i="33"/>
  <c r="K339" i="33"/>
  <c r="L339" i="33"/>
  <c r="M339" i="33"/>
  <c r="N339" i="33"/>
  <c r="O339" i="33"/>
  <c r="P339" i="33"/>
  <c r="C340" i="33"/>
  <c r="F340" i="33"/>
  <c r="G340" i="33"/>
  <c r="J340" i="33"/>
  <c r="K340" i="33"/>
  <c r="L340" i="33"/>
  <c r="M340" i="33"/>
  <c r="N340" i="33"/>
  <c r="O340" i="33"/>
  <c r="P340" i="33"/>
  <c r="C341" i="33"/>
  <c r="F341" i="33"/>
  <c r="G341" i="33"/>
  <c r="J341" i="33"/>
  <c r="K341" i="33"/>
  <c r="L341" i="33"/>
  <c r="M341" i="33"/>
  <c r="N341" i="33"/>
  <c r="O341" i="33"/>
  <c r="P341" i="33"/>
  <c r="C342" i="33"/>
  <c r="F342" i="33"/>
  <c r="G342" i="33"/>
  <c r="J342" i="33"/>
  <c r="K342" i="33"/>
  <c r="L342" i="33"/>
  <c r="M342" i="33"/>
  <c r="N342" i="33"/>
  <c r="O342" i="33"/>
  <c r="P342" i="33"/>
  <c r="C343" i="33"/>
  <c r="F343" i="33"/>
  <c r="G343" i="33"/>
  <c r="J343" i="33"/>
  <c r="K343" i="33"/>
  <c r="L343" i="33"/>
  <c r="M343" i="33"/>
  <c r="N343" i="33"/>
  <c r="O343" i="33"/>
  <c r="P343" i="33"/>
  <c r="C344" i="33"/>
  <c r="F344" i="33"/>
  <c r="G344" i="33"/>
  <c r="J344" i="33"/>
  <c r="K344" i="33"/>
  <c r="L344" i="33"/>
  <c r="M344" i="33"/>
  <c r="N344" i="33"/>
  <c r="O344" i="33"/>
  <c r="P344" i="33"/>
  <c r="C345" i="33"/>
  <c r="F345" i="33"/>
  <c r="G345" i="33"/>
  <c r="J345" i="33"/>
  <c r="K345" i="33"/>
  <c r="L345" i="33"/>
  <c r="M345" i="33"/>
  <c r="N345" i="33"/>
  <c r="O345" i="33"/>
  <c r="P345" i="33"/>
  <c r="C346" i="33"/>
  <c r="F346" i="33"/>
  <c r="G346" i="33"/>
  <c r="J346" i="33"/>
  <c r="K346" i="33"/>
  <c r="L346" i="33"/>
  <c r="M346" i="33"/>
  <c r="N346" i="33"/>
  <c r="O346" i="33"/>
  <c r="P346" i="33"/>
  <c r="C347" i="33"/>
  <c r="F347" i="33"/>
  <c r="G347" i="33"/>
  <c r="J347" i="33"/>
  <c r="K347" i="33"/>
  <c r="L347" i="33"/>
  <c r="M347" i="33"/>
  <c r="N347" i="33"/>
  <c r="O347" i="33"/>
  <c r="P347" i="33"/>
  <c r="C348" i="33"/>
  <c r="F348" i="33"/>
  <c r="G348" i="33"/>
  <c r="J348" i="33"/>
  <c r="K348" i="33"/>
  <c r="L348" i="33"/>
  <c r="M348" i="33"/>
  <c r="N348" i="33"/>
  <c r="O348" i="33"/>
  <c r="P348" i="33"/>
  <c r="C349" i="33"/>
  <c r="F349" i="33"/>
  <c r="G349" i="33"/>
  <c r="J349" i="33"/>
  <c r="K349" i="33"/>
  <c r="L349" i="33"/>
  <c r="M349" i="33"/>
  <c r="N349" i="33"/>
  <c r="O349" i="33"/>
  <c r="P349" i="33"/>
  <c r="C350" i="33"/>
  <c r="F350" i="33"/>
  <c r="G350" i="33"/>
  <c r="J350" i="33"/>
  <c r="K350" i="33"/>
  <c r="L350" i="33"/>
  <c r="M350" i="33"/>
  <c r="N350" i="33"/>
  <c r="O350" i="33"/>
  <c r="P350" i="33"/>
  <c r="C351" i="33"/>
  <c r="F351" i="33"/>
  <c r="G351" i="33"/>
  <c r="J351" i="33"/>
  <c r="K351" i="33"/>
  <c r="L351" i="33"/>
  <c r="M351" i="33"/>
  <c r="N351" i="33"/>
  <c r="O351" i="33"/>
  <c r="P351" i="33"/>
  <c r="C352" i="33"/>
  <c r="F352" i="33"/>
  <c r="G352" i="33"/>
  <c r="J352" i="33"/>
  <c r="K352" i="33"/>
  <c r="L352" i="33"/>
  <c r="M352" i="33"/>
  <c r="N352" i="33"/>
  <c r="O352" i="33"/>
  <c r="P352" i="33"/>
  <c r="C353" i="33"/>
  <c r="F353" i="33"/>
  <c r="G353" i="33"/>
  <c r="J353" i="33"/>
  <c r="K353" i="33"/>
  <c r="L353" i="33"/>
  <c r="M353" i="33"/>
  <c r="N353" i="33"/>
  <c r="O353" i="33"/>
  <c r="P353" i="33"/>
  <c r="C354" i="33"/>
  <c r="F354" i="33"/>
  <c r="G354" i="33"/>
  <c r="J354" i="33"/>
  <c r="K354" i="33"/>
  <c r="L354" i="33"/>
  <c r="M354" i="33"/>
  <c r="N354" i="33"/>
  <c r="O354" i="33"/>
  <c r="P354" i="33"/>
  <c r="C355" i="33"/>
  <c r="F355" i="33"/>
  <c r="G355" i="33"/>
  <c r="J355" i="33"/>
  <c r="K355" i="33"/>
  <c r="L355" i="33"/>
  <c r="M355" i="33"/>
  <c r="N355" i="33"/>
  <c r="O355" i="33"/>
  <c r="P355" i="33"/>
  <c r="C356" i="33"/>
  <c r="F356" i="33"/>
  <c r="G356" i="33"/>
  <c r="J356" i="33"/>
  <c r="K356" i="33"/>
  <c r="L356" i="33"/>
  <c r="M356" i="33"/>
  <c r="N356" i="33"/>
  <c r="O356" i="33"/>
  <c r="P356" i="33"/>
  <c r="C357" i="33"/>
  <c r="F357" i="33"/>
  <c r="G357" i="33"/>
  <c r="J357" i="33"/>
  <c r="K357" i="33"/>
  <c r="L357" i="33"/>
  <c r="M357" i="33"/>
  <c r="N357" i="33"/>
  <c r="O357" i="33"/>
  <c r="P357" i="33"/>
  <c r="C358" i="33"/>
  <c r="F358" i="33"/>
  <c r="G358" i="33"/>
  <c r="J358" i="33"/>
  <c r="K358" i="33"/>
  <c r="L358" i="33"/>
  <c r="M358" i="33"/>
  <c r="N358" i="33"/>
  <c r="O358" i="33"/>
  <c r="P358" i="33"/>
  <c r="C359" i="33"/>
  <c r="F359" i="33"/>
  <c r="G359" i="33"/>
  <c r="J359" i="33"/>
  <c r="K359" i="33"/>
  <c r="L359" i="33"/>
  <c r="M359" i="33"/>
  <c r="N359" i="33"/>
  <c r="O359" i="33"/>
  <c r="P359" i="33"/>
  <c r="C360" i="33"/>
  <c r="F360" i="33"/>
  <c r="G360" i="33"/>
  <c r="J360" i="33"/>
  <c r="K360" i="33"/>
  <c r="L360" i="33"/>
  <c r="M360" i="33"/>
  <c r="N360" i="33"/>
  <c r="O360" i="33"/>
  <c r="P360" i="33"/>
  <c r="C361" i="33"/>
  <c r="F361" i="33"/>
  <c r="G361" i="33"/>
  <c r="J361" i="33"/>
  <c r="K361" i="33"/>
  <c r="L361" i="33"/>
  <c r="M361" i="33"/>
  <c r="N361" i="33"/>
  <c r="O361" i="33"/>
  <c r="P361" i="33"/>
  <c r="C362" i="33"/>
  <c r="F362" i="33"/>
  <c r="G362" i="33"/>
  <c r="J362" i="33"/>
  <c r="K362" i="33"/>
  <c r="L362" i="33"/>
  <c r="M362" i="33"/>
  <c r="N362" i="33"/>
  <c r="O362" i="33"/>
  <c r="P362" i="33"/>
  <c r="C363" i="33"/>
  <c r="F363" i="33"/>
  <c r="G363" i="33"/>
  <c r="J363" i="33"/>
  <c r="K363" i="33"/>
  <c r="L363" i="33"/>
  <c r="M363" i="33"/>
  <c r="N363" i="33"/>
  <c r="O363" i="33"/>
  <c r="P363" i="33"/>
  <c r="C364" i="33"/>
  <c r="F364" i="33"/>
  <c r="G364" i="33"/>
  <c r="J364" i="33"/>
  <c r="K364" i="33"/>
  <c r="L364" i="33"/>
  <c r="M364" i="33"/>
  <c r="N364" i="33"/>
  <c r="O364" i="33"/>
  <c r="P364" i="33"/>
  <c r="C365" i="33"/>
  <c r="F365" i="33"/>
  <c r="G365" i="33"/>
  <c r="J365" i="33"/>
  <c r="K365" i="33"/>
  <c r="L365" i="33"/>
  <c r="M365" i="33"/>
  <c r="N365" i="33"/>
  <c r="O365" i="33"/>
  <c r="P365" i="33"/>
  <c r="C366" i="33"/>
  <c r="F366" i="33"/>
  <c r="G366" i="33"/>
  <c r="J366" i="33"/>
  <c r="K366" i="33"/>
  <c r="L366" i="33"/>
  <c r="M366" i="33"/>
  <c r="N366" i="33"/>
  <c r="O366" i="33"/>
  <c r="P366" i="33"/>
  <c r="C367" i="33"/>
  <c r="F367" i="33"/>
  <c r="G367" i="33"/>
  <c r="J367" i="33"/>
  <c r="K367" i="33"/>
  <c r="L367" i="33"/>
  <c r="M367" i="33"/>
  <c r="N367" i="33"/>
  <c r="O367" i="33"/>
  <c r="P367" i="33"/>
  <c r="C368" i="33"/>
  <c r="F368" i="33"/>
  <c r="G368" i="33"/>
  <c r="J368" i="33"/>
  <c r="K368" i="33"/>
  <c r="L368" i="33"/>
  <c r="M368" i="33"/>
  <c r="N368" i="33"/>
  <c r="O368" i="33"/>
  <c r="P368" i="33"/>
  <c r="C369" i="33"/>
  <c r="F369" i="33"/>
  <c r="G369" i="33"/>
  <c r="J369" i="33"/>
  <c r="K369" i="33"/>
  <c r="L369" i="33"/>
  <c r="M369" i="33"/>
  <c r="N369" i="33"/>
  <c r="O369" i="33"/>
  <c r="P369" i="33"/>
  <c r="C370" i="33"/>
  <c r="F370" i="33"/>
  <c r="G370" i="33"/>
  <c r="J370" i="33"/>
  <c r="K370" i="33"/>
  <c r="L370" i="33"/>
  <c r="M370" i="33"/>
  <c r="N370" i="33"/>
  <c r="O370" i="33"/>
  <c r="P370" i="33"/>
  <c r="C371" i="33"/>
  <c r="F371" i="33"/>
  <c r="G371" i="33"/>
  <c r="J371" i="33"/>
  <c r="K371" i="33"/>
  <c r="L371" i="33"/>
  <c r="M371" i="33"/>
  <c r="N371" i="33"/>
  <c r="O371" i="33"/>
  <c r="P371" i="33"/>
  <c r="C372" i="33"/>
  <c r="F372" i="33"/>
  <c r="G372" i="33"/>
  <c r="J372" i="33"/>
  <c r="K372" i="33"/>
  <c r="L372" i="33"/>
  <c r="M372" i="33"/>
  <c r="N372" i="33"/>
  <c r="O372" i="33"/>
  <c r="P372" i="33"/>
  <c r="C373" i="33"/>
  <c r="F373" i="33"/>
  <c r="G373" i="33"/>
  <c r="J373" i="33"/>
  <c r="K373" i="33"/>
  <c r="L373" i="33"/>
  <c r="M373" i="33"/>
  <c r="N373" i="33"/>
  <c r="O373" i="33"/>
  <c r="P373" i="33"/>
  <c r="C374" i="33"/>
  <c r="F374" i="33"/>
  <c r="G374" i="33"/>
  <c r="J374" i="33"/>
  <c r="K374" i="33"/>
  <c r="L374" i="33"/>
  <c r="M374" i="33"/>
  <c r="N374" i="33"/>
  <c r="O374" i="33"/>
  <c r="P374" i="33"/>
  <c r="C375" i="33"/>
  <c r="F375" i="33"/>
  <c r="G375" i="33"/>
  <c r="J375" i="33"/>
  <c r="K375" i="33"/>
  <c r="L375" i="33"/>
  <c r="M375" i="33"/>
  <c r="N375" i="33"/>
  <c r="O375" i="33"/>
  <c r="P375" i="33"/>
  <c r="C376" i="33"/>
  <c r="F376" i="33"/>
  <c r="G376" i="33"/>
  <c r="J376" i="33"/>
  <c r="K376" i="33"/>
  <c r="L376" i="33"/>
  <c r="M376" i="33"/>
  <c r="N376" i="33"/>
  <c r="O376" i="33"/>
  <c r="P376" i="33"/>
  <c r="C377" i="33"/>
  <c r="F377" i="33"/>
  <c r="G377" i="33"/>
  <c r="J377" i="33"/>
  <c r="K377" i="33"/>
  <c r="L377" i="33"/>
  <c r="M377" i="33"/>
  <c r="N377" i="33"/>
  <c r="O377" i="33"/>
  <c r="P377" i="33"/>
  <c r="C378" i="33"/>
  <c r="F378" i="33"/>
  <c r="G378" i="33"/>
  <c r="J378" i="33"/>
  <c r="K378" i="33"/>
  <c r="L378" i="33"/>
  <c r="M378" i="33"/>
  <c r="N378" i="33"/>
  <c r="O378" i="33"/>
  <c r="P378" i="33"/>
  <c r="C379" i="33"/>
  <c r="F379" i="33"/>
  <c r="G379" i="33"/>
  <c r="J379" i="33"/>
  <c r="K379" i="33"/>
  <c r="L379" i="33"/>
  <c r="M379" i="33"/>
  <c r="N379" i="33"/>
  <c r="O379" i="33"/>
  <c r="P379" i="33"/>
  <c r="C380" i="33"/>
  <c r="F380" i="33"/>
  <c r="G380" i="33"/>
  <c r="J380" i="33"/>
  <c r="K380" i="33"/>
  <c r="L380" i="33"/>
  <c r="M380" i="33"/>
  <c r="N380" i="33"/>
  <c r="O380" i="33"/>
  <c r="P380" i="33"/>
  <c r="C381" i="33"/>
  <c r="F381" i="33"/>
  <c r="G381" i="33"/>
  <c r="J381" i="33"/>
  <c r="K381" i="33"/>
  <c r="L381" i="33"/>
  <c r="M381" i="33"/>
  <c r="N381" i="33"/>
  <c r="O381" i="33"/>
  <c r="P381" i="33"/>
  <c r="C382" i="33"/>
  <c r="F382" i="33"/>
  <c r="G382" i="33"/>
  <c r="J382" i="33"/>
  <c r="K382" i="33"/>
  <c r="L382" i="33"/>
  <c r="M382" i="33"/>
  <c r="N382" i="33"/>
  <c r="O382" i="33"/>
  <c r="P382" i="33"/>
  <c r="C383" i="33"/>
  <c r="F383" i="33"/>
  <c r="G383" i="33"/>
  <c r="J383" i="33"/>
  <c r="K383" i="33"/>
  <c r="L383" i="33"/>
  <c r="M383" i="33"/>
  <c r="N383" i="33"/>
  <c r="O383" i="33"/>
  <c r="P383" i="33"/>
  <c r="C384" i="33"/>
  <c r="F384" i="33"/>
  <c r="G384" i="33"/>
  <c r="J384" i="33"/>
  <c r="K384" i="33"/>
  <c r="L384" i="33"/>
  <c r="M384" i="33"/>
  <c r="N384" i="33"/>
  <c r="O384" i="33"/>
  <c r="P384" i="33"/>
  <c r="C385" i="33"/>
  <c r="F385" i="33"/>
  <c r="G385" i="33"/>
  <c r="J385" i="33"/>
  <c r="K385" i="33"/>
  <c r="L385" i="33"/>
  <c r="M385" i="33"/>
  <c r="N385" i="33"/>
  <c r="O385" i="33"/>
  <c r="P385" i="33"/>
  <c r="C386" i="33"/>
  <c r="F386" i="33"/>
  <c r="G386" i="33"/>
  <c r="J386" i="33"/>
  <c r="K386" i="33"/>
  <c r="L386" i="33"/>
  <c r="M386" i="33"/>
  <c r="N386" i="33"/>
  <c r="O386" i="33"/>
  <c r="P386" i="33"/>
  <c r="C387" i="33"/>
  <c r="F387" i="33"/>
  <c r="G387" i="33"/>
  <c r="J387" i="33"/>
  <c r="K387" i="33"/>
  <c r="L387" i="33"/>
  <c r="M387" i="33"/>
  <c r="N387" i="33"/>
  <c r="O387" i="33"/>
  <c r="P387" i="33"/>
  <c r="C388" i="33"/>
  <c r="F388" i="33"/>
  <c r="G388" i="33"/>
  <c r="J388" i="33"/>
  <c r="K388" i="33"/>
  <c r="L388" i="33"/>
  <c r="M388" i="33"/>
  <c r="N388" i="33"/>
  <c r="O388" i="33"/>
  <c r="P388" i="33"/>
  <c r="C389" i="33"/>
  <c r="F389" i="33"/>
  <c r="G389" i="33"/>
  <c r="J389" i="33"/>
  <c r="K389" i="33"/>
  <c r="L389" i="33"/>
  <c r="M389" i="33"/>
  <c r="N389" i="33"/>
  <c r="O389" i="33"/>
  <c r="P389" i="33"/>
  <c r="C390" i="33"/>
  <c r="F390" i="33"/>
  <c r="G390" i="33"/>
  <c r="J390" i="33"/>
  <c r="K390" i="33"/>
  <c r="L390" i="33"/>
  <c r="M390" i="33"/>
  <c r="N390" i="33"/>
  <c r="O390" i="33"/>
  <c r="P390" i="33"/>
  <c r="C391" i="33"/>
  <c r="F391" i="33"/>
  <c r="G391" i="33"/>
  <c r="J391" i="33"/>
  <c r="K391" i="33"/>
  <c r="L391" i="33"/>
  <c r="M391" i="33"/>
  <c r="N391" i="33"/>
  <c r="O391" i="33"/>
  <c r="P391" i="33"/>
  <c r="C392" i="33"/>
  <c r="F392" i="33"/>
  <c r="G392" i="33"/>
  <c r="J392" i="33"/>
  <c r="K392" i="33"/>
  <c r="L392" i="33"/>
  <c r="M392" i="33"/>
  <c r="N392" i="33"/>
  <c r="O392" i="33"/>
  <c r="P392" i="33"/>
  <c r="C393" i="33"/>
  <c r="F393" i="33"/>
  <c r="G393" i="33"/>
  <c r="J393" i="33"/>
  <c r="K393" i="33"/>
  <c r="L393" i="33"/>
  <c r="M393" i="33"/>
  <c r="N393" i="33"/>
  <c r="O393" i="33"/>
  <c r="P393" i="33"/>
  <c r="C394" i="33"/>
  <c r="F394" i="33"/>
  <c r="G394" i="33"/>
  <c r="J394" i="33"/>
  <c r="K394" i="33"/>
  <c r="L394" i="33"/>
  <c r="M394" i="33"/>
  <c r="N394" i="33"/>
  <c r="O394" i="33"/>
  <c r="P394" i="33"/>
  <c r="C395" i="33"/>
  <c r="F395" i="33"/>
  <c r="G395" i="33"/>
  <c r="J395" i="33"/>
  <c r="K395" i="33"/>
  <c r="L395" i="33"/>
  <c r="M395" i="33"/>
  <c r="N395" i="33"/>
  <c r="O395" i="33"/>
  <c r="P395" i="33"/>
  <c r="C396" i="33"/>
  <c r="F396" i="33"/>
  <c r="G396" i="33"/>
  <c r="J396" i="33"/>
  <c r="K396" i="33"/>
  <c r="L396" i="33"/>
  <c r="M396" i="33"/>
  <c r="N396" i="33"/>
  <c r="O396" i="33"/>
  <c r="P396" i="33"/>
  <c r="C397" i="33"/>
  <c r="F397" i="33"/>
  <c r="G397" i="33"/>
  <c r="J397" i="33"/>
  <c r="K397" i="33"/>
  <c r="L397" i="33"/>
  <c r="M397" i="33"/>
  <c r="N397" i="33"/>
  <c r="O397" i="33"/>
  <c r="P397" i="33"/>
  <c r="C398" i="33"/>
  <c r="F398" i="33"/>
  <c r="G398" i="33"/>
  <c r="J398" i="33"/>
  <c r="K398" i="33"/>
  <c r="L398" i="33"/>
  <c r="M398" i="33"/>
  <c r="N398" i="33"/>
  <c r="O398" i="33"/>
  <c r="P398" i="33"/>
  <c r="C399" i="33"/>
  <c r="F399" i="33"/>
  <c r="G399" i="33"/>
  <c r="J399" i="33"/>
  <c r="K399" i="33"/>
  <c r="L399" i="33"/>
  <c r="M399" i="33"/>
  <c r="N399" i="33"/>
  <c r="O399" i="33"/>
  <c r="P399" i="33"/>
  <c r="C400" i="33"/>
  <c r="F400" i="33"/>
  <c r="G400" i="33"/>
  <c r="J400" i="33"/>
  <c r="K400" i="33"/>
  <c r="L400" i="33"/>
  <c r="M400" i="33"/>
  <c r="N400" i="33"/>
  <c r="O400" i="33"/>
  <c r="P400" i="33"/>
  <c r="C401" i="33"/>
  <c r="F401" i="33"/>
  <c r="G401" i="33"/>
  <c r="J401" i="33"/>
  <c r="K401" i="33"/>
  <c r="L401" i="33"/>
  <c r="M401" i="33"/>
  <c r="N401" i="33"/>
  <c r="O401" i="33"/>
  <c r="P401" i="33"/>
  <c r="C402" i="33"/>
  <c r="F402" i="33"/>
  <c r="G402" i="33"/>
  <c r="J402" i="33"/>
  <c r="K402" i="33"/>
  <c r="L402" i="33"/>
  <c r="M402" i="33"/>
  <c r="N402" i="33"/>
  <c r="O402" i="33"/>
  <c r="P402" i="33"/>
  <c r="C403" i="33"/>
  <c r="F403" i="33"/>
  <c r="G403" i="33"/>
  <c r="J403" i="33"/>
  <c r="K403" i="33"/>
  <c r="L403" i="33"/>
  <c r="M403" i="33"/>
  <c r="N403" i="33"/>
  <c r="O403" i="33"/>
  <c r="P403" i="33"/>
  <c r="C404" i="33"/>
  <c r="F404" i="33"/>
  <c r="G404" i="33"/>
  <c r="J404" i="33"/>
  <c r="K404" i="33"/>
  <c r="L404" i="33"/>
  <c r="M404" i="33"/>
  <c r="N404" i="33"/>
  <c r="O404" i="33"/>
  <c r="P404" i="33"/>
  <c r="C405" i="33"/>
  <c r="F405" i="33"/>
  <c r="G405" i="33"/>
  <c r="J405" i="33"/>
  <c r="K405" i="33"/>
  <c r="L405" i="33"/>
  <c r="M405" i="33"/>
  <c r="N405" i="33"/>
  <c r="O405" i="33"/>
  <c r="P405" i="33"/>
  <c r="C406" i="33"/>
  <c r="F406" i="33"/>
  <c r="G406" i="33"/>
  <c r="J406" i="33"/>
  <c r="K406" i="33"/>
  <c r="L406" i="33"/>
  <c r="M406" i="33"/>
  <c r="N406" i="33"/>
  <c r="O406" i="33"/>
  <c r="P406" i="33"/>
  <c r="C407" i="33"/>
  <c r="F407" i="33"/>
  <c r="G407" i="33"/>
  <c r="J407" i="33"/>
  <c r="K407" i="33"/>
  <c r="L407" i="33"/>
  <c r="M407" i="33"/>
  <c r="N407" i="33"/>
  <c r="O407" i="33"/>
  <c r="P407" i="33"/>
  <c r="C408" i="33"/>
  <c r="F408" i="33"/>
  <c r="G408" i="33"/>
  <c r="J408" i="33"/>
  <c r="K408" i="33"/>
  <c r="L408" i="33"/>
  <c r="M408" i="33"/>
  <c r="N408" i="33"/>
  <c r="O408" i="33"/>
  <c r="P408" i="33"/>
  <c r="C409" i="33"/>
  <c r="F409" i="33"/>
  <c r="G409" i="33"/>
  <c r="J409" i="33"/>
  <c r="K409" i="33"/>
  <c r="L409" i="33"/>
  <c r="M409" i="33"/>
  <c r="N409" i="33"/>
  <c r="O409" i="33"/>
  <c r="P409" i="33"/>
  <c r="C410" i="33"/>
  <c r="F410" i="33"/>
  <c r="G410" i="33"/>
  <c r="J410" i="33"/>
  <c r="K410" i="33"/>
  <c r="L410" i="33"/>
  <c r="M410" i="33"/>
  <c r="N410" i="33"/>
  <c r="O410" i="33"/>
  <c r="P410" i="33"/>
  <c r="C411" i="33"/>
  <c r="F411" i="33"/>
  <c r="G411" i="33"/>
  <c r="J411" i="33"/>
  <c r="K411" i="33"/>
  <c r="L411" i="33"/>
  <c r="M411" i="33"/>
  <c r="N411" i="33"/>
  <c r="O411" i="33"/>
  <c r="P411" i="33"/>
  <c r="C412" i="33"/>
  <c r="F412" i="33"/>
  <c r="G412" i="33"/>
  <c r="J412" i="33"/>
  <c r="K412" i="33"/>
  <c r="L412" i="33"/>
  <c r="M412" i="33"/>
  <c r="N412" i="33"/>
  <c r="O412" i="33"/>
  <c r="P412" i="33"/>
  <c r="C413" i="33"/>
  <c r="F413" i="33"/>
  <c r="G413" i="33"/>
  <c r="J413" i="33"/>
  <c r="K413" i="33"/>
  <c r="L413" i="33"/>
  <c r="M413" i="33"/>
  <c r="N413" i="33"/>
  <c r="O413" i="33"/>
  <c r="P413" i="33"/>
  <c r="C414" i="33"/>
  <c r="F414" i="33"/>
  <c r="G414" i="33"/>
  <c r="J414" i="33"/>
  <c r="K414" i="33"/>
  <c r="L414" i="33"/>
  <c r="M414" i="33"/>
  <c r="N414" i="33"/>
  <c r="O414" i="33"/>
  <c r="P414" i="33"/>
  <c r="C415" i="33"/>
  <c r="F415" i="33"/>
  <c r="G415" i="33"/>
  <c r="J415" i="33"/>
  <c r="K415" i="33"/>
  <c r="L415" i="33"/>
  <c r="M415" i="33"/>
  <c r="N415" i="33"/>
  <c r="O415" i="33"/>
  <c r="P415" i="33"/>
  <c r="C416" i="33"/>
  <c r="F416" i="33"/>
  <c r="G416" i="33"/>
  <c r="J416" i="33"/>
  <c r="K416" i="33"/>
  <c r="L416" i="33"/>
  <c r="M416" i="33"/>
  <c r="N416" i="33"/>
  <c r="O416" i="33"/>
  <c r="P416" i="33"/>
  <c r="C417" i="33"/>
  <c r="F417" i="33"/>
  <c r="G417" i="33"/>
  <c r="J417" i="33"/>
  <c r="K417" i="33"/>
  <c r="L417" i="33"/>
  <c r="M417" i="33"/>
  <c r="N417" i="33"/>
  <c r="O417" i="33"/>
  <c r="P417" i="33"/>
  <c r="C418" i="33"/>
  <c r="F418" i="33"/>
  <c r="G418" i="33"/>
  <c r="J418" i="33"/>
  <c r="K418" i="33"/>
  <c r="L418" i="33"/>
  <c r="M418" i="33"/>
  <c r="N418" i="33"/>
  <c r="O418" i="33"/>
  <c r="P418" i="33"/>
  <c r="C419" i="33"/>
  <c r="F419" i="33"/>
  <c r="G419" i="33"/>
  <c r="J419" i="33"/>
  <c r="K419" i="33"/>
  <c r="L419" i="33"/>
  <c r="M419" i="33"/>
  <c r="N419" i="33"/>
  <c r="O419" i="33"/>
  <c r="P419" i="33"/>
  <c r="C420" i="33"/>
  <c r="F420" i="33"/>
  <c r="G420" i="33"/>
  <c r="J420" i="33"/>
  <c r="K420" i="33"/>
  <c r="L420" i="33"/>
  <c r="M420" i="33"/>
  <c r="N420" i="33"/>
  <c r="O420" i="33"/>
  <c r="P420" i="33"/>
  <c r="C421" i="33"/>
  <c r="F421" i="33"/>
  <c r="G421" i="33"/>
  <c r="J421" i="33"/>
  <c r="K421" i="33"/>
  <c r="L421" i="33"/>
  <c r="M421" i="33"/>
  <c r="N421" i="33"/>
  <c r="O421" i="33"/>
  <c r="P421" i="33"/>
  <c r="C422" i="33"/>
  <c r="F422" i="33"/>
  <c r="G422" i="33"/>
  <c r="J422" i="33"/>
  <c r="K422" i="33"/>
  <c r="L422" i="33"/>
  <c r="M422" i="33"/>
  <c r="N422" i="33"/>
  <c r="O422" i="33"/>
  <c r="P422" i="33"/>
  <c r="C423" i="33"/>
  <c r="F423" i="33"/>
  <c r="G423" i="33"/>
  <c r="J423" i="33"/>
  <c r="K423" i="33"/>
  <c r="L423" i="33"/>
  <c r="M423" i="33"/>
  <c r="N423" i="33"/>
  <c r="O423" i="33"/>
  <c r="P423" i="33"/>
  <c r="C424" i="33"/>
  <c r="F424" i="33"/>
  <c r="G424" i="33"/>
  <c r="J424" i="33"/>
  <c r="K424" i="33"/>
  <c r="L424" i="33"/>
  <c r="M424" i="33"/>
  <c r="N424" i="33"/>
  <c r="O424" i="33"/>
  <c r="P424" i="33"/>
  <c r="C425" i="33"/>
  <c r="F425" i="33"/>
  <c r="G425" i="33"/>
  <c r="J425" i="33"/>
  <c r="K425" i="33"/>
  <c r="L425" i="33"/>
  <c r="M425" i="33"/>
  <c r="N425" i="33"/>
  <c r="O425" i="33"/>
  <c r="P425" i="33"/>
  <c r="C426" i="33"/>
  <c r="F426" i="33"/>
  <c r="G426" i="33"/>
  <c r="J426" i="33"/>
  <c r="K426" i="33"/>
  <c r="L426" i="33"/>
  <c r="M426" i="33"/>
  <c r="N426" i="33"/>
  <c r="O426" i="33"/>
  <c r="P426" i="33"/>
  <c r="C427" i="33"/>
  <c r="F427" i="33"/>
  <c r="G427" i="33"/>
  <c r="J427" i="33"/>
  <c r="K427" i="33"/>
  <c r="L427" i="33"/>
  <c r="M427" i="33"/>
  <c r="N427" i="33"/>
  <c r="O427" i="33"/>
  <c r="P427" i="33"/>
  <c r="C428" i="33"/>
  <c r="F428" i="33"/>
  <c r="G428" i="33"/>
  <c r="J428" i="33"/>
  <c r="K428" i="33"/>
  <c r="L428" i="33"/>
  <c r="M428" i="33"/>
  <c r="N428" i="33"/>
  <c r="O428" i="33"/>
  <c r="P428" i="33"/>
  <c r="C429" i="33"/>
  <c r="F429" i="33"/>
  <c r="G429" i="33"/>
  <c r="J429" i="33"/>
  <c r="K429" i="33"/>
  <c r="L429" i="33"/>
  <c r="M429" i="33"/>
  <c r="N429" i="33"/>
  <c r="O429" i="33"/>
  <c r="P429" i="33"/>
  <c r="C430" i="33"/>
  <c r="F430" i="33"/>
  <c r="G430" i="33"/>
  <c r="J430" i="33"/>
  <c r="K430" i="33"/>
  <c r="L430" i="33"/>
  <c r="M430" i="33"/>
  <c r="N430" i="33"/>
  <c r="O430" i="33"/>
  <c r="P430" i="33"/>
  <c r="C431" i="33"/>
  <c r="F431" i="33"/>
  <c r="G431" i="33"/>
  <c r="J431" i="33"/>
  <c r="K431" i="33"/>
  <c r="L431" i="33"/>
  <c r="M431" i="33"/>
  <c r="N431" i="33"/>
  <c r="O431" i="33"/>
  <c r="P431" i="33"/>
  <c r="C432" i="33"/>
  <c r="F432" i="33"/>
  <c r="G432" i="33"/>
  <c r="J432" i="33"/>
  <c r="K432" i="33"/>
  <c r="L432" i="33"/>
  <c r="M432" i="33"/>
  <c r="N432" i="33"/>
  <c r="O432" i="33"/>
  <c r="P432" i="33"/>
  <c r="C433" i="33"/>
  <c r="F433" i="33"/>
  <c r="G433" i="33"/>
  <c r="J433" i="33"/>
  <c r="K433" i="33"/>
  <c r="L433" i="33"/>
  <c r="M433" i="33"/>
  <c r="N433" i="33"/>
  <c r="O433" i="33"/>
  <c r="P433" i="33"/>
  <c r="C434" i="33"/>
  <c r="F434" i="33"/>
  <c r="G434" i="33"/>
  <c r="J434" i="33"/>
  <c r="K434" i="33"/>
  <c r="L434" i="33"/>
  <c r="M434" i="33"/>
  <c r="N434" i="33"/>
  <c r="O434" i="33"/>
  <c r="P434" i="33"/>
  <c r="C435" i="33"/>
  <c r="F435" i="33"/>
  <c r="G435" i="33"/>
  <c r="J435" i="33"/>
  <c r="K435" i="33"/>
  <c r="L435" i="33"/>
  <c r="M435" i="33"/>
  <c r="N435" i="33"/>
  <c r="O435" i="33"/>
  <c r="P435" i="33"/>
  <c r="C436" i="33"/>
  <c r="F436" i="33"/>
  <c r="G436" i="33"/>
  <c r="J436" i="33"/>
  <c r="K436" i="33"/>
  <c r="L436" i="33"/>
  <c r="M436" i="33"/>
  <c r="N436" i="33"/>
  <c r="O436" i="33"/>
  <c r="P436" i="33"/>
  <c r="C437" i="33"/>
  <c r="F437" i="33"/>
  <c r="G437" i="33"/>
  <c r="J437" i="33"/>
  <c r="K437" i="33"/>
  <c r="L437" i="33"/>
  <c r="M437" i="33"/>
  <c r="N437" i="33"/>
  <c r="O437" i="33"/>
  <c r="P437" i="33"/>
  <c r="C438" i="33"/>
  <c r="F438" i="33"/>
  <c r="G438" i="33"/>
  <c r="J438" i="33"/>
  <c r="K438" i="33"/>
  <c r="L438" i="33"/>
  <c r="M438" i="33"/>
  <c r="N438" i="33"/>
  <c r="O438" i="33"/>
  <c r="P438" i="33"/>
  <c r="C439" i="33"/>
  <c r="F439" i="33"/>
  <c r="G439" i="33"/>
  <c r="J439" i="33"/>
  <c r="K439" i="33"/>
  <c r="L439" i="33"/>
  <c r="M439" i="33"/>
  <c r="N439" i="33"/>
  <c r="O439" i="33"/>
  <c r="P439" i="33"/>
  <c r="C440" i="33"/>
  <c r="F440" i="33"/>
  <c r="G440" i="33"/>
  <c r="J440" i="33"/>
  <c r="K440" i="33"/>
  <c r="L440" i="33"/>
  <c r="M440" i="33"/>
  <c r="N440" i="33"/>
  <c r="O440" i="33"/>
  <c r="P440" i="33"/>
  <c r="C441" i="33"/>
  <c r="F441" i="33"/>
  <c r="G441" i="33"/>
  <c r="J441" i="33"/>
  <c r="K441" i="33"/>
  <c r="L441" i="33"/>
  <c r="M441" i="33"/>
  <c r="N441" i="33"/>
  <c r="O441" i="33"/>
  <c r="P441" i="33"/>
  <c r="C442" i="33"/>
  <c r="F442" i="33"/>
  <c r="G442" i="33"/>
  <c r="J442" i="33"/>
  <c r="K442" i="33"/>
  <c r="L442" i="33"/>
  <c r="M442" i="33"/>
  <c r="N442" i="33"/>
  <c r="O442" i="33"/>
  <c r="P442" i="33"/>
  <c r="C443" i="33"/>
  <c r="F443" i="33"/>
  <c r="G443" i="33"/>
  <c r="J443" i="33"/>
  <c r="K443" i="33"/>
  <c r="L443" i="33"/>
  <c r="M443" i="33"/>
  <c r="N443" i="33"/>
  <c r="O443" i="33"/>
  <c r="P443" i="33"/>
  <c r="C444" i="33"/>
  <c r="F444" i="33"/>
  <c r="G444" i="33"/>
  <c r="J444" i="33"/>
  <c r="K444" i="33"/>
  <c r="L444" i="33"/>
  <c r="M444" i="33"/>
  <c r="N444" i="33"/>
  <c r="O444" i="33"/>
  <c r="P444" i="33"/>
  <c r="C445" i="33"/>
  <c r="F445" i="33"/>
  <c r="G445" i="33"/>
  <c r="J445" i="33"/>
  <c r="K445" i="33"/>
  <c r="L445" i="33"/>
  <c r="M445" i="33"/>
  <c r="N445" i="33"/>
  <c r="O445" i="33"/>
  <c r="P445" i="33"/>
  <c r="C446" i="33"/>
  <c r="F446" i="33"/>
  <c r="G446" i="33"/>
  <c r="J446" i="33"/>
  <c r="K446" i="33"/>
  <c r="L446" i="33"/>
  <c r="M446" i="33"/>
  <c r="N446" i="33"/>
  <c r="O446" i="33"/>
  <c r="P446" i="33"/>
  <c r="C447" i="33"/>
  <c r="F447" i="33"/>
  <c r="G447" i="33"/>
  <c r="J447" i="33"/>
  <c r="K447" i="33"/>
  <c r="L447" i="33"/>
  <c r="M447" i="33"/>
  <c r="N447" i="33"/>
  <c r="O447" i="33"/>
  <c r="P447" i="33"/>
  <c r="C448" i="33"/>
  <c r="F448" i="33"/>
  <c r="G448" i="33"/>
  <c r="J448" i="33"/>
  <c r="K448" i="33"/>
  <c r="L448" i="33"/>
  <c r="M448" i="33"/>
  <c r="N448" i="33"/>
  <c r="O448" i="33"/>
  <c r="P448" i="33"/>
  <c r="C449" i="33"/>
  <c r="F449" i="33"/>
  <c r="G449" i="33"/>
  <c r="J449" i="33"/>
  <c r="K449" i="33"/>
  <c r="L449" i="33"/>
  <c r="M449" i="33"/>
  <c r="N449" i="33"/>
  <c r="O449" i="33"/>
  <c r="P449" i="33"/>
  <c r="C450" i="33"/>
  <c r="F450" i="33"/>
  <c r="G450" i="33"/>
  <c r="J450" i="33"/>
  <c r="K450" i="33"/>
  <c r="L450" i="33"/>
  <c r="M450" i="33"/>
  <c r="N450" i="33"/>
  <c r="O450" i="33"/>
  <c r="P450" i="33"/>
  <c r="C451" i="33"/>
  <c r="F451" i="33"/>
  <c r="G451" i="33"/>
  <c r="J451" i="33"/>
  <c r="K451" i="33"/>
  <c r="L451" i="33"/>
  <c r="M451" i="33"/>
  <c r="N451" i="33"/>
  <c r="O451" i="33"/>
  <c r="P451" i="33"/>
  <c r="C452" i="33"/>
  <c r="F452" i="33"/>
  <c r="G452" i="33"/>
  <c r="J452" i="33"/>
  <c r="K452" i="33"/>
  <c r="L452" i="33"/>
  <c r="M452" i="33"/>
  <c r="N452" i="33"/>
  <c r="O452" i="33"/>
  <c r="P452" i="33"/>
  <c r="C453" i="33"/>
  <c r="F453" i="33"/>
  <c r="G453" i="33"/>
  <c r="J453" i="33"/>
  <c r="K453" i="33"/>
  <c r="L453" i="33"/>
  <c r="M453" i="33"/>
  <c r="N453" i="33"/>
  <c r="O453" i="33"/>
  <c r="P453" i="33"/>
  <c r="C454" i="33"/>
  <c r="F454" i="33"/>
  <c r="G454" i="33"/>
  <c r="J454" i="33"/>
  <c r="K454" i="33"/>
  <c r="L454" i="33"/>
  <c r="M454" i="33"/>
  <c r="N454" i="33"/>
  <c r="O454" i="33"/>
  <c r="P454" i="33"/>
  <c r="C455" i="33"/>
  <c r="F455" i="33"/>
  <c r="G455" i="33"/>
  <c r="J455" i="33"/>
  <c r="K455" i="33"/>
  <c r="L455" i="33"/>
  <c r="M455" i="33"/>
  <c r="N455" i="33"/>
  <c r="O455" i="33"/>
  <c r="P455" i="33"/>
  <c r="C456" i="33"/>
  <c r="F456" i="33"/>
  <c r="G456" i="33"/>
  <c r="J456" i="33"/>
  <c r="K456" i="33"/>
  <c r="L456" i="33"/>
  <c r="M456" i="33"/>
  <c r="N456" i="33"/>
  <c r="O456" i="33"/>
  <c r="P456" i="33"/>
  <c r="C457" i="33"/>
  <c r="F457" i="33"/>
  <c r="G457" i="33"/>
  <c r="J457" i="33"/>
  <c r="K457" i="33"/>
  <c r="L457" i="33"/>
  <c r="M457" i="33"/>
  <c r="N457" i="33"/>
  <c r="O457" i="33"/>
  <c r="P457" i="33"/>
  <c r="C458" i="33"/>
  <c r="F458" i="33"/>
  <c r="G458" i="33"/>
  <c r="J458" i="33"/>
  <c r="K458" i="33"/>
  <c r="L458" i="33"/>
  <c r="M458" i="33"/>
  <c r="N458" i="33"/>
  <c r="O458" i="33"/>
  <c r="P458" i="33"/>
  <c r="C459" i="33"/>
  <c r="F459" i="33"/>
  <c r="G459" i="33"/>
  <c r="J459" i="33"/>
  <c r="K459" i="33"/>
  <c r="L459" i="33"/>
  <c r="M459" i="33"/>
  <c r="N459" i="33"/>
  <c r="O459" i="33"/>
  <c r="P459" i="33"/>
  <c r="C460" i="33"/>
  <c r="F460" i="33"/>
  <c r="G460" i="33"/>
  <c r="J460" i="33"/>
  <c r="K460" i="33"/>
  <c r="L460" i="33"/>
  <c r="M460" i="33"/>
  <c r="N460" i="33"/>
  <c r="O460" i="33"/>
  <c r="P460" i="33"/>
  <c r="C461" i="33"/>
  <c r="F461" i="33"/>
  <c r="G461" i="33"/>
  <c r="J461" i="33"/>
  <c r="K461" i="33"/>
  <c r="L461" i="33"/>
  <c r="M461" i="33"/>
  <c r="N461" i="33"/>
  <c r="O461" i="33"/>
  <c r="P461" i="33"/>
  <c r="C462" i="33"/>
  <c r="F462" i="33"/>
  <c r="G462" i="33"/>
  <c r="J462" i="33"/>
  <c r="K462" i="33"/>
  <c r="L462" i="33"/>
  <c r="M462" i="33"/>
  <c r="N462" i="33"/>
  <c r="O462" i="33"/>
  <c r="P462" i="33"/>
  <c r="C463" i="33"/>
  <c r="F463" i="33"/>
  <c r="G463" i="33"/>
  <c r="J463" i="33"/>
  <c r="K463" i="33"/>
  <c r="L463" i="33"/>
  <c r="M463" i="33"/>
  <c r="N463" i="33"/>
  <c r="O463" i="33"/>
  <c r="P463" i="33"/>
  <c r="C464" i="33"/>
  <c r="F464" i="33"/>
  <c r="G464" i="33"/>
  <c r="J464" i="33"/>
  <c r="K464" i="33"/>
  <c r="L464" i="33"/>
  <c r="M464" i="33"/>
  <c r="N464" i="33"/>
  <c r="O464" i="33"/>
  <c r="P464" i="33"/>
  <c r="C465" i="33"/>
  <c r="F465" i="33"/>
  <c r="G465" i="33"/>
  <c r="J465" i="33"/>
  <c r="K465" i="33"/>
  <c r="L465" i="33"/>
  <c r="M465" i="33"/>
  <c r="N465" i="33"/>
  <c r="O465" i="33"/>
  <c r="P465" i="33"/>
  <c r="C466" i="33"/>
  <c r="F466" i="33"/>
  <c r="G466" i="33"/>
  <c r="J466" i="33"/>
  <c r="K466" i="33"/>
  <c r="L466" i="33"/>
  <c r="M466" i="33"/>
  <c r="N466" i="33"/>
  <c r="O466" i="33"/>
  <c r="P466" i="33"/>
  <c r="C467" i="33"/>
  <c r="F467" i="33"/>
  <c r="G467" i="33"/>
  <c r="J467" i="33"/>
  <c r="K467" i="33"/>
  <c r="L467" i="33"/>
  <c r="M467" i="33"/>
  <c r="N467" i="33"/>
  <c r="O467" i="33"/>
  <c r="P467" i="33"/>
  <c r="C468" i="33"/>
  <c r="F468" i="33"/>
  <c r="G468" i="33"/>
  <c r="J468" i="33"/>
  <c r="K468" i="33"/>
  <c r="L468" i="33"/>
  <c r="M468" i="33"/>
  <c r="N468" i="33"/>
  <c r="O468" i="33"/>
  <c r="P468" i="33"/>
  <c r="C469" i="33"/>
  <c r="F469" i="33"/>
  <c r="G469" i="33"/>
  <c r="J469" i="33"/>
  <c r="K469" i="33"/>
  <c r="L469" i="33"/>
  <c r="M469" i="33"/>
  <c r="N469" i="33"/>
  <c r="O469" i="33"/>
  <c r="P469" i="33"/>
  <c r="C470" i="33"/>
  <c r="F470" i="33"/>
  <c r="G470" i="33"/>
  <c r="J470" i="33"/>
  <c r="K470" i="33"/>
  <c r="L470" i="33"/>
  <c r="M470" i="33"/>
  <c r="N470" i="33"/>
  <c r="O470" i="33"/>
  <c r="P470" i="33"/>
  <c r="C471" i="33"/>
  <c r="F471" i="33"/>
  <c r="G471" i="33"/>
  <c r="J471" i="33"/>
  <c r="K471" i="33"/>
  <c r="L471" i="33"/>
  <c r="M471" i="33"/>
  <c r="N471" i="33"/>
  <c r="O471" i="33"/>
  <c r="P471" i="33"/>
  <c r="C472" i="33"/>
  <c r="F472" i="33"/>
  <c r="G472" i="33"/>
  <c r="J472" i="33"/>
  <c r="K472" i="33"/>
  <c r="L472" i="33"/>
  <c r="M472" i="33"/>
  <c r="N472" i="33"/>
  <c r="O472" i="33"/>
  <c r="P472" i="33"/>
  <c r="C473" i="33"/>
  <c r="F473" i="33"/>
  <c r="G473" i="33"/>
  <c r="J473" i="33"/>
  <c r="K473" i="33"/>
  <c r="L473" i="33"/>
  <c r="M473" i="33"/>
  <c r="N473" i="33"/>
  <c r="O473" i="33"/>
  <c r="P473" i="33"/>
  <c r="C474" i="33"/>
  <c r="F474" i="33"/>
  <c r="G474" i="33"/>
  <c r="J474" i="33"/>
  <c r="K474" i="33"/>
  <c r="L474" i="33"/>
  <c r="M474" i="33"/>
  <c r="N474" i="33"/>
  <c r="O474" i="33"/>
  <c r="P474" i="33"/>
  <c r="C475" i="33"/>
  <c r="F475" i="33"/>
  <c r="G475" i="33"/>
  <c r="J475" i="33"/>
  <c r="K475" i="33"/>
  <c r="L475" i="33"/>
  <c r="M475" i="33"/>
  <c r="N475" i="33"/>
  <c r="O475" i="33"/>
  <c r="P475" i="33"/>
  <c r="C476" i="33"/>
  <c r="F476" i="33"/>
  <c r="G476" i="33"/>
  <c r="J476" i="33"/>
  <c r="K476" i="33"/>
  <c r="L476" i="33"/>
  <c r="M476" i="33"/>
  <c r="N476" i="33"/>
  <c r="O476" i="33"/>
  <c r="P476" i="33"/>
  <c r="C477" i="33"/>
  <c r="F477" i="33"/>
  <c r="G477" i="33"/>
  <c r="J477" i="33"/>
  <c r="K477" i="33"/>
  <c r="L477" i="33"/>
  <c r="M477" i="33"/>
  <c r="N477" i="33"/>
  <c r="O477" i="33"/>
  <c r="P477" i="33"/>
  <c r="C478" i="33"/>
  <c r="F478" i="33"/>
  <c r="G478" i="33"/>
  <c r="J478" i="33"/>
  <c r="K478" i="33"/>
  <c r="L478" i="33"/>
  <c r="M478" i="33"/>
  <c r="N478" i="33"/>
  <c r="O478" i="33"/>
  <c r="P478" i="33"/>
  <c r="C479" i="33"/>
  <c r="F479" i="33"/>
  <c r="G479" i="33"/>
  <c r="J479" i="33"/>
  <c r="K479" i="33"/>
  <c r="L479" i="33"/>
  <c r="M479" i="33"/>
  <c r="N479" i="33"/>
  <c r="O479" i="33"/>
  <c r="P479" i="33"/>
  <c r="C480" i="33"/>
  <c r="F480" i="33"/>
  <c r="G480" i="33"/>
  <c r="J480" i="33"/>
  <c r="K480" i="33"/>
  <c r="L480" i="33"/>
  <c r="M480" i="33"/>
  <c r="N480" i="33"/>
  <c r="O480" i="33"/>
  <c r="P480" i="33"/>
  <c r="C481" i="33"/>
  <c r="F481" i="33"/>
  <c r="G481" i="33"/>
  <c r="J481" i="33"/>
  <c r="K481" i="33"/>
  <c r="L481" i="33"/>
  <c r="M481" i="33"/>
  <c r="N481" i="33"/>
  <c r="O481" i="33"/>
  <c r="P481" i="33"/>
  <c r="C482" i="33"/>
  <c r="F482" i="33"/>
  <c r="G482" i="33"/>
  <c r="J482" i="33"/>
  <c r="K482" i="33"/>
  <c r="L482" i="33"/>
  <c r="M482" i="33"/>
  <c r="N482" i="33"/>
  <c r="O482" i="33"/>
  <c r="P482" i="33"/>
  <c r="C483" i="33"/>
  <c r="F483" i="33"/>
  <c r="G483" i="33"/>
  <c r="J483" i="33"/>
  <c r="K483" i="33"/>
  <c r="L483" i="33"/>
  <c r="M483" i="33"/>
  <c r="N483" i="33"/>
  <c r="O483" i="33"/>
  <c r="P483" i="33"/>
  <c r="C484" i="33"/>
  <c r="F484" i="33"/>
  <c r="G484" i="33"/>
  <c r="J484" i="33"/>
  <c r="K484" i="33"/>
  <c r="L484" i="33"/>
  <c r="M484" i="33"/>
  <c r="N484" i="33"/>
  <c r="O484" i="33"/>
  <c r="P484" i="33"/>
  <c r="C485" i="33"/>
  <c r="F485" i="33"/>
  <c r="G485" i="33"/>
  <c r="J485" i="33"/>
  <c r="K485" i="33"/>
  <c r="L485" i="33"/>
  <c r="M485" i="33"/>
  <c r="N485" i="33"/>
  <c r="O485" i="33"/>
  <c r="P485" i="33"/>
  <c r="C486" i="33"/>
  <c r="F486" i="33"/>
  <c r="G486" i="33"/>
  <c r="J486" i="33"/>
  <c r="K486" i="33"/>
  <c r="L486" i="33"/>
  <c r="M486" i="33"/>
  <c r="N486" i="33"/>
  <c r="O486" i="33"/>
  <c r="P486" i="33"/>
  <c r="C487" i="33"/>
  <c r="F487" i="33"/>
  <c r="G487" i="33"/>
  <c r="J487" i="33"/>
  <c r="K487" i="33"/>
  <c r="L487" i="33"/>
  <c r="M487" i="33"/>
  <c r="N487" i="33"/>
  <c r="O487" i="33"/>
  <c r="P487" i="33"/>
  <c r="C488" i="33"/>
  <c r="F488" i="33"/>
  <c r="G488" i="33"/>
  <c r="J488" i="33"/>
  <c r="K488" i="33"/>
  <c r="L488" i="33"/>
  <c r="M488" i="33"/>
  <c r="N488" i="33"/>
  <c r="O488" i="33"/>
  <c r="P488" i="33"/>
  <c r="C489" i="33"/>
  <c r="F489" i="33"/>
  <c r="G489" i="33"/>
  <c r="J489" i="33"/>
  <c r="K489" i="33"/>
  <c r="L489" i="33"/>
  <c r="M489" i="33"/>
  <c r="N489" i="33"/>
  <c r="O489" i="33"/>
  <c r="P489" i="33"/>
  <c r="C490" i="33"/>
  <c r="F490" i="33"/>
  <c r="G490" i="33"/>
  <c r="J490" i="33"/>
  <c r="K490" i="33"/>
  <c r="L490" i="33"/>
  <c r="M490" i="33"/>
  <c r="N490" i="33"/>
  <c r="O490" i="33"/>
  <c r="P490" i="33"/>
  <c r="C491" i="33"/>
  <c r="F491" i="33"/>
  <c r="G491" i="33"/>
  <c r="J491" i="33"/>
  <c r="K491" i="33"/>
  <c r="L491" i="33"/>
  <c r="M491" i="33"/>
  <c r="N491" i="33"/>
  <c r="O491" i="33"/>
  <c r="P491" i="33"/>
  <c r="C492" i="33"/>
  <c r="F492" i="33"/>
  <c r="G492" i="33"/>
  <c r="J492" i="33"/>
  <c r="K492" i="33"/>
  <c r="L492" i="33"/>
  <c r="M492" i="33"/>
  <c r="N492" i="33"/>
  <c r="O492" i="33"/>
  <c r="P492" i="33"/>
  <c r="C493" i="33"/>
  <c r="F493" i="33"/>
  <c r="G493" i="33"/>
  <c r="J493" i="33"/>
  <c r="K493" i="33"/>
  <c r="L493" i="33"/>
  <c r="M493" i="33"/>
  <c r="N493" i="33"/>
  <c r="O493" i="33"/>
  <c r="P493" i="33"/>
  <c r="C494" i="33"/>
  <c r="F494" i="33"/>
  <c r="G494" i="33"/>
  <c r="J494" i="33"/>
  <c r="K494" i="33"/>
  <c r="L494" i="33"/>
  <c r="M494" i="33"/>
  <c r="N494" i="33"/>
  <c r="O494" i="33"/>
  <c r="P494" i="33"/>
  <c r="C495" i="33"/>
  <c r="F495" i="33"/>
  <c r="G495" i="33"/>
  <c r="J495" i="33"/>
  <c r="K495" i="33"/>
  <c r="L495" i="33"/>
  <c r="M495" i="33"/>
  <c r="N495" i="33"/>
  <c r="O495" i="33"/>
  <c r="P495" i="33"/>
  <c r="C496" i="33"/>
  <c r="F496" i="33"/>
  <c r="G496" i="33"/>
  <c r="J496" i="33"/>
  <c r="K496" i="33"/>
  <c r="L496" i="33"/>
  <c r="M496" i="33"/>
  <c r="N496" i="33"/>
  <c r="O496" i="33"/>
  <c r="P496" i="33"/>
  <c r="C497" i="33"/>
  <c r="F497" i="33"/>
  <c r="G497" i="33"/>
  <c r="J497" i="33"/>
  <c r="K497" i="33"/>
  <c r="L497" i="33"/>
  <c r="M497" i="33"/>
  <c r="N497" i="33"/>
  <c r="O497" i="33"/>
  <c r="P497" i="33"/>
  <c r="C498" i="33"/>
  <c r="F498" i="33"/>
  <c r="G498" i="33"/>
  <c r="J498" i="33"/>
  <c r="K498" i="33"/>
  <c r="L498" i="33"/>
  <c r="M498" i="33"/>
  <c r="N498" i="33"/>
  <c r="O498" i="33"/>
  <c r="P498" i="33"/>
  <c r="C499" i="33"/>
  <c r="F499" i="33"/>
  <c r="G499" i="33"/>
  <c r="J499" i="33"/>
  <c r="K499" i="33"/>
  <c r="L499" i="33"/>
  <c r="M499" i="33"/>
  <c r="N499" i="33"/>
  <c r="O499" i="33"/>
  <c r="P499" i="33"/>
  <c r="C500" i="33"/>
  <c r="F500" i="33"/>
  <c r="G500" i="33"/>
  <c r="J500" i="33"/>
  <c r="K500" i="33"/>
  <c r="L500" i="33"/>
  <c r="M500" i="33"/>
  <c r="N500" i="33"/>
  <c r="O500" i="33"/>
  <c r="P500" i="33"/>
  <c r="C501" i="33"/>
  <c r="F501" i="33"/>
  <c r="G501" i="33"/>
  <c r="J501" i="33"/>
  <c r="K501" i="33"/>
  <c r="L501" i="33"/>
  <c r="M501" i="33"/>
  <c r="N501" i="33"/>
  <c r="O501" i="33"/>
  <c r="P501" i="33"/>
  <c r="C502" i="33"/>
  <c r="F502" i="33"/>
  <c r="G502" i="33"/>
  <c r="J502" i="33"/>
  <c r="K502" i="33"/>
  <c r="L502" i="33"/>
  <c r="M502" i="33"/>
  <c r="N502" i="33"/>
  <c r="O502" i="33"/>
  <c r="P502" i="33"/>
  <c r="C503" i="33"/>
  <c r="F503" i="33"/>
  <c r="G503" i="33"/>
  <c r="J503" i="33"/>
  <c r="K503" i="33"/>
  <c r="L503" i="33"/>
  <c r="M503" i="33"/>
  <c r="N503" i="33"/>
  <c r="O503" i="33"/>
  <c r="P503" i="33"/>
  <c r="C504" i="33"/>
  <c r="F504" i="33"/>
  <c r="G504" i="33"/>
  <c r="J504" i="33"/>
  <c r="K504" i="33"/>
  <c r="L504" i="33"/>
  <c r="M504" i="33"/>
  <c r="N504" i="33"/>
  <c r="O504" i="33"/>
  <c r="P504" i="33"/>
  <c r="C505" i="33"/>
  <c r="F505" i="33"/>
  <c r="G505" i="33"/>
  <c r="J505" i="33"/>
  <c r="K505" i="33"/>
  <c r="L505" i="33"/>
  <c r="M505" i="33"/>
  <c r="N505" i="33"/>
  <c r="O505" i="33"/>
  <c r="P505" i="33"/>
  <c r="C506" i="33"/>
  <c r="F506" i="33"/>
  <c r="G506" i="33"/>
  <c r="J506" i="33"/>
  <c r="K506" i="33"/>
  <c r="L506" i="33"/>
  <c r="M506" i="33"/>
  <c r="N506" i="33"/>
  <c r="O506" i="33"/>
  <c r="P506" i="33"/>
  <c r="C507" i="33"/>
  <c r="F507" i="33"/>
  <c r="G507" i="33"/>
  <c r="J507" i="33"/>
  <c r="K507" i="33"/>
  <c r="L507" i="33"/>
  <c r="M507" i="33"/>
  <c r="N507" i="33"/>
  <c r="O507" i="33"/>
  <c r="P507" i="33"/>
  <c r="C508" i="33"/>
  <c r="F508" i="33"/>
  <c r="G508" i="33"/>
  <c r="J508" i="33"/>
  <c r="K508" i="33"/>
  <c r="L508" i="33"/>
  <c r="M508" i="33"/>
  <c r="N508" i="33"/>
  <c r="O508" i="33"/>
  <c r="P508" i="33"/>
  <c r="C509" i="33"/>
  <c r="F509" i="33"/>
  <c r="G509" i="33"/>
  <c r="J509" i="33"/>
  <c r="K509" i="33"/>
  <c r="L509" i="33"/>
  <c r="M509" i="33"/>
  <c r="N509" i="33"/>
  <c r="O509" i="33"/>
  <c r="P509" i="33"/>
  <c r="C510" i="33"/>
  <c r="F510" i="33"/>
  <c r="G510" i="33"/>
  <c r="J510" i="33"/>
  <c r="K510" i="33"/>
  <c r="L510" i="33"/>
  <c r="M510" i="33"/>
  <c r="N510" i="33"/>
  <c r="O510" i="33"/>
  <c r="P510" i="33"/>
  <c r="C511" i="33"/>
  <c r="F511" i="33"/>
  <c r="G511" i="33"/>
  <c r="J511" i="33"/>
  <c r="K511" i="33"/>
  <c r="L511" i="33"/>
  <c r="M511" i="33"/>
  <c r="N511" i="33"/>
  <c r="O511" i="33"/>
  <c r="P511" i="33"/>
  <c r="C512" i="33"/>
  <c r="F512" i="33"/>
  <c r="G512" i="33"/>
  <c r="J512" i="33"/>
  <c r="K512" i="33"/>
  <c r="L512" i="33"/>
  <c r="M512" i="33"/>
  <c r="N512" i="33"/>
  <c r="O512" i="33"/>
  <c r="P512" i="33"/>
  <c r="C513" i="33"/>
  <c r="F513" i="33"/>
  <c r="G513" i="33"/>
  <c r="J513" i="33"/>
  <c r="K513" i="33"/>
  <c r="L513" i="33"/>
  <c r="M513" i="33"/>
  <c r="N513" i="33"/>
  <c r="O513" i="33"/>
  <c r="P513" i="33"/>
  <c r="C514" i="33"/>
  <c r="F514" i="33"/>
  <c r="G514" i="33"/>
  <c r="J514" i="33"/>
  <c r="K514" i="33"/>
  <c r="L514" i="33"/>
  <c r="M514" i="33"/>
  <c r="N514" i="33"/>
  <c r="O514" i="33"/>
  <c r="P514" i="33"/>
  <c r="C515" i="33"/>
  <c r="F515" i="33"/>
  <c r="G515" i="33"/>
  <c r="J515" i="33"/>
  <c r="K515" i="33"/>
  <c r="L515" i="33"/>
  <c r="M515" i="33"/>
  <c r="N515" i="33"/>
  <c r="O515" i="33"/>
  <c r="P515" i="33"/>
  <c r="C516" i="33"/>
  <c r="F516" i="33"/>
  <c r="G516" i="33"/>
  <c r="J516" i="33"/>
  <c r="K516" i="33"/>
  <c r="L516" i="33"/>
  <c r="M516" i="33"/>
  <c r="N516" i="33"/>
  <c r="O516" i="33"/>
  <c r="P516" i="33"/>
  <c r="C517" i="33"/>
  <c r="F517" i="33"/>
  <c r="G517" i="33"/>
  <c r="J517" i="33"/>
  <c r="K517" i="33"/>
  <c r="L517" i="33"/>
  <c r="M517" i="33"/>
  <c r="N517" i="33"/>
  <c r="O517" i="33"/>
  <c r="P517" i="33"/>
  <c r="C518" i="33"/>
  <c r="F518" i="33"/>
  <c r="G518" i="33"/>
  <c r="J518" i="33"/>
  <c r="K518" i="33"/>
  <c r="L518" i="33"/>
  <c r="M518" i="33"/>
  <c r="N518" i="33"/>
  <c r="O518" i="33"/>
  <c r="P518" i="33"/>
  <c r="C519" i="33"/>
  <c r="F519" i="33"/>
  <c r="G519" i="33"/>
  <c r="J519" i="33"/>
  <c r="K519" i="33"/>
  <c r="L519" i="33"/>
  <c r="M519" i="33"/>
  <c r="N519" i="33"/>
  <c r="O519" i="33"/>
  <c r="P519" i="33"/>
  <c r="C520" i="33"/>
  <c r="F520" i="33"/>
  <c r="G520" i="33"/>
  <c r="J520" i="33"/>
  <c r="K520" i="33"/>
  <c r="L520" i="33"/>
  <c r="M520" i="33"/>
  <c r="N520" i="33"/>
  <c r="O520" i="33"/>
  <c r="P520" i="33"/>
  <c r="C521" i="33"/>
  <c r="F521" i="33"/>
  <c r="G521" i="33"/>
  <c r="J521" i="33"/>
  <c r="K521" i="33"/>
  <c r="L521" i="33"/>
  <c r="M521" i="33"/>
  <c r="N521" i="33"/>
  <c r="O521" i="33"/>
  <c r="P521" i="33"/>
  <c r="C522" i="33"/>
  <c r="F522" i="33"/>
  <c r="G522" i="33"/>
  <c r="J522" i="33"/>
  <c r="K522" i="33"/>
  <c r="L522" i="33"/>
  <c r="M522" i="33"/>
  <c r="N522" i="33"/>
  <c r="O522" i="33"/>
  <c r="P522" i="33"/>
  <c r="C523" i="33"/>
  <c r="F523" i="33"/>
  <c r="G523" i="33"/>
  <c r="J523" i="33"/>
  <c r="K523" i="33"/>
  <c r="L523" i="33"/>
  <c r="M523" i="33"/>
  <c r="N523" i="33"/>
  <c r="O523" i="33"/>
  <c r="P523" i="33"/>
  <c r="C524" i="33"/>
  <c r="F524" i="33"/>
  <c r="G524" i="33"/>
  <c r="J524" i="33"/>
  <c r="K524" i="33"/>
  <c r="L524" i="33"/>
  <c r="M524" i="33"/>
  <c r="N524" i="33"/>
  <c r="O524" i="33"/>
  <c r="P524" i="33"/>
  <c r="C525" i="33"/>
  <c r="F525" i="33"/>
  <c r="G525" i="33"/>
  <c r="J525" i="33"/>
  <c r="K525" i="33"/>
  <c r="L525" i="33"/>
  <c r="M525" i="33"/>
  <c r="N525" i="33"/>
  <c r="O525" i="33"/>
  <c r="P525" i="33"/>
  <c r="C526" i="33"/>
  <c r="F526" i="33"/>
  <c r="G526" i="33"/>
  <c r="J526" i="33"/>
  <c r="K526" i="33"/>
  <c r="L526" i="33"/>
  <c r="M526" i="33"/>
  <c r="N526" i="33"/>
  <c r="O526" i="33"/>
  <c r="P526" i="33"/>
  <c r="C527" i="33"/>
  <c r="F527" i="33"/>
  <c r="G527" i="33"/>
  <c r="J527" i="33"/>
  <c r="K527" i="33"/>
  <c r="L527" i="33"/>
  <c r="M527" i="33"/>
  <c r="N527" i="33"/>
  <c r="O527" i="33"/>
  <c r="P527" i="33"/>
  <c r="C528" i="33"/>
  <c r="F528" i="33"/>
  <c r="G528" i="33"/>
  <c r="J528" i="33"/>
  <c r="K528" i="33"/>
  <c r="L528" i="33"/>
  <c r="M528" i="33"/>
  <c r="N528" i="33"/>
  <c r="O528" i="33"/>
  <c r="P528" i="33"/>
  <c r="C529" i="33"/>
  <c r="F529" i="33"/>
  <c r="G529" i="33"/>
  <c r="J529" i="33"/>
  <c r="K529" i="33"/>
  <c r="L529" i="33"/>
  <c r="M529" i="33"/>
  <c r="N529" i="33"/>
  <c r="O529" i="33"/>
  <c r="P529" i="33"/>
  <c r="C530" i="33"/>
  <c r="F530" i="33"/>
  <c r="G530" i="33"/>
  <c r="J530" i="33"/>
  <c r="K530" i="33"/>
  <c r="L530" i="33"/>
  <c r="M530" i="33"/>
  <c r="N530" i="33"/>
  <c r="O530" i="33"/>
  <c r="P530" i="33"/>
  <c r="C531" i="33"/>
  <c r="F531" i="33"/>
  <c r="G531" i="33"/>
  <c r="J531" i="33"/>
  <c r="K531" i="33"/>
  <c r="L531" i="33"/>
  <c r="M531" i="33"/>
  <c r="N531" i="33"/>
  <c r="O531" i="33"/>
  <c r="P531" i="33"/>
  <c r="C532" i="33"/>
  <c r="F532" i="33"/>
  <c r="G532" i="33"/>
  <c r="J532" i="33"/>
  <c r="K532" i="33"/>
  <c r="L532" i="33"/>
  <c r="M532" i="33"/>
  <c r="N532" i="33"/>
  <c r="O532" i="33"/>
  <c r="P532" i="33"/>
  <c r="C533" i="33"/>
  <c r="F533" i="33"/>
  <c r="G533" i="33"/>
  <c r="J533" i="33"/>
  <c r="K533" i="33"/>
  <c r="L533" i="33"/>
  <c r="M533" i="33"/>
  <c r="N533" i="33"/>
  <c r="O533" i="33"/>
  <c r="P533" i="33"/>
  <c r="C534" i="33"/>
  <c r="F534" i="33"/>
  <c r="G534" i="33"/>
  <c r="J534" i="33"/>
  <c r="K534" i="33"/>
  <c r="L534" i="33"/>
  <c r="M534" i="33"/>
  <c r="N534" i="33"/>
  <c r="O534" i="33"/>
  <c r="P534" i="33"/>
  <c r="C535" i="33"/>
  <c r="F535" i="33"/>
  <c r="G535" i="33"/>
  <c r="J535" i="33"/>
  <c r="K535" i="33"/>
  <c r="L535" i="33"/>
  <c r="M535" i="33"/>
  <c r="N535" i="33"/>
  <c r="O535" i="33"/>
  <c r="P535" i="33"/>
  <c r="C536" i="33"/>
  <c r="F536" i="33"/>
  <c r="G536" i="33"/>
  <c r="J536" i="33"/>
  <c r="K536" i="33"/>
  <c r="L536" i="33"/>
  <c r="M536" i="33"/>
  <c r="N536" i="33"/>
  <c r="O536" i="33"/>
  <c r="P536" i="33"/>
  <c r="C537" i="33"/>
  <c r="F537" i="33"/>
  <c r="G537" i="33"/>
  <c r="J537" i="33"/>
  <c r="K537" i="33"/>
  <c r="L537" i="33"/>
  <c r="M537" i="33"/>
  <c r="N537" i="33"/>
  <c r="O537" i="33"/>
  <c r="P537" i="33"/>
  <c r="C538" i="33"/>
  <c r="F538" i="33"/>
  <c r="G538" i="33"/>
  <c r="J538" i="33"/>
  <c r="K538" i="33"/>
  <c r="L538" i="33"/>
  <c r="M538" i="33"/>
  <c r="N538" i="33"/>
  <c r="O538" i="33"/>
  <c r="P538" i="33"/>
  <c r="C539" i="33"/>
  <c r="F539" i="33"/>
  <c r="G539" i="33"/>
  <c r="J539" i="33"/>
  <c r="K539" i="33"/>
  <c r="L539" i="33"/>
  <c r="M539" i="33"/>
  <c r="N539" i="33"/>
  <c r="O539" i="33"/>
  <c r="P539" i="33"/>
  <c r="C540" i="33"/>
  <c r="F540" i="33"/>
  <c r="G540" i="33"/>
  <c r="J540" i="33"/>
  <c r="K540" i="33"/>
  <c r="L540" i="33"/>
  <c r="M540" i="33"/>
  <c r="N540" i="33"/>
  <c r="O540" i="33"/>
  <c r="P540" i="33"/>
  <c r="C541" i="33"/>
  <c r="F541" i="33"/>
  <c r="G541" i="33"/>
  <c r="J541" i="33"/>
  <c r="K541" i="33"/>
  <c r="L541" i="33"/>
  <c r="M541" i="33"/>
  <c r="N541" i="33"/>
  <c r="O541" i="33"/>
  <c r="P541" i="33"/>
  <c r="C542" i="33"/>
  <c r="F542" i="33"/>
  <c r="G542" i="33"/>
  <c r="J542" i="33"/>
  <c r="K542" i="33"/>
  <c r="L542" i="33"/>
  <c r="M542" i="33"/>
  <c r="N542" i="33"/>
  <c r="O542" i="33"/>
  <c r="P542" i="33"/>
  <c r="C543" i="33"/>
  <c r="F543" i="33"/>
  <c r="G543" i="33"/>
  <c r="J543" i="33"/>
  <c r="K543" i="33"/>
  <c r="L543" i="33"/>
  <c r="M543" i="33"/>
  <c r="N543" i="33"/>
  <c r="O543" i="33"/>
  <c r="P543" i="33"/>
  <c r="C544" i="33"/>
  <c r="F544" i="33"/>
  <c r="G544" i="33"/>
  <c r="J544" i="33"/>
  <c r="K544" i="33"/>
  <c r="L544" i="33"/>
  <c r="M544" i="33"/>
  <c r="N544" i="33"/>
  <c r="O544" i="33"/>
  <c r="P544" i="33"/>
  <c r="C545" i="33"/>
  <c r="F545" i="33"/>
  <c r="G545" i="33"/>
  <c r="J545" i="33"/>
  <c r="K545" i="33"/>
  <c r="L545" i="33"/>
  <c r="M545" i="33"/>
  <c r="N545" i="33"/>
  <c r="O545" i="33"/>
  <c r="P545" i="33"/>
  <c r="C546" i="33"/>
  <c r="F546" i="33"/>
  <c r="G546" i="33"/>
  <c r="J546" i="33"/>
  <c r="K546" i="33"/>
  <c r="L546" i="33"/>
  <c r="M546" i="33"/>
  <c r="N546" i="33"/>
  <c r="O546" i="33"/>
  <c r="P546" i="33"/>
  <c r="C547" i="33"/>
  <c r="F547" i="33"/>
  <c r="G547" i="33"/>
  <c r="J547" i="33"/>
  <c r="K547" i="33"/>
  <c r="L547" i="33"/>
  <c r="M547" i="33"/>
  <c r="N547" i="33"/>
  <c r="O547" i="33"/>
  <c r="P547" i="33"/>
  <c r="C548" i="33"/>
  <c r="F548" i="33"/>
  <c r="G548" i="33"/>
  <c r="J548" i="33"/>
  <c r="K548" i="33"/>
  <c r="L548" i="33"/>
  <c r="M548" i="33"/>
  <c r="N548" i="33"/>
  <c r="O548" i="33"/>
  <c r="P548" i="33"/>
  <c r="C549" i="33"/>
  <c r="F549" i="33"/>
  <c r="G549" i="33"/>
  <c r="J549" i="33"/>
  <c r="K549" i="33"/>
  <c r="L549" i="33"/>
  <c r="M549" i="33"/>
  <c r="N549" i="33"/>
  <c r="O549" i="33"/>
  <c r="P549" i="33"/>
  <c r="C550" i="33"/>
  <c r="F550" i="33"/>
  <c r="G550" i="33"/>
  <c r="J550" i="33"/>
  <c r="K550" i="33"/>
  <c r="L550" i="33"/>
  <c r="M550" i="33"/>
  <c r="N550" i="33"/>
  <c r="O550" i="33"/>
  <c r="P550" i="33"/>
  <c r="C551" i="33"/>
  <c r="F551" i="33"/>
  <c r="G551" i="33"/>
  <c r="J551" i="33"/>
  <c r="K551" i="33"/>
  <c r="L551" i="33"/>
  <c r="M551" i="33"/>
  <c r="N551" i="33"/>
  <c r="O551" i="33"/>
  <c r="P551" i="33"/>
  <c r="C552" i="33"/>
  <c r="F552" i="33"/>
  <c r="G552" i="33"/>
  <c r="J552" i="33"/>
  <c r="K552" i="33"/>
  <c r="L552" i="33"/>
  <c r="M552" i="33"/>
  <c r="N552" i="33"/>
  <c r="O552" i="33"/>
  <c r="P552" i="33"/>
  <c r="C553" i="33"/>
  <c r="F553" i="33"/>
  <c r="G553" i="33"/>
  <c r="J553" i="33"/>
  <c r="K553" i="33"/>
  <c r="L553" i="33"/>
  <c r="M553" i="33"/>
  <c r="N553" i="33"/>
  <c r="O553" i="33"/>
  <c r="P553" i="33"/>
  <c r="C554" i="33"/>
  <c r="F554" i="33"/>
  <c r="G554" i="33"/>
  <c r="J554" i="33"/>
  <c r="K554" i="33"/>
  <c r="L554" i="33"/>
  <c r="M554" i="33"/>
  <c r="N554" i="33"/>
  <c r="O554" i="33"/>
  <c r="P554" i="33"/>
  <c r="C555" i="33"/>
  <c r="F555" i="33"/>
  <c r="G555" i="33"/>
  <c r="J555" i="33"/>
  <c r="K555" i="33"/>
  <c r="L555" i="33"/>
  <c r="M555" i="33"/>
  <c r="N555" i="33"/>
  <c r="O555" i="33"/>
  <c r="P555" i="33"/>
  <c r="C556" i="33"/>
  <c r="F556" i="33"/>
  <c r="G556" i="33"/>
  <c r="J556" i="33"/>
  <c r="K556" i="33"/>
  <c r="L556" i="33"/>
  <c r="M556" i="33"/>
  <c r="N556" i="33"/>
  <c r="O556" i="33"/>
  <c r="P556" i="33"/>
  <c r="C557" i="33"/>
  <c r="F557" i="33"/>
  <c r="G557" i="33"/>
  <c r="J557" i="33"/>
  <c r="K557" i="33"/>
  <c r="L557" i="33"/>
  <c r="M557" i="33"/>
  <c r="N557" i="33"/>
  <c r="O557" i="33"/>
  <c r="P557" i="33"/>
  <c r="C558" i="33"/>
  <c r="F558" i="33"/>
  <c r="G558" i="33"/>
  <c r="J558" i="33"/>
  <c r="K558" i="33"/>
  <c r="L558" i="33"/>
  <c r="M558" i="33"/>
  <c r="N558" i="33"/>
  <c r="O558" i="33"/>
  <c r="P558" i="33"/>
  <c r="C559" i="33"/>
  <c r="F559" i="33"/>
  <c r="G559" i="33"/>
  <c r="J559" i="33"/>
  <c r="K559" i="33"/>
  <c r="L559" i="33"/>
  <c r="M559" i="33"/>
  <c r="N559" i="33"/>
  <c r="O559" i="33"/>
  <c r="P559" i="33"/>
  <c r="C560" i="33"/>
  <c r="F560" i="33"/>
  <c r="G560" i="33"/>
  <c r="J560" i="33"/>
  <c r="K560" i="33"/>
  <c r="L560" i="33"/>
  <c r="M560" i="33"/>
  <c r="N560" i="33"/>
  <c r="O560" i="33"/>
  <c r="P560" i="33"/>
  <c r="C561" i="33"/>
  <c r="F561" i="33"/>
  <c r="G561" i="33"/>
  <c r="J561" i="33"/>
  <c r="K561" i="33"/>
  <c r="L561" i="33"/>
  <c r="M561" i="33"/>
  <c r="N561" i="33"/>
  <c r="O561" i="33"/>
  <c r="P561" i="33"/>
  <c r="C562" i="33"/>
  <c r="F562" i="33"/>
  <c r="G562" i="33"/>
  <c r="J562" i="33"/>
  <c r="K562" i="33"/>
  <c r="L562" i="33"/>
  <c r="M562" i="33"/>
  <c r="N562" i="33"/>
  <c r="O562" i="33"/>
  <c r="P562" i="33"/>
  <c r="C563" i="33"/>
  <c r="F563" i="33"/>
  <c r="G563" i="33"/>
  <c r="J563" i="33"/>
  <c r="K563" i="33"/>
  <c r="L563" i="33"/>
  <c r="M563" i="33"/>
  <c r="N563" i="33"/>
  <c r="O563" i="33"/>
  <c r="P563" i="33"/>
  <c r="C564" i="33"/>
  <c r="F564" i="33"/>
  <c r="G564" i="33"/>
  <c r="J564" i="33"/>
  <c r="K564" i="33"/>
  <c r="L564" i="33"/>
  <c r="M564" i="33"/>
  <c r="N564" i="33"/>
  <c r="O564" i="33"/>
  <c r="P564" i="33"/>
  <c r="C565" i="33"/>
  <c r="F565" i="33"/>
  <c r="G565" i="33"/>
  <c r="J565" i="33"/>
  <c r="K565" i="33"/>
  <c r="L565" i="33"/>
  <c r="M565" i="33"/>
  <c r="N565" i="33"/>
  <c r="O565" i="33"/>
  <c r="P565" i="33"/>
  <c r="C566" i="33"/>
  <c r="F566" i="33"/>
  <c r="G566" i="33"/>
  <c r="J566" i="33"/>
  <c r="K566" i="33"/>
  <c r="L566" i="33"/>
  <c r="M566" i="33"/>
  <c r="N566" i="33"/>
  <c r="O566" i="33"/>
  <c r="P566" i="33"/>
  <c r="C567" i="33"/>
  <c r="F567" i="33"/>
  <c r="G567" i="33"/>
  <c r="J567" i="33"/>
  <c r="K567" i="33"/>
  <c r="L567" i="33"/>
  <c r="M567" i="33"/>
  <c r="N567" i="33"/>
  <c r="O567" i="33"/>
  <c r="P567" i="33"/>
  <c r="C568" i="33"/>
  <c r="F568" i="33"/>
  <c r="G568" i="33"/>
  <c r="J568" i="33"/>
  <c r="K568" i="33"/>
  <c r="L568" i="33"/>
  <c r="M568" i="33"/>
  <c r="N568" i="33"/>
  <c r="O568" i="33"/>
  <c r="P568" i="33"/>
  <c r="C569" i="33"/>
  <c r="F569" i="33"/>
  <c r="G569" i="33"/>
  <c r="J569" i="33"/>
  <c r="K569" i="33"/>
  <c r="L569" i="33"/>
  <c r="M569" i="33"/>
  <c r="N569" i="33"/>
  <c r="O569" i="33"/>
  <c r="P569" i="33"/>
  <c r="C570" i="33"/>
  <c r="F570" i="33"/>
  <c r="G570" i="33"/>
  <c r="J570" i="33"/>
  <c r="K570" i="33"/>
  <c r="L570" i="33"/>
  <c r="M570" i="33"/>
  <c r="N570" i="33"/>
  <c r="O570" i="33"/>
  <c r="P570" i="33"/>
  <c r="C571" i="33"/>
  <c r="F571" i="33"/>
  <c r="G571" i="33"/>
  <c r="J571" i="33"/>
  <c r="K571" i="33"/>
  <c r="L571" i="33"/>
  <c r="M571" i="33"/>
  <c r="N571" i="33"/>
  <c r="O571" i="33"/>
  <c r="P571" i="33"/>
  <c r="C572" i="33"/>
  <c r="F572" i="33"/>
  <c r="G572" i="33"/>
  <c r="J572" i="33"/>
  <c r="K572" i="33"/>
  <c r="L572" i="33"/>
  <c r="M572" i="33"/>
  <c r="N572" i="33"/>
  <c r="O572" i="33"/>
  <c r="P572" i="33"/>
  <c r="C573" i="33"/>
  <c r="F573" i="33"/>
  <c r="G573" i="33"/>
  <c r="J573" i="33"/>
  <c r="K573" i="33"/>
  <c r="L573" i="33"/>
  <c r="M573" i="33"/>
  <c r="N573" i="33"/>
  <c r="O573" i="33"/>
  <c r="P573" i="33"/>
  <c r="C574" i="33"/>
  <c r="F574" i="33"/>
  <c r="G574" i="33"/>
  <c r="J574" i="33"/>
  <c r="K574" i="33"/>
  <c r="L574" i="33"/>
  <c r="M574" i="33"/>
  <c r="N574" i="33"/>
  <c r="O574" i="33"/>
  <c r="P574" i="33"/>
  <c r="C575" i="33"/>
  <c r="F575" i="33"/>
  <c r="G575" i="33"/>
  <c r="J575" i="33"/>
  <c r="K575" i="33"/>
  <c r="L575" i="33"/>
  <c r="M575" i="33"/>
  <c r="N575" i="33"/>
  <c r="O575" i="33"/>
  <c r="P575" i="33"/>
  <c r="C576" i="33"/>
  <c r="F576" i="33"/>
  <c r="G576" i="33"/>
  <c r="J576" i="33"/>
  <c r="K576" i="33"/>
  <c r="L576" i="33"/>
  <c r="M576" i="33"/>
  <c r="N576" i="33"/>
  <c r="O576" i="33"/>
  <c r="P576" i="33"/>
  <c r="C577" i="33"/>
  <c r="F577" i="33"/>
  <c r="G577" i="33"/>
  <c r="J577" i="33"/>
  <c r="K577" i="33"/>
  <c r="L577" i="33"/>
  <c r="M577" i="33"/>
  <c r="N577" i="33"/>
  <c r="O577" i="33"/>
  <c r="P577" i="33"/>
  <c r="C578" i="33"/>
  <c r="F578" i="33"/>
  <c r="G578" i="33"/>
  <c r="J578" i="33"/>
  <c r="K578" i="33"/>
  <c r="L578" i="33"/>
  <c r="M578" i="33"/>
  <c r="N578" i="33"/>
  <c r="O578" i="33"/>
  <c r="P578" i="33"/>
  <c r="C579" i="33"/>
  <c r="F579" i="33"/>
  <c r="G579" i="33"/>
  <c r="J579" i="33"/>
  <c r="K579" i="33"/>
  <c r="L579" i="33"/>
  <c r="M579" i="33"/>
  <c r="N579" i="33"/>
  <c r="O579" i="33"/>
  <c r="P579" i="33"/>
  <c r="C580" i="33"/>
  <c r="F580" i="33"/>
  <c r="G580" i="33"/>
  <c r="J580" i="33"/>
  <c r="K580" i="33"/>
  <c r="L580" i="33"/>
  <c r="M580" i="33"/>
  <c r="N580" i="33"/>
  <c r="O580" i="33"/>
  <c r="P580" i="33"/>
  <c r="C581" i="33"/>
  <c r="F581" i="33"/>
  <c r="G581" i="33"/>
  <c r="J581" i="33"/>
  <c r="K581" i="33"/>
  <c r="L581" i="33"/>
  <c r="M581" i="33"/>
  <c r="N581" i="33"/>
  <c r="O581" i="33"/>
  <c r="P581" i="33"/>
  <c r="C582" i="33"/>
  <c r="F582" i="33"/>
  <c r="G582" i="33"/>
  <c r="J582" i="33"/>
  <c r="K582" i="33"/>
  <c r="L582" i="33"/>
  <c r="M582" i="33"/>
  <c r="N582" i="33"/>
  <c r="O582" i="33"/>
  <c r="P582" i="33"/>
  <c r="C583" i="33"/>
  <c r="F583" i="33"/>
  <c r="G583" i="33"/>
  <c r="J583" i="33"/>
  <c r="K583" i="33"/>
  <c r="L583" i="33"/>
  <c r="M583" i="33"/>
  <c r="N583" i="33"/>
  <c r="O583" i="33"/>
  <c r="P583" i="33"/>
  <c r="C584" i="33"/>
  <c r="F584" i="33"/>
  <c r="G584" i="33"/>
  <c r="J584" i="33"/>
  <c r="K584" i="33"/>
  <c r="L584" i="33"/>
  <c r="M584" i="33"/>
  <c r="N584" i="33"/>
  <c r="O584" i="33"/>
  <c r="P584" i="33"/>
  <c r="C585" i="33"/>
  <c r="F585" i="33"/>
  <c r="G585" i="33"/>
  <c r="J585" i="33"/>
  <c r="K585" i="33"/>
  <c r="L585" i="33"/>
  <c r="M585" i="33"/>
  <c r="N585" i="33"/>
  <c r="O585" i="33"/>
  <c r="P585" i="33"/>
  <c r="C586" i="33"/>
  <c r="F586" i="33"/>
  <c r="G586" i="33"/>
  <c r="J586" i="33"/>
  <c r="K586" i="33"/>
  <c r="L586" i="33"/>
  <c r="M586" i="33"/>
  <c r="N586" i="33"/>
  <c r="O586" i="33"/>
  <c r="P586" i="33"/>
  <c r="C587" i="33"/>
  <c r="F587" i="33"/>
  <c r="G587" i="33"/>
  <c r="J587" i="33"/>
  <c r="K587" i="33"/>
  <c r="L587" i="33"/>
  <c r="M587" i="33"/>
  <c r="N587" i="33"/>
  <c r="O587" i="33"/>
  <c r="P587" i="33"/>
  <c r="C588" i="33"/>
  <c r="F588" i="33"/>
  <c r="G588" i="33"/>
  <c r="J588" i="33"/>
  <c r="K588" i="33"/>
  <c r="L588" i="33"/>
  <c r="M588" i="33"/>
  <c r="N588" i="33"/>
  <c r="O588" i="33"/>
  <c r="P588" i="33"/>
  <c r="C589" i="33"/>
  <c r="F589" i="33"/>
  <c r="G589" i="33"/>
  <c r="J589" i="33"/>
  <c r="K589" i="33"/>
  <c r="L589" i="33"/>
  <c r="M589" i="33"/>
  <c r="N589" i="33"/>
  <c r="O589" i="33"/>
  <c r="P589" i="33"/>
  <c r="C590" i="33"/>
  <c r="F590" i="33"/>
  <c r="G590" i="33"/>
  <c r="J590" i="33"/>
  <c r="K590" i="33"/>
  <c r="L590" i="33"/>
  <c r="M590" i="33"/>
  <c r="N590" i="33"/>
  <c r="O590" i="33"/>
  <c r="P590" i="33"/>
  <c r="C591" i="33"/>
  <c r="F591" i="33"/>
  <c r="G591" i="33"/>
  <c r="J591" i="33"/>
  <c r="K591" i="33"/>
  <c r="L591" i="33"/>
  <c r="M591" i="33"/>
  <c r="N591" i="33"/>
  <c r="O591" i="33"/>
  <c r="P591" i="33"/>
  <c r="C592" i="33"/>
  <c r="F592" i="33"/>
  <c r="G592" i="33"/>
  <c r="J592" i="33"/>
  <c r="K592" i="33"/>
  <c r="L592" i="33"/>
  <c r="M592" i="33"/>
  <c r="N592" i="33"/>
  <c r="O592" i="33"/>
  <c r="P592" i="33"/>
  <c r="C593" i="33"/>
  <c r="F593" i="33"/>
  <c r="G593" i="33"/>
  <c r="J593" i="33"/>
  <c r="K593" i="33"/>
  <c r="L593" i="33"/>
  <c r="M593" i="33"/>
  <c r="N593" i="33"/>
  <c r="O593" i="33"/>
  <c r="P593" i="33"/>
  <c r="C594" i="33"/>
  <c r="F594" i="33"/>
  <c r="G594" i="33"/>
  <c r="J594" i="33"/>
  <c r="K594" i="33"/>
  <c r="L594" i="33"/>
  <c r="M594" i="33"/>
  <c r="N594" i="33"/>
  <c r="O594" i="33"/>
  <c r="P594" i="33"/>
  <c r="C595" i="33"/>
  <c r="F595" i="33"/>
  <c r="G595" i="33"/>
  <c r="J595" i="33"/>
  <c r="K595" i="33"/>
  <c r="L595" i="33"/>
  <c r="M595" i="33"/>
  <c r="N595" i="33"/>
  <c r="O595" i="33"/>
  <c r="P595" i="33"/>
  <c r="C596" i="33"/>
  <c r="F596" i="33"/>
  <c r="G596" i="33"/>
  <c r="J596" i="33"/>
  <c r="K596" i="33"/>
  <c r="L596" i="33"/>
  <c r="M596" i="33"/>
  <c r="N596" i="33"/>
  <c r="O596" i="33"/>
  <c r="P596" i="33"/>
  <c r="C597" i="33"/>
  <c r="F597" i="33"/>
  <c r="G597" i="33"/>
  <c r="J597" i="33"/>
  <c r="K597" i="33"/>
  <c r="L597" i="33"/>
  <c r="M597" i="33"/>
  <c r="N597" i="33"/>
  <c r="O597" i="33"/>
  <c r="P597" i="33"/>
  <c r="C598" i="33"/>
  <c r="F598" i="33"/>
  <c r="G598" i="33"/>
  <c r="J598" i="33"/>
  <c r="K598" i="33"/>
  <c r="L598" i="33"/>
  <c r="M598" i="33"/>
  <c r="N598" i="33"/>
  <c r="O598" i="33"/>
  <c r="P598" i="33"/>
  <c r="C599" i="33"/>
  <c r="F599" i="33"/>
  <c r="G599" i="33"/>
  <c r="J599" i="33"/>
  <c r="K599" i="33"/>
  <c r="L599" i="33"/>
  <c r="M599" i="33"/>
  <c r="N599" i="33"/>
  <c r="O599" i="33"/>
  <c r="P599" i="33"/>
  <c r="C600" i="33"/>
  <c r="F600" i="33"/>
  <c r="G600" i="33"/>
  <c r="J600" i="33"/>
  <c r="K600" i="33"/>
  <c r="L600" i="33"/>
  <c r="M600" i="33"/>
  <c r="N600" i="33"/>
  <c r="O600" i="33"/>
  <c r="P600" i="33"/>
  <c r="C601" i="33"/>
  <c r="F601" i="33"/>
  <c r="G601" i="33"/>
  <c r="J601" i="33"/>
  <c r="K601" i="33"/>
  <c r="L601" i="33"/>
  <c r="M601" i="33"/>
  <c r="N601" i="33"/>
  <c r="O601" i="33"/>
  <c r="P601" i="33"/>
  <c r="C602" i="33"/>
  <c r="F602" i="33"/>
  <c r="G602" i="33"/>
  <c r="J602" i="33"/>
  <c r="K602" i="33"/>
  <c r="L602" i="33"/>
  <c r="M602" i="33"/>
  <c r="N602" i="33"/>
  <c r="O602" i="33"/>
  <c r="P602" i="33"/>
  <c r="C603" i="33"/>
  <c r="F603" i="33"/>
  <c r="G603" i="33"/>
  <c r="J603" i="33"/>
  <c r="K603" i="33"/>
  <c r="L603" i="33"/>
  <c r="M603" i="33"/>
  <c r="N603" i="33"/>
  <c r="O603" i="33"/>
  <c r="P603" i="33"/>
  <c r="C604" i="33"/>
  <c r="F604" i="33"/>
  <c r="G604" i="33"/>
  <c r="J604" i="33"/>
  <c r="K604" i="33"/>
  <c r="L604" i="33"/>
  <c r="M604" i="33"/>
  <c r="N604" i="33"/>
  <c r="O604" i="33"/>
  <c r="P604" i="33"/>
  <c r="C605" i="33"/>
  <c r="F605" i="33"/>
  <c r="G605" i="33"/>
  <c r="J605" i="33"/>
  <c r="K605" i="33"/>
  <c r="L605" i="33"/>
  <c r="M605" i="33"/>
  <c r="N605" i="33"/>
  <c r="O605" i="33"/>
  <c r="P605" i="33"/>
  <c r="C606" i="33"/>
  <c r="F606" i="33"/>
  <c r="G606" i="33"/>
  <c r="J606" i="33"/>
  <c r="K606" i="33"/>
  <c r="L606" i="33"/>
  <c r="M606" i="33"/>
  <c r="N606" i="33"/>
  <c r="O606" i="33"/>
  <c r="P606" i="33"/>
  <c r="C607" i="33"/>
  <c r="F607" i="33"/>
  <c r="G607" i="33"/>
  <c r="J607" i="33"/>
  <c r="K607" i="33"/>
  <c r="L607" i="33"/>
  <c r="M607" i="33"/>
  <c r="N607" i="33"/>
  <c r="O607" i="33"/>
  <c r="P607" i="33"/>
  <c r="C608" i="33"/>
  <c r="F608" i="33"/>
  <c r="G608" i="33"/>
  <c r="J608" i="33"/>
  <c r="K608" i="33"/>
  <c r="L608" i="33"/>
  <c r="M608" i="33"/>
  <c r="N608" i="33"/>
  <c r="O608" i="33"/>
  <c r="P608" i="33"/>
  <c r="C609" i="33"/>
  <c r="F609" i="33"/>
  <c r="G609" i="33"/>
  <c r="J609" i="33"/>
  <c r="K609" i="33"/>
  <c r="L609" i="33"/>
  <c r="M609" i="33"/>
  <c r="N609" i="33"/>
  <c r="O609" i="33"/>
  <c r="P609" i="33"/>
  <c r="C610" i="33"/>
  <c r="F610" i="33"/>
  <c r="G610" i="33"/>
  <c r="J610" i="33"/>
  <c r="K610" i="33"/>
  <c r="L610" i="33"/>
  <c r="M610" i="33"/>
  <c r="N610" i="33"/>
  <c r="O610" i="33"/>
  <c r="P610" i="33"/>
  <c r="C611" i="33"/>
  <c r="F611" i="33"/>
  <c r="G611" i="33"/>
  <c r="J611" i="33"/>
  <c r="K611" i="33"/>
  <c r="L611" i="33"/>
  <c r="M611" i="33"/>
  <c r="N611" i="33"/>
  <c r="O611" i="33"/>
  <c r="P611" i="33"/>
  <c r="C612" i="33"/>
  <c r="F612" i="33"/>
  <c r="G612" i="33"/>
  <c r="J612" i="33"/>
  <c r="K612" i="33"/>
  <c r="L612" i="33"/>
  <c r="M612" i="33"/>
  <c r="N612" i="33"/>
  <c r="O612" i="33"/>
  <c r="P612" i="33"/>
  <c r="C613" i="33"/>
  <c r="F613" i="33"/>
  <c r="G613" i="33"/>
  <c r="J613" i="33"/>
  <c r="K613" i="33"/>
  <c r="L613" i="33"/>
  <c r="M613" i="33"/>
  <c r="N613" i="33"/>
  <c r="O613" i="33"/>
  <c r="P613" i="33"/>
  <c r="C614" i="33"/>
  <c r="F614" i="33"/>
  <c r="G614" i="33"/>
  <c r="J614" i="33"/>
  <c r="K614" i="33"/>
  <c r="L614" i="33"/>
  <c r="M614" i="33"/>
  <c r="N614" i="33"/>
  <c r="O614" i="33"/>
  <c r="P614" i="33"/>
  <c r="C615" i="33"/>
  <c r="F615" i="33"/>
  <c r="G615" i="33"/>
  <c r="J615" i="33"/>
  <c r="K615" i="33"/>
  <c r="L615" i="33"/>
  <c r="M615" i="33"/>
  <c r="N615" i="33"/>
  <c r="O615" i="33"/>
  <c r="P615" i="33"/>
  <c r="C616" i="33"/>
  <c r="F616" i="33"/>
  <c r="G616" i="33"/>
  <c r="J616" i="33"/>
  <c r="K616" i="33"/>
  <c r="L616" i="33"/>
  <c r="M616" i="33"/>
  <c r="N616" i="33"/>
  <c r="O616" i="33"/>
  <c r="P616" i="33"/>
  <c r="C617" i="33"/>
  <c r="F617" i="33"/>
  <c r="G617" i="33"/>
  <c r="J617" i="33"/>
  <c r="K617" i="33"/>
  <c r="L617" i="33"/>
  <c r="M617" i="33"/>
  <c r="N617" i="33"/>
  <c r="O617" i="33"/>
  <c r="P617" i="33"/>
  <c r="C618" i="33"/>
  <c r="F618" i="33"/>
  <c r="G618" i="33"/>
  <c r="J618" i="33"/>
  <c r="K618" i="33"/>
  <c r="L618" i="33"/>
  <c r="M618" i="33"/>
  <c r="N618" i="33"/>
  <c r="O618" i="33"/>
  <c r="P618" i="33"/>
  <c r="C619" i="33"/>
  <c r="F619" i="33"/>
  <c r="G619" i="33"/>
  <c r="J619" i="33"/>
  <c r="K619" i="33"/>
  <c r="L619" i="33"/>
  <c r="M619" i="33"/>
  <c r="N619" i="33"/>
  <c r="O619" i="33"/>
  <c r="P619" i="33"/>
  <c r="C620" i="33"/>
  <c r="F620" i="33"/>
  <c r="G620" i="33"/>
  <c r="J620" i="33"/>
  <c r="K620" i="33"/>
  <c r="L620" i="33"/>
  <c r="M620" i="33"/>
  <c r="N620" i="33"/>
  <c r="O620" i="33"/>
  <c r="P620" i="33"/>
  <c r="C621" i="33"/>
  <c r="F621" i="33"/>
  <c r="G621" i="33"/>
  <c r="J621" i="33"/>
  <c r="K621" i="33"/>
  <c r="L621" i="33"/>
  <c r="M621" i="33"/>
  <c r="N621" i="33"/>
  <c r="O621" i="33"/>
  <c r="P621" i="33"/>
  <c r="C622" i="33"/>
  <c r="F622" i="33"/>
  <c r="G622" i="33"/>
  <c r="J622" i="33"/>
  <c r="K622" i="33"/>
  <c r="L622" i="33"/>
  <c r="M622" i="33"/>
  <c r="N622" i="33"/>
  <c r="O622" i="33"/>
  <c r="P622" i="33"/>
  <c r="C623" i="33"/>
  <c r="F623" i="33"/>
  <c r="G623" i="33"/>
  <c r="J623" i="33"/>
  <c r="K623" i="33"/>
  <c r="L623" i="33"/>
  <c r="M623" i="33"/>
  <c r="N623" i="33"/>
  <c r="O623" i="33"/>
  <c r="P623" i="33"/>
  <c r="C624" i="33"/>
  <c r="F624" i="33"/>
  <c r="G624" i="33"/>
  <c r="J624" i="33"/>
  <c r="K624" i="33"/>
  <c r="L624" i="33"/>
  <c r="M624" i="33"/>
  <c r="N624" i="33"/>
  <c r="O624" i="33"/>
  <c r="P624" i="33"/>
  <c r="C625" i="33"/>
  <c r="F625" i="33"/>
  <c r="G625" i="33"/>
  <c r="J625" i="33"/>
  <c r="K625" i="33"/>
  <c r="L625" i="33"/>
  <c r="M625" i="33"/>
  <c r="N625" i="33"/>
  <c r="O625" i="33"/>
  <c r="P625" i="33"/>
  <c r="C626" i="33"/>
  <c r="F626" i="33"/>
  <c r="G626" i="33"/>
  <c r="J626" i="33"/>
  <c r="K626" i="33"/>
  <c r="L626" i="33"/>
  <c r="M626" i="33"/>
  <c r="N626" i="33"/>
  <c r="O626" i="33"/>
  <c r="P626" i="33"/>
  <c r="C627" i="33"/>
  <c r="F627" i="33"/>
  <c r="G627" i="33"/>
  <c r="J627" i="33"/>
  <c r="K627" i="33"/>
  <c r="L627" i="33"/>
  <c r="M627" i="33"/>
  <c r="N627" i="33"/>
  <c r="O627" i="33"/>
  <c r="P627" i="33"/>
  <c r="C628" i="33"/>
  <c r="F628" i="33"/>
  <c r="G628" i="33"/>
  <c r="J628" i="33"/>
  <c r="K628" i="33"/>
  <c r="L628" i="33"/>
  <c r="M628" i="33"/>
  <c r="N628" i="33"/>
  <c r="O628" i="33"/>
  <c r="P628" i="33"/>
  <c r="C629" i="33"/>
  <c r="F629" i="33"/>
  <c r="G629" i="33"/>
  <c r="J629" i="33"/>
  <c r="K629" i="33"/>
  <c r="L629" i="33"/>
  <c r="M629" i="33"/>
  <c r="N629" i="33"/>
  <c r="O629" i="33"/>
  <c r="P629" i="33"/>
  <c r="C630" i="33"/>
  <c r="F630" i="33"/>
  <c r="G630" i="33"/>
  <c r="J630" i="33"/>
  <c r="K630" i="33"/>
  <c r="L630" i="33"/>
  <c r="M630" i="33"/>
  <c r="N630" i="33"/>
  <c r="O630" i="33"/>
  <c r="P630" i="33"/>
  <c r="C631" i="33"/>
  <c r="F631" i="33"/>
  <c r="G631" i="33"/>
  <c r="J631" i="33"/>
  <c r="K631" i="33"/>
  <c r="L631" i="33"/>
  <c r="M631" i="33"/>
  <c r="N631" i="33"/>
  <c r="O631" i="33"/>
  <c r="P631" i="33"/>
  <c r="C632" i="33"/>
  <c r="F632" i="33"/>
  <c r="G632" i="33"/>
  <c r="J632" i="33"/>
  <c r="K632" i="33"/>
  <c r="L632" i="33"/>
  <c r="M632" i="33"/>
  <c r="N632" i="33"/>
  <c r="O632" i="33"/>
  <c r="P632" i="33"/>
  <c r="C633" i="33"/>
  <c r="F633" i="33"/>
  <c r="G633" i="33"/>
  <c r="J633" i="33"/>
  <c r="K633" i="33"/>
  <c r="L633" i="33"/>
  <c r="M633" i="33"/>
  <c r="N633" i="33"/>
  <c r="O633" i="33"/>
  <c r="P633" i="33"/>
  <c r="C634" i="33"/>
  <c r="F634" i="33"/>
  <c r="G634" i="33"/>
  <c r="J634" i="33"/>
  <c r="K634" i="33"/>
  <c r="L634" i="33"/>
  <c r="M634" i="33"/>
  <c r="N634" i="33"/>
  <c r="O634" i="33"/>
  <c r="P634" i="33"/>
  <c r="C635" i="33"/>
  <c r="F635" i="33"/>
  <c r="G635" i="33"/>
  <c r="J635" i="33"/>
  <c r="K635" i="33"/>
  <c r="L635" i="33"/>
  <c r="M635" i="33"/>
  <c r="N635" i="33"/>
  <c r="O635" i="33"/>
  <c r="P635" i="33"/>
  <c r="C636" i="33"/>
  <c r="F636" i="33"/>
  <c r="G636" i="33"/>
  <c r="J636" i="33"/>
  <c r="K636" i="33"/>
  <c r="L636" i="33"/>
  <c r="M636" i="33"/>
  <c r="N636" i="33"/>
  <c r="O636" i="33"/>
  <c r="P636" i="33"/>
  <c r="C637" i="33"/>
  <c r="F637" i="33"/>
  <c r="G637" i="33"/>
  <c r="J637" i="33"/>
  <c r="K637" i="33"/>
  <c r="L637" i="33"/>
  <c r="M637" i="33"/>
  <c r="N637" i="33"/>
  <c r="O637" i="33"/>
  <c r="P637" i="33"/>
  <c r="C638" i="33"/>
  <c r="F638" i="33"/>
  <c r="G638" i="33"/>
  <c r="J638" i="33"/>
  <c r="K638" i="33"/>
  <c r="L638" i="33"/>
  <c r="M638" i="33"/>
  <c r="N638" i="33"/>
  <c r="O638" i="33"/>
  <c r="P638" i="33"/>
  <c r="C639" i="33"/>
  <c r="F639" i="33"/>
  <c r="G639" i="33"/>
  <c r="J639" i="33"/>
  <c r="K639" i="33"/>
  <c r="L639" i="33"/>
  <c r="M639" i="33"/>
  <c r="N639" i="33"/>
  <c r="O639" i="33"/>
  <c r="P639" i="33"/>
  <c r="C640" i="33"/>
  <c r="F640" i="33"/>
  <c r="G640" i="33"/>
  <c r="J640" i="33"/>
  <c r="K640" i="33"/>
  <c r="L640" i="33"/>
  <c r="M640" i="33"/>
  <c r="N640" i="33"/>
  <c r="O640" i="33"/>
  <c r="P640" i="33"/>
  <c r="C641" i="33"/>
  <c r="F641" i="33"/>
  <c r="G641" i="33"/>
  <c r="J641" i="33"/>
  <c r="K641" i="33"/>
  <c r="L641" i="33"/>
  <c r="M641" i="33"/>
  <c r="N641" i="33"/>
  <c r="O641" i="33"/>
  <c r="P641" i="33"/>
  <c r="C642" i="33"/>
  <c r="F642" i="33"/>
  <c r="G642" i="33"/>
  <c r="J642" i="33"/>
  <c r="K642" i="33"/>
  <c r="L642" i="33"/>
  <c r="M642" i="33"/>
  <c r="N642" i="33"/>
  <c r="O642" i="33"/>
  <c r="P642" i="33"/>
  <c r="C643" i="33"/>
  <c r="F643" i="33"/>
  <c r="G643" i="33"/>
  <c r="J643" i="33"/>
  <c r="K643" i="33"/>
  <c r="L643" i="33"/>
  <c r="M643" i="33"/>
  <c r="N643" i="33"/>
  <c r="O643" i="33"/>
  <c r="P643" i="33"/>
  <c r="C644" i="33"/>
  <c r="F644" i="33"/>
  <c r="G644" i="33"/>
  <c r="J644" i="33"/>
  <c r="K644" i="33"/>
  <c r="L644" i="33"/>
  <c r="M644" i="33"/>
  <c r="N644" i="33"/>
  <c r="O644" i="33"/>
  <c r="P644" i="33"/>
  <c r="C645" i="33"/>
  <c r="F645" i="33"/>
  <c r="G645" i="33"/>
  <c r="J645" i="33"/>
  <c r="K645" i="33"/>
  <c r="L645" i="33"/>
  <c r="M645" i="33"/>
  <c r="N645" i="33"/>
  <c r="O645" i="33"/>
  <c r="P645" i="33"/>
  <c r="C646" i="33"/>
  <c r="F646" i="33"/>
  <c r="G646" i="33"/>
  <c r="J646" i="33"/>
  <c r="K646" i="33"/>
  <c r="L646" i="33"/>
  <c r="M646" i="33"/>
  <c r="N646" i="33"/>
  <c r="O646" i="33"/>
  <c r="P646" i="33"/>
  <c r="C647" i="33"/>
  <c r="F647" i="33"/>
  <c r="G647" i="33"/>
  <c r="J647" i="33"/>
  <c r="K647" i="33"/>
  <c r="L647" i="33"/>
  <c r="M647" i="33"/>
  <c r="N647" i="33"/>
  <c r="O647" i="33"/>
  <c r="P647" i="33"/>
  <c r="C648" i="33"/>
  <c r="F648" i="33"/>
  <c r="G648" i="33"/>
  <c r="J648" i="33"/>
  <c r="K648" i="33"/>
  <c r="L648" i="33"/>
  <c r="M648" i="33"/>
  <c r="N648" i="33"/>
  <c r="O648" i="33"/>
  <c r="P648" i="33"/>
  <c r="C649" i="33"/>
  <c r="F649" i="33"/>
  <c r="G649" i="33"/>
  <c r="J649" i="33"/>
  <c r="K649" i="33"/>
  <c r="L649" i="33"/>
  <c r="M649" i="33"/>
  <c r="N649" i="33"/>
  <c r="O649" i="33"/>
  <c r="P649" i="33"/>
  <c r="C650" i="33"/>
  <c r="F650" i="33"/>
  <c r="G650" i="33"/>
  <c r="J650" i="33"/>
  <c r="K650" i="33"/>
  <c r="L650" i="33"/>
  <c r="M650" i="33"/>
  <c r="N650" i="33"/>
  <c r="O650" i="33"/>
  <c r="P650" i="33"/>
  <c r="C651" i="33"/>
  <c r="F651" i="33"/>
  <c r="G651" i="33"/>
  <c r="J651" i="33"/>
  <c r="K651" i="33"/>
  <c r="L651" i="33"/>
  <c r="M651" i="33"/>
  <c r="N651" i="33"/>
  <c r="O651" i="33"/>
  <c r="P651" i="33"/>
  <c r="C652" i="33"/>
  <c r="F652" i="33"/>
  <c r="G652" i="33"/>
  <c r="J652" i="33"/>
  <c r="K652" i="33"/>
  <c r="L652" i="33"/>
  <c r="M652" i="33"/>
  <c r="N652" i="33"/>
  <c r="O652" i="33"/>
  <c r="P652" i="33"/>
  <c r="C653" i="33"/>
  <c r="F653" i="33"/>
  <c r="G653" i="33"/>
  <c r="J653" i="33"/>
  <c r="K653" i="33"/>
  <c r="L653" i="33"/>
  <c r="M653" i="33"/>
  <c r="N653" i="33"/>
  <c r="O653" i="33"/>
  <c r="P653" i="33"/>
  <c r="C654" i="33"/>
  <c r="F654" i="33"/>
  <c r="G654" i="33"/>
  <c r="J654" i="33"/>
  <c r="K654" i="33"/>
  <c r="L654" i="33"/>
  <c r="M654" i="33"/>
  <c r="N654" i="33"/>
  <c r="O654" i="33"/>
  <c r="P654" i="33"/>
  <c r="C655" i="33"/>
  <c r="F655" i="33"/>
  <c r="G655" i="33"/>
  <c r="J655" i="33"/>
  <c r="K655" i="33"/>
  <c r="L655" i="33"/>
  <c r="M655" i="33"/>
  <c r="N655" i="33"/>
  <c r="O655" i="33"/>
  <c r="P655" i="33"/>
  <c r="C656" i="33"/>
  <c r="F656" i="33"/>
  <c r="G656" i="33"/>
  <c r="J656" i="33"/>
  <c r="K656" i="33"/>
  <c r="L656" i="33"/>
  <c r="M656" i="33"/>
  <c r="N656" i="33"/>
  <c r="O656" i="33"/>
  <c r="P656" i="33"/>
  <c r="C657" i="33"/>
  <c r="F657" i="33"/>
  <c r="G657" i="33"/>
  <c r="J657" i="33"/>
  <c r="K657" i="33"/>
  <c r="L657" i="33"/>
  <c r="M657" i="33"/>
  <c r="N657" i="33"/>
  <c r="O657" i="33"/>
  <c r="P657" i="33"/>
  <c r="C658" i="33"/>
  <c r="F658" i="33"/>
  <c r="G658" i="33"/>
  <c r="J658" i="33"/>
  <c r="K658" i="33"/>
  <c r="L658" i="33"/>
  <c r="M658" i="33"/>
  <c r="N658" i="33"/>
  <c r="O658" i="33"/>
  <c r="P658" i="33"/>
  <c r="C659" i="33"/>
  <c r="F659" i="33"/>
  <c r="G659" i="33"/>
  <c r="J659" i="33"/>
  <c r="K659" i="33"/>
  <c r="L659" i="33"/>
  <c r="M659" i="33"/>
  <c r="N659" i="33"/>
  <c r="O659" i="33"/>
  <c r="P659" i="33"/>
  <c r="C660" i="33"/>
  <c r="F660" i="33"/>
  <c r="G660" i="33"/>
  <c r="J660" i="33"/>
  <c r="K660" i="33"/>
  <c r="L660" i="33"/>
  <c r="M660" i="33"/>
  <c r="N660" i="33"/>
  <c r="O660" i="33"/>
  <c r="P660" i="33"/>
  <c r="C661" i="33"/>
  <c r="F661" i="33"/>
  <c r="G661" i="33"/>
  <c r="J661" i="33"/>
  <c r="K661" i="33"/>
  <c r="L661" i="33"/>
  <c r="M661" i="33"/>
  <c r="N661" i="33"/>
  <c r="O661" i="33"/>
  <c r="P661" i="33"/>
  <c r="C662" i="33"/>
  <c r="F662" i="33"/>
  <c r="G662" i="33"/>
  <c r="J662" i="33"/>
  <c r="K662" i="33"/>
  <c r="L662" i="33"/>
  <c r="M662" i="33"/>
  <c r="N662" i="33"/>
  <c r="O662" i="33"/>
  <c r="P662" i="33"/>
  <c r="C663" i="33"/>
  <c r="F663" i="33"/>
  <c r="G663" i="33"/>
  <c r="J663" i="33"/>
  <c r="K663" i="33"/>
  <c r="L663" i="33"/>
  <c r="M663" i="33"/>
  <c r="N663" i="33"/>
  <c r="O663" i="33"/>
  <c r="P663" i="33"/>
  <c r="C664" i="33"/>
  <c r="F664" i="33"/>
  <c r="G664" i="33"/>
  <c r="J664" i="33"/>
  <c r="K664" i="33"/>
  <c r="L664" i="33"/>
  <c r="M664" i="33"/>
  <c r="N664" i="33"/>
  <c r="O664" i="33"/>
  <c r="P664" i="33"/>
  <c r="C665" i="33"/>
  <c r="F665" i="33"/>
  <c r="G665" i="33"/>
  <c r="J665" i="33"/>
  <c r="K665" i="33"/>
  <c r="L665" i="33"/>
  <c r="M665" i="33"/>
  <c r="N665" i="33"/>
  <c r="O665" i="33"/>
  <c r="P665" i="33"/>
  <c r="C666" i="33"/>
  <c r="F666" i="33"/>
  <c r="G666" i="33"/>
  <c r="J666" i="33"/>
  <c r="K666" i="33"/>
  <c r="L666" i="33"/>
  <c r="M666" i="33"/>
  <c r="N666" i="33"/>
  <c r="O666" i="33"/>
  <c r="P666" i="33"/>
  <c r="C667" i="33"/>
  <c r="F667" i="33"/>
  <c r="G667" i="33"/>
  <c r="J667" i="33"/>
  <c r="K667" i="33"/>
  <c r="L667" i="33"/>
  <c r="M667" i="33"/>
  <c r="N667" i="33"/>
  <c r="O667" i="33"/>
  <c r="P667" i="33"/>
  <c r="C668" i="33"/>
  <c r="F668" i="33"/>
  <c r="G668" i="33"/>
  <c r="J668" i="33"/>
  <c r="K668" i="33"/>
  <c r="L668" i="33"/>
  <c r="M668" i="33"/>
  <c r="N668" i="33"/>
  <c r="O668" i="33"/>
  <c r="P668" i="33"/>
  <c r="C669" i="33"/>
  <c r="F669" i="33"/>
  <c r="G669" i="33"/>
  <c r="J669" i="33"/>
  <c r="K669" i="33"/>
  <c r="L669" i="33"/>
  <c r="M669" i="33"/>
  <c r="N669" i="33"/>
  <c r="O669" i="33"/>
  <c r="P669" i="33"/>
  <c r="C670" i="33"/>
  <c r="F670" i="33"/>
  <c r="G670" i="33"/>
  <c r="J670" i="33"/>
  <c r="K670" i="33"/>
  <c r="L670" i="33"/>
  <c r="M670" i="33"/>
  <c r="N670" i="33"/>
  <c r="O670" i="33"/>
  <c r="P670" i="33"/>
  <c r="C671" i="33"/>
  <c r="F671" i="33"/>
  <c r="G671" i="33"/>
  <c r="J671" i="33"/>
  <c r="K671" i="33"/>
  <c r="L671" i="33"/>
  <c r="M671" i="33"/>
  <c r="N671" i="33"/>
  <c r="O671" i="33"/>
  <c r="P671" i="33"/>
  <c r="C672" i="33"/>
  <c r="F672" i="33"/>
  <c r="G672" i="33"/>
  <c r="J672" i="33"/>
  <c r="K672" i="33"/>
  <c r="L672" i="33"/>
  <c r="M672" i="33"/>
  <c r="N672" i="33"/>
  <c r="O672" i="33"/>
  <c r="P672" i="33"/>
  <c r="C673" i="33"/>
  <c r="F673" i="33"/>
  <c r="G673" i="33"/>
  <c r="J673" i="33"/>
  <c r="K673" i="33"/>
  <c r="L673" i="33"/>
  <c r="M673" i="33"/>
  <c r="N673" i="33"/>
  <c r="O673" i="33"/>
  <c r="P673" i="33"/>
  <c r="C674" i="33"/>
  <c r="F674" i="33"/>
  <c r="G674" i="33"/>
  <c r="J674" i="33"/>
  <c r="K674" i="33"/>
  <c r="L674" i="33"/>
  <c r="M674" i="33"/>
  <c r="N674" i="33"/>
  <c r="O674" i="33"/>
  <c r="P674" i="33"/>
  <c r="C675" i="33"/>
  <c r="F675" i="33"/>
  <c r="G675" i="33"/>
  <c r="J675" i="33"/>
  <c r="K675" i="33"/>
  <c r="L675" i="33"/>
  <c r="M675" i="33"/>
  <c r="N675" i="33"/>
  <c r="O675" i="33"/>
  <c r="P675" i="33"/>
  <c r="C676" i="33"/>
  <c r="F676" i="33"/>
  <c r="G676" i="33"/>
  <c r="J676" i="33"/>
  <c r="K676" i="33"/>
  <c r="L676" i="33"/>
  <c r="M676" i="33"/>
  <c r="N676" i="33"/>
  <c r="O676" i="33"/>
  <c r="P676" i="33"/>
  <c r="C677" i="33"/>
  <c r="F677" i="33"/>
  <c r="G677" i="33"/>
  <c r="J677" i="33"/>
  <c r="K677" i="33"/>
  <c r="L677" i="33"/>
  <c r="M677" i="33"/>
  <c r="N677" i="33"/>
  <c r="O677" i="33"/>
  <c r="P677" i="33"/>
  <c r="C678" i="33"/>
  <c r="F678" i="33"/>
  <c r="G678" i="33"/>
  <c r="J678" i="33"/>
  <c r="K678" i="33"/>
  <c r="L678" i="33"/>
  <c r="M678" i="33"/>
  <c r="N678" i="33"/>
  <c r="O678" i="33"/>
  <c r="P678" i="33"/>
  <c r="C679" i="33"/>
  <c r="F679" i="33"/>
  <c r="G679" i="33"/>
  <c r="J679" i="33"/>
  <c r="K679" i="33"/>
  <c r="L679" i="33"/>
  <c r="M679" i="33"/>
  <c r="N679" i="33"/>
  <c r="O679" i="33"/>
  <c r="P679" i="33"/>
  <c r="C680" i="33"/>
  <c r="F680" i="33"/>
  <c r="G680" i="33"/>
  <c r="J680" i="33"/>
  <c r="K680" i="33"/>
  <c r="L680" i="33"/>
  <c r="M680" i="33"/>
  <c r="N680" i="33"/>
  <c r="O680" i="33"/>
  <c r="P680" i="33"/>
  <c r="C681" i="33"/>
  <c r="F681" i="33"/>
  <c r="G681" i="33"/>
  <c r="J681" i="33"/>
  <c r="K681" i="33"/>
  <c r="L681" i="33"/>
  <c r="M681" i="33"/>
  <c r="N681" i="33"/>
  <c r="O681" i="33"/>
  <c r="P681" i="33"/>
  <c r="C682" i="33"/>
  <c r="F682" i="33"/>
  <c r="G682" i="33"/>
  <c r="J682" i="33"/>
  <c r="K682" i="33"/>
  <c r="L682" i="33"/>
  <c r="M682" i="33"/>
  <c r="N682" i="33"/>
  <c r="O682" i="33"/>
  <c r="P682" i="33"/>
  <c r="C683" i="33"/>
  <c r="F683" i="33"/>
  <c r="G683" i="33"/>
  <c r="J683" i="33"/>
  <c r="K683" i="33"/>
  <c r="L683" i="33"/>
  <c r="M683" i="33"/>
  <c r="N683" i="33"/>
  <c r="O683" i="33"/>
  <c r="P683" i="33"/>
  <c r="C684" i="33"/>
  <c r="F684" i="33"/>
  <c r="G684" i="33"/>
  <c r="J684" i="33"/>
  <c r="K684" i="33"/>
  <c r="L684" i="33"/>
  <c r="M684" i="33"/>
  <c r="N684" i="33"/>
  <c r="O684" i="33"/>
  <c r="P684" i="33"/>
  <c r="C685" i="33"/>
  <c r="F685" i="33"/>
  <c r="G685" i="33"/>
  <c r="J685" i="33"/>
  <c r="K685" i="33"/>
  <c r="L685" i="33"/>
  <c r="M685" i="33"/>
  <c r="N685" i="33"/>
  <c r="O685" i="33"/>
  <c r="P685" i="33"/>
  <c r="C686" i="33"/>
  <c r="F686" i="33"/>
  <c r="G686" i="33"/>
  <c r="J686" i="33"/>
  <c r="K686" i="33"/>
  <c r="L686" i="33"/>
  <c r="M686" i="33"/>
  <c r="N686" i="33"/>
  <c r="O686" i="33"/>
  <c r="P686" i="33"/>
  <c r="C687" i="33"/>
  <c r="F687" i="33"/>
  <c r="G687" i="33"/>
  <c r="J687" i="33"/>
  <c r="K687" i="33"/>
  <c r="L687" i="33"/>
  <c r="M687" i="33"/>
  <c r="N687" i="33"/>
  <c r="O687" i="33"/>
  <c r="P687" i="33"/>
  <c r="C688" i="33"/>
  <c r="F688" i="33"/>
  <c r="G688" i="33"/>
  <c r="J688" i="33"/>
  <c r="K688" i="33"/>
  <c r="L688" i="33"/>
  <c r="M688" i="33"/>
  <c r="N688" i="33"/>
  <c r="O688" i="33"/>
  <c r="P688" i="33"/>
  <c r="C689" i="33"/>
  <c r="F689" i="33"/>
  <c r="G689" i="33"/>
  <c r="J689" i="33"/>
  <c r="K689" i="33"/>
  <c r="L689" i="33"/>
  <c r="M689" i="33"/>
  <c r="N689" i="33"/>
  <c r="O689" i="33"/>
  <c r="P689" i="33"/>
  <c r="C690" i="33"/>
  <c r="F690" i="33"/>
  <c r="G690" i="33"/>
  <c r="J690" i="33"/>
  <c r="K690" i="33"/>
  <c r="L690" i="33"/>
  <c r="M690" i="33"/>
  <c r="N690" i="33"/>
  <c r="O690" i="33"/>
  <c r="P690" i="33"/>
  <c r="C691" i="33"/>
  <c r="F691" i="33"/>
  <c r="G691" i="33"/>
  <c r="J691" i="33"/>
  <c r="K691" i="33"/>
  <c r="L691" i="33"/>
  <c r="M691" i="33"/>
  <c r="N691" i="33"/>
  <c r="O691" i="33"/>
  <c r="P691" i="33"/>
  <c r="C692" i="33"/>
  <c r="F692" i="33"/>
  <c r="G692" i="33"/>
  <c r="J692" i="33"/>
  <c r="K692" i="33"/>
  <c r="L692" i="33"/>
  <c r="M692" i="33"/>
  <c r="N692" i="33"/>
  <c r="O692" i="33"/>
  <c r="P692" i="33"/>
  <c r="C693" i="33"/>
  <c r="F693" i="33"/>
  <c r="G693" i="33"/>
  <c r="J693" i="33"/>
  <c r="K693" i="33"/>
  <c r="L693" i="33"/>
  <c r="M693" i="33"/>
  <c r="N693" i="33"/>
  <c r="O693" i="33"/>
  <c r="P693" i="33"/>
  <c r="C694" i="33"/>
  <c r="F694" i="33"/>
  <c r="G694" i="33"/>
  <c r="J694" i="33"/>
  <c r="K694" i="33"/>
  <c r="L694" i="33"/>
  <c r="M694" i="33"/>
  <c r="N694" i="33"/>
  <c r="O694" i="33"/>
  <c r="P694" i="33"/>
  <c r="C695" i="33"/>
  <c r="F695" i="33"/>
  <c r="G695" i="33"/>
  <c r="J695" i="33"/>
  <c r="K695" i="33"/>
  <c r="L695" i="33"/>
  <c r="M695" i="33"/>
  <c r="N695" i="33"/>
  <c r="O695" i="33"/>
  <c r="P695" i="33"/>
  <c r="C696" i="33"/>
  <c r="F696" i="33"/>
  <c r="G696" i="33"/>
  <c r="J696" i="33"/>
  <c r="K696" i="33"/>
  <c r="L696" i="33"/>
  <c r="M696" i="33"/>
  <c r="N696" i="33"/>
  <c r="O696" i="33"/>
  <c r="P696" i="33"/>
  <c r="C697" i="33"/>
  <c r="F697" i="33"/>
  <c r="G697" i="33"/>
  <c r="J697" i="33"/>
  <c r="K697" i="33"/>
  <c r="L697" i="33"/>
  <c r="M697" i="33"/>
  <c r="N697" i="33"/>
  <c r="O697" i="33"/>
  <c r="P697" i="33"/>
  <c r="C698" i="33"/>
  <c r="F698" i="33"/>
  <c r="G698" i="33"/>
  <c r="J698" i="33"/>
  <c r="K698" i="33"/>
  <c r="L698" i="33"/>
  <c r="M698" i="33"/>
  <c r="N698" i="33"/>
  <c r="O698" i="33"/>
  <c r="P698" i="33"/>
  <c r="C699" i="33"/>
  <c r="F699" i="33"/>
  <c r="G699" i="33"/>
  <c r="J699" i="33"/>
  <c r="K699" i="33"/>
  <c r="L699" i="33"/>
  <c r="M699" i="33"/>
  <c r="N699" i="33"/>
  <c r="O699" i="33"/>
  <c r="P699" i="33"/>
  <c r="C700" i="33"/>
  <c r="F700" i="33"/>
  <c r="G700" i="33"/>
  <c r="J700" i="33"/>
  <c r="K700" i="33"/>
  <c r="L700" i="33"/>
  <c r="M700" i="33"/>
  <c r="N700" i="33"/>
  <c r="O700" i="33"/>
  <c r="P700" i="33"/>
  <c r="C701" i="33"/>
  <c r="F701" i="33"/>
  <c r="G701" i="33"/>
  <c r="J701" i="33"/>
  <c r="K701" i="33"/>
  <c r="L701" i="33"/>
  <c r="M701" i="33"/>
  <c r="N701" i="33"/>
  <c r="O701" i="33"/>
  <c r="P701" i="33"/>
  <c r="C702" i="33"/>
  <c r="F702" i="33"/>
  <c r="G702" i="33"/>
  <c r="J702" i="33"/>
  <c r="K702" i="33"/>
  <c r="L702" i="33"/>
  <c r="M702" i="33"/>
  <c r="N702" i="33"/>
  <c r="O702" i="33"/>
  <c r="P702" i="33"/>
  <c r="C703" i="33"/>
  <c r="F703" i="33"/>
  <c r="G703" i="33"/>
  <c r="J703" i="33"/>
  <c r="K703" i="33"/>
  <c r="L703" i="33"/>
  <c r="M703" i="33"/>
  <c r="N703" i="33"/>
  <c r="O703" i="33"/>
  <c r="P703" i="33"/>
  <c r="C704" i="33"/>
  <c r="F704" i="33"/>
  <c r="G704" i="33"/>
  <c r="J704" i="33"/>
  <c r="K704" i="33"/>
  <c r="L704" i="33"/>
  <c r="M704" i="33"/>
  <c r="N704" i="33"/>
  <c r="O704" i="33"/>
  <c r="P704" i="33"/>
  <c r="C705" i="33"/>
  <c r="F705" i="33"/>
  <c r="G705" i="33"/>
  <c r="J705" i="33"/>
  <c r="K705" i="33"/>
  <c r="L705" i="33"/>
  <c r="M705" i="33"/>
  <c r="N705" i="33"/>
  <c r="O705" i="33"/>
  <c r="P705" i="33"/>
  <c r="C706" i="33"/>
  <c r="F706" i="33"/>
  <c r="G706" i="33"/>
  <c r="J706" i="33"/>
  <c r="K706" i="33"/>
  <c r="L706" i="33"/>
  <c r="M706" i="33"/>
  <c r="N706" i="33"/>
  <c r="O706" i="33"/>
  <c r="P706" i="33"/>
  <c r="C707" i="33"/>
  <c r="F707" i="33"/>
  <c r="G707" i="33"/>
  <c r="J707" i="33"/>
  <c r="K707" i="33"/>
  <c r="L707" i="33"/>
  <c r="M707" i="33"/>
  <c r="N707" i="33"/>
  <c r="O707" i="33"/>
  <c r="P707" i="33"/>
  <c r="C708" i="33"/>
  <c r="F708" i="33"/>
  <c r="G708" i="33"/>
  <c r="J708" i="33"/>
  <c r="K708" i="33"/>
  <c r="L708" i="33"/>
  <c r="M708" i="33"/>
  <c r="N708" i="33"/>
  <c r="O708" i="33"/>
  <c r="P708" i="33"/>
  <c r="C709" i="33"/>
  <c r="F709" i="33"/>
  <c r="G709" i="33"/>
  <c r="J709" i="33"/>
  <c r="K709" i="33"/>
  <c r="L709" i="33"/>
  <c r="M709" i="33"/>
  <c r="N709" i="33"/>
  <c r="O709" i="33"/>
  <c r="P709" i="33"/>
  <c r="C710" i="33"/>
  <c r="F710" i="33"/>
  <c r="G710" i="33"/>
  <c r="J710" i="33"/>
  <c r="K710" i="33"/>
  <c r="L710" i="33"/>
  <c r="M710" i="33"/>
  <c r="N710" i="33"/>
  <c r="O710" i="33"/>
  <c r="P710" i="33"/>
  <c r="C711" i="33"/>
  <c r="F711" i="33"/>
  <c r="G711" i="33"/>
  <c r="J711" i="33"/>
  <c r="K711" i="33"/>
  <c r="L711" i="33"/>
  <c r="M711" i="33"/>
  <c r="N711" i="33"/>
  <c r="O711" i="33"/>
  <c r="P711" i="33"/>
  <c r="C712" i="33"/>
  <c r="F712" i="33"/>
  <c r="G712" i="33"/>
  <c r="J712" i="33"/>
  <c r="K712" i="33"/>
  <c r="L712" i="33"/>
  <c r="M712" i="33"/>
  <c r="N712" i="33"/>
  <c r="O712" i="33"/>
  <c r="P712" i="33"/>
  <c r="C713" i="33"/>
  <c r="F713" i="33"/>
  <c r="G713" i="33"/>
  <c r="J713" i="33"/>
  <c r="K713" i="33"/>
  <c r="L713" i="33"/>
  <c r="M713" i="33"/>
  <c r="N713" i="33"/>
  <c r="O713" i="33"/>
  <c r="P713" i="33"/>
  <c r="C714" i="33"/>
  <c r="F714" i="33"/>
  <c r="G714" i="33"/>
  <c r="J714" i="33"/>
  <c r="K714" i="33"/>
  <c r="L714" i="33"/>
  <c r="M714" i="33"/>
  <c r="N714" i="33"/>
  <c r="O714" i="33"/>
  <c r="P714" i="33"/>
  <c r="C715" i="33"/>
  <c r="F715" i="33"/>
  <c r="G715" i="33"/>
  <c r="J715" i="33"/>
  <c r="K715" i="33"/>
  <c r="L715" i="33"/>
  <c r="M715" i="33"/>
  <c r="N715" i="33"/>
  <c r="O715" i="33"/>
  <c r="P715" i="33"/>
  <c r="C716" i="33"/>
  <c r="F716" i="33"/>
  <c r="G716" i="33"/>
  <c r="J716" i="33"/>
  <c r="K716" i="33"/>
  <c r="L716" i="33"/>
  <c r="M716" i="33"/>
  <c r="N716" i="33"/>
  <c r="O716" i="33"/>
  <c r="P716" i="33"/>
  <c r="C717" i="33"/>
  <c r="F717" i="33"/>
  <c r="G717" i="33"/>
  <c r="J717" i="33"/>
  <c r="K717" i="33"/>
  <c r="L717" i="33"/>
  <c r="M717" i="33"/>
  <c r="N717" i="33"/>
  <c r="O717" i="33"/>
  <c r="P717" i="33"/>
  <c r="C718" i="33"/>
  <c r="F718" i="33"/>
  <c r="G718" i="33"/>
  <c r="J718" i="33"/>
  <c r="K718" i="33"/>
  <c r="L718" i="33"/>
  <c r="M718" i="33"/>
  <c r="N718" i="33"/>
  <c r="O718" i="33"/>
  <c r="P718" i="33"/>
  <c r="C719" i="33"/>
  <c r="F719" i="33"/>
  <c r="G719" i="33"/>
  <c r="J719" i="33"/>
  <c r="K719" i="33"/>
  <c r="L719" i="33"/>
  <c r="M719" i="33"/>
  <c r="N719" i="33"/>
  <c r="O719" i="33"/>
  <c r="P719" i="33"/>
  <c r="C720" i="33"/>
  <c r="F720" i="33"/>
  <c r="G720" i="33"/>
  <c r="J720" i="33"/>
  <c r="K720" i="33"/>
  <c r="L720" i="33"/>
  <c r="M720" i="33"/>
  <c r="N720" i="33"/>
  <c r="O720" i="33"/>
  <c r="P720" i="33"/>
  <c r="C721" i="33"/>
  <c r="F721" i="33"/>
  <c r="G721" i="33"/>
  <c r="J721" i="33"/>
  <c r="K721" i="33"/>
  <c r="L721" i="33"/>
  <c r="M721" i="33"/>
  <c r="N721" i="33"/>
  <c r="O721" i="33"/>
  <c r="P721" i="33"/>
  <c r="C722" i="33"/>
  <c r="F722" i="33"/>
  <c r="G722" i="33"/>
  <c r="J722" i="33"/>
  <c r="K722" i="33"/>
  <c r="L722" i="33"/>
  <c r="M722" i="33"/>
  <c r="N722" i="33"/>
  <c r="O722" i="33"/>
  <c r="P722" i="33"/>
  <c r="C723" i="33"/>
  <c r="F723" i="33"/>
  <c r="G723" i="33"/>
  <c r="J723" i="33"/>
  <c r="K723" i="33"/>
  <c r="L723" i="33"/>
  <c r="M723" i="33"/>
  <c r="N723" i="33"/>
  <c r="O723" i="33"/>
  <c r="P723" i="33"/>
  <c r="C724" i="33"/>
  <c r="F724" i="33"/>
  <c r="G724" i="33"/>
  <c r="J724" i="33"/>
  <c r="K724" i="33"/>
  <c r="L724" i="33"/>
  <c r="M724" i="33"/>
  <c r="N724" i="33"/>
  <c r="O724" i="33"/>
  <c r="P724" i="33"/>
  <c r="C725" i="33"/>
  <c r="F725" i="33"/>
  <c r="G725" i="33"/>
  <c r="J725" i="33"/>
  <c r="K725" i="33"/>
  <c r="L725" i="33"/>
  <c r="M725" i="33"/>
  <c r="N725" i="33"/>
  <c r="O725" i="33"/>
  <c r="P725" i="33"/>
  <c r="C726" i="33"/>
  <c r="F726" i="33"/>
  <c r="G726" i="33"/>
  <c r="J726" i="33"/>
  <c r="K726" i="33"/>
  <c r="L726" i="33"/>
  <c r="M726" i="33"/>
  <c r="N726" i="33"/>
  <c r="O726" i="33"/>
  <c r="P726" i="33"/>
  <c r="C727" i="33"/>
  <c r="F727" i="33"/>
  <c r="G727" i="33"/>
  <c r="J727" i="33"/>
  <c r="K727" i="33"/>
  <c r="L727" i="33"/>
  <c r="M727" i="33"/>
  <c r="N727" i="33"/>
  <c r="O727" i="33"/>
  <c r="P727" i="33"/>
  <c r="C728" i="33"/>
  <c r="F728" i="33"/>
  <c r="G728" i="33"/>
  <c r="J728" i="33"/>
  <c r="K728" i="33"/>
  <c r="L728" i="33"/>
  <c r="M728" i="33"/>
  <c r="N728" i="33"/>
  <c r="O728" i="33"/>
  <c r="P728" i="33"/>
  <c r="C729" i="33"/>
  <c r="F729" i="33"/>
  <c r="G729" i="33"/>
  <c r="J729" i="33"/>
  <c r="K729" i="33"/>
  <c r="L729" i="33"/>
  <c r="M729" i="33"/>
  <c r="N729" i="33"/>
  <c r="O729" i="33"/>
  <c r="P729" i="33"/>
  <c r="C730" i="33"/>
  <c r="F730" i="33"/>
  <c r="G730" i="33"/>
  <c r="J730" i="33"/>
  <c r="K730" i="33"/>
  <c r="L730" i="33"/>
  <c r="M730" i="33"/>
  <c r="N730" i="33"/>
  <c r="O730" i="33"/>
  <c r="P730" i="33"/>
  <c r="C731" i="33"/>
  <c r="F731" i="33"/>
  <c r="G731" i="33"/>
  <c r="J731" i="33"/>
  <c r="K731" i="33"/>
  <c r="L731" i="33"/>
  <c r="M731" i="33"/>
  <c r="N731" i="33"/>
  <c r="O731" i="33"/>
  <c r="P731" i="33"/>
  <c r="C732" i="33"/>
  <c r="F732" i="33"/>
  <c r="G732" i="33"/>
  <c r="J732" i="33"/>
  <c r="K732" i="33"/>
  <c r="L732" i="33"/>
  <c r="M732" i="33"/>
  <c r="N732" i="33"/>
  <c r="O732" i="33"/>
  <c r="P732" i="33"/>
  <c r="C733" i="33"/>
  <c r="F733" i="33"/>
  <c r="G733" i="33"/>
  <c r="J733" i="33"/>
  <c r="K733" i="33"/>
  <c r="L733" i="33"/>
  <c r="M733" i="33"/>
  <c r="N733" i="33"/>
  <c r="O733" i="33"/>
  <c r="P733" i="33"/>
  <c r="C734" i="33"/>
  <c r="F734" i="33"/>
  <c r="G734" i="33"/>
  <c r="J734" i="33"/>
  <c r="K734" i="33"/>
  <c r="L734" i="33"/>
  <c r="M734" i="33"/>
  <c r="N734" i="33"/>
  <c r="O734" i="33"/>
  <c r="P734" i="33"/>
  <c r="C735" i="33"/>
  <c r="F735" i="33"/>
  <c r="G735" i="33"/>
  <c r="J735" i="33"/>
  <c r="K735" i="33"/>
  <c r="L735" i="33"/>
  <c r="M735" i="33"/>
  <c r="N735" i="33"/>
  <c r="O735" i="33"/>
  <c r="P735" i="33"/>
  <c r="C736" i="33"/>
  <c r="F736" i="33"/>
  <c r="G736" i="33"/>
  <c r="J736" i="33"/>
  <c r="K736" i="33"/>
  <c r="L736" i="33"/>
  <c r="M736" i="33"/>
  <c r="N736" i="33"/>
  <c r="O736" i="33"/>
  <c r="P736" i="33"/>
  <c r="C737" i="33"/>
  <c r="F737" i="33"/>
  <c r="G737" i="33"/>
  <c r="J737" i="33"/>
  <c r="K737" i="33"/>
  <c r="L737" i="33"/>
  <c r="M737" i="33"/>
  <c r="N737" i="33"/>
  <c r="O737" i="33"/>
  <c r="P737" i="33"/>
  <c r="C738" i="33"/>
  <c r="F738" i="33"/>
  <c r="G738" i="33"/>
  <c r="J738" i="33"/>
  <c r="K738" i="33"/>
  <c r="L738" i="33"/>
  <c r="M738" i="33"/>
  <c r="N738" i="33"/>
  <c r="O738" i="33"/>
  <c r="P738" i="33"/>
  <c r="C739" i="33"/>
  <c r="F739" i="33"/>
  <c r="G739" i="33"/>
  <c r="J739" i="33"/>
  <c r="K739" i="33"/>
  <c r="L739" i="33"/>
  <c r="M739" i="33"/>
  <c r="N739" i="33"/>
  <c r="O739" i="33"/>
  <c r="P739" i="33"/>
  <c r="C740" i="33"/>
  <c r="F740" i="33"/>
  <c r="G740" i="33"/>
  <c r="J740" i="33"/>
  <c r="K740" i="33"/>
  <c r="L740" i="33"/>
  <c r="M740" i="33"/>
  <c r="N740" i="33"/>
  <c r="O740" i="33"/>
  <c r="P740" i="33"/>
  <c r="C741" i="33"/>
  <c r="F741" i="33"/>
  <c r="G741" i="33"/>
  <c r="J741" i="33"/>
  <c r="K741" i="33"/>
  <c r="L741" i="33"/>
  <c r="M741" i="33"/>
  <c r="N741" i="33"/>
  <c r="O741" i="33"/>
  <c r="P741" i="33"/>
  <c r="C742" i="33"/>
  <c r="F742" i="33"/>
  <c r="G742" i="33"/>
  <c r="J742" i="33"/>
  <c r="K742" i="33"/>
  <c r="L742" i="33"/>
  <c r="M742" i="33"/>
  <c r="N742" i="33"/>
  <c r="O742" i="33"/>
  <c r="P742" i="33"/>
  <c r="C743" i="33"/>
  <c r="F743" i="33"/>
  <c r="G743" i="33"/>
  <c r="J743" i="33"/>
  <c r="K743" i="33"/>
  <c r="L743" i="33"/>
  <c r="M743" i="33"/>
  <c r="N743" i="33"/>
  <c r="O743" i="33"/>
  <c r="P743" i="33"/>
  <c r="C744" i="33"/>
  <c r="F744" i="33"/>
  <c r="G744" i="33"/>
  <c r="J744" i="33"/>
  <c r="K744" i="33"/>
  <c r="L744" i="33"/>
  <c r="M744" i="33"/>
  <c r="N744" i="33"/>
  <c r="O744" i="33"/>
  <c r="P744" i="33"/>
  <c r="C745" i="33"/>
  <c r="F745" i="33"/>
  <c r="G745" i="33"/>
  <c r="J745" i="33"/>
  <c r="K745" i="33"/>
  <c r="L745" i="33"/>
  <c r="M745" i="33"/>
  <c r="N745" i="33"/>
  <c r="O745" i="33"/>
  <c r="P745" i="33"/>
  <c r="C746" i="33"/>
  <c r="F746" i="33"/>
  <c r="G746" i="33"/>
  <c r="J746" i="33"/>
  <c r="K746" i="33"/>
  <c r="L746" i="33"/>
  <c r="M746" i="33"/>
  <c r="N746" i="33"/>
  <c r="O746" i="33"/>
  <c r="P746" i="33"/>
  <c r="C747" i="33"/>
  <c r="F747" i="33"/>
  <c r="G747" i="33"/>
  <c r="J747" i="33"/>
  <c r="K747" i="33"/>
  <c r="L747" i="33"/>
  <c r="M747" i="33"/>
  <c r="N747" i="33"/>
  <c r="O747" i="33"/>
  <c r="P747" i="33"/>
  <c r="C748" i="33"/>
  <c r="F748" i="33"/>
  <c r="G748" i="33"/>
  <c r="J748" i="33"/>
  <c r="K748" i="33"/>
  <c r="L748" i="33"/>
  <c r="M748" i="33"/>
  <c r="N748" i="33"/>
  <c r="O748" i="33"/>
  <c r="P748" i="33"/>
  <c r="C749" i="33"/>
  <c r="F749" i="33"/>
  <c r="G749" i="33"/>
  <c r="J749" i="33"/>
  <c r="K749" i="33"/>
  <c r="L749" i="33"/>
  <c r="M749" i="33"/>
  <c r="N749" i="33"/>
  <c r="O749" i="33"/>
  <c r="P749" i="33"/>
  <c r="C750" i="33"/>
  <c r="F750" i="33"/>
  <c r="G750" i="33"/>
  <c r="J750" i="33"/>
  <c r="K750" i="33"/>
  <c r="L750" i="33"/>
  <c r="M750" i="33"/>
  <c r="N750" i="33"/>
  <c r="O750" i="33"/>
  <c r="P750" i="33"/>
  <c r="C751" i="33"/>
  <c r="F751" i="33"/>
  <c r="G751" i="33"/>
  <c r="J751" i="33"/>
  <c r="K751" i="33"/>
  <c r="L751" i="33"/>
  <c r="M751" i="33"/>
  <c r="N751" i="33"/>
  <c r="O751" i="33"/>
  <c r="P751" i="33"/>
  <c r="C752" i="33"/>
  <c r="F752" i="33"/>
  <c r="G752" i="33"/>
  <c r="J752" i="33"/>
  <c r="K752" i="33"/>
  <c r="L752" i="33"/>
  <c r="M752" i="33"/>
  <c r="N752" i="33"/>
  <c r="O752" i="33"/>
  <c r="P752" i="33"/>
  <c r="C753" i="33"/>
  <c r="F753" i="33"/>
  <c r="G753" i="33"/>
  <c r="J753" i="33"/>
  <c r="K753" i="33"/>
  <c r="L753" i="33"/>
  <c r="M753" i="33"/>
  <c r="N753" i="33"/>
  <c r="O753" i="33"/>
  <c r="P753" i="33"/>
  <c r="C754" i="33"/>
  <c r="F754" i="33"/>
  <c r="G754" i="33"/>
  <c r="J754" i="33"/>
  <c r="K754" i="33"/>
  <c r="L754" i="33"/>
  <c r="M754" i="33"/>
  <c r="N754" i="33"/>
  <c r="O754" i="33"/>
  <c r="P754" i="33"/>
  <c r="C755" i="33"/>
  <c r="F755" i="33"/>
  <c r="G755" i="33"/>
  <c r="J755" i="33"/>
  <c r="K755" i="33"/>
  <c r="L755" i="33"/>
  <c r="M755" i="33"/>
  <c r="N755" i="33"/>
  <c r="O755" i="33"/>
  <c r="P755" i="33"/>
  <c r="C756" i="33"/>
  <c r="F756" i="33"/>
  <c r="G756" i="33"/>
  <c r="J756" i="33"/>
  <c r="K756" i="33"/>
  <c r="L756" i="33"/>
  <c r="M756" i="33"/>
  <c r="N756" i="33"/>
  <c r="O756" i="33"/>
  <c r="P756" i="33"/>
  <c r="C757" i="33"/>
  <c r="F757" i="33"/>
  <c r="G757" i="33"/>
  <c r="J757" i="33"/>
  <c r="K757" i="33"/>
  <c r="L757" i="33"/>
  <c r="M757" i="33"/>
  <c r="N757" i="33"/>
  <c r="O757" i="33"/>
  <c r="P757" i="33"/>
  <c r="C758" i="33"/>
  <c r="F758" i="33"/>
  <c r="G758" i="33"/>
  <c r="J758" i="33"/>
  <c r="K758" i="33"/>
  <c r="L758" i="33"/>
  <c r="M758" i="33"/>
  <c r="N758" i="33"/>
  <c r="O758" i="33"/>
  <c r="P758" i="33"/>
  <c r="C759" i="33"/>
  <c r="F759" i="33"/>
  <c r="G759" i="33"/>
  <c r="J759" i="33"/>
  <c r="K759" i="33"/>
  <c r="L759" i="33"/>
  <c r="M759" i="33"/>
  <c r="N759" i="33"/>
  <c r="O759" i="33"/>
  <c r="P759" i="33"/>
  <c r="C760" i="33"/>
  <c r="F760" i="33"/>
  <c r="G760" i="33"/>
  <c r="J760" i="33"/>
  <c r="K760" i="33"/>
  <c r="L760" i="33"/>
  <c r="M760" i="33"/>
  <c r="N760" i="33"/>
  <c r="O760" i="33"/>
  <c r="P760" i="33"/>
  <c r="C761" i="33"/>
  <c r="F761" i="33"/>
  <c r="G761" i="33"/>
  <c r="J761" i="33"/>
  <c r="K761" i="33"/>
  <c r="L761" i="33"/>
  <c r="M761" i="33"/>
  <c r="N761" i="33"/>
  <c r="O761" i="33"/>
  <c r="P761" i="33"/>
  <c r="C762" i="33"/>
  <c r="F762" i="33"/>
  <c r="G762" i="33"/>
  <c r="J762" i="33"/>
  <c r="K762" i="33"/>
  <c r="L762" i="33"/>
  <c r="M762" i="33"/>
  <c r="N762" i="33"/>
  <c r="O762" i="33"/>
  <c r="P762" i="33"/>
  <c r="C763" i="33"/>
  <c r="F763" i="33"/>
  <c r="G763" i="33"/>
  <c r="J763" i="33"/>
  <c r="K763" i="33"/>
  <c r="L763" i="33"/>
  <c r="M763" i="33"/>
  <c r="N763" i="33"/>
  <c r="O763" i="33"/>
  <c r="P763" i="33"/>
  <c r="C764" i="33"/>
  <c r="F764" i="33"/>
  <c r="G764" i="33"/>
  <c r="J764" i="33"/>
  <c r="K764" i="33"/>
  <c r="L764" i="33"/>
  <c r="M764" i="33"/>
  <c r="N764" i="33"/>
  <c r="O764" i="33"/>
  <c r="P764" i="33"/>
  <c r="C765" i="33"/>
  <c r="F765" i="33"/>
  <c r="G765" i="33"/>
  <c r="J765" i="33"/>
  <c r="K765" i="33"/>
  <c r="L765" i="33"/>
  <c r="M765" i="33"/>
  <c r="N765" i="33"/>
  <c r="O765" i="33"/>
  <c r="P765" i="33"/>
  <c r="C766" i="33"/>
  <c r="F766" i="33"/>
  <c r="G766" i="33"/>
  <c r="J766" i="33"/>
  <c r="K766" i="33"/>
  <c r="L766" i="33"/>
  <c r="M766" i="33"/>
  <c r="N766" i="33"/>
  <c r="O766" i="33"/>
  <c r="P766" i="33"/>
  <c r="C767" i="33"/>
  <c r="F767" i="33"/>
  <c r="G767" i="33"/>
  <c r="J767" i="33"/>
  <c r="K767" i="33"/>
  <c r="L767" i="33"/>
  <c r="M767" i="33"/>
  <c r="N767" i="33"/>
  <c r="O767" i="33"/>
  <c r="P767" i="33"/>
  <c r="C768" i="33"/>
  <c r="F768" i="33"/>
  <c r="G768" i="33"/>
  <c r="J768" i="33"/>
  <c r="K768" i="33"/>
  <c r="L768" i="33"/>
  <c r="M768" i="33"/>
  <c r="N768" i="33"/>
  <c r="O768" i="33"/>
  <c r="P768" i="33"/>
  <c r="C769" i="33"/>
  <c r="F769" i="33"/>
  <c r="G769" i="33"/>
  <c r="J769" i="33"/>
  <c r="K769" i="33"/>
  <c r="L769" i="33"/>
  <c r="M769" i="33"/>
  <c r="N769" i="33"/>
  <c r="O769" i="33"/>
  <c r="P769" i="33"/>
  <c r="C770" i="33"/>
  <c r="F770" i="33"/>
  <c r="G770" i="33"/>
  <c r="J770" i="33"/>
  <c r="K770" i="33"/>
  <c r="L770" i="33"/>
  <c r="M770" i="33"/>
  <c r="N770" i="33"/>
  <c r="O770" i="33"/>
  <c r="P770" i="33"/>
  <c r="C771" i="33"/>
  <c r="F771" i="33"/>
  <c r="G771" i="33"/>
  <c r="J771" i="33"/>
  <c r="K771" i="33"/>
  <c r="L771" i="33"/>
  <c r="M771" i="33"/>
  <c r="N771" i="33"/>
  <c r="O771" i="33"/>
  <c r="P771" i="33"/>
  <c r="C772" i="33"/>
  <c r="F772" i="33"/>
  <c r="G772" i="33"/>
  <c r="J772" i="33"/>
  <c r="K772" i="33"/>
  <c r="L772" i="33"/>
  <c r="M772" i="33"/>
  <c r="N772" i="33"/>
  <c r="O772" i="33"/>
  <c r="P772" i="33"/>
  <c r="C773" i="33"/>
  <c r="F773" i="33"/>
  <c r="G773" i="33"/>
  <c r="J773" i="33"/>
  <c r="K773" i="33"/>
  <c r="L773" i="33"/>
  <c r="M773" i="33"/>
  <c r="N773" i="33"/>
  <c r="O773" i="33"/>
  <c r="P773" i="33"/>
  <c r="C774" i="33"/>
  <c r="F774" i="33"/>
  <c r="G774" i="33"/>
  <c r="J774" i="33"/>
  <c r="K774" i="33"/>
  <c r="L774" i="33"/>
  <c r="M774" i="33"/>
  <c r="N774" i="33"/>
  <c r="O774" i="33"/>
  <c r="P774" i="33"/>
  <c r="C775" i="33"/>
  <c r="F775" i="33"/>
  <c r="G775" i="33"/>
  <c r="J775" i="33"/>
  <c r="K775" i="33"/>
  <c r="L775" i="33"/>
  <c r="M775" i="33"/>
  <c r="N775" i="33"/>
  <c r="O775" i="33"/>
  <c r="P775" i="33"/>
  <c r="C776" i="33"/>
  <c r="F776" i="33"/>
  <c r="G776" i="33"/>
  <c r="J776" i="33"/>
  <c r="K776" i="33"/>
  <c r="L776" i="33"/>
  <c r="M776" i="33"/>
  <c r="N776" i="33"/>
  <c r="O776" i="33"/>
  <c r="P776" i="33"/>
  <c r="C777" i="33"/>
  <c r="F777" i="33"/>
  <c r="G777" i="33"/>
  <c r="J777" i="33"/>
  <c r="K777" i="33"/>
  <c r="L777" i="33"/>
  <c r="M777" i="33"/>
  <c r="N777" i="33"/>
  <c r="O777" i="33"/>
  <c r="P777" i="33"/>
  <c r="C778" i="33"/>
  <c r="F778" i="33"/>
  <c r="G778" i="33"/>
  <c r="J778" i="33"/>
  <c r="K778" i="33"/>
  <c r="L778" i="33"/>
  <c r="M778" i="33"/>
  <c r="N778" i="33"/>
  <c r="O778" i="33"/>
  <c r="P778" i="33"/>
  <c r="C779" i="33"/>
  <c r="F779" i="33"/>
  <c r="G779" i="33"/>
  <c r="J779" i="33"/>
  <c r="K779" i="33"/>
  <c r="L779" i="33"/>
  <c r="M779" i="33"/>
  <c r="N779" i="33"/>
  <c r="O779" i="33"/>
  <c r="P779" i="33"/>
  <c r="C780" i="33"/>
  <c r="F780" i="33"/>
  <c r="G780" i="33"/>
  <c r="J780" i="33"/>
  <c r="K780" i="33"/>
  <c r="L780" i="33"/>
  <c r="M780" i="33"/>
  <c r="N780" i="33"/>
  <c r="O780" i="33"/>
  <c r="P780" i="33"/>
  <c r="C781" i="33"/>
  <c r="F781" i="33"/>
  <c r="G781" i="33"/>
  <c r="J781" i="33"/>
  <c r="K781" i="33"/>
  <c r="L781" i="33"/>
  <c r="M781" i="33"/>
  <c r="N781" i="33"/>
  <c r="O781" i="33"/>
  <c r="P781" i="33"/>
  <c r="C782" i="33"/>
  <c r="F782" i="33"/>
  <c r="G782" i="33"/>
  <c r="J782" i="33"/>
  <c r="K782" i="33"/>
  <c r="L782" i="33"/>
  <c r="M782" i="33"/>
  <c r="N782" i="33"/>
  <c r="O782" i="33"/>
  <c r="P782" i="33"/>
  <c r="C783" i="33"/>
  <c r="F783" i="33"/>
  <c r="G783" i="33"/>
  <c r="J783" i="33"/>
  <c r="K783" i="33"/>
  <c r="L783" i="33"/>
  <c r="M783" i="33"/>
  <c r="N783" i="33"/>
  <c r="O783" i="33"/>
  <c r="P783" i="33"/>
  <c r="C784" i="33"/>
  <c r="F784" i="33"/>
  <c r="G784" i="33"/>
  <c r="J784" i="33"/>
  <c r="K784" i="33"/>
  <c r="L784" i="33"/>
  <c r="M784" i="33"/>
  <c r="N784" i="33"/>
  <c r="O784" i="33"/>
  <c r="P784" i="33"/>
  <c r="C785" i="33"/>
  <c r="F785" i="33"/>
  <c r="G785" i="33"/>
  <c r="J785" i="33"/>
  <c r="K785" i="33"/>
  <c r="L785" i="33"/>
  <c r="M785" i="33"/>
  <c r="N785" i="33"/>
  <c r="O785" i="33"/>
  <c r="P785" i="33"/>
  <c r="C786" i="33"/>
  <c r="F786" i="33"/>
  <c r="G786" i="33"/>
  <c r="J786" i="33"/>
  <c r="K786" i="33"/>
  <c r="L786" i="33"/>
  <c r="M786" i="33"/>
  <c r="N786" i="33"/>
  <c r="O786" i="33"/>
  <c r="P786" i="33"/>
  <c r="C787" i="33"/>
  <c r="F787" i="33"/>
  <c r="G787" i="33"/>
  <c r="J787" i="33"/>
  <c r="K787" i="33"/>
  <c r="L787" i="33"/>
  <c r="M787" i="33"/>
  <c r="N787" i="33"/>
  <c r="O787" i="33"/>
  <c r="P787" i="33"/>
  <c r="C788" i="33"/>
  <c r="F788" i="33"/>
  <c r="G788" i="33"/>
  <c r="J788" i="33"/>
  <c r="K788" i="33"/>
  <c r="L788" i="33"/>
  <c r="M788" i="33"/>
  <c r="N788" i="33"/>
  <c r="O788" i="33"/>
  <c r="P788" i="33"/>
  <c r="C789" i="33"/>
  <c r="F789" i="33"/>
  <c r="G789" i="33"/>
  <c r="J789" i="33"/>
  <c r="K789" i="33"/>
  <c r="L789" i="33"/>
  <c r="M789" i="33"/>
  <c r="N789" i="33"/>
  <c r="O789" i="33"/>
  <c r="P789" i="33"/>
  <c r="C790" i="33"/>
  <c r="F790" i="33"/>
  <c r="G790" i="33"/>
  <c r="J790" i="33"/>
  <c r="K790" i="33"/>
  <c r="L790" i="33"/>
  <c r="M790" i="33"/>
  <c r="N790" i="33"/>
  <c r="O790" i="33"/>
  <c r="P790" i="33"/>
  <c r="C791" i="33"/>
  <c r="F791" i="33"/>
  <c r="G791" i="33"/>
  <c r="J791" i="33"/>
  <c r="K791" i="33"/>
  <c r="L791" i="33"/>
  <c r="M791" i="33"/>
  <c r="N791" i="33"/>
  <c r="O791" i="33"/>
  <c r="P791" i="33"/>
  <c r="C792" i="33"/>
  <c r="F792" i="33"/>
  <c r="G792" i="33"/>
  <c r="J792" i="33"/>
  <c r="K792" i="33"/>
  <c r="L792" i="33"/>
  <c r="M792" i="33"/>
  <c r="N792" i="33"/>
  <c r="O792" i="33"/>
  <c r="P792" i="33"/>
  <c r="C793" i="33"/>
  <c r="F793" i="33"/>
  <c r="G793" i="33"/>
  <c r="J793" i="33"/>
  <c r="K793" i="33"/>
  <c r="L793" i="33"/>
  <c r="M793" i="33"/>
  <c r="N793" i="33"/>
  <c r="O793" i="33"/>
  <c r="P793" i="33"/>
  <c r="C794" i="33"/>
  <c r="F794" i="33"/>
  <c r="G794" i="33"/>
  <c r="J794" i="33"/>
  <c r="K794" i="33"/>
  <c r="L794" i="33"/>
  <c r="M794" i="33"/>
  <c r="N794" i="33"/>
  <c r="O794" i="33"/>
  <c r="P794" i="33"/>
  <c r="C795" i="33"/>
  <c r="F795" i="33"/>
  <c r="G795" i="33"/>
  <c r="J795" i="33"/>
  <c r="K795" i="33"/>
  <c r="L795" i="33"/>
  <c r="M795" i="33"/>
  <c r="N795" i="33"/>
  <c r="O795" i="33"/>
  <c r="P795" i="33"/>
  <c r="C796" i="33"/>
  <c r="F796" i="33"/>
  <c r="G796" i="33"/>
  <c r="J796" i="33"/>
  <c r="K796" i="33"/>
  <c r="L796" i="33"/>
  <c r="M796" i="33"/>
  <c r="N796" i="33"/>
  <c r="O796" i="33"/>
  <c r="P796" i="33"/>
  <c r="C797" i="33"/>
  <c r="F797" i="33"/>
  <c r="G797" i="33"/>
  <c r="J797" i="33"/>
  <c r="K797" i="33"/>
  <c r="L797" i="33"/>
  <c r="M797" i="33"/>
  <c r="N797" i="33"/>
  <c r="O797" i="33"/>
  <c r="P797" i="33"/>
  <c r="C798" i="33"/>
  <c r="F798" i="33"/>
  <c r="G798" i="33"/>
  <c r="J798" i="33"/>
  <c r="K798" i="33"/>
  <c r="L798" i="33"/>
  <c r="M798" i="33"/>
  <c r="N798" i="33"/>
  <c r="O798" i="33"/>
  <c r="P798" i="33"/>
  <c r="C799" i="33"/>
  <c r="F799" i="33"/>
  <c r="G799" i="33"/>
  <c r="J799" i="33"/>
  <c r="K799" i="33"/>
  <c r="L799" i="33"/>
  <c r="M799" i="33"/>
  <c r="N799" i="33"/>
  <c r="O799" i="33"/>
  <c r="P799" i="33"/>
  <c r="C800" i="33"/>
  <c r="F800" i="33"/>
  <c r="G800" i="33"/>
  <c r="J800" i="33"/>
  <c r="K800" i="33"/>
  <c r="L800" i="33"/>
  <c r="M800" i="33"/>
  <c r="N800" i="33"/>
  <c r="O800" i="33"/>
  <c r="P800" i="33"/>
  <c r="C801" i="33"/>
  <c r="F801" i="33"/>
  <c r="G801" i="33"/>
  <c r="J801" i="33"/>
  <c r="K801" i="33"/>
  <c r="L801" i="33"/>
  <c r="M801" i="33"/>
  <c r="N801" i="33"/>
  <c r="O801" i="33"/>
  <c r="P801" i="33"/>
  <c r="C802" i="33"/>
  <c r="F802" i="33"/>
  <c r="G802" i="33"/>
  <c r="J802" i="33"/>
  <c r="K802" i="33"/>
  <c r="L802" i="33"/>
  <c r="M802" i="33"/>
  <c r="N802" i="33"/>
  <c r="O802" i="33"/>
  <c r="P802" i="33"/>
  <c r="C803" i="33"/>
  <c r="F803" i="33"/>
  <c r="G803" i="33"/>
  <c r="J803" i="33"/>
  <c r="K803" i="33"/>
  <c r="L803" i="33"/>
  <c r="M803" i="33"/>
  <c r="N803" i="33"/>
  <c r="O803" i="33"/>
  <c r="P803" i="33"/>
  <c r="C804" i="33"/>
  <c r="F804" i="33"/>
  <c r="G804" i="33"/>
  <c r="J804" i="33"/>
  <c r="K804" i="33"/>
  <c r="L804" i="33"/>
  <c r="M804" i="33"/>
  <c r="N804" i="33"/>
  <c r="O804" i="33"/>
  <c r="P804" i="33"/>
  <c r="C805" i="33"/>
  <c r="F805" i="33"/>
  <c r="G805" i="33"/>
  <c r="J805" i="33"/>
  <c r="K805" i="33"/>
  <c r="L805" i="33"/>
  <c r="M805" i="33"/>
  <c r="N805" i="33"/>
  <c r="O805" i="33"/>
  <c r="P805" i="33"/>
  <c r="C806" i="33"/>
  <c r="F806" i="33"/>
  <c r="G806" i="33"/>
  <c r="J806" i="33"/>
  <c r="K806" i="33"/>
  <c r="L806" i="33"/>
  <c r="M806" i="33"/>
  <c r="N806" i="33"/>
  <c r="O806" i="33"/>
  <c r="P806" i="33"/>
  <c r="C807" i="33"/>
  <c r="F807" i="33"/>
  <c r="G807" i="33"/>
  <c r="J807" i="33"/>
  <c r="K807" i="33"/>
  <c r="L807" i="33"/>
  <c r="M807" i="33"/>
  <c r="N807" i="33"/>
  <c r="O807" i="33"/>
  <c r="P807" i="33"/>
  <c r="C808" i="33"/>
  <c r="F808" i="33"/>
  <c r="G808" i="33"/>
  <c r="J808" i="33"/>
  <c r="K808" i="33"/>
  <c r="L808" i="33"/>
  <c r="M808" i="33"/>
  <c r="N808" i="33"/>
  <c r="O808" i="33"/>
  <c r="P808" i="33"/>
  <c r="C809" i="33"/>
  <c r="F809" i="33"/>
  <c r="G809" i="33"/>
  <c r="J809" i="33"/>
  <c r="K809" i="33"/>
  <c r="L809" i="33"/>
  <c r="M809" i="33"/>
  <c r="N809" i="33"/>
  <c r="O809" i="33"/>
  <c r="P809" i="33"/>
  <c r="C810" i="33"/>
  <c r="F810" i="33"/>
  <c r="G810" i="33"/>
  <c r="J810" i="33"/>
  <c r="K810" i="33"/>
  <c r="L810" i="33"/>
  <c r="M810" i="33"/>
  <c r="N810" i="33"/>
  <c r="O810" i="33"/>
  <c r="P810" i="33"/>
  <c r="C811" i="33"/>
  <c r="F811" i="33"/>
  <c r="G811" i="33"/>
  <c r="J811" i="33"/>
  <c r="K811" i="33"/>
  <c r="L811" i="33"/>
  <c r="M811" i="33"/>
  <c r="N811" i="33"/>
  <c r="O811" i="33"/>
  <c r="P811" i="33"/>
  <c r="C812" i="33"/>
  <c r="F812" i="33"/>
  <c r="G812" i="33"/>
  <c r="J812" i="33"/>
  <c r="K812" i="33"/>
  <c r="L812" i="33"/>
  <c r="M812" i="33"/>
  <c r="N812" i="33"/>
  <c r="O812" i="33"/>
  <c r="P812" i="33"/>
  <c r="C813" i="33"/>
  <c r="F813" i="33"/>
  <c r="G813" i="33"/>
  <c r="J813" i="33"/>
  <c r="K813" i="33"/>
  <c r="L813" i="33"/>
  <c r="M813" i="33"/>
  <c r="N813" i="33"/>
  <c r="O813" i="33"/>
  <c r="P813" i="33"/>
  <c r="C814" i="33"/>
  <c r="F814" i="33"/>
  <c r="G814" i="33"/>
  <c r="J814" i="33"/>
  <c r="K814" i="33"/>
  <c r="L814" i="33"/>
  <c r="M814" i="33"/>
  <c r="N814" i="33"/>
  <c r="O814" i="33"/>
  <c r="P814" i="33"/>
  <c r="C815" i="33"/>
  <c r="F815" i="33"/>
  <c r="G815" i="33"/>
  <c r="J815" i="33"/>
  <c r="K815" i="33"/>
  <c r="L815" i="33"/>
  <c r="M815" i="33"/>
  <c r="N815" i="33"/>
  <c r="O815" i="33"/>
  <c r="P815" i="33"/>
  <c r="C816" i="33"/>
  <c r="F816" i="33"/>
  <c r="G816" i="33"/>
  <c r="J816" i="33"/>
  <c r="K816" i="33"/>
  <c r="L816" i="33"/>
  <c r="M816" i="33"/>
  <c r="N816" i="33"/>
  <c r="O816" i="33"/>
  <c r="P816" i="33"/>
  <c r="C817" i="33"/>
  <c r="F817" i="33"/>
  <c r="G817" i="33"/>
  <c r="J817" i="33"/>
  <c r="K817" i="33"/>
  <c r="L817" i="33"/>
  <c r="M817" i="33"/>
  <c r="N817" i="33"/>
  <c r="O817" i="33"/>
  <c r="P817" i="33"/>
  <c r="C818" i="33"/>
  <c r="F818" i="33"/>
  <c r="G818" i="33"/>
  <c r="J818" i="33"/>
  <c r="K818" i="33"/>
  <c r="L818" i="33"/>
  <c r="M818" i="33"/>
  <c r="N818" i="33"/>
  <c r="O818" i="33"/>
  <c r="P818" i="33"/>
  <c r="C819" i="33"/>
  <c r="F819" i="33"/>
  <c r="G819" i="33"/>
  <c r="J819" i="33"/>
  <c r="K819" i="33"/>
  <c r="L819" i="33"/>
  <c r="M819" i="33"/>
  <c r="N819" i="33"/>
  <c r="O819" i="33"/>
  <c r="P819" i="33"/>
  <c r="C820" i="33"/>
  <c r="F820" i="33"/>
  <c r="G820" i="33"/>
  <c r="J820" i="33"/>
  <c r="K820" i="33"/>
  <c r="L820" i="33"/>
  <c r="M820" i="33"/>
  <c r="N820" i="33"/>
  <c r="O820" i="33"/>
  <c r="P820" i="33"/>
  <c r="C821" i="33"/>
  <c r="F821" i="33"/>
  <c r="G821" i="33"/>
  <c r="J821" i="33"/>
  <c r="K821" i="33"/>
  <c r="L821" i="33"/>
  <c r="M821" i="33"/>
  <c r="N821" i="33"/>
  <c r="O821" i="33"/>
  <c r="P821" i="33"/>
  <c r="C822" i="33"/>
  <c r="F822" i="33"/>
  <c r="G822" i="33"/>
  <c r="J822" i="33"/>
  <c r="K822" i="33"/>
  <c r="L822" i="33"/>
  <c r="M822" i="33"/>
  <c r="N822" i="33"/>
  <c r="O822" i="33"/>
  <c r="P822" i="33"/>
  <c r="C823" i="33"/>
  <c r="F823" i="33"/>
  <c r="G823" i="33"/>
  <c r="J823" i="33"/>
  <c r="K823" i="33"/>
  <c r="L823" i="33"/>
  <c r="M823" i="33"/>
  <c r="N823" i="33"/>
  <c r="O823" i="33"/>
  <c r="P823" i="33"/>
  <c r="C824" i="33"/>
  <c r="F824" i="33"/>
  <c r="G824" i="33"/>
  <c r="J824" i="33"/>
  <c r="K824" i="33"/>
  <c r="L824" i="33"/>
  <c r="M824" i="33"/>
  <c r="N824" i="33"/>
  <c r="O824" i="33"/>
  <c r="P824" i="33"/>
  <c r="C825" i="33"/>
  <c r="F825" i="33"/>
  <c r="G825" i="33"/>
  <c r="J825" i="33"/>
  <c r="K825" i="33"/>
  <c r="L825" i="33"/>
  <c r="M825" i="33"/>
  <c r="N825" i="33"/>
  <c r="O825" i="33"/>
  <c r="P825" i="33"/>
  <c r="C826" i="33"/>
  <c r="F826" i="33"/>
  <c r="G826" i="33"/>
  <c r="J826" i="33"/>
  <c r="K826" i="33"/>
  <c r="L826" i="33"/>
  <c r="M826" i="33"/>
  <c r="N826" i="33"/>
  <c r="O826" i="33"/>
  <c r="P826" i="33"/>
  <c r="C827" i="33"/>
  <c r="F827" i="33"/>
  <c r="G827" i="33"/>
  <c r="J827" i="33"/>
  <c r="K827" i="33"/>
  <c r="L827" i="33"/>
  <c r="M827" i="33"/>
  <c r="N827" i="33"/>
  <c r="O827" i="33"/>
  <c r="P827" i="33"/>
  <c r="C828" i="33"/>
  <c r="F828" i="33"/>
  <c r="G828" i="33"/>
  <c r="J828" i="33"/>
  <c r="K828" i="33"/>
  <c r="L828" i="33"/>
  <c r="M828" i="33"/>
  <c r="N828" i="33"/>
  <c r="O828" i="33"/>
  <c r="P828" i="33"/>
  <c r="C829" i="33"/>
  <c r="F829" i="33"/>
  <c r="G829" i="33"/>
  <c r="J829" i="33"/>
  <c r="K829" i="33"/>
  <c r="L829" i="33"/>
  <c r="M829" i="33"/>
  <c r="N829" i="33"/>
  <c r="O829" i="33"/>
  <c r="P829" i="33"/>
  <c r="C830" i="33"/>
  <c r="F830" i="33"/>
  <c r="G830" i="33"/>
  <c r="J830" i="33"/>
  <c r="K830" i="33"/>
  <c r="L830" i="33"/>
  <c r="M830" i="33"/>
  <c r="N830" i="33"/>
  <c r="O830" i="33"/>
  <c r="P830" i="33"/>
  <c r="C831" i="33"/>
  <c r="F831" i="33"/>
  <c r="G831" i="33"/>
  <c r="J831" i="33"/>
  <c r="K831" i="33"/>
  <c r="L831" i="33"/>
  <c r="M831" i="33"/>
  <c r="N831" i="33"/>
  <c r="O831" i="33"/>
  <c r="P831" i="33"/>
  <c r="C832" i="33"/>
  <c r="F832" i="33"/>
  <c r="G832" i="33"/>
  <c r="J832" i="33"/>
  <c r="K832" i="33"/>
  <c r="L832" i="33"/>
  <c r="M832" i="33"/>
  <c r="N832" i="33"/>
  <c r="O832" i="33"/>
  <c r="P832" i="33"/>
  <c r="C833" i="33"/>
  <c r="F833" i="33"/>
  <c r="G833" i="33"/>
  <c r="J833" i="33"/>
  <c r="K833" i="33"/>
  <c r="L833" i="33"/>
  <c r="M833" i="33"/>
  <c r="N833" i="33"/>
  <c r="O833" i="33"/>
  <c r="P833" i="33"/>
  <c r="C834" i="33"/>
  <c r="F834" i="33"/>
  <c r="G834" i="33"/>
  <c r="J834" i="33"/>
  <c r="K834" i="33"/>
  <c r="L834" i="33"/>
  <c r="M834" i="33"/>
  <c r="N834" i="33"/>
  <c r="O834" i="33"/>
  <c r="P834" i="33"/>
  <c r="C835" i="33"/>
  <c r="F835" i="33"/>
  <c r="G835" i="33"/>
  <c r="J835" i="33"/>
  <c r="K835" i="33"/>
  <c r="L835" i="33"/>
  <c r="M835" i="33"/>
  <c r="N835" i="33"/>
  <c r="O835" i="33"/>
  <c r="P835" i="33"/>
  <c r="C836" i="33"/>
  <c r="F836" i="33"/>
  <c r="G836" i="33"/>
  <c r="J836" i="33"/>
  <c r="K836" i="33"/>
  <c r="L836" i="33"/>
  <c r="M836" i="33"/>
  <c r="N836" i="33"/>
  <c r="O836" i="33"/>
  <c r="P836" i="33"/>
  <c r="C837" i="33"/>
  <c r="F837" i="33"/>
  <c r="G837" i="33"/>
  <c r="J837" i="33"/>
  <c r="K837" i="33"/>
  <c r="L837" i="33"/>
  <c r="M837" i="33"/>
  <c r="N837" i="33"/>
  <c r="O837" i="33"/>
  <c r="P837" i="33"/>
  <c r="C838" i="33"/>
  <c r="F838" i="33"/>
  <c r="G838" i="33"/>
  <c r="J838" i="33"/>
  <c r="K838" i="33"/>
  <c r="L838" i="33"/>
  <c r="M838" i="33"/>
  <c r="N838" i="33"/>
  <c r="O838" i="33"/>
  <c r="P838" i="33"/>
  <c r="C839" i="33"/>
  <c r="F839" i="33"/>
  <c r="G839" i="33"/>
  <c r="J839" i="33"/>
  <c r="K839" i="33"/>
  <c r="L839" i="33"/>
  <c r="M839" i="33"/>
  <c r="N839" i="33"/>
  <c r="O839" i="33"/>
  <c r="P839" i="33"/>
  <c r="C840" i="33"/>
  <c r="F840" i="33"/>
  <c r="G840" i="33"/>
  <c r="J840" i="33"/>
  <c r="K840" i="33"/>
  <c r="L840" i="33"/>
  <c r="M840" i="33"/>
  <c r="N840" i="33"/>
  <c r="O840" i="33"/>
  <c r="P840" i="33"/>
  <c r="C841" i="33"/>
  <c r="F841" i="33"/>
  <c r="G841" i="33"/>
  <c r="J841" i="33"/>
  <c r="K841" i="33"/>
  <c r="L841" i="33"/>
  <c r="M841" i="33"/>
  <c r="N841" i="33"/>
  <c r="O841" i="33"/>
  <c r="P841" i="33"/>
  <c r="C842" i="33"/>
  <c r="F842" i="33"/>
  <c r="G842" i="33"/>
  <c r="J842" i="33"/>
  <c r="K842" i="33"/>
  <c r="L842" i="33"/>
  <c r="M842" i="33"/>
  <c r="N842" i="33"/>
  <c r="O842" i="33"/>
  <c r="P842" i="33"/>
  <c r="C843" i="33"/>
  <c r="F843" i="33"/>
  <c r="G843" i="33"/>
  <c r="J843" i="33"/>
  <c r="K843" i="33"/>
  <c r="L843" i="33"/>
  <c r="M843" i="33"/>
  <c r="N843" i="33"/>
  <c r="O843" i="33"/>
  <c r="P843" i="33"/>
  <c r="C844" i="33"/>
  <c r="F844" i="33"/>
  <c r="G844" i="33"/>
  <c r="J844" i="33"/>
  <c r="K844" i="33"/>
  <c r="L844" i="33"/>
  <c r="M844" i="33"/>
  <c r="N844" i="33"/>
  <c r="O844" i="33"/>
  <c r="P844" i="33"/>
  <c r="C845" i="33"/>
  <c r="F845" i="33"/>
  <c r="G845" i="33"/>
  <c r="J845" i="33"/>
  <c r="K845" i="33"/>
  <c r="L845" i="33"/>
  <c r="M845" i="33"/>
  <c r="N845" i="33"/>
  <c r="O845" i="33"/>
  <c r="P845" i="33"/>
  <c r="C846" i="33"/>
  <c r="F846" i="33"/>
  <c r="G846" i="33"/>
  <c r="J846" i="33"/>
  <c r="K846" i="33"/>
  <c r="L846" i="33"/>
  <c r="M846" i="33"/>
  <c r="N846" i="33"/>
  <c r="O846" i="33"/>
  <c r="P846" i="33"/>
  <c r="C847" i="33"/>
  <c r="F847" i="33"/>
  <c r="G847" i="33"/>
  <c r="J847" i="33"/>
  <c r="K847" i="33"/>
  <c r="L847" i="33"/>
  <c r="M847" i="33"/>
  <c r="N847" i="33"/>
  <c r="O847" i="33"/>
  <c r="P847" i="33"/>
  <c r="C848" i="33"/>
  <c r="F848" i="33"/>
  <c r="G848" i="33"/>
  <c r="J848" i="33"/>
  <c r="K848" i="33"/>
  <c r="L848" i="33"/>
  <c r="M848" i="33"/>
  <c r="N848" i="33"/>
  <c r="O848" i="33"/>
  <c r="P848" i="33"/>
  <c r="C849" i="33"/>
  <c r="F849" i="33"/>
  <c r="G849" i="33"/>
  <c r="J849" i="33"/>
  <c r="K849" i="33"/>
  <c r="L849" i="33"/>
  <c r="M849" i="33"/>
  <c r="N849" i="33"/>
  <c r="O849" i="33"/>
  <c r="P849" i="33"/>
  <c r="C850" i="33"/>
  <c r="F850" i="33"/>
  <c r="G850" i="33"/>
  <c r="J850" i="33"/>
  <c r="K850" i="33"/>
  <c r="L850" i="33"/>
  <c r="M850" i="33"/>
  <c r="N850" i="33"/>
  <c r="O850" i="33"/>
  <c r="P850" i="33"/>
  <c r="C851" i="33"/>
  <c r="F851" i="33"/>
  <c r="G851" i="33"/>
  <c r="J851" i="33"/>
  <c r="K851" i="33"/>
  <c r="L851" i="33"/>
  <c r="M851" i="33"/>
  <c r="N851" i="33"/>
  <c r="O851" i="33"/>
  <c r="P851" i="33"/>
  <c r="C852" i="33"/>
  <c r="F852" i="33"/>
  <c r="G852" i="33"/>
  <c r="J852" i="33"/>
  <c r="K852" i="33"/>
  <c r="L852" i="33"/>
  <c r="M852" i="33"/>
  <c r="N852" i="33"/>
  <c r="O852" i="33"/>
  <c r="P852" i="33"/>
  <c r="C853" i="33"/>
  <c r="F853" i="33"/>
  <c r="G853" i="33"/>
  <c r="J853" i="33"/>
  <c r="K853" i="33"/>
  <c r="L853" i="33"/>
  <c r="M853" i="33"/>
  <c r="N853" i="33"/>
  <c r="O853" i="33"/>
  <c r="P853" i="33"/>
  <c r="C854" i="33"/>
  <c r="F854" i="33"/>
  <c r="G854" i="33"/>
  <c r="J854" i="33"/>
  <c r="K854" i="33"/>
  <c r="L854" i="33"/>
  <c r="M854" i="33"/>
  <c r="N854" i="33"/>
  <c r="O854" i="33"/>
  <c r="P854" i="33"/>
  <c r="C855" i="33"/>
  <c r="F855" i="33"/>
  <c r="G855" i="33"/>
  <c r="J855" i="33"/>
  <c r="K855" i="33"/>
  <c r="L855" i="33"/>
  <c r="M855" i="33"/>
  <c r="N855" i="33"/>
  <c r="O855" i="33"/>
  <c r="P855" i="33"/>
  <c r="C856" i="33"/>
  <c r="F856" i="33"/>
  <c r="G856" i="33"/>
  <c r="J856" i="33"/>
  <c r="K856" i="33"/>
  <c r="L856" i="33"/>
  <c r="M856" i="33"/>
  <c r="N856" i="33"/>
  <c r="O856" i="33"/>
  <c r="P856" i="33"/>
  <c r="C857" i="33"/>
  <c r="F857" i="33"/>
  <c r="G857" i="33"/>
  <c r="J857" i="33"/>
  <c r="K857" i="33"/>
  <c r="L857" i="33"/>
  <c r="M857" i="33"/>
  <c r="N857" i="33"/>
  <c r="O857" i="33"/>
  <c r="P857" i="33"/>
  <c r="C858" i="33"/>
  <c r="F858" i="33"/>
  <c r="G858" i="33"/>
  <c r="J858" i="33"/>
  <c r="K858" i="33"/>
  <c r="L858" i="33"/>
  <c r="M858" i="33"/>
  <c r="N858" i="33"/>
  <c r="O858" i="33"/>
  <c r="P858" i="33"/>
  <c r="C859" i="33"/>
  <c r="F859" i="33"/>
  <c r="G859" i="33"/>
  <c r="J859" i="33"/>
  <c r="K859" i="33"/>
  <c r="L859" i="33"/>
  <c r="M859" i="33"/>
  <c r="N859" i="33"/>
  <c r="O859" i="33"/>
  <c r="P859" i="33"/>
  <c r="C860" i="33"/>
  <c r="F860" i="33"/>
  <c r="G860" i="33"/>
  <c r="J860" i="33"/>
  <c r="K860" i="33"/>
  <c r="L860" i="33"/>
  <c r="M860" i="33"/>
  <c r="N860" i="33"/>
  <c r="O860" i="33"/>
  <c r="P860" i="33"/>
  <c r="C861" i="33"/>
  <c r="F861" i="33"/>
  <c r="G861" i="33"/>
  <c r="J861" i="33"/>
  <c r="K861" i="33"/>
  <c r="L861" i="33"/>
  <c r="M861" i="33"/>
  <c r="N861" i="33"/>
  <c r="O861" i="33"/>
  <c r="P861" i="33"/>
  <c r="C862" i="33"/>
  <c r="F862" i="33"/>
  <c r="G862" i="33"/>
  <c r="J862" i="33"/>
  <c r="K862" i="33"/>
  <c r="L862" i="33"/>
  <c r="M862" i="33"/>
  <c r="N862" i="33"/>
  <c r="O862" i="33"/>
  <c r="P862" i="33"/>
  <c r="C863" i="33"/>
  <c r="F863" i="33"/>
  <c r="G863" i="33"/>
  <c r="J863" i="33"/>
  <c r="K863" i="33"/>
  <c r="L863" i="33"/>
  <c r="M863" i="33"/>
  <c r="N863" i="33"/>
  <c r="O863" i="33"/>
  <c r="P863" i="33"/>
  <c r="C864" i="33"/>
  <c r="F864" i="33"/>
  <c r="G864" i="33"/>
  <c r="J864" i="33"/>
  <c r="K864" i="33"/>
  <c r="L864" i="33"/>
  <c r="M864" i="33"/>
  <c r="N864" i="33"/>
  <c r="O864" i="33"/>
  <c r="P864" i="33"/>
  <c r="C865" i="33"/>
  <c r="F865" i="33"/>
  <c r="G865" i="33"/>
  <c r="J865" i="33"/>
  <c r="K865" i="33"/>
  <c r="L865" i="33"/>
  <c r="M865" i="33"/>
  <c r="N865" i="33"/>
  <c r="O865" i="33"/>
  <c r="P865" i="33"/>
  <c r="C866" i="33"/>
  <c r="F866" i="33"/>
  <c r="G866" i="33"/>
  <c r="J866" i="33"/>
  <c r="K866" i="33"/>
  <c r="L866" i="33"/>
  <c r="M866" i="33"/>
  <c r="N866" i="33"/>
  <c r="O866" i="33"/>
  <c r="P866" i="33"/>
  <c r="C867" i="33"/>
  <c r="F867" i="33"/>
  <c r="G867" i="33"/>
  <c r="J867" i="33"/>
  <c r="K867" i="33"/>
  <c r="L867" i="33"/>
  <c r="M867" i="33"/>
  <c r="N867" i="33"/>
  <c r="O867" i="33"/>
  <c r="P867" i="33"/>
  <c r="C868" i="33"/>
  <c r="F868" i="33"/>
  <c r="G868" i="33"/>
  <c r="J868" i="33"/>
  <c r="K868" i="33"/>
  <c r="L868" i="33"/>
  <c r="M868" i="33"/>
  <c r="N868" i="33"/>
  <c r="O868" i="33"/>
  <c r="P868" i="33"/>
  <c r="C869" i="33"/>
  <c r="F869" i="33"/>
  <c r="G869" i="33"/>
  <c r="J869" i="33"/>
  <c r="K869" i="33"/>
  <c r="L869" i="33"/>
  <c r="M869" i="33"/>
  <c r="N869" i="33"/>
  <c r="O869" i="33"/>
  <c r="P869" i="33"/>
  <c r="C870" i="33"/>
  <c r="F870" i="33"/>
  <c r="G870" i="33"/>
  <c r="J870" i="33"/>
  <c r="K870" i="33"/>
  <c r="L870" i="33"/>
  <c r="M870" i="33"/>
  <c r="N870" i="33"/>
  <c r="O870" i="33"/>
  <c r="P870" i="33"/>
  <c r="C871" i="33"/>
  <c r="F871" i="33"/>
  <c r="G871" i="33"/>
  <c r="J871" i="33"/>
  <c r="K871" i="33"/>
  <c r="L871" i="33"/>
  <c r="M871" i="33"/>
  <c r="N871" i="33"/>
  <c r="O871" i="33"/>
  <c r="P871" i="33"/>
  <c r="C872" i="33"/>
  <c r="F872" i="33"/>
  <c r="G872" i="33"/>
  <c r="J872" i="33"/>
  <c r="K872" i="33"/>
  <c r="L872" i="33"/>
  <c r="M872" i="33"/>
  <c r="N872" i="33"/>
  <c r="O872" i="33"/>
  <c r="P872" i="33"/>
  <c r="C873" i="33"/>
  <c r="F873" i="33"/>
  <c r="G873" i="33"/>
  <c r="J873" i="33"/>
  <c r="K873" i="33"/>
  <c r="L873" i="33"/>
  <c r="M873" i="33"/>
  <c r="N873" i="33"/>
  <c r="O873" i="33"/>
  <c r="P873" i="33"/>
  <c r="C874" i="33"/>
  <c r="F874" i="33"/>
  <c r="G874" i="33"/>
  <c r="J874" i="33"/>
  <c r="K874" i="33"/>
  <c r="L874" i="33"/>
  <c r="M874" i="33"/>
  <c r="N874" i="33"/>
  <c r="O874" i="33"/>
  <c r="P874" i="33"/>
  <c r="C875" i="33"/>
  <c r="F875" i="33"/>
  <c r="G875" i="33"/>
  <c r="J875" i="33"/>
  <c r="K875" i="33"/>
  <c r="L875" i="33"/>
  <c r="M875" i="33"/>
  <c r="N875" i="33"/>
  <c r="O875" i="33"/>
  <c r="P875" i="33"/>
  <c r="C876" i="33"/>
  <c r="F876" i="33"/>
  <c r="G876" i="33"/>
  <c r="J876" i="33"/>
  <c r="K876" i="33"/>
  <c r="L876" i="33"/>
  <c r="M876" i="33"/>
  <c r="N876" i="33"/>
  <c r="O876" i="33"/>
  <c r="P876" i="33"/>
  <c r="C877" i="33"/>
  <c r="F877" i="33"/>
  <c r="G877" i="33"/>
  <c r="J877" i="33"/>
  <c r="K877" i="33"/>
  <c r="L877" i="33"/>
  <c r="M877" i="33"/>
  <c r="N877" i="33"/>
  <c r="O877" i="33"/>
  <c r="P877" i="33"/>
  <c r="C878" i="33"/>
  <c r="F878" i="33"/>
  <c r="G878" i="33"/>
  <c r="J878" i="33"/>
  <c r="K878" i="33"/>
  <c r="L878" i="33"/>
  <c r="M878" i="33"/>
  <c r="N878" i="33"/>
  <c r="O878" i="33"/>
  <c r="P878" i="33"/>
  <c r="C879" i="33"/>
  <c r="F879" i="33"/>
  <c r="G879" i="33"/>
  <c r="J879" i="33"/>
  <c r="K879" i="33"/>
  <c r="L879" i="33"/>
  <c r="M879" i="33"/>
  <c r="N879" i="33"/>
  <c r="O879" i="33"/>
  <c r="P879" i="33"/>
  <c r="C880" i="33"/>
  <c r="F880" i="33"/>
  <c r="G880" i="33"/>
  <c r="J880" i="33"/>
  <c r="K880" i="33"/>
  <c r="L880" i="33"/>
  <c r="M880" i="33"/>
  <c r="N880" i="33"/>
  <c r="O880" i="33"/>
  <c r="P880" i="33"/>
  <c r="C881" i="33"/>
  <c r="F881" i="33"/>
  <c r="G881" i="33"/>
  <c r="J881" i="33"/>
  <c r="K881" i="33"/>
  <c r="L881" i="33"/>
  <c r="M881" i="33"/>
  <c r="N881" i="33"/>
  <c r="O881" i="33"/>
  <c r="P881" i="33"/>
  <c r="C882" i="33"/>
  <c r="F882" i="33"/>
  <c r="G882" i="33"/>
  <c r="J882" i="33"/>
  <c r="K882" i="33"/>
  <c r="L882" i="33"/>
  <c r="M882" i="33"/>
  <c r="N882" i="33"/>
  <c r="O882" i="33"/>
  <c r="P882" i="33"/>
  <c r="C883" i="33"/>
  <c r="F883" i="33"/>
  <c r="G883" i="33"/>
  <c r="J883" i="33"/>
  <c r="K883" i="33"/>
  <c r="L883" i="33"/>
  <c r="M883" i="33"/>
  <c r="N883" i="33"/>
  <c r="O883" i="33"/>
  <c r="P883" i="33"/>
  <c r="C884" i="33"/>
  <c r="F884" i="33"/>
  <c r="G884" i="33"/>
  <c r="J884" i="33"/>
  <c r="K884" i="33"/>
  <c r="L884" i="33"/>
  <c r="M884" i="33"/>
  <c r="N884" i="33"/>
  <c r="O884" i="33"/>
  <c r="P884" i="33"/>
  <c r="C885" i="33"/>
  <c r="F885" i="33"/>
  <c r="G885" i="33"/>
  <c r="J885" i="33"/>
  <c r="K885" i="33"/>
  <c r="L885" i="33"/>
  <c r="M885" i="33"/>
  <c r="N885" i="33"/>
  <c r="O885" i="33"/>
  <c r="P885" i="33"/>
  <c r="C886" i="33"/>
  <c r="F886" i="33"/>
  <c r="G886" i="33"/>
  <c r="J886" i="33"/>
  <c r="K886" i="33"/>
  <c r="L886" i="33"/>
  <c r="M886" i="33"/>
  <c r="N886" i="33"/>
  <c r="O886" i="33"/>
  <c r="P886" i="33"/>
  <c r="C887" i="33"/>
  <c r="F887" i="33"/>
  <c r="G887" i="33"/>
  <c r="J887" i="33"/>
  <c r="K887" i="33"/>
  <c r="L887" i="33"/>
  <c r="M887" i="33"/>
  <c r="N887" i="33"/>
  <c r="O887" i="33"/>
  <c r="P887" i="33"/>
  <c r="C888" i="33"/>
  <c r="F888" i="33"/>
  <c r="G888" i="33"/>
  <c r="J888" i="33"/>
  <c r="K888" i="33"/>
  <c r="L888" i="33"/>
  <c r="M888" i="33"/>
  <c r="N888" i="33"/>
  <c r="O888" i="33"/>
  <c r="P888" i="33"/>
  <c r="C889" i="33"/>
  <c r="F889" i="33"/>
  <c r="G889" i="33"/>
  <c r="J889" i="33"/>
  <c r="K889" i="33"/>
  <c r="L889" i="33"/>
  <c r="M889" i="33"/>
  <c r="N889" i="33"/>
  <c r="O889" i="33"/>
  <c r="P889" i="33"/>
  <c r="C890" i="33"/>
  <c r="F890" i="33"/>
  <c r="G890" i="33"/>
  <c r="J890" i="33"/>
  <c r="K890" i="33"/>
  <c r="L890" i="33"/>
  <c r="M890" i="33"/>
  <c r="N890" i="33"/>
  <c r="O890" i="33"/>
  <c r="P890" i="33"/>
  <c r="C891" i="33"/>
  <c r="F891" i="33"/>
  <c r="G891" i="33"/>
  <c r="J891" i="33"/>
  <c r="K891" i="33"/>
  <c r="L891" i="33"/>
  <c r="M891" i="33"/>
  <c r="N891" i="33"/>
  <c r="O891" i="33"/>
  <c r="P891" i="33"/>
  <c r="C892" i="33"/>
  <c r="F892" i="33"/>
  <c r="G892" i="33"/>
  <c r="J892" i="33"/>
  <c r="K892" i="33"/>
  <c r="L892" i="33"/>
  <c r="M892" i="33"/>
  <c r="N892" i="33"/>
  <c r="O892" i="33"/>
  <c r="P892" i="33"/>
  <c r="C893" i="33"/>
  <c r="F893" i="33"/>
  <c r="G893" i="33"/>
  <c r="J893" i="33"/>
  <c r="K893" i="33"/>
  <c r="L893" i="33"/>
  <c r="M893" i="33"/>
  <c r="N893" i="33"/>
  <c r="O893" i="33"/>
  <c r="P893" i="33"/>
  <c r="C894" i="33"/>
  <c r="F894" i="33"/>
  <c r="G894" i="33"/>
  <c r="J894" i="33"/>
  <c r="K894" i="33"/>
  <c r="L894" i="33"/>
  <c r="M894" i="33"/>
  <c r="N894" i="33"/>
  <c r="O894" i="33"/>
  <c r="P894" i="33"/>
  <c r="C895" i="33"/>
  <c r="F895" i="33"/>
  <c r="G895" i="33"/>
  <c r="J895" i="33"/>
  <c r="K895" i="33"/>
  <c r="L895" i="33"/>
  <c r="M895" i="33"/>
  <c r="N895" i="33"/>
  <c r="O895" i="33"/>
  <c r="P895" i="33"/>
  <c r="C896" i="33"/>
  <c r="F896" i="33"/>
  <c r="G896" i="33"/>
  <c r="J896" i="33"/>
  <c r="K896" i="33"/>
  <c r="L896" i="33"/>
  <c r="M896" i="33"/>
  <c r="N896" i="33"/>
  <c r="O896" i="33"/>
  <c r="P896" i="33"/>
  <c r="C897" i="33"/>
  <c r="F897" i="33"/>
  <c r="G897" i="33"/>
  <c r="J897" i="33"/>
  <c r="K897" i="33"/>
  <c r="L897" i="33"/>
  <c r="M897" i="33"/>
  <c r="N897" i="33"/>
  <c r="O897" i="33"/>
  <c r="P897" i="33"/>
  <c r="C898" i="33"/>
  <c r="F898" i="33"/>
  <c r="G898" i="33"/>
  <c r="J898" i="33"/>
  <c r="K898" i="33"/>
  <c r="L898" i="33"/>
  <c r="M898" i="33"/>
  <c r="N898" i="33"/>
  <c r="O898" i="33"/>
  <c r="P898" i="33"/>
  <c r="C899" i="33"/>
  <c r="F899" i="33"/>
  <c r="G899" i="33"/>
  <c r="J899" i="33"/>
  <c r="K899" i="33"/>
  <c r="L899" i="33"/>
  <c r="M899" i="33"/>
  <c r="N899" i="33"/>
  <c r="O899" i="33"/>
  <c r="P899" i="33"/>
  <c r="C900" i="33"/>
  <c r="F900" i="33"/>
  <c r="G900" i="33"/>
  <c r="J900" i="33"/>
  <c r="K900" i="33"/>
  <c r="L900" i="33"/>
  <c r="M900" i="33"/>
  <c r="N900" i="33"/>
  <c r="O900" i="33"/>
  <c r="P900" i="33"/>
  <c r="C901" i="33"/>
  <c r="F901" i="33"/>
  <c r="G901" i="33"/>
  <c r="J901" i="33"/>
  <c r="K901" i="33"/>
  <c r="L901" i="33"/>
  <c r="M901" i="33"/>
  <c r="N901" i="33"/>
  <c r="O901" i="33"/>
  <c r="P901" i="33"/>
  <c r="C902" i="33"/>
  <c r="F902" i="33"/>
  <c r="G902" i="33"/>
  <c r="J902" i="33"/>
  <c r="K902" i="33"/>
  <c r="L902" i="33"/>
  <c r="M902" i="33"/>
  <c r="N902" i="33"/>
  <c r="O902" i="33"/>
  <c r="P902" i="33"/>
  <c r="C903" i="33"/>
  <c r="F903" i="33"/>
  <c r="G903" i="33"/>
  <c r="J903" i="33"/>
  <c r="K903" i="33"/>
  <c r="L903" i="33"/>
  <c r="M903" i="33"/>
  <c r="N903" i="33"/>
  <c r="O903" i="33"/>
  <c r="P903" i="33"/>
  <c r="C904" i="33"/>
  <c r="F904" i="33"/>
  <c r="G904" i="33"/>
  <c r="J904" i="33"/>
  <c r="K904" i="33"/>
  <c r="L904" i="33"/>
  <c r="M904" i="33"/>
  <c r="N904" i="33"/>
  <c r="O904" i="33"/>
  <c r="P904" i="33"/>
  <c r="C905" i="33"/>
  <c r="F905" i="33"/>
  <c r="G905" i="33"/>
  <c r="J905" i="33"/>
  <c r="K905" i="33"/>
  <c r="L905" i="33"/>
  <c r="M905" i="33"/>
  <c r="N905" i="33"/>
  <c r="O905" i="33"/>
  <c r="P905" i="33"/>
  <c r="C906" i="33"/>
  <c r="F906" i="33"/>
  <c r="G906" i="33"/>
  <c r="J906" i="33"/>
  <c r="K906" i="33"/>
  <c r="L906" i="33"/>
  <c r="M906" i="33"/>
  <c r="N906" i="33"/>
  <c r="O906" i="33"/>
  <c r="P906" i="33"/>
  <c r="C907" i="33"/>
  <c r="F907" i="33"/>
  <c r="G907" i="33"/>
  <c r="J907" i="33"/>
  <c r="K907" i="33"/>
  <c r="L907" i="33"/>
  <c r="M907" i="33"/>
  <c r="N907" i="33"/>
  <c r="O907" i="33"/>
  <c r="P907" i="33"/>
  <c r="C908" i="33"/>
  <c r="F908" i="33"/>
  <c r="G908" i="33"/>
  <c r="J908" i="33"/>
  <c r="K908" i="33"/>
  <c r="L908" i="33"/>
  <c r="M908" i="33"/>
  <c r="N908" i="33"/>
  <c r="O908" i="33"/>
  <c r="P908" i="33"/>
  <c r="C909" i="33"/>
  <c r="F909" i="33"/>
  <c r="G909" i="33"/>
  <c r="J909" i="33"/>
  <c r="K909" i="33"/>
  <c r="L909" i="33"/>
  <c r="M909" i="33"/>
  <c r="N909" i="33"/>
  <c r="O909" i="33"/>
  <c r="P909" i="33"/>
  <c r="C910" i="33"/>
  <c r="F910" i="33"/>
  <c r="G910" i="33"/>
  <c r="J910" i="33"/>
  <c r="K910" i="33"/>
  <c r="L910" i="33"/>
  <c r="M910" i="33"/>
  <c r="N910" i="33"/>
  <c r="O910" i="33"/>
  <c r="P910" i="33"/>
  <c r="C911" i="33"/>
  <c r="F911" i="33"/>
  <c r="G911" i="33"/>
  <c r="J911" i="33"/>
  <c r="K911" i="33"/>
  <c r="L911" i="33"/>
  <c r="M911" i="33"/>
  <c r="N911" i="33"/>
  <c r="O911" i="33"/>
  <c r="P911" i="33"/>
  <c r="C912" i="33"/>
  <c r="F912" i="33"/>
  <c r="G912" i="33"/>
  <c r="J912" i="33"/>
  <c r="K912" i="33"/>
  <c r="L912" i="33"/>
  <c r="M912" i="33"/>
  <c r="N912" i="33"/>
  <c r="O912" i="33"/>
  <c r="P912" i="33"/>
  <c r="C913" i="33"/>
  <c r="F913" i="33"/>
  <c r="G913" i="33"/>
  <c r="J913" i="33"/>
  <c r="K913" i="33"/>
  <c r="L913" i="33"/>
  <c r="M913" i="33"/>
  <c r="N913" i="33"/>
  <c r="O913" i="33"/>
  <c r="P913" i="33"/>
  <c r="C914" i="33"/>
  <c r="F914" i="33"/>
  <c r="G914" i="33"/>
  <c r="J914" i="33"/>
  <c r="K914" i="33"/>
  <c r="L914" i="33"/>
  <c r="M914" i="33"/>
  <c r="N914" i="33"/>
  <c r="O914" i="33"/>
  <c r="P914" i="33"/>
  <c r="C915" i="33"/>
  <c r="F915" i="33"/>
  <c r="G915" i="33"/>
  <c r="J915" i="33"/>
  <c r="K915" i="33"/>
  <c r="L915" i="33"/>
  <c r="M915" i="33"/>
  <c r="N915" i="33"/>
  <c r="O915" i="33"/>
  <c r="P915" i="33"/>
  <c r="C916" i="33"/>
  <c r="F916" i="33"/>
  <c r="G916" i="33"/>
  <c r="J916" i="33"/>
  <c r="K916" i="33"/>
  <c r="L916" i="33"/>
  <c r="M916" i="33"/>
  <c r="N916" i="33"/>
  <c r="O916" i="33"/>
  <c r="P916" i="33"/>
  <c r="C917" i="33"/>
  <c r="F917" i="33"/>
  <c r="G917" i="33"/>
  <c r="J917" i="33"/>
  <c r="K917" i="33"/>
  <c r="L917" i="33"/>
  <c r="M917" i="33"/>
  <c r="N917" i="33"/>
  <c r="O917" i="33"/>
  <c r="P917" i="33"/>
  <c r="C918" i="33"/>
  <c r="F918" i="33"/>
  <c r="G918" i="33"/>
  <c r="J918" i="33"/>
  <c r="K918" i="33"/>
  <c r="L918" i="33"/>
  <c r="M918" i="33"/>
  <c r="N918" i="33"/>
  <c r="O918" i="33"/>
  <c r="P918" i="33"/>
  <c r="C919" i="33"/>
  <c r="F919" i="33"/>
  <c r="G919" i="33"/>
  <c r="J919" i="33"/>
  <c r="K919" i="33"/>
  <c r="L919" i="33"/>
  <c r="M919" i="33"/>
  <c r="N919" i="33"/>
  <c r="O919" i="33"/>
  <c r="P919" i="33"/>
  <c r="C920" i="33"/>
  <c r="F920" i="33"/>
  <c r="G920" i="33"/>
  <c r="J920" i="33"/>
  <c r="K920" i="33"/>
  <c r="L920" i="33"/>
  <c r="M920" i="33"/>
  <c r="N920" i="33"/>
  <c r="O920" i="33"/>
  <c r="P920" i="33"/>
  <c r="C921" i="33"/>
  <c r="F921" i="33"/>
  <c r="G921" i="33"/>
  <c r="J921" i="33"/>
  <c r="K921" i="33"/>
  <c r="L921" i="33"/>
  <c r="M921" i="33"/>
  <c r="N921" i="33"/>
  <c r="O921" i="33"/>
  <c r="P921" i="33"/>
  <c r="C922" i="33"/>
  <c r="F922" i="33"/>
  <c r="G922" i="33"/>
  <c r="J922" i="33"/>
  <c r="K922" i="33"/>
  <c r="L922" i="33"/>
  <c r="M922" i="33"/>
  <c r="N922" i="33"/>
  <c r="O922" i="33"/>
  <c r="P922" i="33"/>
  <c r="C923" i="33"/>
  <c r="F923" i="33"/>
  <c r="G923" i="33"/>
  <c r="J923" i="33"/>
  <c r="K923" i="33"/>
  <c r="L923" i="33"/>
  <c r="M923" i="33"/>
  <c r="N923" i="33"/>
  <c r="O923" i="33"/>
  <c r="P923" i="33"/>
  <c r="C924" i="33"/>
  <c r="F924" i="33"/>
  <c r="G924" i="33"/>
  <c r="J924" i="33"/>
  <c r="K924" i="33"/>
  <c r="L924" i="33"/>
  <c r="M924" i="33"/>
  <c r="N924" i="33"/>
  <c r="O924" i="33"/>
  <c r="P924" i="33"/>
  <c r="C925" i="33"/>
  <c r="F925" i="33"/>
  <c r="G925" i="33"/>
  <c r="J925" i="33"/>
  <c r="K925" i="33"/>
  <c r="L925" i="33"/>
  <c r="M925" i="33"/>
  <c r="N925" i="33"/>
  <c r="O925" i="33"/>
  <c r="P925" i="33"/>
  <c r="C926" i="33"/>
  <c r="F926" i="33"/>
  <c r="G926" i="33"/>
  <c r="J926" i="33"/>
  <c r="K926" i="33"/>
  <c r="L926" i="33"/>
  <c r="M926" i="33"/>
  <c r="N926" i="33"/>
  <c r="O926" i="33"/>
  <c r="P926" i="33"/>
  <c r="C927" i="33"/>
  <c r="F927" i="33"/>
  <c r="G927" i="33"/>
  <c r="J927" i="33"/>
  <c r="K927" i="33"/>
  <c r="L927" i="33"/>
  <c r="M927" i="33"/>
  <c r="N927" i="33"/>
  <c r="O927" i="33"/>
  <c r="P927" i="33"/>
  <c r="C928" i="33"/>
  <c r="F928" i="33"/>
  <c r="G928" i="33"/>
  <c r="J928" i="33"/>
  <c r="K928" i="33"/>
  <c r="L928" i="33"/>
  <c r="M928" i="33"/>
  <c r="N928" i="33"/>
  <c r="O928" i="33"/>
  <c r="P928" i="33"/>
  <c r="C929" i="33"/>
  <c r="F929" i="33"/>
  <c r="G929" i="33"/>
  <c r="J929" i="33"/>
  <c r="K929" i="33"/>
  <c r="L929" i="33"/>
  <c r="M929" i="33"/>
  <c r="N929" i="33"/>
  <c r="O929" i="33"/>
  <c r="P929" i="33"/>
  <c r="C930" i="33"/>
  <c r="F930" i="33"/>
  <c r="G930" i="33"/>
  <c r="J930" i="33"/>
  <c r="K930" i="33"/>
  <c r="L930" i="33"/>
  <c r="M930" i="33"/>
  <c r="N930" i="33"/>
  <c r="O930" i="33"/>
  <c r="P930" i="33"/>
  <c r="C931" i="33"/>
  <c r="F931" i="33"/>
  <c r="G931" i="33"/>
  <c r="J931" i="33"/>
  <c r="K931" i="33"/>
  <c r="L931" i="33"/>
  <c r="M931" i="33"/>
  <c r="N931" i="33"/>
  <c r="O931" i="33"/>
  <c r="P931" i="33"/>
  <c r="C932" i="33"/>
  <c r="F932" i="33"/>
  <c r="G932" i="33"/>
  <c r="J932" i="33"/>
  <c r="K932" i="33"/>
  <c r="L932" i="33"/>
  <c r="M932" i="33"/>
  <c r="N932" i="33"/>
  <c r="O932" i="33"/>
  <c r="P932" i="33"/>
  <c r="C933" i="33"/>
  <c r="F933" i="33"/>
  <c r="G933" i="33"/>
  <c r="J933" i="33"/>
  <c r="K933" i="33"/>
  <c r="L933" i="33"/>
  <c r="M933" i="33"/>
  <c r="N933" i="33"/>
  <c r="O933" i="33"/>
  <c r="P933" i="33"/>
  <c r="C934" i="33"/>
  <c r="F934" i="33"/>
  <c r="G934" i="33"/>
  <c r="J934" i="33"/>
  <c r="K934" i="33"/>
  <c r="L934" i="33"/>
  <c r="M934" i="33"/>
  <c r="N934" i="33"/>
  <c r="O934" i="33"/>
  <c r="P934" i="33"/>
  <c r="C935" i="33"/>
  <c r="F935" i="33"/>
  <c r="G935" i="33"/>
  <c r="J935" i="33"/>
  <c r="K935" i="33"/>
  <c r="L935" i="33"/>
  <c r="M935" i="33"/>
  <c r="N935" i="33"/>
  <c r="O935" i="33"/>
  <c r="P935" i="33"/>
  <c r="C936" i="33"/>
  <c r="F936" i="33"/>
  <c r="G936" i="33"/>
  <c r="J936" i="33"/>
  <c r="K936" i="33"/>
  <c r="L936" i="33"/>
  <c r="M936" i="33"/>
  <c r="N936" i="33"/>
  <c r="O936" i="33"/>
  <c r="P936" i="33"/>
  <c r="C937" i="33"/>
  <c r="F937" i="33"/>
  <c r="G937" i="33"/>
  <c r="J937" i="33"/>
  <c r="K937" i="33"/>
  <c r="L937" i="33"/>
  <c r="M937" i="33"/>
  <c r="N937" i="33"/>
  <c r="O937" i="33"/>
  <c r="P937" i="33"/>
  <c r="C938" i="33"/>
  <c r="F938" i="33"/>
  <c r="G938" i="33"/>
  <c r="J938" i="33"/>
  <c r="K938" i="33"/>
  <c r="L938" i="33"/>
  <c r="M938" i="33"/>
  <c r="N938" i="33"/>
  <c r="O938" i="33"/>
  <c r="P938" i="33"/>
  <c r="C939" i="33"/>
  <c r="F939" i="33"/>
  <c r="G939" i="33"/>
  <c r="J939" i="33"/>
  <c r="K939" i="33"/>
  <c r="L939" i="33"/>
  <c r="M939" i="33"/>
  <c r="N939" i="33"/>
  <c r="O939" i="33"/>
  <c r="P939" i="33"/>
  <c r="C940" i="33"/>
  <c r="F940" i="33"/>
  <c r="G940" i="33"/>
  <c r="J940" i="33"/>
  <c r="K940" i="33"/>
  <c r="L940" i="33"/>
  <c r="M940" i="33"/>
  <c r="N940" i="33"/>
  <c r="O940" i="33"/>
  <c r="P940" i="33"/>
  <c r="C941" i="33"/>
  <c r="F941" i="33"/>
  <c r="G941" i="33"/>
  <c r="J941" i="33"/>
  <c r="K941" i="33"/>
  <c r="L941" i="33"/>
  <c r="M941" i="33"/>
  <c r="N941" i="33"/>
  <c r="O941" i="33"/>
  <c r="P941" i="33"/>
  <c r="C942" i="33"/>
  <c r="F942" i="33"/>
  <c r="G942" i="33"/>
  <c r="J942" i="33"/>
  <c r="K942" i="33"/>
  <c r="L942" i="33"/>
  <c r="M942" i="33"/>
  <c r="N942" i="33"/>
  <c r="O942" i="33"/>
  <c r="P942" i="33"/>
  <c r="C943" i="33"/>
  <c r="F943" i="33"/>
  <c r="G943" i="33"/>
  <c r="J943" i="33"/>
  <c r="K943" i="33"/>
  <c r="L943" i="33"/>
  <c r="M943" i="33"/>
  <c r="N943" i="33"/>
  <c r="O943" i="33"/>
  <c r="P943" i="33"/>
  <c r="C944" i="33"/>
  <c r="F944" i="33"/>
  <c r="G944" i="33"/>
  <c r="J944" i="33"/>
  <c r="K944" i="33"/>
  <c r="L944" i="33"/>
  <c r="M944" i="33"/>
  <c r="N944" i="33"/>
  <c r="O944" i="33"/>
  <c r="P944" i="33"/>
  <c r="C945" i="33"/>
  <c r="F945" i="33"/>
  <c r="G945" i="33"/>
  <c r="J945" i="33"/>
  <c r="K945" i="33"/>
  <c r="L945" i="33"/>
  <c r="M945" i="33"/>
  <c r="N945" i="33"/>
  <c r="O945" i="33"/>
  <c r="P945" i="33"/>
  <c r="C946" i="33"/>
  <c r="F946" i="33"/>
  <c r="G946" i="33"/>
  <c r="J946" i="33"/>
  <c r="K946" i="33"/>
  <c r="L946" i="33"/>
  <c r="M946" i="33"/>
  <c r="N946" i="33"/>
  <c r="O946" i="33"/>
  <c r="P946" i="33"/>
  <c r="C947" i="33"/>
  <c r="F947" i="33"/>
  <c r="G947" i="33"/>
  <c r="J947" i="33"/>
  <c r="K947" i="33"/>
  <c r="L947" i="33"/>
  <c r="M947" i="33"/>
  <c r="N947" i="33"/>
  <c r="O947" i="33"/>
  <c r="P947" i="33"/>
  <c r="C948" i="33"/>
  <c r="F948" i="33"/>
  <c r="G948" i="33"/>
  <c r="J948" i="33"/>
  <c r="K948" i="33"/>
  <c r="L948" i="33"/>
  <c r="M948" i="33"/>
  <c r="N948" i="33"/>
  <c r="O948" i="33"/>
  <c r="P948" i="33"/>
  <c r="C949" i="33"/>
  <c r="F949" i="33"/>
  <c r="G949" i="33"/>
  <c r="J949" i="33"/>
  <c r="K949" i="33"/>
  <c r="L949" i="33"/>
  <c r="M949" i="33"/>
  <c r="N949" i="33"/>
  <c r="O949" i="33"/>
  <c r="P949" i="33"/>
  <c r="C950" i="33"/>
  <c r="F950" i="33"/>
  <c r="G950" i="33"/>
  <c r="J950" i="33"/>
  <c r="K950" i="33"/>
  <c r="L950" i="33"/>
  <c r="M950" i="33"/>
  <c r="N950" i="33"/>
  <c r="O950" i="33"/>
  <c r="P950" i="33"/>
  <c r="C951" i="33"/>
  <c r="F951" i="33"/>
  <c r="G951" i="33"/>
  <c r="J951" i="33"/>
  <c r="K951" i="33"/>
  <c r="L951" i="33"/>
  <c r="M951" i="33"/>
  <c r="N951" i="33"/>
  <c r="O951" i="33"/>
  <c r="P951" i="33"/>
  <c r="C952" i="33"/>
  <c r="F952" i="33"/>
  <c r="G952" i="33"/>
  <c r="J952" i="33"/>
  <c r="K952" i="33"/>
  <c r="L952" i="33"/>
  <c r="M952" i="33"/>
  <c r="N952" i="33"/>
  <c r="O952" i="33"/>
  <c r="P952" i="33"/>
  <c r="C953" i="33"/>
  <c r="F953" i="33"/>
  <c r="G953" i="33"/>
  <c r="J953" i="33"/>
  <c r="K953" i="33"/>
  <c r="L953" i="33"/>
  <c r="M953" i="33"/>
  <c r="N953" i="33"/>
  <c r="O953" i="33"/>
  <c r="P953" i="33"/>
  <c r="C954" i="33"/>
  <c r="F954" i="33"/>
  <c r="G954" i="33"/>
  <c r="J954" i="33"/>
  <c r="K954" i="33"/>
  <c r="L954" i="33"/>
  <c r="M954" i="33"/>
  <c r="N954" i="33"/>
  <c r="O954" i="33"/>
  <c r="P954" i="33"/>
  <c r="C955" i="33"/>
  <c r="F955" i="33"/>
  <c r="G955" i="33"/>
  <c r="J955" i="33"/>
  <c r="K955" i="33"/>
  <c r="L955" i="33"/>
  <c r="M955" i="33"/>
  <c r="N955" i="33"/>
  <c r="O955" i="33"/>
  <c r="P955" i="33"/>
  <c r="C956" i="33"/>
  <c r="F956" i="33"/>
  <c r="G956" i="33"/>
  <c r="J956" i="33"/>
  <c r="K956" i="33"/>
  <c r="L956" i="33"/>
  <c r="M956" i="33"/>
  <c r="N956" i="33"/>
  <c r="O956" i="33"/>
  <c r="P956" i="33"/>
  <c r="C957" i="33"/>
  <c r="F957" i="33"/>
  <c r="G957" i="33"/>
  <c r="J957" i="33"/>
  <c r="K957" i="33"/>
  <c r="L957" i="33"/>
  <c r="M957" i="33"/>
  <c r="N957" i="33"/>
  <c r="O957" i="33"/>
  <c r="P957" i="33"/>
  <c r="C958" i="33"/>
  <c r="F958" i="33"/>
  <c r="G958" i="33"/>
  <c r="J958" i="33"/>
  <c r="K958" i="33"/>
  <c r="L958" i="33"/>
  <c r="M958" i="33"/>
  <c r="N958" i="33"/>
  <c r="O958" i="33"/>
  <c r="P958" i="33"/>
  <c r="C959" i="33"/>
  <c r="F959" i="33"/>
  <c r="G959" i="33"/>
  <c r="J959" i="33"/>
  <c r="K959" i="33"/>
  <c r="L959" i="33"/>
  <c r="M959" i="33"/>
  <c r="N959" i="33"/>
  <c r="O959" i="33"/>
  <c r="P959" i="33"/>
  <c r="C960" i="33"/>
  <c r="F960" i="33"/>
  <c r="G960" i="33"/>
  <c r="J960" i="33"/>
  <c r="K960" i="33"/>
  <c r="L960" i="33"/>
  <c r="M960" i="33"/>
  <c r="N960" i="33"/>
  <c r="O960" i="33"/>
  <c r="P960" i="33"/>
  <c r="C961" i="33"/>
  <c r="F961" i="33"/>
  <c r="G961" i="33"/>
  <c r="J961" i="33"/>
  <c r="K961" i="33"/>
  <c r="L961" i="33"/>
  <c r="M961" i="33"/>
  <c r="N961" i="33"/>
  <c r="O961" i="33"/>
  <c r="P961" i="33"/>
  <c r="C962" i="33"/>
  <c r="F962" i="33"/>
  <c r="G962" i="33"/>
  <c r="J962" i="33"/>
  <c r="K962" i="33"/>
  <c r="L962" i="33"/>
  <c r="M962" i="33"/>
  <c r="N962" i="33"/>
  <c r="O962" i="33"/>
  <c r="P962" i="33"/>
  <c r="C963" i="33"/>
  <c r="F963" i="33"/>
  <c r="G963" i="33"/>
  <c r="J963" i="33"/>
  <c r="K963" i="33"/>
  <c r="L963" i="33"/>
  <c r="M963" i="33"/>
  <c r="N963" i="33"/>
  <c r="O963" i="33"/>
  <c r="P963" i="33"/>
  <c r="C964" i="33"/>
  <c r="F964" i="33"/>
  <c r="G964" i="33"/>
  <c r="J964" i="33"/>
  <c r="K964" i="33"/>
  <c r="L964" i="33"/>
  <c r="M964" i="33"/>
  <c r="N964" i="33"/>
  <c r="O964" i="33"/>
  <c r="P964" i="33"/>
  <c r="C965" i="33"/>
  <c r="F965" i="33"/>
  <c r="G965" i="33"/>
  <c r="J965" i="33"/>
  <c r="K965" i="33"/>
  <c r="L965" i="33"/>
  <c r="M965" i="33"/>
  <c r="N965" i="33"/>
  <c r="O965" i="33"/>
  <c r="P965" i="33"/>
  <c r="C966" i="33"/>
  <c r="F966" i="33"/>
  <c r="G966" i="33"/>
  <c r="J966" i="33"/>
  <c r="K966" i="33"/>
  <c r="L966" i="33"/>
  <c r="M966" i="33"/>
  <c r="N966" i="33"/>
  <c r="O966" i="33"/>
  <c r="P966" i="33"/>
  <c r="C967" i="33"/>
  <c r="F967" i="33"/>
  <c r="G967" i="33"/>
  <c r="J967" i="33"/>
  <c r="K967" i="33"/>
  <c r="L967" i="33"/>
  <c r="M967" i="33"/>
  <c r="N967" i="33"/>
  <c r="O967" i="33"/>
  <c r="P967" i="33"/>
  <c r="C968" i="33"/>
  <c r="F968" i="33"/>
  <c r="G968" i="33"/>
  <c r="J968" i="33"/>
  <c r="K968" i="33"/>
  <c r="L968" i="33"/>
  <c r="M968" i="33"/>
  <c r="N968" i="33"/>
  <c r="O968" i="33"/>
  <c r="P968" i="33"/>
  <c r="C969" i="33"/>
  <c r="F969" i="33"/>
  <c r="G969" i="33"/>
  <c r="J969" i="33"/>
  <c r="K969" i="33"/>
  <c r="L969" i="33"/>
  <c r="M969" i="33"/>
  <c r="N969" i="33"/>
  <c r="O969" i="33"/>
  <c r="P969" i="33"/>
  <c r="C970" i="33"/>
  <c r="F970" i="33"/>
  <c r="G970" i="33"/>
  <c r="J970" i="33"/>
  <c r="K970" i="33"/>
  <c r="L970" i="33"/>
  <c r="M970" i="33"/>
  <c r="N970" i="33"/>
  <c r="O970" i="33"/>
  <c r="P970" i="33"/>
  <c r="C971" i="33"/>
  <c r="F971" i="33"/>
  <c r="G971" i="33"/>
  <c r="J971" i="33"/>
  <c r="K971" i="33"/>
  <c r="L971" i="33"/>
  <c r="M971" i="33"/>
  <c r="N971" i="33"/>
  <c r="O971" i="33"/>
  <c r="P971" i="33"/>
  <c r="C972" i="33"/>
  <c r="F972" i="33"/>
  <c r="G972" i="33"/>
  <c r="J972" i="33"/>
  <c r="K972" i="33"/>
  <c r="L972" i="33"/>
  <c r="M972" i="33"/>
  <c r="N972" i="33"/>
  <c r="O972" i="33"/>
  <c r="P972" i="33"/>
  <c r="C973" i="33"/>
  <c r="F973" i="33"/>
  <c r="G973" i="33"/>
  <c r="J973" i="33"/>
  <c r="K973" i="33"/>
  <c r="L973" i="33"/>
  <c r="M973" i="33"/>
  <c r="N973" i="33"/>
  <c r="O973" i="33"/>
  <c r="P973" i="33"/>
  <c r="C974" i="33"/>
  <c r="F974" i="33"/>
  <c r="G974" i="33"/>
  <c r="J974" i="33"/>
  <c r="K974" i="33"/>
  <c r="L974" i="33"/>
  <c r="M974" i="33"/>
  <c r="N974" i="33"/>
  <c r="O974" i="33"/>
  <c r="P974" i="33"/>
  <c r="C975" i="33"/>
  <c r="F975" i="33"/>
  <c r="G975" i="33"/>
  <c r="J975" i="33"/>
  <c r="K975" i="33"/>
  <c r="L975" i="33"/>
  <c r="M975" i="33"/>
  <c r="N975" i="33"/>
  <c r="O975" i="33"/>
  <c r="P975" i="33"/>
  <c r="C976" i="33"/>
  <c r="F976" i="33"/>
  <c r="G976" i="33"/>
  <c r="J976" i="33"/>
  <c r="K976" i="33"/>
  <c r="L976" i="33"/>
  <c r="M976" i="33"/>
  <c r="N976" i="33"/>
  <c r="O976" i="33"/>
  <c r="P976" i="33"/>
  <c r="C977" i="33"/>
  <c r="F977" i="33"/>
  <c r="G977" i="33"/>
  <c r="J977" i="33"/>
  <c r="K977" i="33"/>
  <c r="L977" i="33"/>
  <c r="M977" i="33"/>
  <c r="N977" i="33"/>
  <c r="O977" i="33"/>
  <c r="P977" i="33"/>
  <c r="C978" i="33"/>
  <c r="F978" i="33"/>
  <c r="G978" i="33"/>
  <c r="J978" i="33"/>
  <c r="K978" i="33"/>
  <c r="L978" i="33"/>
  <c r="M978" i="33"/>
  <c r="N978" i="33"/>
  <c r="O978" i="33"/>
  <c r="P978" i="33"/>
  <c r="C979" i="33"/>
  <c r="F979" i="33"/>
  <c r="G979" i="33"/>
  <c r="J979" i="33"/>
  <c r="K979" i="33"/>
  <c r="L979" i="33"/>
  <c r="M979" i="33"/>
  <c r="N979" i="33"/>
  <c r="O979" i="33"/>
  <c r="P979" i="33"/>
  <c r="C980" i="33"/>
  <c r="F980" i="33"/>
  <c r="G980" i="33"/>
  <c r="J980" i="33"/>
  <c r="K980" i="33"/>
  <c r="L980" i="33"/>
  <c r="M980" i="33"/>
  <c r="N980" i="33"/>
  <c r="O980" i="33"/>
  <c r="P980" i="33"/>
  <c r="C981" i="33"/>
  <c r="F981" i="33"/>
  <c r="G981" i="33"/>
  <c r="J981" i="33"/>
  <c r="K981" i="33"/>
  <c r="L981" i="33"/>
  <c r="M981" i="33"/>
  <c r="N981" i="33"/>
  <c r="O981" i="33"/>
  <c r="P981" i="33"/>
  <c r="C982" i="33"/>
  <c r="F982" i="33"/>
  <c r="G982" i="33"/>
  <c r="J982" i="33"/>
  <c r="K982" i="33"/>
  <c r="L982" i="33"/>
  <c r="M982" i="33"/>
  <c r="N982" i="33"/>
  <c r="O982" i="33"/>
  <c r="P982" i="33"/>
  <c r="C983" i="33"/>
  <c r="F983" i="33"/>
  <c r="G983" i="33"/>
  <c r="J983" i="33"/>
  <c r="K983" i="33"/>
  <c r="L983" i="33"/>
  <c r="M983" i="33"/>
  <c r="N983" i="33"/>
  <c r="O983" i="33"/>
  <c r="P983" i="33"/>
  <c r="C984" i="33"/>
  <c r="F984" i="33"/>
  <c r="G984" i="33"/>
  <c r="J984" i="33"/>
  <c r="K984" i="33"/>
  <c r="L984" i="33"/>
  <c r="M984" i="33"/>
  <c r="N984" i="33"/>
  <c r="O984" i="33"/>
  <c r="P984" i="33"/>
  <c r="C985" i="33"/>
  <c r="F985" i="33"/>
  <c r="G985" i="33"/>
  <c r="J985" i="33"/>
  <c r="K985" i="33"/>
  <c r="L985" i="33"/>
  <c r="M985" i="33"/>
  <c r="N985" i="33"/>
  <c r="O985" i="33"/>
  <c r="P985" i="33"/>
  <c r="C986" i="33"/>
  <c r="F986" i="33"/>
  <c r="G986" i="33"/>
  <c r="J986" i="33"/>
  <c r="K986" i="33"/>
  <c r="L986" i="33"/>
  <c r="M986" i="33"/>
  <c r="N986" i="33"/>
  <c r="O986" i="33"/>
  <c r="P986" i="33"/>
  <c r="C987" i="33"/>
  <c r="F987" i="33"/>
  <c r="G987" i="33"/>
  <c r="J987" i="33"/>
  <c r="K987" i="33"/>
  <c r="L987" i="33"/>
  <c r="M987" i="33"/>
  <c r="N987" i="33"/>
  <c r="O987" i="33"/>
  <c r="P987" i="33"/>
  <c r="C988" i="33"/>
  <c r="F988" i="33"/>
  <c r="G988" i="33"/>
  <c r="J988" i="33"/>
  <c r="K988" i="33"/>
  <c r="L988" i="33"/>
  <c r="M988" i="33"/>
  <c r="N988" i="33"/>
  <c r="O988" i="33"/>
  <c r="P988" i="33"/>
  <c r="C989" i="33"/>
  <c r="F989" i="33"/>
  <c r="G989" i="33"/>
  <c r="J989" i="33"/>
  <c r="K989" i="33"/>
  <c r="L989" i="33"/>
  <c r="M989" i="33"/>
  <c r="N989" i="33"/>
  <c r="O989" i="33"/>
  <c r="P989" i="33"/>
  <c r="C990" i="33"/>
  <c r="F990" i="33"/>
  <c r="G990" i="33"/>
  <c r="J990" i="33"/>
  <c r="K990" i="33"/>
  <c r="L990" i="33"/>
  <c r="M990" i="33"/>
  <c r="N990" i="33"/>
  <c r="O990" i="33"/>
  <c r="P990" i="33"/>
  <c r="C991" i="33"/>
  <c r="F991" i="33"/>
  <c r="G991" i="33"/>
  <c r="J991" i="33"/>
  <c r="K991" i="33"/>
  <c r="L991" i="33"/>
  <c r="M991" i="33"/>
  <c r="N991" i="33"/>
  <c r="O991" i="33"/>
  <c r="P991" i="33"/>
  <c r="C992" i="33"/>
  <c r="F992" i="33"/>
  <c r="G992" i="33"/>
  <c r="J992" i="33"/>
  <c r="K992" i="33"/>
  <c r="L992" i="33"/>
  <c r="M992" i="33"/>
  <c r="N992" i="33"/>
  <c r="O992" i="33"/>
  <c r="P992" i="33"/>
  <c r="C993" i="33"/>
  <c r="F993" i="33"/>
  <c r="G993" i="33"/>
  <c r="J993" i="33"/>
  <c r="K993" i="33"/>
  <c r="L993" i="33"/>
  <c r="M993" i="33"/>
  <c r="N993" i="33"/>
  <c r="O993" i="33"/>
  <c r="P993" i="33"/>
  <c r="C994" i="33"/>
  <c r="F994" i="33"/>
  <c r="G994" i="33"/>
  <c r="J994" i="33"/>
  <c r="K994" i="33"/>
  <c r="L994" i="33"/>
  <c r="M994" i="33"/>
  <c r="N994" i="33"/>
  <c r="O994" i="33"/>
  <c r="P994" i="33"/>
  <c r="C995" i="33"/>
  <c r="F995" i="33"/>
  <c r="G995" i="33"/>
  <c r="J995" i="33"/>
  <c r="K995" i="33"/>
  <c r="L995" i="33"/>
  <c r="M995" i="33"/>
  <c r="N995" i="33"/>
  <c r="O995" i="33"/>
  <c r="P995" i="33"/>
  <c r="C996" i="33"/>
  <c r="F996" i="33"/>
  <c r="G996" i="33"/>
  <c r="J996" i="33"/>
  <c r="K996" i="33"/>
  <c r="L996" i="33"/>
  <c r="M996" i="33"/>
  <c r="N996" i="33"/>
  <c r="O996" i="33"/>
  <c r="P996" i="33"/>
  <c r="C997" i="33"/>
  <c r="F997" i="33"/>
  <c r="G997" i="33"/>
  <c r="J997" i="33"/>
  <c r="K997" i="33"/>
  <c r="L997" i="33"/>
  <c r="M997" i="33"/>
  <c r="N997" i="33"/>
  <c r="O997" i="33"/>
  <c r="P997" i="33"/>
  <c r="C998" i="33"/>
  <c r="F998" i="33"/>
  <c r="G998" i="33"/>
  <c r="J998" i="33"/>
  <c r="K998" i="33"/>
  <c r="L998" i="33"/>
  <c r="M998" i="33"/>
  <c r="N998" i="33"/>
  <c r="O998" i="33"/>
  <c r="P998" i="33"/>
  <c r="C999" i="33"/>
  <c r="F999" i="33"/>
  <c r="G999" i="33"/>
  <c r="J999" i="33"/>
  <c r="K999" i="33"/>
  <c r="L999" i="33"/>
  <c r="M999" i="33"/>
  <c r="N999" i="33"/>
  <c r="O999" i="33"/>
  <c r="P999" i="33"/>
  <c r="C1000" i="33"/>
  <c r="F1000" i="33"/>
  <c r="G1000" i="33"/>
  <c r="J1000" i="33"/>
  <c r="K1000" i="33"/>
  <c r="L1000" i="33"/>
  <c r="M1000" i="33"/>
  <c r="N1000" i="33"/>
  <c r="O1000" i="33"/>
  <c r="P1000" i="33"/>
  <c r="C1001" i="33"/>
  <c r="F1001" i="33"/>
  <c r="G1001" i="33"/>
  <c r="J1001" i="33"/>
  <c r="K1001" i="33"/>
  <c r="L1001" i="33"/>
  <c r="M1001" i="33"/>
  <c r="N1001" i="33"/>
  <c r="O1001" i="33"/>
  <c r="P1001" i="33"/>
  <c r="C1002" i="33"/>
  <c r="F1002" i="33"/>
  <c r="G1002" i="33"/>
  <c r="J1002" i="33"/>
  <c r="K1002" i="33"/>
  <c r="L1002" i="33"/>
  <c r="M1002" i="33"/>
  <c r="N1002" i="33"/>
  <c r="O1002" i="33"/>
  <c r="P1002" i="33"/>
  <c r="C1003" i="33"/>
  <c r="F1003" i="33"/>
  <c r="G1003" i="33"/>
  <c r="J1003" i="33"/>
  <c r="K1003" i="33"/>
  <c r="L1003" i="33"/>
  <c r="M1003" i="33"/>
  <c r="N1003" i="33"/>
  <c r="O1003" i="33"/>
  <c r="P1003" i="33"/>
  <c r="C1004" i="33"/>
  <c r="F1004" i="33"/>
  <c r="G1004" i="33"/>
  <c r="J1004" i="33"/>
  <c r="K1004" i="33"/>
  <c r="L1004" i="33"/>
  <c r="M1004" i="33"/>
  <c r="N1004" i="33"/>
  <c r="O1004" i="33"/>
  <c r="P1004" i="33"/>
  <c r="C1005" i="33"/>
  <c r="F1005" i="33"/>
  <c r="G1005" i="33"/>
  <c r="J1005" i="33"/>
  <c r="K1005" i="33"/>
  <c r="L1005" i="33"/>
  <c r="M1005" i="33"/>
  <c r="N1005" i="33"/>
  <c r="O1005" i="33"/>
  <c r="P1005" i="33"/>
  <c r="C1006" i="33"/>
  <c r="F1006" i="33"/>
  <c r="G1006" i="33"/>
  <c r="J1006" i="33"/>
  <c r="K1006" i="33"/>
  <c r="L1006" i="33"/>
  <c r="M1006" i="33"/>
  <c r="N1006" i="33"/>
  <c r="O1006" i="33"/>
  <c r="P1006" i="33"/>
  <c r="C1007" i="33"/>
  <c r="F1007" i="33"/>
  <c r="G1007" i="33"/>
  <c r="J1007" i="33"/>
  <c r="K1007" i="33"/>
  <c r="L1007" i="33"/>
  <c r="M1007" i="33"/>
  <c r="N1007" i="33"/>
  <c r="O1007" i="33"/>
  <c r="P1007" i="33"/>
  <c r="C1008" i="33"/>
  <c r="F1008" i="33"/>
  <c r="G1008" i="33"/>
  <c r="J1008" i="33"/>
  <c r="K1008" i="33"/>
  <c r="L1008" i="33"/>
  <c r="M1008" i="33"/>
  <c r="N1008" i="33"/>
  <c r="O1008" i="33"/>
  <c r="P1008" i="33"/>
  <c r="C1009" i="33"/>
  <c r="F1009" i="33"/>
  <c r="G1009" i="33"/>
  <c r="J1009" i="33"/>
  <c r="K1009" i="33"/>
  <c r="L1009" i="33"/>
  <c r="M1009" i="33"/>
  <c r="N1009" i="33"/>
  <c r="O1009" i="33"/>
  <c r="P1009" i="33"/>
  <c r="C1010" i="33"/>
  <c r="F1010" i="33"/>
  <c r="G1010" i="33"/>
  <c r="J1010" i="33"/>
  <c r="K1010" i="33"/>
  <c r="L1010" i="33"/>
  <c r="M1010" i="33"/>
  <c r="N1010" i="33"/>
  <c r="O1010" i="33"/>
  <c r="P1010" i="33"/>
  <c r="C1011" i="33"/>
  <c r="F1011" i="33"/>
  <c r="G1011" i="33"/>
  <c r="J1011" i="33"/>
  <c r="K1011" i="33"/>
  <c r="L1011" i="33"/>
  <c r="M1011" i="33"/>
  <c r="N1011" i="33"/>
  <c r="O1011" i="33"/>
  <c r="P1011" i="33"/>
  <c r="C1012" i="33"/>
  <c r="F1012" i="33"/>
  <c r="G1012" i="33"/>
  <c r="J1012" i="33"/>
  <c r="K1012" i="33"/>
  <c r="L1012" i="33"/>
  <c r="M1012" i="33"/>
  <c r="N1012" i="33"/>
  <c r="O1012" i="33"/>
  <c r="P1012" i="33"/>
  <c r="C1013" i="33"/>
  <c r="F1013" i="33"/>
  <c r="G1013" i="33"/>
  <c r="J1013" i="33"/>
  <c r="K1013" i="33"/>
  <c r="L1013" i="33"/>
  <c r="M1013" i="33"/>
  <c r="N1013" i="33"/>
  <c r="O1013" i="33"/>
  <c r="P1013" i="33"/>
  <c r="C1014" i="33"/>
  <c r="F1014" i="33"/>
  <c r="G1014" i="33"/>
  <c r="J1014" i="33"/>
  <c r="K1014" i="33"/>
  <c r="L1014" i="33"/>
  <c r="M1014" i="33"/>
  <c r="N1014" i="33"/>
  <c r="O1014" i="33"/>
  <c r="P1014" i="33"/>
  <c r="C1015" i="33"/>
  <c r="F1015" i="33"/>
  <c r="G1015" i="33"/>
  <c r="J1015" i="33"/>
  <c r="K1015" i="33"/>
  <c r="L1015" i="33"/>
  <c r="M1015" i="33"/>
  <c r="N1015" i="33"/>
  <c r="O1015" i="33"/>
  <c r="P1015" i="33"/>
  <c r="C1016" i="33"/>
  <c r="F1016" i="33"/>
  <c r="G1016" i="33"/>
  <c r="J1016" i="33"/>
  <c r="K1016" i="33"/>
  <c r="L1016" i="33"/>
  <c r="M1016" i="33"/>
  <c r="N1016" i="33"/>
  <c r="O1016" i="33"/>
  <c r="P1016" i="33"/>
  <c r="C1017" i="33"/>
  <c r="F1017" i="33"/>
  <c r="G1017" i="33"/>
  <c r="J1017" i="33"/>
  <c r="K1017" i="33"/>
  <c r="L1017" i="33"/>
  <c r="M1017" i="33"/>
  <c r="N1017" i="33"/>
  <c r="O1017" i="33"/>
  <c r="P1017" i="33"/>
  <c r="C1018" i="33"/>
  <c r="F1018" i="33"/>
  <c r="G1018" i="33"/>
  <c r="J1018" i="33"/>
  <c r="K1018" i="33"/>
  <c r="L1018" i="33"/>
  <c r="M1018" i="33"/>
  <c r="N1018" i="33"/>
  <c r="O1018" i="33"/>
  <c r="P1018" i="33"/>
  <c r="C1019" i="33"/>
  <c r="F1019" i="33"/>
  <c r="G1019" i="33"/>
  <c r="J1019" i="33"/>
  <c r="K1019" i="33"/>
  <c r="L1019" i="33"/>
  <c r="M1019" i="33"/>
  <c r="N1019" i="33"/>
  <c r="O1019" i="33"/>
  <c r="P1019" i="33"/>
  <c r="C1020" i="33"/>
  <c r="F1020" i="33"/>
  <c r="G1020" i="33"/>
  <c r="J1020" i="33"/>
  <c r="K1020" i="33"/>
  <c r="L1020" i="33"/>
  <c r="M1020" i="33"/>
  <c r="N1020" i="33"/>
  <c r="O1020" i="33"/>
  <c r="P1020" i="33"/>
  <c r="C1021" i="33"/>
  <c r="F1021" i="33"/>
  <c r="G1021" i="33"/>
  <c r="J1021" i="33"/>
  <c r="K1021" i="33"/>
  <c r="L1021" i="33"/>
  <c r="M1021" i="33"/>
  <c r="N1021" i="33"/>
  <c r="O1021" i="33"/>
  <c r="P1021" i="33"/>
  <c r="C1022" i="33"/>
  <c r="F1022" i="33"/>
  <c r="G1022" i="33"/>
  <c r="J1022" i="33"/>
  <c r="K1022" i="33"/>
  <c r="L1022" i="33"/>
  <c r="M1022" i="33"/>
  <c r="N1022" i="33"/>
  <c r="O1022" i="33"/>
  <c r="P1022" i="33"/>
  <c r="C1023" i="33"/>
  <c r="F1023" i="33"/>
  <c r="G1023" i="33"/>
  <c r="J1023" i="33"/>
  <c r="K1023" i="33"/>
  <c r="L1023" i="33"/>
  <c r="M1023" i="33"/>
  <c r="N1023" i="33"/>
  <c r="O1023" i="33"/>
  <c r="P1023" i="33"/>
  <c r="C1024" i="33"/>
  <c r="F1024" i="33"/>
  <c r="G1024" i="33"/>
  <c r="J1024" i="33"/>
  <c r="K1024" i="33"/>
  <c r="L1024" i="33"/>
  <c r="M1024" i="33"/>
  <c r="N1024" i="33"/>
  <c r="O1024" i="33"/>
  <c r="P1024" i="33"/>
  <c r="C1025" i="33"/>
  <c r="F1025" i="33"/>
  <c r="G1025" i="33"/>
  <c r="J1025" i="33"/>
  <c r="K1025" i="33"/>
  <c r="L1025" i="33"/>
  <c r="M1025" i="33"/>
  <c r="N1025" i="33"/>
  <c r="O1025" i="33"/>
  <c r="P1025" i="33"/>
  <c r="C1026" i="33"/>
  <c r="F1026" i="33"/>
  <c r="G1026" i="33"/>
  <c r="J1026" i="33"/>
  <c r="K1026" i="33"/>
  <c r="L1026" i="33"/>
  <c r="M1026" i="33"/>
  <c r="N1026" i="33"/>
  <c r="O1026" i="33"/>
  <c r="P1026" i="33"/>
  <c r="C1027" i="33"/>
  <c r="F1027" i="33"/>
  <c r="G1027" i="33"/>
  <c r="J1027" i="33"/>
  <c r="K1027" i="33"/>
  <c r="L1027" i="33"/>
  <c r="M1027" i="33"/>
  <c r="N1027" i="33"/>
  <c r="O1027" i="33"/>
  <c r="P1027" i="33"/>
  <c r="C1028" i="33"/>
  <c r="F1028" i="33"/>
  <c r="G1028" i="33"/>
  <c r="J1028" i="33"/>
  <c r="K1028" i="33"/>
  <c r="L1028" i="33"/>
  <c r="M1028" i="33"/>
  <c r="N1028" i="33"/>
  <c r="O1028" i="33"/>
  <c r="P1028" i="33"/>
  <c r="C1029" i="33"/>
  <c r="F1029" i="33"/>
  <c r="G1029" i="33"/>
  <c r="J1029" i="33"/>
  <c r="K1029" i="33"/>
  <c r="L1029" i="33"/>
  <c r="M1029" i="33"/>
  <c r="N1029" i="33"/>
  <c r="O1029" i="33"/>
  <c r="P1029" i="33"/>
  <c r="C1030" i="33"/>
  <c r="F1030" i="33"/>
  <c r="G1030" i="33"/>
  <c r="J1030" i="33"/>
  <c r="K1030" i="33"/>
  <c r="L1030" i="33"/>
  <c r="M1030" i="33"/>
  <c r="N1030" i="33"/>
  <c r="O1030" i="33"/>
  <c r="P1030" i="33"/>
  <c r="C1031" i="33"/>
  <c r="F1031" i="33"/>
  <c r="G1031" i="33"/>
  <c r="J1031" i="33"/>
  <c r="K1031" i="33"/>
  <c r="L1031" i="33"/>
  <c r="M1031" i="33"/>
  <c r="N1031" i="33"/>
  <c r="O1031" i="33"/>
  <c r="P1031" i="33"/>
  <c r="C1032" i="33"/>
  <c r="F1032" i="33"/>
  <c r="G1032" i="33"/>
  <c r="J1032" i="33"/>
  <c r="K1032" i="33"/>
  <c r="L1032" i="33"/>
  <c r="M1032" i="33"/>
  <c r="N1032" i="33"/>
  <c r="O1032" i="33"/>
  <c r="P1032" i="33"/>
  <c r="C1033" i="33"/>
  <c r="F1033" i="33"/>
  <c r="G1033" i="33"/>
  <c r="J1033" i="33"/>
  <c r="K1033" i="33"/>
  <c r="L1033" i="33"/>
  <c r="M1033" i="33"/>
  <c r="N1033" i="33"/>
  <c r="O1033" i="33"/>
  <c r="P1033" i="33"/>
  <c r="C1034" i="33"/>
  <c r="F1034" i="33"/>
  <c r="G1034" i="33"/>
  <c r="J1034" i="33"/>
  <c r="K1034" i="33"/>
  <c r="L1034" i="33"/>
  <c r="M1034" i="33"/>
  <c r="N1034" i="33"/>
  <c r="O1034" i="33"/>
  <c r="P1034" i="33"/>
  <c r="C1035" i="33"/>
  <c r="F1035" i="33"/>
  <c r="G1035" i="33"/>
  <c r="J1035" i="33"/>
  <c r="K1035" i="33"/>
  <c r="L1035" i="33"/>
  <c r="M1035" i="33"/>
  <c r="N1035" i="33"/>
  <c r="O1035" i="33"/>
  <c r="P1035" i="33"/>
  <c r="C1036" i="33"/>
  <c r="F1036" i="33"/>
  <c r="G1036" i="33"/>
  <c r="J1036" i="33"/>
  <c r="K1036" i="33"/>
  <c r="L1036" i="33"/>
  <c r="M1036" i="33"/>
  <c r="N1036" i="33"/>
  <c r="O1036" i="33"/>
  <c r="P1036" i="33"/>
  <c r="C1037" i="33"/>
  <c r="F1037" i="33"/>
  <c r="G1037" i="33"/>
  <c r="J1037" i="33"/>
  <c r="K1037" i="33"/>
  <c r="L1037" i="33"/>
  <c r="M1037" i="33"/>
  <c r="N1037" i="33"/>
  <c r="O1037" i="33"/>
  <c r="P1037" i="33"/>
  <c r="C1038" i="33"/>
  <c r="F1038" i="33"/>
  <c r="G1038" i="33"/>
  <c r="J1038" i="33"/>
  <c r="K1038" i="33"/>
  <c r="L1038" i="33"/>
  <c r="M1038" i="33"/>
  <c r="N1038" i="33"/>
  <c r="O1038" i="33"/>
  <c r="P1038" i="33"/>
  <c r="C1039" i="33"/>
  <c r="F1039" i="33"/>
  <c r="G1039" i="33"/>
  <c r="J1039" i="33"/>
  <c r="K1039" i="33"/>
  <c r="L1039" i="33"/>
  <c r="M1039" i="33"/>
  <c r="N1039" i="33"/>
  <c r="O1039" i="33"/>
  <c r="P1039" i="33"/>
  <c r="C1040" i="33"/>
  <c r="F1040" i="33"/>
  <c r="G1040" i="33"/>
  <c r="J1040" i="33"/>
  <c r="K1040" i="33"/>
  <c r="L1040" i="33"/>
  <c r="M1040" i="33"/>
  <c r="N1040" i="33"/>
  <c r="O1040" i="33"/>
  <c r="P1040" i="33"/>
  <c r="C1041" i="33"/>
  <c r="F1041" i="33"/>
  <c r="G1041" i="33"/>
  <c r="J1041" i="33"/>
  <c r="K1041" i="33"/>
  <c r="L1041" i="33"/>
  <c r="M1041" i="33"/>
  <c r="N1041" i="33"/>
  <c r="O1041" i="33"/>
  <c r="P1041" i="33"/>
  <c r="C1042" i="33"/>
  <c r="F1042" i="33"/>
  <c r="G1042" i="33"/>
  <c r="J1042" i="33"/>
  <c r="K1042" i="33"/>
  <c r="L1042" i="33"/>
  <c r="M1042" i="33"/>
  <c r="N1042" i="33"/>
  <c r="O1042" i="33"/>
  <c r="P1042" i="33"/>
  <c r="C1043" i="33"/>
  <c r="F1043" i="33"/>
  <c r="G1043" i="33"/>
  <c r="J1043" i="33"/>
  <c r="K1043" i="33"/>
  <c r="L1043" i="33"/>
  <c r="M1043" i="33"/>
  <c r="N1043" i="33"/>
  <c r="O1043" i="33"/>
  <c r="P1043" i="33"/>
  <c r="C1044" i="33"/>
  <c r="F1044" i="33"/>
  <c r="G1044" i="33"/>
  <c r="J1044" i="33"/>
  <c r="K1044" i="33"/>
  <c r="L1044" i="33"/>
  <c r="M1044" i="33"/>
  <c r="N1044" i="33"/>
  <c r="O1044" i="33"/>
  <c r="P1044" i="33"/>
  <c r="C1045" i="33"/>
  <c r="F1045" i="33"/>
  <c r="G1045" i="33"/>
  <c r="J1045" i="33"/>
  <c r="K1045" i="33"/>
  <c r="L1045" i="33"/>
  <c r="M1045" i="33"/>
  <c r="N1045" i="33"/>
  <c r="O1045" i="33"/>
  <c r="P1045" i="33"/>
  <c r="C1046" i="33"/>
  <c r="F1046" i="33"/>
  <c r="G1046" i="33"/>
  <c r="J1046" i="33"/>
  <c r="K1046" i="33"/>
  <c r="L1046" i="33"/>
  <c r="M1046" i="33"/>
  <c r="N1046" i="33"/>
  <c r="O1046" i="33"/>
  <c r="P1046" i="33"/>
  <c r="C1047" i="33"/>
  <c r="F1047" i="33"/>
  <c r="G1047" i="33"/>
  <c r="J1047" i="33"/>
  <c r="K1047" i="33"/>
  <c r="L1047" i="33"/>
  <c r="M1047" i="33"/>
  <c r="N1047" i="33"/>
  <c r="O1047" i="33"/>
  <c r="P1047" i="33"/>
  <c r="C1048" i="33"/>
  <c r="F1048" i="33"/>
  <c r="G1048" i="33"/>
  <c r="J1048" i="33"/>
  <c r="K1048" i="33"/>
  <c r="L1048" i="33"/>
  <c r="M1048" i="33"/>
  <c r="N1048" i="33"/>
  <c r="O1048" i="33"/>
  <c r="P1048" i="33"/>
  <c r="C1049" i="33"/>
  <c r="F1049" i="33"/>
  <c r="G1049" i="33"/>
  <c r="J1049" i="33"/>
  <c r="K1049" i="33"/>
  <c r="L1049" i="33"/>
  <c r="M1049" i="33"/>
  <c r="N1049" i="33"/>
  <c r="O1049" i="33"/>
  <c r="P1049" i="33"/>
  <c r="C1050" i="33"/>
  <c r="F1050" i="33"/>
  <c r="G1050" i="33"/>
  <c r="J1050" i="33"/>
  <c r="K1050" i="33"/>
  <c r="L1050" i="33"/>
  <c r="M1050" i="33"/>
  <c r="N1050" i="33"/>
  <c r="O1050" i="33"/>
  <c r="P1050" i="33"/>
  <c r="C1051" i="33"/>
  <c r="F1051" i="33"/>
  <c r="G1051" i="33"/>
  <c r="J1051" i="33"/>
  <c r="K1051" i="33"/>
  <c r="L1051" i="33"/>
  <c r="M1051" i="33"/>
  <c r="N1051" i="33"/>
  <c r="O1051" i="33"/>
  <c r="P1051" i="33"/>
  <c r="C1052" i="33"/>
  <c r="F1052" i="33"/>
  <c r="G1052" i="33"/>
  <c r="J1052" i="33"/>
  <c r="K1052" i="33"/>
  <c r="L1052" i="33"/>
  <c r="M1052" i="33"/>
  <c r="N1052" i="33"/>
  <c r="O1052" i="33"/>
  <c r="P1052" i="33"/>
  <c r="C1053" i="33"/>
  <c r="F1053" i="33"/>
  <c r="G1053" i="33"/>
  <c r="J1053" i="33"/>
  <c r="K1053" i="33"/>
  <c r="L1053" i="33"/>
  <c r="M1053" i="33"/>
  <c r="N1053" i="33"/>
  <c r="O1053" i="33"/>
  <c r="P1053" i="33"/>
  <c r="C1054" i="33"/>
  <c r="F1054" i="33"/>
  <c r="G1054" i="33"/>
  <c r="J1054" i="33"/>
  <c r="K1054" i="33"/>
  <c r="L1054" i="33"/>
  <c r="M1054" i="33"/>
  <c r="N1054" i="33"/>
  <c r="O1054" i="33"/>
  <c r="P1054" i="33"/>
  <c r="C1055" i="33"/>
  <c r="F1055" i="33"/>
  <c r="G1055" i="33"/>
  <c r="J1055" i="33"/>
  <c r="K1055" i="33"/>
  <c r="L1055" i="33"/>
  <c r="M1055" i="33"/>
  <c r="N1055" i="33"/>
  <c r="O1055" i="33"/>
  <c r="P1055" i="33"/>
  <c r="C1056" i="33"/>
  <c r="F1056" i="33"/>
  <c r="G1056" i="33"/>
  <c r="J1056" i="33"/>
  <c r="K1056" i="33"/>
  <c r="L1056" i="33"/>
  <c r="M1056" i="33"/>
  <c r="N1056" i="33"/>
  <c r="O1056" i="33"/>
  <c r="P1056" i="33"/>
  <c r="C1057" i="33"/>
  <c r="F1057" i="33"/>
  <c r="G1057" i="33"/>
  <c r="J1057" i="33"/>
  <c r="K1057" i="33"/>
  <c r="L1057" i="33"/>
  <c r="M1057" i="33"/>
  <c r="N1057" i="33"/>
  <c r="O1057" i="33"/>
  <c r="P1057" i="33"/>
  <c r="C1058" i="33"/>
  <c r="F1058" i="33"/>
  <c r="G1058" i="33"/>
  <c r="J1058" i="33"/>
  <c r="K1058" i="33"/>
  <c r="L1058" i="33"/>
  <c r="M1058" i="33"/>
  <c r="N1058" i="33"/>
  <c r="O1058" i="33"/>
  <c r="P1058" i="33"/>
  <c r="C1059" i="33"/>
  <c r="F1059" i="33"/>
  <c r="G1059" i="33"/>
  <c r="J1059" i="33"/>
  <c r="K1059" i="33"/>
  <c r="L1059" i="33"/>
  <c r="M1059" i="33"/>
  <c r="N1059" i="33"/>
  <c r="O1059" i="33"/>
  <c r="P1059" i="33"/>
  <c r="C1060" i="33"/>
  <c r="F1060" i="33"/>
  <c r="G1060" i="33"/>
  <c r="J1060" i="33"/>
  <c r="K1060" i="33"/>
  <c r="L1060" i="33"/>
  <c r="M1060" i="33"/>
  <c r="N1060" i="33"/>
  <c r="O1060" i="33"/>
  <c r="P1060" i="33"/>
  <c r="C1061" i="33"/>
  <c r="F1061" i="33"/>
  <c r="G1061" i="33"/>
  <c r="J1061" i="33"/>
  <c r="K1061" i="33"/>
  <c r="L1061" i="33"/>
  <c r="M1061" i="33"/>
  <c r="N1061" i="33"/>
  <c r="O1061" i="33"/>
  <c r="P1061" i="33"/>
  <c r="C1062" i="33"/>
  <c r="F1062" i="33"/>
  <c r="G1062" i="33"/>
  <c r="J1062" i="33"/>
  <c r="K1062" i="33"/>
  <c r="L1062" i="33"/>
  <c r="M1062" i="33"/>
  <c r="N1062" i="33"/>
  <c r="O1062" i="33"/>
  <c r="P1062" i="33"/>
  <c r="C1063" i="33"/>
  <c r="F1063" i="33"/>
  <c r="G1063" i="33"/>
  <c r="J1063" i="33"/>
  <c r="K1063" i="33"/>
  <c r="L1063" i="33"/>
  <c r="M1063" i="33"/>
  <c r="N1063" i="33"/>
  <c r="O1063" i="33"/>
  <c r="P1063" i="33"/>
  <c r="C1064" i="33"/>
  <c r="F1064" i="33"/>
  <c r="G1064" i="33"/>
  <c r="J1064" i="33"/>
  <c r="K1064" i="33"/>
  <c r="L1064" i="33"/>
  <c r="M1064" i="33"/>
  <c r="N1064" i="33"/>
  <c r="O1064" i="33"/>
  <c r="P1064" i="33"/>
  <c r="C1065" i="33"/>
  <c r="F1065" i="33"/>
  <c r="G1065" i="33"/>
  <c r="J1065" i="33"/>
  <c r="K1065" i="33"/>
  <c r="L1065" i="33"/>
  <c r="M1065" i="33"/>
  <c r="N1065" i="33"/>
  <c r="O1065" i="33"/>
  <c r="P1065" i="33"/>
  <c r="C1066" i="33"/>
  <c r="F1066" i="33"/>
  <c r="G1066" i="33"/>
  <c r="J1066" i="33"/>
  <c r="K1066" i="33"/>
  <c r="L1066" i="33"/>
  <c r="M1066" i="33"/>
  <c r="N1066" i="33"/>
  <c r="O1066" i="33"/>
  <c r="P1066" i="33"/>
  <c r="C1067" i="33"/>
  <c r="F1067" i="33"/>
  <c r="G1067" i="33"/>
  <c r="J1067" i="33"/>
  <c r="K1067" i="33"/>
  <c r="L1067" i="33"/>
  <c r="M1067" i="33"/>
  <c r="N1067" i="33"/>
  <c r="O1067" i="33"/>
  <c r="P1067" i="33"/>
  <c r="C1068" i="33"/>
  <c r="F1068" i="33"/>
  <c r="G1068" i="33"/>
  <c r="J1068" i="33"/>
  <c r="K1068" i="33"/>
  <c r="L1068" i="33"/>
  <c r="M1068" i="33"/>
  <c r="N1068" i="33"/>
  <c r="O1068" i="33"/>
  <c r="P1068" i="33"/>
  <c r="C1069" i="33"/>
  <c r="F1069" i="33"/>
  <c r="G1069" i="33"/>
  <c r="J1069" i="33"/>
  <c r="K1069" i="33"/>
  <c r="L1069" i="33"/>
  <c r="M1069" i="33"/>
  <c r="N1069" i="33"/>
  <c r="O1069" i="33"/>
  <c r="P1069" i="33"/>
  <c r="C1070" i="33"/>
  <c r="F1070" i="33"/>
  <c r="G1070" i="33"/>
  <c r="J1070" i="33"/>
  <c r="K1070" i="33"/>
  <c r="L1070" i="33"/>
  <c r="M1070" i="33"/>
  <c r="N1070" i="33"/>
  <c r="O1070" i="33"/>
  <c r="P1070" i="33"/>
  <c r="C1071" i="33"/>
  <c r="F1071" i="33"/>
  <c r="G1071" i="33"/>
  <c r="J1071" i="33"/>
  <c r="K1071" i="33"/>
  <c r="L1071" i="33"/>
  <c r="M1071" i="33"/>
  <c r="N1071" i="33"/>
  <c r="O1071" i="33"/>
  <c r="P1071" i="33"/>
  <c r="C1072" i="33"/>
  <c r="F1072" i="33"/>
  <c r="G1072" i="33"/>
  <c r="J1072" i="33"/>
  <c r="K1072" i="33"/>
  <c r="L1072" i="33"/>
  <c r="M1072" i="33"/>
  <c r="N1072" i="33"/>
  <c r="O1072" i="33"/>
  <c r="P1072" i="33"/>
  <c r="C1073" i="33"/>
  <c r="F1073" i="33"/>
  <c r="G1073" i="33"/>
  <c r="J1073" i="33"/>
  <c r="K1073" i="33"/>
  <c r="L1073" i="33"/>
  <c r="M1073" i="33"/>
  <c r="N1073" i="33"/>
  <c r="O1073" i="33"/>
  <c r="P1073" i="33"/>
  <c r="C1074" i="33"/>
  <c r="F1074" i="33"/>
  <c r="G1074" i="33"/>
  <c r="J1074" i="33"/>
  <c r="K1074" i="33"/>
  <c r="L1074" i="33"/>
  <c r="M1074" i="33"/>
  <c r="N1074" i="33"/>
  <c r="O1074" i="33"/>
  <c r="P1074" i="33"/>
  <c r="C1075" i="33"/>
  <c r="F1075" i="33"/>
  <c r="G1075" i="33"/>
  <c r="J1075" i="33"/>
  <c r="K1075" i="33"/>
  <c r="L1075" i="33"/>
  <c r="M1075" i="33"/>
  <c r="N1075" i="33"/>
  <c r="O1075" i="33"/>
  <c r="P1075" i="33"/>
  <c r="C1076" i="33"/>
  <c r="F1076" i="33"/>
  <c r="G1076" i="33"/>
  <c r="J1076" i="33"/>
  <c r="K1076" i="33"/>
  <c r="L1076" i="33"/>
  <c r="M1076" i="33"/>
  <c r="N1076" i="33"/>
  <c r="O1076" i="33"/>
  <c r="P1076" i="33"/>
  <c r="C1077" i="33"/>
  <c r="F1077" i="33"/>
  <c r="G1077" i="33"/>
  <c r="J1077" i="33"/>
  <c r="K1077" i="33"/>
  <c r="L1077" i="33"/>
  <c r="M1077" i="33"/>
  <c r="N1077" i="33"/>
  <c r="O1077" i="33"/>
  <c r="P1077" i="33"/>
  <c r="C1078" i="33"/>
  <c r="F1078" i="33"/>
  <c r="G1078" i="33"/>
  <c r="J1078" i="33"/>
  <c r="K1078" i="33"/>
  <c r="L1078" i="33"/>
  <c r="M1078" i="33"/>
  <c r="N1078" i="33"/>
  <c r="O1078" i="33"/>
  <c r="P1078" i="33"/>
  <c r="C1079" i="33"/>
  <c r="F1079" i="33"/>
  <c r="G1079" i="33"/>
  <c r="J1079" i="33"/>
  <c r="K1079" i="33"/>
  <c r="L1079" i="33"/>
  <c r="M1079" i="33"/>
  <c r="N1079" i="33"/>
  <c r="O1079" i="33"/>
  <c r="P1079" i="33"/>
  <c r="C1080" i="33"/>
  <c r="F1080" i="33"/>
  <c r="G1080" i="33"/>
  <c r="J1080" i="33"/>
  <c r="K1080" i="33"/>
  <c r="L1080" i="33"/>
  <c r="M1080" i="33"/>
  <c r="N1080" i="33"/>
  <c r="O1080" i="33"/>
  <c r="P1080" i="33"/>
  <c r="C1081" i="33"/>
  <c r="F1081" i="33"/>
  <c r="G1081" i="33"/>
  <c r="J1081" i="33"/>
  <c r="K1081" i="33"/>
  <c r="L1081" i="33"/>
  <c r="M1081" i="33"/>
  <c r="N1081" i="33"/>
  <c r="O1081" i="33"/>
  <c r="P1081" i="33"/>
  <c r="C1082" i="33"/>
  <c r="F1082" i="33"/>
  <c r="G1082" i="33"/>
  <c r="J1082" i="33"/>
  <c r="K1082" i="33"/>
  <c r="L1082" i="33"/>
  <c r="M1082" i="33"/>
  <c r="N1082" i="33"/>
  <c r="O1082" i="33"/>
  <c r="P1082" i="33"/>
  <c r="C1083" i="33"/>
  <c r="F1083" i="33"/>
  <c r="G1083" i="33"/>
  <c r="J1083" i="33"/>
  <c r="K1083" i="33"/>
  <c r="L1083" i="33"/>
  <c r="M1083" i="33"/>
  <c r="N1083" i="33"/>
  <c r="O1083" i="33"/>
  <c r="P1083" i="33"/>
  <c r="C1084" i="33"/>
  <c r="F1084" i="33"/>
  <c r="G1084" i="33"/>
  <c r="J1084" i="33"/>
  <c r="K1084" i="33"/>
  <c r="L1084" i="33"/>
  <c r="M1084" i="33"/>
  <c r="N1084" i="33"/>
  <c r="O1084" i="33"/>
  <c r="P1084" i="33"/>
  <c r="C1085" i="33"/>
  <c r="F1085" i="33"/>
  <c r="G1085" i="33"/>
  <c r="J1085" i="33"/>
  <c r="K1085" i="33"/>
  <c r="L1085" i="33"/>
  <c r="M1085" i="33"/>
  <c r="N1085" i="33"/>
  <c r="O1085" i="33"/>
  <c r="P1085" i="33"/>
  <c r="C1086" i="33"/>
  <c r="F1086" i="33"/>
  <c r="G1086" i="33"/>
  <c r="J1086" i="33"/>
  <c r="K1086" i="33"/>
  <c r="L1086" i="33"/>
  <c r="M1086" i="33"/>
  <c r="N1086" i="33"/>
  <c r="O1086" i="33"/>
  <c r="P1086" i="33"/>
  <c r="C1087" i="33"/>
  <c r="F1087" i="33"/>
  <c r="G1087" i="33"/>
  <c r="J1087" i="33"/>
  <c r="K1087" i="33"/>
  <c r="L1087" i="33"/>
  <c r="M1087" i="33"/>
  <c r="N1087" i="33"/>
  <c r="O1087" i="33"/>
  <c r="P1087" i="33"/>
  <c r="C1088" i="33"/>
  <c r="F1088" i="33"/>
  <c r="G1088" i="33"/>
  <c r="J1088" i="33"/>
  <c r="K1088" i="33"/>
  <c r="L1088" i="33"/>
  <c r="M1088" i="33"/>
  <c r="N1088" i="33"/>
  <c r="O1088" i="33"/>
  <c r="P1088" i="33"/>
  <c r="C1089" i="33"/>
  <c r="F1089" i="33"/>
  <c r="G1089" i="33"/>
  <c r="J1089" i="33"/>
  <c r="K1089" i="33"/>
  <c r="L1089" i="33"/>
  <c r="M1089" i="33"/>
  <c r="N1089" i="33"/>
  <c r="O1089" i="33"/>
  <c r="P1089" i="33"/>
  <c r="C1090" i="33"/>
  <c r="F1090" i="33"/>
  <c r="G1090" i="33"/>
  <c r="J1090" i="33"/>
  <c r="K1090" i="33"/>
  <c r="L1090" i="33"/>
  <c r="M1090" i="33"/>
  <c r="N1090" i="33"/>
  <c r="O1090" i="33"/>
  <c r="P1090" i="33"/>
  <c r="C1091" i="33"/>
  <c r="F1091" i="33"/>
  <c r="G1091" i="33"/>
  <c r="J1091" i="33"/>
  <c r="K1091" i="33"/>
  <c r="L1091" i="33"/>
  <c r="M1091" i="33"/>
  <c r="N1091" i="33"/>
  <c r="O1091" i="33"/>
  <c r="P1091" i="33"/>
  <c r="C1092" i="33"/>
  <c r="F1092" i="33"/>
  <c r="G1092" i="33"/>
  <c r="J1092" i="33"/>
  <c r="K1092" i="33"/>
  <c r="L1092" i="33"/>
  <c r="M1092" i="33"/>
  <c r="N1092" i="33"/>
  <c r="O1092" i="33"/>
  <c r="P1092" i="33"/>
  <c r="C1093" i="33"/>
  <c r="F1093" i="33"/>
  <c r="G1093" i="33"/>
  <c r="J1093" i="33"/>
  <c r="K1093" i="33"/>
  <c r="L1093" i="33"/>
  <c r="M1093" i="33"/>
  <c r="N1093" i="33"/>
  <c r="O1093" i="33"/>
  <c r="P1093" i="33"/>
  <c r="C1094" i="33"/>
  <c r="F1094" i="33"/>
  <c r="G1094" i="33"/>
  <c r="J1094" i="33"/>
  <c r="K1094" i="33"/>
  <c r="L1094" i="33"/>
  <c r="M1094" i="33"/>
  <c r="N1094" i="33"/>
  <c r="O1094" i="33"/>
  <c r="P1094" i="33"/>
  <c r="C1095" i="33"/>
  <c r="F1095" i="33"/>
  <c r="G1095" i="33"/>
  <c r="J1095" i="33"/>
  <c r="K1095" i="33"/>
  <c r="L1095" i="33"/>
  <c r="M1095" i="33"/>
  <c r="N1095" i="33"/>
  <c r="O1095" i="33"/>
  <c r="P1095" i="33"/>
  <c r="C1096" i="33"/>
  <c r="F1096" i="33"/>
  <c r="G1096" i="33"/>
  <c r="J1096" i="33"/>
  <c r="K1096" i="33"/>
  <c r="L1096" i="33"/>
  <c r="M1096" i="33"/>
  <c r="N1096" i="33"/>
  <c r="O1096" i="33"/>
  <c r="P1096" i="33"/>
  <c r="C1097" i="33"/>
  <c r="F1097" i="33"/>
  <c r="G1097" i="33"/>
  <c r="J1097" i="33"/>
  <c r="K1097" i="33"/>
  <c r="L1097" i="33"/>
  <c r="M1097" i="33"/>
  <c r="N1097" i="33"/>
  <c r="O1097" i="33"/>
  <c r="P1097" i="33"/>
  <c r="C1098" i="33"/>
  <c r="F1098" i="33"/>
  <c r="G1098" i="33"/>
  <c r="J1098" i="33"/>
  <c r="K1098" i="33"/>
  <c r="L1098" i="33"/>
  <c r="M1098" i="33"/>
  <c r="N1098" i="33"/>
  <c r="O1098" i="33"/>
  <c r="P1098" i="33"/>
  <c r="C1099" i="33"/>
  <c r="F1099" i="33"/>
  <c r="G1099" i="33"/>
  <c r="J1099" i="33"/>
  <c r="K1099" i="33"/>
  <c r="L1099" i="33"/>
  <c r="M1099" i="33"/>
  <c r="N1099" i="33"/>
  <c r="O1099" i="33"/>
  <c r="P1099" i="33"/>
  <c r="C1100" i="33"/>
  <c r="F1100" i="33"/>
  <c r="G1100" i="33"/>
  <c r="J1100" i="33"/>
  <c r="K1100" i="33"/>
  <c r="L1100" i="33"/>
  <c r="M1100" i="33"/>
  <c r="N1100" i="33"/>
  <c r="O1100" i="33"/>
  <c r="P1100" i="33"/>
  <c r="C1101" i="33"/>
  <c r="F1101" i="33"/>
  <c r="G1101" i="33"/>
  <c r="J1101" i="33"/>
  <c r="K1101" i="33"/>
  <c r="L1101" i="33"/>
  <c r="M1101" i="33"/>
  <c r="N1101" i="33"/>
  <c r="O1101" i="33"/>
  <c r="P1101" i="33"/>
  <c r="C1102" i="33"/>
  <c r="F1102" i="33"/>
  <c r="G1102" i="33"/>
  <c r="J1102" i="33"/>
  <c r="K1102" i="33"/>
  <c r="L1102" i="33"/>
  <c r="M1102" i="33"/>
  <c r="N1102" i="33"/>
  <c r="O1102" i="33"/>
  <c r="P1102" i="33"/>
  <c r="C1103" i="33"/>
  <c r="F1103" i="33"/>
  <c r="G1103" i="33"/>
  <c r="J1103" i="33"/>
  <c r="K1103" i="33"/>
  <c r="L1103" i="33"/>
  <c r="M1103" i="33"/>
  <c r="N1103" i="33"/>
  <c r="O1103" i="33"/>
  <c r="P1103" i="33"/>
  <c r="C1104" i="33"/>
  <c r="F1104" i="33"/>
  <c r="G1104" i="33"/>
  <c r="J1104" i="33"/>
  <c r="K1104" i="33"/>
  <c r="L1104" i="33"/>
  <c r="M1104" i="33"/>
  <c r="N1104" i="33"/>
  <c r="O1104" i="33"/>
  <c r="P1104" i="33"/>
  <c r="C1105" i="33"/>
  <c r="F1105" i="33"/>
  <c r="G1105" i="33"/>
  <c r="J1105" i="33"/>
  <c r="K1105" i="33"/>
  <c r="L1105" i="33"/>
  <c r="M1105" i="33"/>
  <c r="N1105" i="33"/>
  <c r="O1105" i="33"/>
  <c r="P1105" i="33"/>
  <c r="C1106" i="33"/>
  <c r="F1106" i="33"/>
  <c r="G1106" i="33"/>
  <c r="J1106" i="33"/>
  <c r="K1106" i="33"/>
  <c r="L1106" i="33"/>
  <c r="M1106" i="33"/>
  <c r="N1106" i="33"/>
  <c r="O1106" i="33"/>
  <c r="P1106" i="33"/>
  <c r="C1107" i="33"/>
  <c r="F1107" i="33"/>
  <c r="G1107" i="33"/>
  <c r="J1107" i="33"/>
  <c r="K1107" i="33"/>
  <c r="L1107" i="33"/>
  <c r="M1107" i="33"/>
  <c r="N1107" i="33"/>
  <c r="O1107" i="33"/>
  <c r="P1107" i="33"/>
  <c r="C1108" i="33"/>
  <c r="F1108" i="33"/>
  <c r="G1108" i="33"/>
  <c r="J1108" i="33"/>
  <c r="K1108" i="33"/>
  <c r="L1108" i="33"/>
  <c r="M1108" i="33"/>
  <c r="N1108" i="33"/>
  <c r="O1108" i="33"/>
  <c r="P1108" i="33"/>
  <c r="C1109" i="33"/>
  <c r="F1109" i="33"/>
  <c r="G1109" i="33"/>
  <c r="J1109" i="33"/>
  <c r="K1109" i="33"/>
  <c r="L1109" i="33"/>
  <c r="M1109" i="33"/>
  <c r="N1109" i="33"/>
  <c r="O1109" i="33"/>
  <c r="P1109" i="33"/>
  <c r="C1110" i="33"/>
  <c r="F1110" i="33"/>
  <c r="G1110" i="33"/>
  <c r="J1110" i="33"/>
  <c r="K1110" i="33"/>
  <c r="L1110" i="33"/>
  <c r="M1110" i="33"/>
  <c r="N1110" i="33"/>
  <c r="O1110" i="33"/>
  <c r="P1110" i="33"/>
  <c r="C1111" i="33"/>
  <c r="F1111" i="33"/>
  <c r="G1111" i="33"/>
  <c r="J1111" i="33"/>
  <c r="K1111" i="33"/>
  <c r="L1111" i="33"/>
  <c r="M1111" i="33"/>
  <c r="N1111" i="33"/>
  <c r="O1111" i="33"/>
  <c r="P1111" i="33"/>
  <c r="C1112" i="33"/>
  <c r="F1112" i="33"/>
  <c r="G1112" i="33"/>
  <c r="J1112" i="33"/>
  <c r="K1112" i="33"/>
  <c r="L1112" i="33"/>
  <c r="M1112" i="33"/>
  <c r="N1112" i="33"/>
  <c r="O1112" i="33"/>
  <c r="P1112" i="33"/>
  <c r="C1113" i="33"/>
  <c r="F1113" i="33"/>
  <c r="G1113" i="33"/>
  <c r="J1113" i="33"/>
  <c r="K1113" i="33"/>
  <c r="L1113" i="33"/>
  <c r="M1113" i="33"/>
  <c r="N1113" i="33"/>
  <c r="O1113" i="33"/>
  <c r="P1113" i="33"/>
  <c r="C1114" i="33"/>
  <c r="F1114" i="33"/>
  <c r="G1114" i="33"/>
  <c r="J1114" i="33"/>
  <c r="K1114" i="33"/>
  <c r="L1114" i="33"/>
  <c r="M1114" i="33"/>
  <c r="N1114" i="33"/>
  <c r="O1114" i="33"/>
  <c r="P1114" i="33"/>
  <c r="C1115" i="33"/>
  <c r="F1115" i="33"/>
  <c r="G1115" i="33"/>
  <c r="J1115" i="33"/>
  <c r="K1115" i="33"/>
  <c r="L1115" i="33"/>
  <c r="M1115" i="33"/>
  <c r="N1115" i="33"/>
  <c r="O1115" i="33"/>
  <c r="P1115" i="33"/>
  <c r="C1116" i="33"/>
  <c r="F1116" i="33"/>
  <c r="G1116" i="33"/>
  <c r="J1116" i="33"/>
  <c r="K1116" i="33"/>
  <c r="L1116" i="33"/>
  <c r="M1116" i="33"/>
  <c r="N1116" i="33"/>
  <c r="O1116" i="33"/>
  <c r="P1116" i="33"/>
  <c r="C1117" i="33"/>
  <c r="F1117" i="33"/>
  <c r="G1117" i="33"/>
  <c r="J1117" i="33"/>
  <c r="K1117" i="33"/>
  <c r="L1117" i="33"/>
  <c r="M1117" i="33"/>
  <c r="N1117" i="33"/>
  <c r="O1117" i="33"/>
  <c r="P1117" i="33"/>
  <c r="C1118" i="33"/>
  <c r="F1118" i="33"/>
  <c r="G1118" i="33"/>
  <c r="J1118" i="33"/>
  <c r="K1118" i="33"/>
  <c r="L1118" i="33"/>
  <c r="M1118" i="33"/>
  <c r="N1118" i="33"/>
  <c r="O1118" i="33"/>
  <c r="P1118" i="33"/>
  <c r="C1119" i="33"/>
  <c r="F1119" i="33"/>
  <c r="G1119" i="33"/>
  <c r="J1119" i="33"/>
  <c r="K1119" i="33"/>
  <c r="L1119" i="33"/>
  <c r="M1119" i="33"/>
  <c r="N1119" i="33"/>
  <c r="O1119" i="33"/>
  <c r="P1119" i="33"/>
  <c r="C1120" i="33"/>
  <c r="F1120" i="33"/>
  <c r="G1120" i="33"/>
  <c r="J1120" i="33"/>
  <c r="K1120" i="33"/>
  <c r="L1120" i="33"/>
  <c r="M1120" i="33"/>
  <c r="N1120" i="33"/>
  <c r="O1120" i="33"/>
  <c r="P1120" i="33"/>
  <c r="C1121" i="33"/>
  <c r="F1121" i="33"/>
  <c r="G1121" i="33"/>
  <c r="J1121" i="33"/>
  <c r="K1121" i="33"/>
  <c r="L1121" i="33"/>
  <c r="M1121" i="33"/>
  <c r="N1121" i="33"/>
  <c r="O1121" i="33"/>
  <c r="P1121" i="33"/>
  <c r="C1122" i="33"/>
  <c r="F1122" i="33"/>
  <c r="G1122" i="33"/>
  <c r="J1122" i="33"/>
  <c r="K1122" i="33"/>
  <c r="L1122" i="33"/>
  <c r="M1122" i="33"/>
  <c r="N1122" i="33"/>
  <c r="O1122" i="33"/>
  <c r="P1122" i="33"/>
  <c r="C1123" i="33"/>
  <c r="F1123" i="33"/>
  <c r="G1123" i="33"/>
  <c r="J1123" i="33"/>
  <c r="K1123" i="33"/>
  <c r="L1123" i="33"/>
  <c r="M1123" i="33"/>
  <c r="N1123" i="33"/>
  <c r="O1123" i="33"/>
  <c r="P1123" i="33"/>
  <c r="C1124" i="33"/>
  <c r="F1124" i="33"/>
  <c r="G1124" i="33"/>
  <c r="J1124" i="33"/>
  <c r="K1124" i="33"/>
  <c r="L1124" i="33"/>
  <c r="M1124" i="33"/>
  <c r="N1124" i="33"/>
  <c r="O1124" i="33"/>
  <c r="P1124" i="33"/>
  <c r="C1125" i="33"/>
  <c r="F1125" i="33"/>
  <c r="G1125" i="33"/>
  <c r="J1125" i="33"/>
  <c r="K1125" i="33"/>
  <c r="L1125" i="33"/>
  <c r="M1125" i="33"/>
  <c r="N1125" i="33"/>
  <c r="O1125" i="33"/>
  <c r="P1125" i="33"/>
  <c r="C1126" i="33"/>
  <c r="F1126" i="33"/>
  <c r="G1126" i="33"/>
  <c r="J1126" i="33"/>
  <c r="K1126" i="33"/>
  <c r="L1126" i="33"/>
  <c r="M1126" i="33"/>
  <c r="N1126" i="33"/>
  <c r="O1126" i="33"/>
  <c r="P1126" i="33"/>
  <c r="C1127" i="33"/>
  <c r="F1127" i="33"/>
  <c r="G1127" i="33"/>
  <c r="J1127" i="33"/>
  <c r="K1127" i="33"/>
  <c r="L1127" i="33"/>
  <c r="M1127" i="33"/>
  <c r="N1127" i="33"/>
  <c r="O1127" i="33"/>
  <c r="P1127" i="33"/>
  <c r="C1128" i="33"/>
  <c r="F1128" i="33"/>
  <c r="G1128" i="33"/>
  <c r="J1128" i="33"/>
  <c r="K1128" i="33"/>
  <c r="L1128" i="33"/>
  <c r="M1128" i="33"/>
  <c r="N1128" i="33"/>
  <c r="O1128" i="33"/>
  <c r="P1128" i="33"/>
  <c r="C1129" i="33"/>
  <c r="F1129" i="33"/>
  <c r="G1129" i="33"/>
  <c r="J1129" i="33"/>
  <c r="K1129" i="33"/>
  <c r="L1129" i="33"/>
  <c r="M1129" i="33"/>
  <c r="N1129" i="33"/>
  <c r="O1129" i="33"/>
  <c r="P1129" i="33"/>
  <c r="C1130" i="33"/>
  <c r="F1130" i="33"/>
  <c r="G1130" i="33"/>
  <c r="J1130" i="33"/>
  <c r="K1130" i="33"/>
  <c r="L1130" i="33"/>
  <c r="M1130" i="33"/>
  <c r="N1130" i="33"/>
  <c r="O1130" i="33"/>
  <c r="P1130" i="33"/>
  <c r="C1131" i="33"/>
  <c r="F1131" i="33"/>
  <c r="G1131" i="33"/>
  <c r="J1131" i="33"/>
  <c r="K1131" i="33"/>
  <c r="L1131" i="33"/>
  <c r="M1131" i="33"/>
  <c r="N1131" i="33"/>
  <c r="O1131" i="33"/>
  <c r="P1131" i="33"/>
  <c r="C1132" i="33"/>
  <c r="F1132" i="33"/>
  <c r="G1132" i="33"/>
  <c r="J1132" i="33"/>
  <c r="K1132" i="33"/>
  <c r="L1132" i="33"/>
  <c r="M1132" i="33"/>
  <c r="N1132" i="33"/>
  <c r="O1132" i="33"/>
  <c r="P1132" i="33"/>
  <c r="C1133" i="33"/>
  <c r="F1133" i="33"/>
  <c r="G1133" i="33"/>
  <c r="J1133" i="33"/>
  <c r="K1133" i="33"/>
  <c r="L1133" i="33"/>
  <c r="M1133" i="33"/>
  <c r="N1133" i="33"/>
  <c r="O1133" i="33"/>
  <c r="P1133" i="33"/>
  <c r="C1134" i="33"/>
  <c r="F1134" i="33"/>
  <c r="G1134" i="33"/>
  <c r="J1134" i="33"/>
  <c r="K1134" i="33"/>
  <c r="L1134" i="33"/>
  <c r="M1134" i="33"/>
  <c r="N1134" i="33"/>
  <c r="O1134" i="33"/>
  <c r="P1134" i="33"/>
  <c r="C1135" i="33"/>
  <c r="F1135" i="33"/>
  <c r="G1135" i="33"/>
  <c r="J1135" i="33"/>
  <c r="K1135" i="33"/>
  <c r="L1135" i="33"/>
  <c r="M1135" i="33"/>
  <c r="N1135" i="33"/>
  <c r="O1135" i="33"/>
  <c r="P1135" i="33"/>
  <c r="C1136" i="33"/>
  <c r="F1136" i="33"/>
  <c r="G1136" i="33"/>
  <c r="J1136" i="33"/>
  <c r="K1136" i="33"/>
  <c r="L1136" i="33"/>
  <c r="M1136" i="33"/>
  <c r="N1136" i="33"/>
  <c r="O1136" i="33"/>
  <c r="P1136" i="33"/>
  <c r="C1137" i="33"/>
  <c r="F1137" i="33"/>
  <c r="G1137" i="33"/>
  <c r="J1137" i="33"/>
  <c r="K1137" i="33"/>
  <c r="L1137" i="33"/>
  <c r="M1137" i="33"/>
  <c r="N1137" i="33"/>
  <c r="O1137" i="33"/>
  <c r="P1137" i="33"/>
  <c r="C1138" i="33"/>
  <c r="F1138" i="33"/>
  <c r="G1138" i="33"/>
  <c r="J1138" i="33"/>
  <c r="K1138" i="33"/>
  <c r="L1138" i="33"/>
  <c r="M1138" i="33"/>
  <c r="N1138" i="33"/>
  <c r="O1138" i="33"/>
  <c r="P1138" i="33"/>
  <c r="C1139" i="33"/>
  <c r="F1139" i="33"/>
  <c r="G1139" i="33"/>
  <c r="J1139" i="33"/>
  <c r="K1139" i="33"/>
  <c r="L1139" i="33"/>
  <c r="M1139" i="33"/>
  <c r="N1139" i="33"/>
  <c r="O1139" i="33"/>
  <c r="P1139" i="33"/>
  <c r="C1140" i="33"/>
  <c r="F1140" i="33"/>
  <c r="G1140" i="33"/>
  <c r="J1140" i="33"/>
  <c r="K1140" i="33"/>
  <c r="L1140" i="33"/>
  <c r="M1140" i="33"/>
  <c r="N1140" i="33"/>
  <c r="O1140" i="33"/>
  <c r="P1140" i="33"/>
  <c r="C1141" i="33"/>
  <c r="F1141" i="33"/>
  <c r="G1141" i="33"/>
  <c r="J1141" i="33"/>
  <c r="K1141" i="33"/>
  <c r="L1141" i="33"/>
  <c r="M1141" i="33"/>
  <c r="N1141" i="33"/>
  <c r="O1141" i="33"/>
  <c r="P1141" i="33"/>
  <c r="C1142" i="33"/>
  <c r="F1142" i="33"/>
  <c r="G1142" i="33"/>
  <c r="J1142" i="33"/>
  <c r="K1142" i="33"/>
  <c r="L1142" i="33"/>
  <c r="M1142" i="33"/>
  <c r="N1142" i="33"/>
  <c r="O1142" i="33"/>
  <c r="P1142" i="33"/>
  <c r="C1143" i="33"/>
  <c r="F1143" i="33"/>
  <c r="G1143" i="33"/>
  <c r="J1143" i="33"/>
  <c r="K1143" i="33"/>
  <c r="L1143" i="33"/>
  <c r="M1143" i="33"/>
  <c r="N1143" i="33"/>
  <c r="O1143" i="33"/>
  <c r="P1143" i="33"/>
  <c r="C1144" i="33"/>
  <c r="F1144" i="33"/>
  <c r="G1144" i="33"/>
  <c r="J1144" i="33"/>
  <c r="K1144" i="33"/>
  <c r="L1144" i="33"/>
  <c r="M1144" i="33"/>
  <c r="N1144" i="33"/>
  <c r="O1144" i="33"/>
  <c r="P1144" i="33"/>
  <c r="C1145" i="33"/>
  <c r="F1145" i="33"/>
  <c r="G1145" i="33"/>
  <c r="J1145" i="33"/>
  <c r="K1145" i="33"/>
  <c r="L1145" i="33"/>
  <c r="M1145" i="33"/>
  <c r="N1145" i="33"/>
  <c r="O1145" i="33"/>
  <c r="P1145" i="33"/>
  <c r="C1146" i="33"/>
  <c r="F1146" i="33"/>
  <c r="G1146" i="33"/>
  <c r="J1146" i="33"/>
  <c r="K1146" i="33"/>
  <c r="L1146" i="33"/>
  <c r="M1146" i="33"/>
  <c r="N1146" i="33"/>
  <c r="O1146" i="33"/>
  <c r="P1146" i="33"/>
  <c r="C1147" i="33"/>
  <c r="F1147" i="33"/>
  <c r="G1147" i="33"/>
  <c r="J1147" i="33"/>
  <c r="K1147" i="33"/>
  <c r="L1147" i="33"/>
  <c r="M1147" i="33"/>
  <c r="N1147" i="33"/>
  <c r="O1147" i="33"/>
  <c r="P1147" i="33"/>
  <c r="C1148" i="33"/>
  <c r="F1148" i="33"/>
  <c r="G1148" i="33"/>
  <c r="J1148" i="33"/>
  <c r="K1148" i="33"/>
  <c r="L1148" i="33"/>
  <c r="M1148" i="33"/>
  <c r="N1148" i="33"/>
  <c r="O1148" i="33"/>
  <c r="P1148" i="33"/>
  <c r="C1149" i="33"/>
  <c r="F1149" i="33"/>
  <c r="G1149" i="33"/>
  <c r="J1149" i="33"/>
  <c r="K1149" i="33"/>
  <c r="L1149" i="33"/>
  <c r="M1149" i="33"/>
  <c r="N1149" i="33"/>
  <c r="O1149" i="33"/>
  <c r="P1149" i="33"/>
  <c r="C1150" i="33"/>
  <c r="F1150" i="33"/>
  <c r="G1150" i="33"/>
  <c r="J1150" i="33"/>
  <c r="K1150" i="33"/>
  <c r="L1150" i="33"/>
  <c r="M1150" i="33"/>
  <c r="N1150" i="33"/>
  <c r="O1150" i="33"/>
  <c r="P1150" i="33"/>
  <c r="C1151" i="33"/>
  <c r="F1151" i="33"/>
  <c r="G1151" i="33"/>
  <c r="J1151" i="33"/>
  <c r="K1151" i="33"/>
  <c r="L1151" i="33"/>
  <c r="M1151" i="33"/>
  <c r="N1151" i="33"/>
  <c r="O1151" i="33"/>
  <c r="P1151" i="33"/>
  <c r="C1152" i="33"/>
  <c r="F1152" i="33"/>
  <c r="G1152" i="33"/>
  <c r="J1152" i="33"/>
  <c r="K1152" i="33"/>
  <c r="L1152" i="33"/>
  <c r="M1152" i="33"/>
  <c r="N1152" i="33"/>
  <c r="O1152" i="33"/>
  <c r="P1152" i="33"/>
  <c r="C1153" i="33"/>
  <c r="F1153" i="33"/>
  <c r="G1153" i="33"/>
  <c r="J1153" i="33"/>
  <c r="K1153" i="33"/>
  <c r="L1153" i="33"/>
  <c r="M1153" i="33"/>
  <c r="N1153" i="33"/>
  <c r="O1153" i="33"/>
  <c r="P1153" i="33"/>
  <c r="C1154" i="33"/>
  <c r="F1154" i="33"/>
  <c r="G1154" i="33"/>
  <c r="J1154" i="33"/>
  <c r="K1154" i="33"/>
  <c r="L1154" i="33"/>
  <c r="M1154" i="33"/>
  <c r="N1154" i="33"/>
  <c r="O1154" i="33"/>
  <c r="P1154" i="33"/>
  <c r="C1155" i="33"/>
  <c r="F1155" i="33"/>
  <c r="G1155" i="33"/>
  <c r="J1155" i="33"/>
  <c r="K1155" i="33"/>
  <c r="L1155" i="33"/>
  <c r="M1155" i="33"/>
  <c r="N1155" i="33"/>
  <c r="O1155" i="33"/>
  <c r="P1155" i="33"/>
  <c r="C1156" i="33"/>
  <c r="F1156" i="33"/>
  <c r="G1156" i="33"/>
  <c r="J1156" i="33"/>
  <c r="K1156" i="33"/>
  <c r="L1156" i="33"/>
  <c r="M1156" i="33"/>
  <c r="N1156" i="33"/>
  <c r="O1156" i="33"/>
  <c r="P1156" i="33"/>
  <c r="C1157" i="33"/>
  <c r="F1157" i="33"/>
  <c r="G1157" i="33"/>
  <c r="J1157" i="33"/>
  <c r="K1157" i="33"/>
  <c r="L1157" i="33"/>
  <c r="M1157" i="33"/>
  <c r="N1157" i="33"/>
  <c r="O1157" i="33"/>
  <c r="P1157" i="33"/>
  <c r="C1158" i="33"/>
  <c r="F1158" i="33"/>
  <c r="G1158" i="33"/>
  <c r="J1158" i="33"/>
  <c r="K1158" i="33"/>
  <c r="L1158" i="33"/>
  <c r="M1158" i="33"/>
  <c r="N1158" i="33"/>
  <c r="O1158" i="33"/>
  <c r="P1158" i="33"/>
  <c r="C1159" i="33"/>
  <c r="F1159" i="33"/>
  <c r="G1159" i="33"/>
  <c r="J1159" i="33"/>
  <c r="K1159" i="33"/>
  <c r="L1159" i="33"/>
  <c r="M1159" i="33"/>
  <c r="N1159" i="33"/>
  <c r="O1159" i="33"/>
  <c r="P1159" i="33"/>
  <c r="C1160" i="33"/>
  <c r="F1160" i="33"/>
  <c r="G1160" i="33"/>
  <c r="J1160" i="33"/>
  <c r="K1160" i="33"/>
  <c r="L1160" i="33"/>
  <c r="M1160" i="33"/>
  <c r="N1160" i="33"/>
  <c r="O1160" i="33"/>
  <c r="P1160" i="33"/>
  <c r="C1161" i="33"/>
  <c r="F1161" i="33"/>
  <c r="G1161" i="33"/>
  <c r="J1161" i="33"/>
  <c r="K1161" i="33"/>
  <c r="L1161" i="33"/>
  <c r="M1161" i="33"/>
  <c r="N1161" i="33"/>
  <c r="O1161" i="33"/>
  <c r="P1161" i="33"/>
  <c r="C1162" i="33"/>
  <c r="F1162" i="33"/>
  <c r="G1162" i="33"/>
  <c r="J1162" i="33"/>
  <c r="K1162" i="33"/>
  <c r="L1162" i="33"/>
  <c r="M1162" i="33"/>
  <c r="N1162" i="33"/>
  <c r="O1162" i="33"/>
  <c r="P1162" i="33"/>
  <c r="C1163" i="33"/>
  <c r="F1163" i="33"/>
  <c r="G1163" i="33"/>
  <c r="J1163" i="33"/>
  <c r="K1163" i="33"/>
  <c r="L1163" i="33"/>
  <c r="M1163" i="33"/>
  <c r="N1163" i="33"/>
  <c r="O1163" i="33"/>
  <c r="P1163" i="33"/>
  <c r="C1164" i="33"/>
  <c r="F1164" i="33"/>
  <c r="G1164" i="33"/>
  <c r="J1164" i="33"/>
  <c r="K1164" i="33"/>
  <c r="L1164" i="33"/>
  <c r="M1164" i="33"/>
  <c r="N1164" i="33"/>
  <c r="O1164" i="33"/>
  <c r="P1164" i="33"/>
  <c r="C1165" i="33"/>
  <c r="F1165" i="33"/>
  <c r="G1165" i="33"/>
  <c r="J1165" i="33"/>
  <c r="K1165" i="33"/>
  <c r="L1165" i="33"/>
  <c r="M1165" i="33"/>
  <c r="N1165" i="33"/>
  <c r="O1165" i="33"/>
  <c r="P1165" i="33"/>
  <c r="C1166" i="33"/>
  <c r="F1166" i="33"/>
  <c r="G1166" i="33"/>
  <c r="J1166" i="33"/>
  <c r="K1166" i="33"/>
  <c r="L1166" i="33"/>
  <c r="M1166" i="33"/>
  <c r="N1166" i="33"/>
  <c r="O1166" i="33"/>
  <c r="P1166" i="33"/>
  <c r="C1167" i="33"/>
  <c r="F1167" i="33"/>
  <c r="G1167" i="33"/>
  <c r="J1167" i="33"/>
  <c r="K1167" i="33"/>
  <c r="L1167" i="33"/>
  <c r="M1167" i="33"/>
  <c r="N1167" i="33"/>
  <c r="O1167" i="33"/>
  <c r="P1167" i="33"/>
  <c r="C1168" i="33"/>
  <c r="F1168" i="33"/>
  <c r="G1168" i="33"/>
  <c r="J1168" i="33"/>
  <c r="K1168" i="33"/>
  <c r="L1168" i="33"/>
  <c r="M1168" i="33"/>
  <c r="N1168" i="33"/>
  <c r="O1168" i="33"/>
  <c r="P1168" i="33"/>
  <c r="C1169" i="33"/>
  <c r="F1169" i="33"/>
  <c r="G1169" i="33"/>
  <c r="J1169" i="33"/>
  <c r="K1169" i="33"/>
  <c r="L1169" i="33"/>
  <c r="M1169" i="33"/>
  <c r="N1169" i="33"/>
  <c r="O1169" i="33"/>
  <c r="P1169" i="33"/>
  <c r="C1170" i="33"/>
  <c r="F1170" i="33"/>
  <c r="G1170" i="33"/>
  <c r="J1170" i="33"/>
  <c r="K1170" i="33"/>
  <c r="L1170" i="33"/>
  <c r="M1170" i="33"/>
  <c r="N1170" i="33"/>
  <c r="O1170" i="33"/>
  <c r="P1170" i="33"/>
  <c r="C1171" i="33"/>
  <c r="F1171" i="33"/>
  <c r="G1171" i="33"/>
  <c r="J1171" i="33"/>
  <c r="K1171" i="33"/>
  <c r="L1171" i="33"/>
  <c r="M1171" i="33"/>
  <c r="N1171" i="33"/>
  <c r="O1171" i="33"/>
  <c r="P1171" i="33"/>
  <c r="C1172" i="33"/>
  <c r="F1172" i="33"/>
  <c r="G1172" i="33"/>
  <c r="J1172" i="33"/>
  <c r="K1172" i="33"/>
  <c r="L1172" i="33"/>
  <c r="M1172" i="33"/>
  <c r="N1172" i="33"/>
  <c r="O1172" i="33"/>
  <c r="P1172" i="33"/>
  <c r="C1173" i="33"/>
  <c r="F1173" i="33"/>
  <c r="G1173" i="33"/>
  <c r="J1173" i="33"/>
  <c r="K1173" i="33"/>
  <c r="L1173" i="33"/>
  <c r="M1173" i="33"/>
  <c r="N1173" i="33"/>
  <c r="O1173" i="33"/>
  <c r="P1173" i="33"/>
  <c r="C1174" i="33"/>
  <c r="F1174" i="33"/>
  <c r="G1174" i="33"/>
  <c r="J1174" i="33"/>
  <c r="K1174" i="33"/>
  <c r="L1174" i="33"/>
  <c r="M1174" i="33"/>
  <c r="N1174" i="33"/>
  <c r="O1174" i="33"/>
  <c r="P1174" i="33"/>
  <c r="C1175" i="33"/>
  <c r="F1175" i="33"/>
  <c r="G1175" i="33"/>
  <c r="J1175" i="33"/>
  <c r="K1175" i="33"/>
  <c r="L1175" i="33"/>
  <c r="M1175" i="33"/>
  <c r="N1175" i="33"/>
  <c r="O1175" i="33"/>
  <c r="P1175" i="33"/>
  <c r="C1176" i="33"/>
  <c r="F1176" i="33"/>
  <c r="G1176" i="33"/>
  <c r="J1176" i="33"/>
  <c r="K1176" i="33"/>
  <c r="L1176" i="33"/>
  <c r="M1176" i="33"/>
  <c r="N1176" i="33"/>
  <c r="O1176" i="33"/>
  <c r="P1176" i="33"/>
  <c r="C1177" i="33"/>
  <c r="F1177" i="33"/>
  <c r="G1177" i="33"/>
  <c r="J1177" i="33"/>
  <c r="K1177" i="33"/>
  <c r="L1177" i="33"/>
  <c r="M1177" i="33"/>
  <c r="N1177" i="33"/>
  <c r="O1177" i="33"/>
  <c r="P1177" i="33"/>
  <c r="C1178" i="33"/>
  <c r="F1178" i="33"/>
  <c r="G1178" i="33"/>
  <c r="J1178" i="33"/>
  <c r="K1178" i="33"/>
  <c r="L1178" i="33"/>
  <c r="M1178" i="33"/>
  <c r="N1178" i="33"/>
  <c r="O1178" i="33"/>
  <c r="P1178" i="33"/>
  <c r="C1179" i="33"/>
  <c r="F1179" i="33"/>
  <c r="G1179" i="33"/>
  <c r="J1179" i="33"/>
  <c r="K1179" i="33"/>
  <c r="L1179" i="33"/>
  <c r="M1179" i="33"/>
  <c r="N1179" i="33"/>
  <c r="O1179" i="33"/>
  <c r="P1179" i="33"/>
  <c r="C1254" i="33"/>
  <c r="F1254" i="33"/>
  <c r="G1254" i="33"/>
  <c r="J1254" i="33"/>
  <c r="K1254" i="33"/>
  <c r="L1254" i="33"/>
  <c r="M1254" i="33"/>
  <c r="N1254" i="33"/>
  <c r="O1254" i="33"/>
  <c r="P1254" i="33"/>
  <c r="Q1254" i="33"/>
  <c r="R1254" i="33"/>
  <c r="C1253" i="33"/>
  <c r="F1253" i="33"/>
  <c r="G1253" i="33"/>
  <c r="J1253" i="33"/>
  <c r="K1253" i="33"/>
  <c r="L1253" i="33"/>
  <c r="M1253" i="33"/>
  <c r="N1253" i="33"/>
  <c r="O1253" i="33"/>
  <c r="P1253" i="33"/>
  <c r="Q1253" i="33"/>
  <c r="R1253" i="33"/>
  <c r="C1251" i="33"/>
  <c r="C1252" i="33"/>
  <c r="F1251" i="33"/>
  <c r="F1252" i="33"/>
  <c r="G1251" i="33"/>
  <c r="G1252" i="33"/>
  <c r="J1251" i="33"/>
  <c r="J1252" i="33"/>
  <c r="K1251" i="33"/>
  <c r="K1252" i="33"/>
  <c r="L1251" i="33"/>
  <c r="L1252" i="33"/>
  <c r="M1251" i="33"/>
  <c r="M1252" i="33"/>
  <c r="N1251" i="33"/>
  <c r="N1252" i="33"/>
  <c r="O1251" i="33"/>
  <c r="O1252" i="33"/>
  <c r="P1251" i="33"/>
  <c r="P1252" i="33"/>
  <c r="Q1251" i="33"/>
  <c r="Q1252" i="33"/>
  <c r="R1251" i="33"/>
  <c r="R1252" i="33"/>
  <c r="C1250" i="33"/>
  <c r="F1250" i="33"/>
  <c r="G1250" i="33"/>
  <c r="J1250" i="33"/>
  <c r="K1250" i="33"/>
  <c r="L1250" i="33"/>
  <c r="M1250" i="33"/>
  <c r="N1250" i="33"/>
  <c r="O1250" i="33"/>
  <c r="P1250" i="33"/>
  <c r="Q1250" i="33"/>
  <c r="R1250" i="33"/>
  <c r="C1940" i="17"/>
  <c r="C1248" i="33"/>
  <c r="C1249" i="33"/>
  <c r="F1248" i="33"/>
  <c r="F1249" i="33"/>
  <c r="G1248" i="33"/>
  <c r="G1249" i="33"/>
  <c r="J1248" i="33"/>
  <c r="J1249" i="33"/>
  <c r="K1248" i="33"/>
  <c r="K1249" i="33"/>
  <c r="L1248" i="33"/>
  <c r="L1249" i="33"/>
  <c r="M1248" i="33"/>
  <c r="M1249" i="33"/>
  <c r="N1248" i="33"/>
  <c r="N1249" i="33"/>
  <c r="O1248" i="33"/>
  <c r="O1249" i="33"/>
  <c r="P1248" i="33"/>
  <c r="P1249" i="33"/>
  <c r="Q1248" i="33"/>
  <c r="Q1249" i="33"/>
  <c r="R1248" i="33"/>
  <c r="R1249" i="33"/>
  <c r="C1247" i="33"/>
  <c r="F1247" i="33"/>
  <c r="G1247" i="33"/>
  <c r="J1247" i="33"/>
  <c r="K1247" i="33"/>
  <c r="L1247" i="33"/>
  <c r="M1247" i="33"/>
  <c r="N1247" i="33"/>
  <c r="O1247" i="33"/>
  <c r="P1247" i="33"/>
  <c r="Q1247" i="33"/>
  <c r="R1247" i="33"/>
  <c r="C1244" i="33"/>
  <c r="C1245" i="33"/>
  <c r="C1246" i="33"/>
  <c r="F1244" i="33"/>
  <c r="F1245" i="33"/>
  <c r="F1246" i="33"/>
  <c r="G1244" i="33"/>
  <c r="G1245" i="33"/>
  <c r="G1246" i="33"/>
  <c r="J1244" i="33"/>
  <c r="J1245" i="33"/>
  <c r="J1246" i="33"/>
  <c r="K1244" i="33"/>
  <c r="K1245" i="33"/>
  <c r="K1246" i="33"/>
  <c r="L1244" i="33"/>
  <c r="L1245" i="33"/>
  <c r="L1246" i="33"/>
  <c r="M1244" i="33"/>
  <c r="M1245" i="33"/>
  <c r="M1246" i="33"/>
  <c r="N1244" i="33"/>
  <c r="N1245" i="33"/>
  <c r="N1246" i="33"/>
  <c r="O1244" i="33"/>
  <c r="O1245" i="33"/>
  <c r="O1246" i="33"/>
  <c r="P1244" i="33"/>
  <c r="P1245" i="33"/>
  <c r="P1246" i="33"/>
  <c r="Q1244" i="33"/>
  <c r="Q1245" i="33"/>
  <c r="Q1246" i="33"/>
  <c r="R1244" i="33"/>
  <c r="R1245" i="33"/>
  <c r="R1246" i="33"/>
  <c r="C1243" i="33"/>
  <c r="F1243" i="33"/>
  <c r="G1243" i="33"/>
  <c r="J1243" i="33"/>
  <c r="K1243" i="33"/>
  <c r="L1243" i="33"/>
  <c r="M1243" i="33"/>
  <c r="N1243" i="33"/>
  <c r="O1243" i="33"/>
  <c r="P1243" i="33"/>
  <c r="Q1243" i="33"/>
  <c r="R1243" i="33"/>
  <c r="C1242" i="33"/>
  <c r="F1242" i="33"/>
  <c r="G1242" i="33"/>
  <c r="J1242" i="33"/>
  <c r="K1242" i="33"/>
  <c r="L1242" i="33"/>
  <c r="M1242" i="33"/>
  <c r="N1242" i="33"/>
  <c r="O1242" i="33"/>
  <c r="P1242" i="33"/>
  <c r="Q1242" i="33"/>
  <c r="R1242" i="33"/>
  <c r="I1747" i="17"/>
  <c r="L1747" i="17"/>
  <c r="C1241" i="33"/>
  <c r="F1241" i="33"/>
  <c r="G1241" i="33"/>
  <c r="J1241" i="33"/>
  <c r="K1241" i="33"/>
  <c r="L1241" i="33"/>
  <c r="M1241" i="33"/>
  <c r="N1241" i="33"/>
  <c r="O1241" i="33"/>
  <c r="P1241" i="33"/>
  <c r="Q1241" i="33"/>
  <c r="R1241" i="33"/>
  <c r="C1239" i="33"/>
  <c r="C1240" i="33"/>
  <c r="F1239" i="33"/>
  <c r="F1240" i="33"/>
  <c r="G1239" i="33"/>
  <c r="G1240" i="33"/>
  <c r="J1239" i="33"/>
  <c r="J1240" i="33"/>
  <c r="K1239" i="33"/>
  <c r="K1240" i="33"/>
  <c r="L1239" i="33"/>
  <c r="L1240" i="33"/>
  <c r="M1239" i="33"/>
  <c r="M1240" i="33"/>
  <c r="N1239" i="33"/>
  <c r="N1240" i="33"/>
  <c r="O1239" i="33"/>
  <c r="O1240" i="33"/>
  <c r="P1239" i="33"/>
  <c r="P1240" i="33"/>
  <c r="Q1239" i="33"/>
  <c r="Q1240" i="33"/>
  <c r="R1239" i="33"/>
  <c r="R1240" i="33"/>
  <c r="I1739" i="17"/>
  <c r="L1739" i="17"/>
  <c r="C1237" i="33"/>
  <c r="C1238" i="33"/>
  <c r="F1237" i="33"/>
  <c r="F1238" i="33"/>
  <c r="G1237" i="33"/>
  <c r="G1238" i="33"/>
  <c r="J1237" i="33"/>
  <c r="J1238" i="33"/>
  <c r="K1237" i="33"/>
  <c r="K1238" i="33"/>
  <c r="L1237" i="33"/>
  <c r="L1238" i="33"/>
  <c r="M1237" i="33"/>
  <c r="M1238" i="33"/>
  <c r="N1237" i="33"/>
  <c r="N1238" i="33"/>
  <c r="O1237" i="33"/>
  <c r="O1238" i="33"/>
  <c r="P1237" i="33"/>
  <c r="P1238" i="33"/>
  <c r="Q1237" i="33"/>
  <c r="Q1238" i="33"/>
  <c r="R1237" i="33"/>
  <c r="R1238" i="33"/>
  <c r="I1735" i="17"/>
  <c r="L1735" i="17"/>
  <c r="C1236" i="33"/>
  <c r="F1236" i="33"/>
  <c r="G1236" i="33"/>
  <c r="J1236" i="33"/>
  <c r="K1236" i="33"/>
  <c r="L1236" i="33"/>
  <c r="M1236" i="33"/>
  <c r="N1236" i="33"/>
  <c r="O1236" i="33"/>
  <c r="P1236" i="33"/>
  <c r="Q1236" i="33"/>
  <c r="R1236" i="33"/>
  <c r="C1235" i="33"/>
  <c r="F1235" i="33"/>
  <c r="G1235" i="33"/>
  <c r="J1235" i="33"/>
  <c r="K1235" i="33"/>
  <c r="L1235" i="33"/>
  <c r="M1235" i="33"/>
  <c r="N1235" i="33"/>
  <c r="O1235" i="33"/>
  <c r="P1235" i="33"/>
  <c r="Q1235" i="33"/>
  <c r="R1235" i="33"/>
  <c r="C1939" i="17"/>
  <c r="C1233" i="33"/>
  <c r="C1234" i="33"/>
  <c r="F1233" i="33"/>
  <c r="F1234" i="33"/>
  <c r="G1233" i="33"/>
  <c r="G1234" i="33"/>
  <c r="J1233" i="33"/>
  <c r="J1234" i="33"/>
  <c r="K1233" i="33"/>
  <c r="K1234" i="33"/>
  <c r="L1233" i="33"/>
  <c r="L1234" i="33"/>
  <c r="M1233" i="33"/>
  <c r="M1234" i="33"/>
  <c r="N1233" i="33"/>
  <c r="N1234" i="33"/>
  <c r="O1233" i="33"/>
  <c r="O1234" i="33"/>
  <c r="P1233" i="33"/>
  <c r="P1234" i="33"/>
  <c r="Q1233" i="33"/>
  <c r="Q1234" i="33"/>
  <c r="R1233" i="33"/>
  <c r="R1234" i="33"/>
  <c r="I1730" i="17"/>
  <c r="L1730" i="17"/>
  <c r="C1230" i="33"/>
  <c r="C1231" i="33"/>
  <c r="C1232" i="33"/>
  <c r="F1230" i="33"/>
  <c r="F1231" i="33"/>
  <c r="F1232" i="33"/>
  <c r="G1230" i="33"/>
  <c r="G1231" i="33"/>
  <c r="G1232" i="33"/>
  <c r="J1230" i="33"/>
  <c r="J1231" i="33"/>
  <c r="J1232" i="33"/>
  <c r="K1230" i="33"/>
  <c r="K1231" i="33"/>
  <c r="K1232" i="33"/>
  <c r="L1230" i="33"/>
  <c r="L1231" i="33"/>
  <c r="L1232" i="33"/>
  <c r="M1230" i="33"/>
  <c r="M1231" i="33"/>
  <c r="M1232" i="33"/>
  <c r="N1230" i="33"/>
  <c r="N1231" i="33"/>
  <c r="N1232" i="33"/>
  <c r="O1230" i="33"/>
  <c r="O1231" i="33"/>
  <c r="O1232" i="33"/>
  <c r="P1230" i="33"/>
  <c r="P1231" i="33"/>
  <c r="P1232" i="33"/>
  <c r="Q1230" i="33"/>
  <c r="Q1231" i="33"/>
  <c r="Q1232" i="33"/>
  <c r="R1230" i="33"/>
  <c r="R1231" i="33"/>
  <c r="R1232" i="33"/>
  <c r="C1226" i="33"/>
  <c r="C1227" i="33"/>
  <c r="C1228" i="33"/>
  <c r="C1229" i="33"/>
  <c r="F1226" i="33"/>
  <c r="F1227" i="33"/>
  <c r="F1228" i="33"/>
  <c r="F1229" i="33"/>
  <c r="G1226" i="33"/>
  <c r="G1227" i="33"/>
  <c r="G1228" i="33"/>
  <c r="G1229" i="33"/>
  <c r="J1226" i="33"/>
  <c r="J1227" i="33"/>
  <c r="J1228" i="33"/>
  <c r="J1229" i="33"/>
  <c r="K1226" i="33"/>
  <c r="K1227" i="33"/>
  <c r="K1228" i="33"/>
  <c r="K1229" i="33"/>
  <c r="L1226" i="33"/>
  <c r="L1227" i="33"/>
  <c r="L1228" i="33"/>
  <c r="L1229" i="33"/>
  <c r="M1226" i="33"/>
  <c r="M1227" i="33"/>
  <c r="M1228" i="33"/>
  <c r="M1229" i="33"/>
  <c r="N1226" i="33"/>
  <c r="N1227" i="33"/>
  <c r="N1228" i="33"/>
  <c r="N1229" i="33"/>
  <c r="O1226" i="33"/>
  <c r="O1227" i="33"/>
  <c r="O1228" i="33"/>
  <c r="O1229" i="33"/>
  <c r="P1226" i="33"/>
  <c r="P1227" i="33"/>
  <c r="P1228" i="33"/>
  <c r="P1229" i="33"/>
  <c r="Q1226" i="33"/>
  <c r="Q1227" i="33"/>
  <c r="Q1228" i="33"/>
  <c r="Q1229" i="33"/>
  <c r="R1226" i="33"/>
  <c r="R1227" i="33"/>
  <c r="R1228" i="33"/>
  <c r="R1229" i="33"/>
  <c r="C1220" i="33"/>
  <c r="C1221" i="33"/>
  <c r="C1222" i="33"/>
  <c r="C1223" i="33"/>
  <c r="C1224" i="33"/>
  <c r="C1225" i="33"/>
  <c r="F1220" i="33"/>
  <c r="F1221" i="33"/>
  <c r="F1222" i="33"/>
  <c r="F1223" i="33"/>
  <c r="F1224" i="33"/>
  <c r="F1225" i="33"/>
  <c r="G1220" i="33"/>
  <c r="G1221" i="33"/>
  <c r="G1222" i="33"/>
  <c r="G1223" i="33"/>
  <c r="G1224" i="33"/>
  <c r="G1225" i="33"/>
  <c r="J1220" i="33"/>
  <c r="J1221" i="33"/>
  <c r="J1222" i="33"/>
  <c r="J1223" i="33"/>
  <c r="J1224" i="33"/>
  <c r="J1225" i="33"/>
  <c r="K1220" i="33"/>
  <c r="K1221" i="33"/>
  <c r="K1222" i="33"/>
  <c r="K1223" i="33"/>
  <c r="K1224" i="33"/>
  <c r="K1225" i="33"/>
  <c r="L1220" i="33"/>
  <c r="L1221" i="33"/>
  <c r="L1222" i="33"/>
  <c r="L1223" i="33"/>
  <c r="L1224" i="33"/>
  <c r="L1225" i="33"/>
  <c r="M1220" i="33"/>
  <c r="M1221" i="33"/>
  <c r="M1222" i="33"/>
  <c r="M1223" i="33"/>
  <c r="M1224" i="33"/>
  <c r="M1225" i="33"/>
  <c r="N1220" i="33"/>
  <c r="N1221" i="33"/>
  <c r="N1222" i="33"/>
  <c r="N1223" i="33"/>
  <c r="N1224" i="33"/>
  <c r="N1225" i="33"/>
  <c r="O1220" i="33"/>
  <c r="O1221" i="33"/>
  <c r="O1222" i="33"/>
  <c r="O1223" i="33"/>
  <c r="O1224" i="33"/>
  <c r="O1225" i="33"/>
  <c r="P1220" i="33"/>
  <c r="P1221" i="33"/>
  <c r="P1222" i="33"/>
  <c r="P1223" i="33"/>
  <c r="P1224" i="33"/>
  <c r="P1225" i="33"/>
  <c r="Q1220" i="33"/>
  <c r="Q1221" i="33"/>
  <c r="Q1222" i="33"/>
  <c r="Q1223" i="33"/>
  <c r="Q1224" i="33"/>
  <c r="Q1225" i="33"/>
  <c r="R1220" i="33"/>
  <c r="R1221" i="33"/>
  <c r="R1222" i="33"/>
  <c r="R1223" i="33"/>
  <c r="R1224" i="33"/>
  <c r="R1225" i="33"/>
  <c r="C1219" i="33"/>
  <c r="F1219" i="33"/>
  <c r="G1219" i="33"/>
  <c r="J1219" i="33"/>
  <c r="K1219" i="33"/>
  <c r="L1219" i="33"/>
  <c r="M1219" i="33"/>
  <c r="N1219" i="33"/>
  <c r="O1219" i="33"/>
  <c r="P1219" i="33"/>
  <c r="Q1219" i="33"/>
  <c r="R1219" i="33"/>
  <c r="C1218" i="33"/>
  <c r="F1218" i="33"/>
  <c r="G1218" i="33"/>
  <c r="J1218" i="33"/>
  <c r="K1218" i="33"/>
  <c r="L1218" i="33"/>
  <c r="M1218" i="33"/>
  <c r="N1218" i="33"/>
  <c r="O1218" i="33"/>
  <c r="P1218" i="33"/>
  <c r="Q1218" i="33"/>
  <c r="R1218" i="33"/>
  <c r="C1204" i="33"/>
  <c r="C1205" i="33"/>
  <c r="C1206" i="33"/>
  <c r="C1207" i="33"/>
  <c r="C1208" i="33"/>
  <c r="C1209" i="33"/>
  <c r="C1210" i="33"/>
  <c r="C1211" i="33"/>
  <c r="C1212" i="33"/>
  <c r="C1213" i="33"/>
  <c r="C1214" i="33"/>
  <c r="C1215" i="33"/>
  <c r="C1216" i="33"/>
  <c r="C1217" i="33"/>
  <c r="F1204" i="33"/>
  <c r="F1205" i="33"/>
  <c r="F1206" i="33"/>
  <c r="F1207" i="33"/>
  <c r="F1208" i="33"/>
  <c r="F1209" i="33"/>
  <c r="F1210" i="33"/>
  <c r="F1211" i="33"/>
  <c r="F1212" i="33"/>
  <c r="F1213" i="33"/>
  <c r="F1214" i="33"/>
  <c r="F1215" i="33"/>
  <c r="F1216" i="33"/>
  <c r="F1217" i="33"/>
  <c r="G1204" i="33"/>
  <c r="G1205" i="33"/>
  <c r="G1206" i="33"/>
  <c r="G1207" i="33"/>
  <c r="G1208" i="33"/>
  <c r="G1209" i="33"/>
  <c r="G1210" i="33"/>
  <c r="G1211" i="33"/>
  <c r="G1212" i="33"/>
  <c r="G1213" i="33"/>
  <c r="G1214" i="33"/>
  <c r="G1215" i="33"/>
  <c r="G1216" i="33"/>
  <c r="G1217" i="33"/>
  <c r="J1204" i="33"/>
  <c r="J1205" i="33"/>
  <c r="J1206" i="33"/>
  <c r="J1207" i="33"/>
  <c r="J1208" i="33"/>
  <c r="J1209" i="33"/>
  <c r="J1210" i="33"/>
  <c r="J1211" i="33"/>
  <c r="J1212" i="33"/>
  <c r="J1213" i="33"/>
  <c r="J1214" i="33"/>
  <c r="J1215" i="33"/>
  <c r="J1216" i="33"/>
  <c r="J1217" i="33"/>
  <c r="K1204" i="33"/>
  <c r="K1205" i="33"/>
  <c r="K1206" i="33"/>
  <c r="K1207" i="33"/>
  <c r="K1208" i="33"/>
  <c r="K1209" i="33"/>
  <c r="K1210" i="33"/>
  <c r="K1211" i="33"/>
  <c r="K1212" i="33"/>
  <c r="K1213" i="33"/>
  <c r="K1214" i="33"/>
  <c r="K1215" i="33"/>
  <c r="K1216" i="33"/>
  <c r="K1217" i="33"/>
  <c r="L1204" i="33"/>
  <c r="L1205" i="33"/>
  <c r="L1206" i="33"/>
  <c r="L1207" i="33"/>
  <c r="L1208" i="33"/>
  <c r="L1209" i="33"/>
  <c r="L1210" i="33"/>
  <c r="L1211" i="33"/>
  <c r="L1212" i="33"/>
  <c r="L1213" i="33"/>
  <c r="L1214" i="33"/>
  <c r="L1215" i="33"/>
  <c r="L1216" i="33"/>
  <c r="L1217" i="33"/>
  <c r="M1204" i="33"/>
  <c r="M1205" i="33"/>
  <c r="M1206" i="33"/>
  <c r="M1207" i="33"/>
  <c r="M1208" i="33"/>
  <c r="M1209" i="33"/>
  <c r="M1210" i="33"/>
  <c r="M1211" i="33"/>
  <c r="M1212" i="33"/>
  <c r="M1213" i="33"/>
  <c r="M1214" i="33"/>
  <c r="M1215" i="33"/>
  <c r="M1216" i="33"/>
  <c r="M1217" i="33"/>
  <c r="N1204" i="33"/>
  <c r="N1205" i="33"/>
  <c r="N1206" i="33"/>
  <c r="N1207" i="33"/>
  <c r="N1208" i="33"/>
  <c r="N1209" i="33"/>
  <c r="N1210" i="33"/>
  <c r="N1211" i="33"/>
  <c r="N1212" i="33"/>
  <c r="N1213" i="33"/>
  <c r="N1214" i="33"/>
  <c r="N1215" i="33"/>
  <c r="N1216" i="33"/>
  <c r="N1217" i="33"/>
  <c r="O1204" i="33"/>
  <c r="O1205" i="33"/>
  <c r="O1206" i="33"/>
  <c r="O1207" i="33"/>
  <c r="O1208" i="33"/>
  <c r="O1209" i="33"/>
  <c r="O1210" i="33"/>
  <c r="O1211" i="33"/>
  <c r="O1212" i="33"/>
  <c r="O1213" i="33"/>
  <c r="O1214" i="33"/>
  <c r="O1215" i="33"/>
  <c r="O1216" i="33"/>
  <c r="O1217" i="33"/>
  <c r="P1204" i="33"/>
  <c r="P1205" i="33"/>
  <c r="P1206" i="33"/>
  <c r="P1207" i="33"/>
  <c r="P1208" i="33"/>
  <c r="P1209" i="33"/>
  <c r="P1210" i="33"/>
  <c r="P1211" i="33"/>
  <c r="P1212" i="33"/>
  <c r="P1213" i="33"/>
  <c r="P1214" i="33"/>
  <c r="P1215" i="33"/>
  <c r="P1216" i="33"/>
  <c r="P1217" i="33"/>
  <c r="Q1204" i="33"/>
  <c r="Q1205" i="33"/>
  <c r="Q1206" i="33"/>
  <c r="Q1207" i="33"/>
  <c r="Q1208" i="33"/>
  <c r="Q1209" i="33"/>
  <c r="Q1210" i="33"/>
  <c r="Q1211" i="33"/>
  <c r="Q1212" i="33"/>
  <c r="Q1213" i="33"/>
  <c r="Q1214" i="33"/>
  <c r="Q1215" i="33"/>
  <c r="Q1216" i="33"/>
  <c r="Q1217" i="33"/>
  <c r="R1204" i="33"/>
  <c r="R1205" i="33"/>
  <c r="R1206" i="33"/>
  <c r="R1207" i="33"/>
  <c r="R1208" i="33"/>
  <c r="R1209" i="33"/>
  <c r="R1210" i="33"/>
  <c r="R1211" i="33"/>
  <c r="R1212" i="33"/>
  <c r="R1213" i="33"/>
  <c r="R1214" i="33"/>
  <c r="R1215" i="33"/>
  <c r="R1216" i="33"/>
  <c r="R1217" i="33"/>
  <c r="C1203" i="33"/>
  <c r="F1203" i="33"/>
  <c r="G1203" i="33"/>
  <c r="J1203" i="33"/>
  <c r="K1203" i="33"/>
  <c r="L1203" i="33"/>
  <c r="M1203" i="33"/>
  <c r="N1203" i="33"/>
  <c r="O1203" i="33"/>
  <c r="P1203" i="33"/>
  <c r="Q1203" i="33"/>
  <c r="R1203" i="33"/>
  <c r="I1677" i="17"/>
  <c r="L1677" i="17"/>
  <c r="I16" i="17"/>
  <c r="I25" i="17"/>
  <c r="I42" i="17"/>
  <c r="I49" i="17"/>
  <c r="I63" i="17"/>
  <c r="I72" i="17"/>
  <c r="I87" i="17"/>
  <c r="I99" i="17"/>
  <c r="I109" i="17"/>
  <c r="I119" i="17"/>
  <c r="I128" i="17"/>
  <c r="I139" i="17"/>
  <c r="I149" i="17"/>
  <c r="I162" i="17"/>
  <c r="I174" i="17"/>
  <c r="I179" i="17"/>
  <c r="I197" i="17"/>
  <c r="I215" i="17"/>
  <c r="I227" i="17"/>
  <c r="I238" i="17"/>
  <c r="I258" i="17"/>
  <c r="I275" i="17"/>
  <c r="I293" i="17"/>
  <c r="I306" i="17"/>
  <c r="I329" i="17"/>
  <c r="I347" i="17"/>
  <c r="I362" i="17"/>
  <c r="I371" i="17"/>
  <c r="I376" i="17"/>
  <c r="I386" i="17"/>
  <c r="I401" i="17"/>
  <c r="I417" i="17"/>
  <c r="I427" i="17"/>
  <c r="I433" i="17"/>
  <c r="I457" i="17"/>
  <c r="I467" i="17"/>
  <c r="I486" i="17"/>
  <c r="I500" i="17"/>
  <c r="I513" i="17"/>
  <c r="I539" i="17"/>
  <c r="I551" i="17"/>
  <c r="I568" i="17"/>
  <c r="I580" i="17"/>
  <c r="I594" i="17"/>
  <c r="I615" i="17"/>
  <c r="I624" i="17"/>
  <c r="I639" i="17"/>
  <c r="I645" i="17"/>
  <c r="I663" i="17"/>
  <c r="I677" i="17"/>
  <c r="I691" i="17"/>
  <c r="I701" i="17"/>
  <c r="I708" i="17"/>
  <c r="I720" i="17"/>
  <c r="I724" i="17"/>
  <c r="I736" i="17"/>
  <c r="I744" i="17"/>
  <c r="I756" i="17"/>
  <c r="I763" i="17"/>
  <c r="I765" i="17"/>
  <c r="I774" i="17"/>
  <c r="I784" i="17"/>
  <c r="I789" i="17"/>
  <c r="I793" i="17"/>
  <c r="I802" i="17"/>
  <c r="I807" i="17"/>
  <c r="I812" i="17"/>
  <c r="I821" i="17"/>
  <c r="I828" i="17"/>
  <c r="I842" i="17"/>
  <c r="I850" i="17"/>
  <c r="I860" i="17"/>
  <c r="I870" i="17"/>
  <c r="I885" i="17"/>
  <c r="I894" i="17"/>
  <c r="I906" i="17"/>
  <c r="I912" i="17"/>
  <c r="I929" i="17"/>
  <c r="I932" i="17"/>
  <c r="I944" i="17"/>
  <c r="I954" i="17"/>
  <c r="I966" i="17"/>
  <c r="I975" i="17"/>
  <c r="I990" i="17"/>
  <c r="I993" i="17"/>
  <c r="I1006" i="17"/>
  <c r="I1011" i="17"/>
  <c r="I1035" i="17"/>
  <c r="I1040" i="17"/>
  <c r="I1060" i="17"/>
  <c r="I1075" i="17"/>
  <c r="I1085" i="17"/>
  <c r="I1103" i="17"/>
  <c r="I1108" i="17"/>
  <c r="I1122" i="17"/>
  <c r="I1134" i="17"/>
  <c r="I1148" i="17"/>
  <c r="I1159" i="17"/>
  <c r="I1168" i="17"/>
  <c r="I1183" i="17"/>
  <c r="I1187" i="17"/>
  <c r="I1202" i="17"/>
  <c r="I1211" i="17"/>
  <c r="I1227" i="17"/>
  <c r="I1238" i="17"/>
  <c r="I1247" i="17"/>
  <c r="I1266" i="17"/>
  <c r="I1271" i="17"/>
  <c r="I1284" i="17"/>
  <c r="I1295" i="17"/>
  <c r="I1310" i="17"/>
  <c r="I1328" i="17"/>
  <c r="I1339" i="17"/>
  <c r="I1354" i="17"/>
  <c r="I1363" i="17"/>
  <c r="I1373" i="17"/>
  <c r="I1387" i="17"/>
  <c r="I1401" i="17"/>
  <c r="I1407" i="17"/>
  <c r="I1413" i="17"/>
  <c r="I1433" i="17"/>
  <c r="I1441" i="17"/>
  <c r="I1459" i="17"/>
  <c r="I1466" i="17"/>
  <c r="I1483" i="17"/>
  <c r="I1495" i="17"/>
  <c r="I1506" i="17"/>
  <c r="I1523" i="17"/>
  <c r="I1534" i="17"/>
  <c r="I1555" i="17"/>
  <c r="I1570" i="17"/>
  <c r="I1589" i="17"/>
  <c r="I1596" i="17"/>
  <c r="I1618" i="17"/>
  <c r="I1628" i="17"/>
  <c r="I1648" i="17"/>
  <c r="I1662" i="17"/>
  <c r="R1198" i="33"/>
  <c r="R1199" i="33"/>
  <c r="R1200" i="33"/>
  <c r="R1201" i="33"/>
  <c r="R1202" i="33"/>
  <c r="Q1198" i="33"/>
  <c r="Q1199" i="33"/>
  <c r="Q1200" i="33"/>
  <c r="Q1201" i="33"/>
  <c r="Q1202" i="33"/>
  <c r="N1198" i="33"/>
  <c r="O1198" i="33"/>
  <c r="P1198" i="33"/>
  <c r="N1199" i="33"/>
  <c r="O1199" i="33"/>
  <c r="P1199" i="33"/>
  <c r="N1200" i="33"/>
  <c r="O1200" i="33"/>
  <c r="P1200" i="33"/>
  <c r="N1201" i="33"/>
  <c r="O1201" i="33"/>
  <c r="P1201" i="33"/>
  <c r="N1202" i="33"/>
  <c r="O1202" i="33"/>
  <c r="P1202" i="33"/>
  <c r="L1198" i="33"/>
  <c r="K1198" i="33"/>
  <c r="M1198" i="33"/>
  <c r="L1199" i="33"/>
  <c r="K1199" i="33"/>
  <c r="M1199" i="33"/>
  <c r="L1200" i="33"/>
  <c r="K1200" i="33"/>
  <c r="M1200" i="33"/>
  <c r="L1201" i="33"/>
  <c r="K1201" i="33"/>
  <c r="M1201" i="33"/>
  <c r="L1202" i="33"/>
  <c r="K1202" i="33"/>
  <c r="M1202" i="33"/>
  <c r="J1198" i="33"/>
  <c r="J1199" i="33"/>
  <c r="J1200" i="33"/>
  <c r="J1201" i="33"/>
  <c r="J1202" i="33"/>
  <c r="G1198" i="33"/>
  <c r="G1199" i="33"/>
  <c r="G1200" i="33"/>
  <c r="G1201" i="33"/>
  <c r="G1202" i="33"/>
  <c r="F1198" i="33"/>
  <c r="F1199" i="33"/>
  <c r="F1200" i="33"/>
  <c r="F1201" i="33"/>
  <c r="F1202" i="33"/>
  <c r="C1198" i="33"/>
  <c r="C1199" i="33"/>
  <c r="C1200" i="33"/>
  <c r="C1201" i="33"/>
  <c r="C1202" i="33"/>
  <c r="L1180" i="33"/>
  <c r="L1181" i="33"/>
  <c r="L1182" i="33"/>
  <c r="L1183" i="33"/>
  <c r="L1184" i="33"/>
  <c r="L1185" i="33"/>
  <c r="L1186" i="33"/>
  <c r="L1187" i="33"/>
  <c r="L1188" i="33"/>
  <c r="L1189" i="33"/>
  <c r="L1190" i="33"/>
  <c r="L1191" i="33"/>
  <c r="L1192" i="33"/>
  <c r="L1193" i="33"/>
  <c r="L1194" i="33"/>
  <c r="L1195" i="33"/>
  <c r="L1196" i="33"/>
  <c r="L1197" i="33"/>
  <c r="F1180" i="33"/>
  <c r="F1181" i="33"/>
  <c r="F1182" i="33"/>
  <c r="F1183" i="33"/>
  <c r="F1184" i="33"/>
  <c r="F1185" i="33"/>
  <c r="F1186" i="33"/>
  <c r="F1187" i="33"/>
  <c r="F1188" i="33"/>
  <c r="F1189" i="33"/>
  <c r="F1190" i="33"/>
  <c r="F1191" i="33"/>
  <c r="F1192" i="33"/>
  <c r="F1193" i="33"/>
  <c r="F1194" i="33"/>
  <c r="F1195" i="33"/>
  <c r="F1196" i="33"/>
  <c r="F1197" i="33"/>
  <c r="J1180" i="33"/>
  <c r="J1181" i="33"/>
  <c r="J1182" i="33"/>
  <c r="J1183" i="33"/>
  <c r="J1184" i="33"/>
  <c r="J1185" i="33"/>
  <c r="J1186" i="33"/>
  <c r="J1187" i="33"/>
  <c r="J1188" i="33"/>
  <c r="J1189" i="33"/>
  <c r="J1190" i="33"/>
  <c r="J1191" i="33"/>
  <c r="J1192" i="33"/>
  <c r="J1193" i="33"/>
  <c r="J1194" i="33"/>
  <c r="J1195" i="33"/>
  <c r="J1196" i="33"/>
  <c r="J1197" i="33"/>
  <c r="K1180" i="33"/>
  <c r="K1181" i="33"/>
  <c r="K1182" i="33"/>
  <c r="K1183" i="33"/>
  <c r="K1184" i="33"/>
  <c r="K1185" i="33"/>
  <c r="K1186" i="33"/>
  <c r="K1187" i="33"/>
  <c r="K1188" i="33"/>
  <c r="K1189" i="33"/>
  <c r="K1190" i="33"/>
  <c r="K1191" i="33"/>
  <c r="K1192" i="33"/>
  <c r="K1193" i="33"/>
  <c r="K1194" i="33"/>
  <c r="K1195" i="33"/>
  <c r="K1196" i="33"/>
  <c r="K1197" i="33"/>
  <c r="M1180" i="33"/>
  <c r="M1181" i="33"/>
  <c r="M1182" i="33"/>
  <c r="M1183" i="33"/>
  <c r="M1184" i="33"/>
  <c r="M1185" i="33"/>
  <c r="M1186" i="33"/>
  <c r="M1187" i="33"/>
  <c r="M1188" i="33"/>
  <c r="M1189" i="33"/>
  <c r="M1190" i="33"/>
  <c r="M1191" i="33"/>
  <c r="M1192" i="33"/>
  <c r="M1193" i="33"/>
  <c r="M1194" i="33"/>
  <c r="M1195" i="33"/>
  <c r="M1196" i="33"/>
  <c r="M1197" i="33"/>
  <c r="N1180" i="33"/>
  <c r="O1180" i="33"/>
  <c r="P1180" i="33"/>
  <c r="N1181" i="33"/>
  <c r="O1181" i="33"/>
  <c r="P1181" i="33"/>
  <c r="N1182" i="33"/>
  <c r="O1182" i="33"/>
  <c r="P1182" i="33"/>
  <c r="N1183" i="33"/>
  <c r="O1183" i="33"/>
  <c r="P1183" i="33"/>
  <c r="N1184" i="33"/>
  <c r="O1184" i="33"/>
  <c r="P1184" i="33"/>
  <c r="N1185" i="33"/>
  <c r="O1185" i="33"/>
  <c r="P1185" i="33"/>
  <c r="N1186" i="33"/>
  <c r="O1186" i="33"/>
  <c r="P1186" i="33"/>
  <c r="N1187" i="33"/>
  <c r="O1187" i="33"/>
  <c r="P1187" i="33"/>
  <c r="N1188" i="33"/>
  <c r="O1188" i="33"/>
  <c r="P1188" i="33"/>
  <c r="N1189" i="33"/>
  <c r="O1189" i="33"/>
  <c r="P1189" i="33"/>
  <c r="N1190" i="33"/>
  <c r="O1190" i="33"/>
  <c r="P1190" i="33"/>
  <c r="N1191" i="33"/>
  <c r="O1191" i="33"/>
  <c r="P1191" i="33"/>
  <c r="N1192" i="33"/>
  <c r="O1192" i="33"/>
  <c r="P1192" i="33"/>
  <c r="N1193" i="33"/>
  <c r="O1193" i="33"/>
  <c r="P1193" i="33"/>
  <c r="N1194" i="33"/>
  <c r="O1194" i="33"/>
  <c r="P1194" i="33"/>
  <c r="N1195" i="33"/>
  <c r="O1195" i="33"/>
  <c r="P1195" i="33"/>
  <c r="N1196" i="33"/>
  <c r="O1196" i="33"/>
  <c r="P1196" i="33"/>
  <c r="N1197" i="33"/>
  <c r="O1197" i="33"/>
  <c r="P1197" i="33"/>
  <c r="Q2" i="33"/>
  <c r="Q3" i="33"/>
  <c r="Q4" i="33"/>
  <c r="Q5" i="33"/>
  <c r="Q6" i="33"/>
  <c r="Q7" i="33"/>
  <c r="Q8" i="33"/>
  <c r="Q9" i="33"/>
  <c r="Q10" i="33"/>
  <c r="Q11" i="33"/>
  <c r="Q12" i="33"/>
  <c r="Q13" i="33"/>
  <c r="Q14" i="33"/>
  <c r="Q15" i="33"/>
  <c r="Q16" i="33"/>
  <c r="Q17" i="33"/>
  <c r="Q18" i="33"/>
  <c r="Q19" i="33"/>
  <c r="Q20" i="33"/>
  <c r="Q21" i="33"/>
  <c r="Q22" i="33"/>
  <c r="Q23" i="33"/>
  <c r="Q24" i="33"/>
  <c r="Q25" i="33"/>
  <c r="Q26" i="33"/>
  <c r="Q27" i="33"/>
  <c r="Q28" i="33"/>
  <c r="Q29" i="33"/>
  <c r="Q30" i="33"/>
  <c r="Q31" i="33"/>
  <c r="Q32" i="33"/>
  <c r="Q33" i="33"/>
  <c r="Q34" i="33"/>
  <c r="Q35" i="33"/>
  <c r="Q36" i="33"/>
  <c r="Q37" i="33"/>
  <c r="Q38" i="33"/>
  <c r="Q39" i="33"/>
  <c r="Q40" i="33"/>
  <c r="Q41" i="33"/>
  <c r="Q42" i="33"/>
  <c r="Q43" i="33"/>
  <c r="Q44" i="33"/>
  <c r="Q45" i="33"/>
  <c r="Q46" i="33"/>
  <c r="Q47" i="33"/>
  <c r="Q48" i="33"/>
  <c r="Q49" i="33"/>
  <c r="Q50" i="33"/>
  <c r="Q51" i="33"/>
  <c r="Q52" i="33"/>
  <c r="Q53" i="33"/>
  <c r="Q54" i="33"/>
  <c r="Q55" i="33"/>
  <c r="Q56" i="33"/>
  <c r="Q57" i="33"/>
  <c r="Q58" i="33"/>
  <c r="Q59" i="33"/>
  <c r="Q60" i="33"/>
  <c r="Q61" i="33"/>
  <c r="Q62" i="33"/>
  <c r="Q63" i="33"/>
  <c r="Q64" i="33"/>
  <c r="Q65" i="33"/>
  <c r="Q66" i="33"/>
  <c r="Q67" i="33"/>
  <c r="Q68" i="33"/>
  <c r="Q69" i="33"/>
  <c r="Q70" i="33"/>
  <c r="Q71" i="33"/>
  <c r="Q72" i="33"/>
  <c r="Q73" i="33"/>
  <c r="Q74" i="33"/>
  <c r="Q75" i="33"/>
  <c r="Q76" i="33"/>
  <c r="Q77" i="33"/>
  <c r="Q78" i="33"/>
  <c r="Q79" i="33"/>
  <c r="Q80" i="33"/>
  <c r="Q81" i="33"/>
  <c r="Q82" i="33"/>
  <c r="Q83" i="33"/>
  <c r="Q84" i="33"/>
  <c r="Q85" i="33"/>
  <c r="Q86" i="33"/>
  <c r="Q87" i="33"/>
  <c r="Q88" i="33"/>
  <c r="Q89" i="33"/>
  <c r="Q90" i="33"/>
  <c r="Q91" i="33"/>
  <c r="Q92" i="33"/>
  <c r="Q93" i="33"/>
  <c r="Q94" i="33"/>
  <c r="Q95" i="33"/>
  <c r="Q96" i="33"/>
  <c r="Q97" i="33"/>
  <c r="Q98" i="33"/>
  <c r="Q99" i="33"/>
  <c r="Q100" i="33"/>
  <c r="Q101" i="33"/>
  <c r="Q102" i="33"/>
  <c r="Q103" i="33"/>
  <c r="Q104" i="33"/>
  <c r="Q105" i="33"/>
  <c r="Q106" i="33"/>
  <c r="Q107" i="33"/>
  <c r="Q108" i="33"/>
  <c r="Q109" i="33"/>
  <c r="Q110" i="33"/>
  <c r="Q111" i="33"/>
  <c r="Q112" i="33"/>
  <c r="Q113" i="33"/>
  <c r="Q114" i="33"/>
  <c r="Q115" i="33"/>
  <c r="Q116" i="33"/>
  <c r="Q117" i="33"/>
  <c r="Q118" i="33"/>
  <c r="Q119" i="33"/>
  <c r="Q120" i="33"/>
  <c r="Q121" i="33"/>
  <c r="Q122" i="33"/>
  <c r="Q123" i="33"/>
  <c r="Q124" i="33"/>
  <c r="Q125" i="33"/>
  <c r="Q126" i="33"/>
  <c r="Q127" i="33"/>
  <c r="Q128" i="33"/>
  <c r="Q129" i="33"/>
  <c r="Q130" i="33"/>
  <c r="Q131" i="33"/>
  <c r="Q132" i="33"/>
  <c r="Q133" i="33"/>
  <c r="Q134" i="33"/>
  <c r="Q135" i="33"/>
  <c r="Q136" i="33"/>
  <c r="Q137" i="33"/>
  <c r="Q138" i="33"/>
  <c r="Q139" i="33"/>
  <c r="Q140" i="33"/>
  <c r="Q141" i="33"/>
  <c r="Q142" i="33"/>
  <c r="Q143" i="33"/>
  <c r="Q144" i="33"/>
  <c r="Q145" i="33"/>
  <c r="Q146" i="33"/>
  <c r="Q147" i="33"/>
  <c r="Q148" i="33"/>
  <c r="Q149" i="33"/>
  <c r="Q150" i="33"/>
  <c r="Q151" i="33"/>
  <c r="Q152" i="33"/>
  <c r="Q153" i="33"/>
  <c r="Q154" i="33"/>
  <c r="Q155" i="33"/>
  <c r="Q156" i="33"/>
  <c r="Q157" i="33"/>
  <c r="Q158" i="33"/>
  <c r="Q159" i="33"/>
  <c r="Q160" i="33"/>
  <c r="Q161" i="33"/>
  <c r="Q162" i="33"/>
  <c r="Q163" i="33"/>
  <c r="Q164" i="33"/>
  <c r="Q165" i="33"/>
  <c r="Q166" i="33"/>
  <c r="Q167" i="33"/>
  <c r="Q168" i="33"/>
  <c r="Q169" i="33"/>
  <c r="Q170" i="33"/>
  <c r="Q171" i="33"/>
  <c r="Q172" i="33"/>
  <c r="Q173" i="33"/>
  <c r="Q174" i="33"/>
  <c r="Q175" i="33"/>
  <c r="Q176" i="33"/>
  <c r="Q177" i="33"/>
  <c r="Q178" i="33"/>
  <c r="Q179" i="33"/>
  <c r="Q180" i="33"/>
  <c r="Q181" i="33"/>
  <c r="Q182" i="33"/>
  <c r="Q183" i="33"/>
  <c r="Q184" i="33"/>
  <c r="Q185" i="33"/>
  <c r="Q186" i="33"/>
  <c r="Q187" i="33"/>
  <c r="Q188" i="33"/>
  <c r="Q189" i="33"/>
  <c r="Q190" i="33"/>
  <c r="Q191" i="33"/>
  <c r="Q192" i="33"/>
  <c r="Q193" i="33"/>
  <c r="Q194" i="33"/>
  <c r="Q195" i="33"/>
  <c r="Q196" i="33"/>
  <c r="Q197" i="33"/>
  <c r="Q198" i="33"/>
  <c r="Q199" i="33"/>
  <c r="Q200" i="33"/>
  <c r="Q201" i="33"/>
  <c r="Q202" i="33"/>
  <c r="Q203" i="33"/>
  <c r="Q204" i="33"/>
  <c r="Q205" i="33"/>
  <c r="Q206" i="33"/>
  <c r="Q207" i="33"/>
  <c r="Q208" i="33"/>
  <c r="Q209" i="33"/>
  <c r="Q210" i="33"/>
  <c r="Q211" i="33"/>
  <c r="Q212" i="33"/>
  <c r="Q213" i="33"/>
  <c r="Q214" i="33"/>
  <c r="Q215" i="33"/>
  <c r="Q216" i="33"/>
  <c r="Q217" i="33"/>
  <c r="Q218" i="33"/>
  <c r="Q219" i="33"/>
  <c r="Q220" i="33"/>
  <c r="Q221" i="33"/>
  <c r="Q222" i="33"/>
  <c r="Q223" i="33"/>
  <c r="Q224" i="33"/>
  <c r="Q225" i="33"/>
  <c r="Q226" i="33"/>
  <c r="Q227" i="33"/>
  <c r="Q228" i="33"/>
  <c r="Q229" i="33"/>
  <c r="Q230" i="33"/>
  <c r="Q231" i="33"/>
  <c r="Q232" i="33"/>
  <c r="Q233" i="33"/>
  <c r="Q234" i="33"/>
  <c r="Q235" i="33"/>
  <c r="Q236" i="33"/>
  <c r="Q237" i="33"/>
  <c r="Q238" i="33"/>
  <c r="Q239" i="33"/>
  <c r="Q240" i="33"/>
  <c r="Q241" i="33"/>
  <c r="Q242" i="33"/>
  <c r="Q243" i="33"/>
  <c r="Q244" i="33"/>
  <c r="Q245" i="33"/>
  <c r="Q246" i="33"/>
  <c r="Q247" i="33"/>
  <c r="Q248" i="33"/>
  <c r="Q249" i="33"/>
  <c r="Q250" i="33"/>
  <c r="Q251" i="33"/>
  <c r="Q252" i="33"/>
  <c r="Q253" i="33"/>
  <c r="Q254" i="33"/>
  <c r="Q255" i="33"/>
  <c r="Q256" i="33"/>
  <c r="Q257" i="33"/>
  <c r="Q258" i="33"/>
  <c r="Q259" i="33"/>
  <c r="Q260" i="33"/>
  <c r="Q261" i="33"/>
  <c r="Q262" i="33"/>
  <c r="Q263" i="33"/>
  <c r="Q264" i="33"/>
  <c r="Q265" i="33"/>
  <c r="Q266" i="33"/>
  <c r="Q267" i="33"/>
  <c r="Q268" i="33"/>
  <c r="Q269" i="33"/>
  <c r="Q270" i="33"/>
  <c r="Q271" i="33"/>
  <c r="Q272" i="33"/>
  <c r="Q273" i="33"/>
  <c r="Q274" i="33"/>
  <c r="Q275" i="33"/>
  <c r="Q276" i="33"/>
  <c r="Q277" i="33"/>
  <c r="Q278" i="33"/>
  <c r="Q279" i="33"/>
  <c r="Q280" i="33"/>
  <c r="Q281" i="33"/>
  <c r="Q282" i="33"/>
  <c r="Q283" i="33"/>
  <c r="Q284" i="33"/>
  <c r="Q285" i="33"/>
  <c r="Q286" i="33"/>
  <c r="Q287" i="33"/>
  <c r="Q288" i="33"/>
  <c r="Q289" i="33"/>
  <c r="Q290" i="33"/>
  <c r="Q291" i="33"/>
  <c r="Q292" i="33"/>
  <c r="Q293" i="33"/>
  <c r="Q294" i="33"/>
  <c r="Q295" i="33"/>
  <c r="Q296" i="33"/>
  <c r="Q297" i="33"/>
  <c r="Q298" i="33"/>
  <c r="Q299" i="33"/>
  <c r="Q300" i="33"/>
  <c r="Q301" i="33"/>
  <c r="Q302" i="33"/>
  <c r="Q303" i="33"/>
  <c r="Q304" i="33"/>
  <c r="Q305" i="33"/>
  <c r="Q306" i="33"/>
  <c r="Q307" i="33"/>
  <c r="Q308" i="33"/>
  <c r="Q309" i="33"/>
  <c r="Q310" i="33"/>
  <c r="Q311" i="33"/>
  <c r="Q312" i="33"/>
  <c r="Q313" i="33"/>
  <c r="Q314" i="33"/>
  <c r="Q315" i="33"/>
  <c r="Q316" i="33"/>
  <c r="Q317" i="33"/>
  <c r="Q318" i="33"/>
  <c r="Q319" i="33"/>
  <c r="Q320" i="33"/>
  <c r="Q321" i="33"/>
  <c r="Q322" i="33"/>
  <c r="Q323" i="33"/>
  <c r="Q324" i="33"/>
  <c r="Q325" i="33"/>
  <c r="Q326" i="33"/>
  <c r="Q327" i="33"/>
  <c r="Q328" i="33"/>
  <c r="Q329" i="33"/>
  <c r="Q330" i="33"/>
  <c r="Q331" i="33"/>
  <c r="Q332" i="33"/>
  <c r="Q333" i="33"/>
  <c r="Q334" i="33"/>
  <c r="Q335" i="33"/>
  <c r="Q336" i="33"/>
  <c r="Q337" i="33"/>
  <c r="Q338" i="33"/>
  <c r="Q339" i="33"/>
  <c r="Q340" i="33"/>
  <c r="Q341" i="33"/>
  <c r="Q342" i="33"/>
  <c r="Q343" i="33"/>
  <c r="Q344" i="33"/>
  <c r="Q345" i="33"/>
  <c r="Q346" i="33"/>
  <c r="Q347" i="33"/>
  <c r="Q348" i="33"/>
  <c r="Q349" i="33"/>
  <c r="Q350" i="33"/>
  <c r="Q351" i="33"/>
  <c r="Q352" i="33"/>
  <c r="Q353" i="33"/>
  <c r="Q354" i="33"/>
  <c r="Q355" i="33"/>
  <c r="Q356" i="33"/>
  <c r="Q357" i="33"/>
  <c r="Q358" i="33"/>
  <c r="Q359" i="33"/>
  <c r="Q360" i="33"/>
  <c r="Q361" i="33"/>
  <c r="Q362" i="33"/>
  <c r="Q363" i="33"/>
  <c r="Q364" i="33"/>
  <c r="Q365" i="33"/>
  <c r="Q366" i="33"/>
  <c r="Q367" i="33"/>
  <c r="Q368" i="33"/>
  <c r="Q369" i="33"/>
  <c r="Q370" i="33"/>
  <c r="Q371" i="33"/>
  <c r="Q372" i="33"/>
  <c r="Q373" i="33"/>
  <c r="Q374" i="33"/>
  <c r="Q375" i="33"/>
  <c r="Q376" i="33"/>
  <c r="Q377" i="33"/>
  <c r="Q378" i="33"/>
  <c r="Q379" i="33"/>
  <c r="Q380" i="33"/>
  <c r="Q381" i="33"/>
  <c r="Q382" i="33"/>
  <c r="Q383" i="33"/>
  <c r="Q384" i="33"/>
  <c r="Q385" i="33"/>
  <c r="Q386" i="33"/>
  <c r="Q387" i="33"/>
  <c r="Q388" i="33"/>
  <c r="Q389" i="33"/>
  <c r="Q390" i="33"/>
  <c r="Q391" i="33"/>
  <c r="Q392" i="33"/>
  <c r="Q393" i="33"/>
  <c r="Q394" i="33"/>
  <c r="Q395" i="33"/>
  <c r="Q396" i="33"/>
  <c r="Q397" i="33"/>
  <c r="Q398" i="33"/>
  <c r="Q399" i="33"/>
  <c r="Q400" i="33"/>
  <c r="Q401" i="33"/>
  <c r="Q402" i="33"/>
  <c r="Q403" i="33"/>
  <c r="Q404" i="33"/>
  <c r="Q405" i="33"/>
  <c r="Q406" i="33"/>
  <c r="Q407" i="33"/>
  <c r="Q408" i="33"/>
  <c r="Q409" i="33"/>
  <c r="Q410" i="33"/>
  <c r="Q411" i="33"/>
  <c r="Q412" i="33"/>
  <c r="Q413" i="33"/>
  <c r="Q414" i="33"/>
  <c r="Q415" i="33"/>
  <c r="Q416" i="33"/>
  <c r="Q417" i="33"/>
  <c r="Q418" i="33"/>
  <c r="Q419" i="33"/>
  <c r="Q420" i="33"/>
  <c r="Q421" i="33"/>
  <c r="Q422" i="33"/>
  <c r="Q423" i="33"/>
  <c r="Q424" i="33"/>
  <c r="Q425" i="33"/>
  <c r="Q426" i="33"/>
  <c r="Q427" i="33"/>
  <c r="Q428" i="33"/>
  <c r="Q429" i="33"/>
  <c r="Q430" i="33"/>
  <c r="Q431" i="33"/>
  <c r="Q432" i="33"/>
  <c r="Q433" i="33"/>
  <c r="Q434" i="33"/>
  <c r="Q435" i="33"/>
  <c r="Q436" i="33"/>
  <c r="Q437" i="33"/>
  <c r="Q438" i="33"/>
  <c r="Q439" i="33"/>
  <c r="Q440" i="33"/>
  <c r="Q441" i="33"/>
  <c r="Q442" i="33"/>
  <c r="Q443" i="33"/>
  <c r="Q444" i="33"/>
  <c r="Q445" i="33"/>
  <c r="Q446" i="33"/>
  <c r="Q447" i="33"/>
  <c r="Q448" i="33"/>
  <c r="Q449" i="33"/>
  <c r="Q450" i="33"/>
  <c r="Q451" i="33"/>
  <c r="Q452" i="33"/>
  <c r="Q453" i="33"/>
  <c r="Q454" i="33"/>
  <c r="Q455" i="33"/>
  <c r="Q456" i="33"/>
  <c r="Q457" i="33"/>
  <c r="Q458" i="33"/>
  <c r="Q459" i="33"/>
  <c r="Q460" i="33"/>
  <c r="Q461" i="33"/>
  <c r="Q462" i="33"/>
  <c r="Q463" i="33"/>
  <c r="Q464" i="33"/>
  <c r="Q465" i="33"/>
  <c r="Q466" i="33"/>
  <c r="Q467" i="33"/>
  <c r="Q468" i="33"/>
  <c r="Q469" i="33"/>
  <c r="Q470" i="33"/>
  <c r="Q471" i="33"/>
  <c r="Q472" i="33"/>
  <c r="Q473" i="33"/>
  <c r="Q474" i="33"/>
  <c r="Q475" i="33"/>
  <c r="Q476" i="33"/>
  <c r="Q477" i="33"/>
  <c r="Q478" i="33"/>
  <c r="Q479" i="33"/>
  <c r="Q480" i="33"/>
  <c r="Q481" i="33"/>
  <c r="Q482" i="33"/>
  <c r="Q483" i="33"/>
  <c r="Q484" i="33"/>
  <c r="Q485" i="33"/>
  <c r="Q486" i="33"/>
  <c r="Q487" i="33"/>
  <c r="Q488" i="33"/>
  <c r="Q489" i="33"/>
  <c r="Q490" i="33"/>
  <c r="Q491" i="33"/>
  <c r="Q492" i="33"/>
  <c r="Q493" i="33"/>
  <c r="Q494" i="33"/>
  <c r="Q495" i="33"/>
  <c r="Q496" i="33"/>
  <c r="Q497" i="33"/>
  <c r="Q498" i="33"/>
  <c r="Q499" i="33"/>
  <c r="Q500" i="33"/>
  <c r="Q501" i="33"/>
  <c r="Q502" i="33"/>
  <c r="Q503" i="33"/>
  <c r="Q504" i="33"/>
  <c r="Q505" i="33"/>
  <c r="Q506" i="33"/>
  <c r="Q507" i="33"/>
  <c r="Q508" i="33"/>
  <c r="Q509" i="33"/>
  <c r="Q510" i="33"/>
  <c r="Q511" i="33"/>
  <c r="Q512" i="33"/>
  <c r="Q513" i="33"/>
  <c r="Q514" i="33"/>
  <c r="Q515" i="33"/>
  <c r="Q516" i="33"/>
  <c r="Q517" i="33"/>
  <c r="Q518" i="33"/>
  <c r="Q519" i="33"/>
  <c r="Q520" i="33"/>
  <c r="Q521" i="33"/>
  <c r="Q522" i="33"/>
  <c r="Q523" i="33"/>
  <c r="Q524" i="33"/>
  <c r="Q525" i="33"/>
  <c r="Q526" i="33"/>
  <c r="Q527" i="33"/>
  <c r="Q528" i="33"/>
  <c r="Q529" i="33"/>
  <c r="Q530" i="33"/>
  <c r="Q531" i="33"/>
  <c r="Q532" i="33"/>
  <c r="Q533" i="33"/>
  <c r="Q534" i="33"/>
  <c r="Q535" i="33"/>
  <c r="Q536" i="33"/>
  <c r="Q537" i="33"/>
  <c r="Q538" i="33"/>
  <c r="Q539" i="33"/>
  <c r="Q540" i="33"/>
  <c r="Q541" i="33"/>
  <c r="Q542" i="33"/>
  <c r="Q543" i="33"/>
  <c r="Q544" i="33"/>
  <c r="Q545" i="33"/>
  <c r="Q546" i="33"/>
  <c r="Q547" i="33"/>
  <c r="Q548" i="33"/>
  <c r="Q549" i="33"/>
  <c r="Q550" i="33"/>
  <c r="Q551" i="33"/>
  <c r="Q552" i="33"/>
  <c r="Q553" i="33"/>
  <c r="Q554" i="33"/>
  <c r="Q555" i="33"/>
  <c r="Q556" i="33"/>
  <c r="Q557" i="33"/>
  <c r="Q558" i="33"/>
  <c r="Q559" i="33"/>
  <c r="Q560" i="33"/>
  <c r="Q561" i="33"/>
  <c r="Q562" i="33"/>
  <c r="Q563" i="33"/>
  <c r="Q564" i="33"/>
  <c r="Q565" i="33"/>
  <c r="Q566" i="33"/>
  <c r="Q567" i="33"/>
  <c r="Q568" i="33"/>
  <c r="Q569" i="33"/>
  <c r="Q570" i="33"/>
  <c r="Q571" i="33"/>
  <c r="Q572" i="33"/>
  <c r="Q573" i="33"/>
  <c r="Q574" i="33"/>
  <c r="Q575" i="33"/>
  <c r="Q576" i="33"/>
  <c r="Q577" i="33"/>
  <c r="Q578" i="33"/>
  <c r="Q579" i="33"/>
  <c r="Q580" i="33"/>
  <c r="Q581" i="33"/>
  <c r="Q582" i="33"/>
  <c r="Q583" i="33"/>
  <c r="Q584" i="33"/>
  <c r="Q585" i="33"/>
  <c r="Q586" i="33"/>
  <c r="Q587" i="33"/>
  <c r="Q588" i="33"/>
  <c r="Q589" i="33"/>
  <c r="Q590" i="33"/>
  <c r="Q591" i="33"/>
  <c r="Q592" i="33"/>
  <c r="Q593" i="33"/>
  <c r="Q594" i="33"/>
  <c r="Q595" i="33"/>
  <c r="Q596" i="33"/>
  <c r="Q597" i="33"/>
  <c r="Q598" i="33"/>
  <c r="Q599" i="33"/>
  <c r="Q600" i="33"/>
  <c r="Q601" i="33"/>
  <c r="Q602" i="33"/>
  <c r="Q603" i="33"/>
  <c r="Q604" i="33"/>
  <c r="Q605" i="33"/>
  <c r="Q606" i="33"/>
  <c r="Q607" i="33"/>
  <c r="Q608" i="33"/>
  <c r="Q609" i="33"/>
  <c r="Q610" i="33"/>
  <c r="Q611" i="33"/>
  <c r="Q612" i="33"/>
  <c r="Q613" i="33"/>
  <c r="Q614" i="33"/>
  <c r="Q615" i="33"/>
  <c r="Q616" i="33"/>
  <c r="Q617" i="33"/>
  <c r="Q618" i="33"/>
  <c r="Q619" i="33"/>
  <c r="Q620" i="33"/>
  <c r="Q621" i="33"/>
  <c r="Q622" i="33"/>
  <c r="Q623" i="33"/>
  <c r="Q624" i="33"/>
  <c r="Q625" i="33"/>
  <c r="Q626" i="33"/>
  <c r="Q627" i="33"/>
  <c r="Q628" i="33"/>
  <c r="Q629" i="33"/>
  <c r="Q630" i="33"/>
  <c r="Q631" i="33"/>
  <c r="Q632" i="33"/>
  <c r="Q633" i="33"/>
  <c r="Q634" i="33"/>
  <c r="Q635" i="33"/>
  <c r="Q636" i="33"/>
  <c r="Q637" i="33"/>
  <c r="Q638" i="33"/>
  <c r="Q639" i="33"/>
  <c r="Q640" i="33"/>
  <c r="Q641" i="33"/>
  <c r="Q642" i="33"/>
  <c r="Q643" i="33"/>
  <c r="Q644" i="33"/>
  <c r="Q645" i="33"/>
  <c r="Q646" i="33"/>
  <c r="Q647" i="33"/>
  <c r="Q648" i="33"/>
  <c r="Q649" i="33"/>
  <c r="Q650" i="33"/>
  <c r="Q651" i="33"/>
  <c r="Q652" i="33"/>
  <c r="Q653" i="33"/>
  <c r="Q654" i="33"/>
  <c r="Q655" i="33"/>
  <c r="Q656" i="33"/>
  <c r="Q657" i="33"/>
  <c r="Q658" i="33"/>
  <c r="Q659" i="33"/>
  <c r="Q660" i="33"/>
  <c r="Q661" i="33"/>
  <c r="Q662" i="33"/>
  <c r="Q663" i="33"/>
  <c r="Q664" i="33"/>
  <c r="Q665" i="33"/>
  <c r="Q666" i="33"/>
  <c r="Q667" i="33"/>
  <c r="Q668" i="33"/>
  <c r="Q669" i="33"/>
  <c r="Q670" i="33"/>
  <c r="Q671" i="33"/>
  <c r="Q672" i="33"/>
  <c r="Q673" i="33"/>
  <c r="Q674" i="33"/>
  <c r="Q675" i="33"/>
  <c r="Q676" i="33"/>
  <c r="Q677" i="33"/>
  <c r="Q678" i="33"/>
  <c r="Q679" i="33"/>
  <c r="Q680" i="33"/>
  <c r="Q681" i="33"/>
  <c r="Q682" i="33"/>
  <c r="Q683" i="33"/>
  <c r="Q684" i="33"/>
  <c r="Q685" i="33"/>
  <c r="Q686" i="33"/>
  <c r="Q687" i="33"/>
  <c r="Q688" i="33"/>
  <c r="Q689" i="33"/>
  <c r="Q690" i="33"/>
  <c r="Q691" i="33"/>
  <c r="Q692" i="33"/>
  <c r="Q693" i="33"/>
  <c r="Q694" i="33"/>
  <c r="Q695" i="33"/>
  <c r="Q696" i="33"/>
  <c r="Q697" i="33"/>
  <c r="Q698" i="33"/>
  <c r="Q699" i="33"/>
  <c r="Q700" i="33"/>
  <c r="Q701" i="33"/>
  <c r="Q702" i="33"/>
  <c r="Q703" i="33"/>
  <c r="Q704" i="33"/>
  <c r="Q705" i="33"/>
  <c r="Q706" i="33"/>
  <c r="Q707" i="33"/>
  <c r="Q708" i="33"/>
  <c r="Q709" i="33"/>
  <c r="Q710" i="33"/>
  <c r="Q711" i="33"/>
  <c r="Q712" i="33"/>
  <c r="Q713" i="33"/>
  <c r="Q714" i="33"/>
  <c r="Q715" i="33"/>
  <c r="Q716" i="33"/>
  <c r="Q717" i="33"/>
  <c r="Q718" i="33"/>
  <c r="Q719" i="33"/>
  <c r="Q720" i="33"/>
  <c r="Q721" i="33"/>
  <c r="Q722" i="33"/>
  <c r="Q723" i="33"/>
  <c r="Q724" i="33"/>
  <c r="Q725" i="33"/>
  <c r="Q726" i="33"/>
  <c r="Q727" i="33"/>
  <c r="Q728" i="33"/>
  <c r="Q729" i="33"/>
  <c r="Q730" i="33"/>
  <c r="Q731" i="33"/>
  <c r="Q732" i="33"/>
  <c r="Q733" i="33"/>
  <c r="Q734" i="33"/>
  <c r="Q735" i="33"/>
  <c r="Q736" i="33"/>
  <c r="Q737" i="33"/>
  <c r="Q738" i="33"/>
  <c r="Q739" i="33"/>
  <c r="Q740" i="33"/>
  <c r="Q741" i="33"/>
  <c r="Q742" i="33"/>
  <c r="Q743" i="33"/>
  <c r="Q744" i="33"/>
  <c r="Q745" i="33"/>
  <c r="Q746" i="33"/>
  <c r="Q747" i="33"/>
  <c r="Q748" i="33"/>
  <c r="Q749" i="33"/>
  <c r="Q750" i="33"/>
  <c r="Q751" i="33"/>
  <c r="Q752" i="33"/>
  <c r="Q753" i="33"/>
  <c r="Q754" i="33"/>
  <c r="Q755" i="33"/>
  <c r="Q756" i="33"/>
  <c r="Q757" i="33"/>
  <c r="Q758" i="33"/>
  <c r="Q759" i="33"/>
  <c r="Q760" i="33"/>
  <c r="Q761" i="33"/>
  <c r="Q762" i="33"/>
  <c r="Q763" i="33"/>
  <c r="Q764" i="33"/>
  <c r="Q765" i="33"/>
  <c r="Q766" i="33"/>
  <c r="Q767" i="33"/>
  <c r="Q768" i="33"/>
  <c r="Q769" i="33"/>
  <c r="Q770" i="33"/>
  <c r="Q771" i="33"/>
  <c r="Q772" i="33"/>
  <c r="Q773" i="33"/>
  <c r="Q774" i="33"/>
  <c r="Q775" i="33"/>
  <c r="Q776" i="33"/>
  <c r="Q777" i="33"/>
  <c r="Q778" i="33"/>
  <c r="Q779" i="33"/>
  <c r="Q780" i="33"/>
  <c r="Q781" i="33"/>
  <c r="Q782" i="33"/>
  <c r="Q783" i="33"/>
  <c r="Q784" i="33"/>
  <c r="Q785" i="33"/>
  <c r="Q786" i="33"/>
  <c r="Q787" i="33"/>
  <c r="Q788" i="33"/>
  <c r="Q789" i="33"/>
  <c r="Q790" i="33"/>
  <c r="Q791" i="33"/>
  <c r="Q792" i="33"/>
  <c r="Q793" i="33"/>
  <c r="Q794" i="33"/>
  <c r="Q795" i="33"/>
  <c r="Q796" i="33"/>
  <c r="Q797" i="33"/>
  <c r="Q798" i="33"/>
  <c r="Q799" i="33"/>
  <c r="Q800" i="33"/>
  <c r="Q801" i="33"/>
  <c r="Q802" i="33"/>
  <c r="Q803" i="33"/>
  <c r="Q804" i="33"/>
  <c r="Q805" i="33"/>
  <c r="Q806" i="33"/>
  <c r="Q807" i="33"/>
  <c r="Q808" i="33"/>
  <c r="Q809" i="33"/>
  <c r="Q810" i="33"/>
  <c r="Q811" i="33"/>
  <c r="Q812" i="33"/>
  <c r="Q813" i="33"/>
  <c r="Q814" i="33"/>
  <c r="Q815" i="33"/>
  <c r="Q816" i="33"/>
  <c r="Q817" i="33"/>
  <c r="Q818" i="33"/>
  <c r="Q819" i="33"/>
  <c r="Q820" i="33"/>
  <c r="Q821" i="33"/>
  <c r="Q822" i="33"/>
  <c r="Q823" i="33"/>
  <c r="Q824" i="33"/>
  <c r="Q825" i="33"/>
  <c r="Q826" i="33"/>
  <c r="Q827" i="33"/>
  <c r="Q828" i="33"/>
  <c r="Q829" i="33"/>
  <c r="Q830" i="33"/>
  <c r="Q831" i="33"/>
  <c r="Q832" i="33"/>
  <c r="Q833" i="33"/>
  <c r="Q834" i="33"/>
  <c r="Q835" i="33"/>
  <c r="Q836" i="33"/>
  <c r="Q837" i="33"/>
  <c r="Q838" i="33"/>
  <c r="Q839" i="33"/>
  <c r="Q840" i="33"/>
  <c r="Q841" i="33"/>
  <c r="Q842" i="33"/>
  <c r="Q843" i="33"/>
  <c r="Q844" i="33"/>
  <c r="Q845" i="33"/>
  <c r="Q846" i="33"/>
  <c r="Q847" i="33"/>
  <c r="Q848" i="33"/>
  <c r="Q849" i="33"/>
  <c r="Q850" i="33"/>
  <c r="Q851" i="33"/>
  <c r="Q852" i="33"/>
  <c r="Q853" i="33"/>
  <c r="Q854" i="33"/>
  <c r="Q855" i="33"/>
  <c r="Q856" i="33"/>
  <c r="Q857" i="33"/>
  <c r="Q858" i="33"/>
  <c r="Q859" i="33"/>
  <c r="Q860" i="33"/>
  <c r="Q861" i="33"/>
  <c r="Q862" i="33"/>
  <c r="Q863" i="33"/>
  <c r="Q864" i="33"/>
  <c r="Q865" i="33"/>
  <c r="Q866" i="33"/>
  <c r="Q867" i="33"/>
  <c r="Q868" i="33"/>
  <c r="Q869" i="33"/>
  <c r="Q870" i="33"/>
  <c r="Q871" i="33"/>
  <c r="Q872" i="33"/>
  <c r="Q873" i="33"/>
  <c r="Q874" i="33"/>
  <c r="Q875" i="33"/>
  <c r="Q876" i="33"/>
  <c r="Q877" i="33"/>
  <c r="Q878" i="33"/>
  <c r="Q879" i="33"/>
  <c r="Q880" i="33"/>
  <c r="Q881" i="33"/>
  <c r="Q882" i="33"/>
  <c r="Q883" i="33"/>
  <c r="Q884" i="33"/>
  <c r="Q885" i="33"/>
  <c r="Q886" i="33"/>
  <c r="Q887" i="33"/>
  <c r="Q888" i="33"/>
  <c r="Q889" i="33"/>
  <c r="Q890" i="33"/>
  <c r="Q891" i="33"/>
  <c r="Q892" i="33"/>
  <c r="Q893" i="33"/>
  <c r="Q894" i="33"/>
  <c r="Q895" i="33"/>
  <c r="Q896" i="33"/>
  <c r="Q897" i="33"/>
  <c r="Q898" i="33"/>
  <c r="Q899" i="33"/>
  <c r="Q900" i="33"/>
  <c r="Q901" i="33"/>
  <c r="Q902" i="33"/>
  <c r="Q903" i="33"/>
  <c r="Q904" i="33"/>
  <c r="Q905" i="33"/>
  <c r="Q906" i="33"/>
  <c r="Q907" i="33"/>
  <c r="Q908" i="33"/>
  <c r="Q909" i="33"/>
  <c r="Q910" i="33"/>
  <c r="Q911" i="33"/>
  <c r="Q912" i="33"/>
  <c r="Q913" i="33"/>
  <c r="Q914" i="33"/>
  <c r="Q915" i="33"/>
  <c r="Q916" i="33"/>
  <c r="Q917" i="33"/>
  <c r="Q918" i="33"/>
  <c r="Q919" i="33"/>
  <c r="Q920" i="33"/>
  <c r="Q921" i="33"/>
  <c r="Q922" i="33"/>
  <c r="Q923" i="33"/>
  <c r="Q924" i="33"/>
  <c r="Q925" i="33"/>
  <c r="Q926" i="33"/>
  <c r="Q927" i="33"/>
  <c r="Q928" i="33"/>
  <c r="Q929" i="33"/>
  <c r="Q930" i="33"/>
  <c r="Q931" i="33"/>
  <c r="Q932" i="33"/>
  <c r="Q933" i="33"/>
  <c r="Q934" i="33"/>
  <c r="Q935" i="33"/>
  <c r="Q936" i="33"/>
  <c r="Q937" i="33"/>
  <c r="Q938" i="33"/>
  <c r="Q939" i="33"/>
  <c r="Q940" i="33"/>
  <c r="Q941" i="33"/>
  <c r="Q942" i="33"/>
  <c r="Q943" i="33"/>
  <c r="Q944" i="33"/>
  <c r="Q945" i="33"/>
  <c r="Q946" i="33"/>
  <c r="Q947" i="33"/>
  <c r="Q948" i="33"/>
  <c r="Q949" i="33"/>
  <c r="Q950" i="33"/>
  <c r="Q951" i="33"/>
  <c r="Q952" i="33"/>
  <c r="Q953" i="33"/>
  <c r="Q954" i="33"/>
  <c r="Q955" i="33"/>
  <c r="Q956" i="33"/>
  <c r="Q957" i="33"/>
  <c r="Q958" i="33"/>
  <c r="Q959" i="33"/>
  <c r="Q960" i="33"/>
  <c r="Q961" i="33"/>
  <c r="Q962" i="33"/>
  <c r="Q963" i="33"/>
  <c r="Q964" i="33"/>
  <c r="Q965" i="33"/>
  <c r="Q966" i="33"/>
  <c r="Q967" i="33"/>
  <c r="Q968" i="33"/>
  <c r="Q969" i="33"/>
  <c r="Q970" i="33"/>
  <c r="Q971" i="33"/>
  <c r="Q972" i="33"/>
  <c r="Q973" i="33"/>
  <c r="Q974" i="33"/>
  <c r="Q975" i="33"/>
  <c r="Q976" i="33"/>
  <c r="Q977" i="33"/>
  <c r="Q978" i="33"/>
  <c r="Q979" i="33"/>
  <c r="Q980" i="33"/>
  <c r="Q981" i="33"/>
  <c r="Q982" i="33"/>
  <c r="Q983" i="33"/>
  <c r="Q984" i="33"/>
  <c r="Q985" i="33"/>
  <c r="Q986" i="33"/>
  <c r="Q987" i="33"/>
  <c r="Q988" i="33"/>
  <c r="Q989" i="33"/>
  <c r="Q990" i="33"/>
  <c r="Q991" i="33"/>
  <c r="Q992" i="33"/>
  <c r="Q993" i="33"/>
  <c r="Q994" i="33"/>
  <c r="Q995" i="33"/>
  <c r="Q996" i="33"/>
  <c r="Q997" i="33"/>
  <c r="Q998" i="33"/>
  <c r="Q999" i="33"/>
  <c r="Q1000" i="33"/>
  <c r="Q1001" i="33"/>
  <c r="Q1002" i="33"/>
  <c r="Q1003" i="33"/>
  <c r="Q1004" i="33"/>
  <c r="Q1005" i="33"/>
  <c r="Q1006" i="33"/>
  <c r="Q1007" i="33"/>
  <c r="Q1008" i="33"/>
  <c r="Q1009" i="33"/>
  <c r="Q1010" i="33"/>
  <c r="Q1011" i="33"/>
  <c r="Q1012" i="33"/>
  <c r="Q1013" i="33"/>
  <c r="Q1014" i="33"/>
  <c r="Q1015" i="33"/>
  <c r="Q1016" i="33"/>
  <c r="Q1017" i="33"/>
  <c r="Q1018" i="33"/>
  <c r="Q1019" i="33"/>
  <c r="Q1020" i="33"/>
  <c r="Q1021" i="33"/>
  <c r="Q1022" i="33"/>
  <c r="Q1023" i="33"/>
  <c r="Q1024" i="33"/>
  <c r="Q1025" i="33"/>
  <c r="Q1026" i="33"/>
  <c r="Q1027" i="33"/>
  <c r="Q1028" i="33"/>
  <c r="Q1029" i="33"/>
  <c r="Q1030" i="33"/>
  <c r="Q1031" i="33"/>
  <c r="Q1032" i="33"/>
  <c r="Q1033" i="33"/>
  <c r="Q1034" i="33"/>
  <c r="Q1035" i="33"/>
  <c r="Q1036" i="33"/>
  <c r="Q1037" i="33"/>
  <c r="Q1038" i="33"/>
  <c r="Q1039" i="33"/>
  <c r="Q1040" i="33"/>
  <c r="Q1041" i="33"/>
  <c r="Q1042" i="33"/>
  <c r="Q1043" i="33"/>
  <c r="Q1044" i="33"/>
  <c r="Q1045" i="33"/>
  <c r="Q1046" i="33"/>
  <c r="Q1047" i="33"/>
  <c r="Q1048" i="33"/>
  <c r="Q1049" i="33"/>
  <c r="Q1050" i="33"/>
  <c r="Q1051" i="33"/>
  <c r="Q1052" i="33"/>
  <c r="Q1053" i="33"/>
  <c r="Q1054" i="33"/>
  <c r="Q1055" i="33"/>
  <c r="Q1056" i="33"/>
  <c r="Q1057" i="33"/>
  <c r="Q1058" i="33"/>
  <c r="Q1059" i="33"/>
  <c r="Q1060" i="33"/>
  <c r="Q1061" i="33"/>
  <c r="Q1062" i="33"/>
  <c r="Q1063" i="33"/>
  <c r="Q1064" i="33"/>
  <c r="Q1065" i="33"/>
  <c r="Q1066" i="33"/>
  <c r="Q1067" i="33"/>
  <c r="Q1068" i="33"/>
  <c r="Q1069" i="33"/>
  <c r="Q1070" i="33"/>
  <c r="Q1071" i="33"/>
  <c r="Q1072" i="33"/>
  <c r="Q1073" i="33"/>
  <c r="Q1074" i="33"/>
  <c r="Q1075" i="33"/>
  <c r="Q1076" i="33"/>
  <c r="Q1077" i="33"/>
  <c r="Q1078" i="33"/>
  <c r="Q1079" i="33"/>
  <c r="Q1080" i="33"/>
  <c r="Q1081" i="33"/>
  <c r="Q1082" i="33"/>
  <c r="Q1083" i="33"/>
  <c r="Q1084" i="33"/>
  <c r="Q1085" i="33"/>
  <c r="Q1086" i="33"/>
  <c r="Q1087" i="33"/>
  <c r="Q1088" i="33"/>
  <c r="Q1089" i="33"/>
  <c r="Q1090" i="33"/>
  <c r="Q1091" i="33"/>
  <c r="Q1092" i="33"/>
  <c r="Q1093" i="33"/>
  <c r="Q1094" i="33"/>
  <c r="Q1095" i="33"/>
  <c r="Q1096" i="33"/>
  <c r="Q1097" i="33"/>
  <c r="Q1098" i="33"/>
  <c r="Q1099" i="33"/>
  <c r="Q1100" i="33"/>
  <c r="Q1101" i="33"/>
  <c r="Q1102" i="33"/>
  <c r="Q1103" i="33"/>
  <c r="Q1104" i="33"/>
  <c r="Q1105" i="33"/>
  <c r="Q1106" i="33"/>
  <c r="Q1107" i="33"/>
  <c r="Q1108" i="33"/>
  <c r="Q1109" i="33"/>
  <c r="Q1110" i="33"/>
  <c r="Q1111" i="33"/>
  <c r="Q1112" i="33"/>
  <c r="Q1113" i="33"/>
  <c r="Q1114" i="33"/>
  <c r="Q1115" i="33"/>
  <c r="Q1116" i="33"/>
  <c r="Q1117" i="33"/>
  <c r="Q1118" i="33"/>
  <c r="Q1119" i="33"/>
  <c r="Q1120" i="33"/>
  <c r="Q1121" i="33"/>
  <c r="Q1122" i="33"/>
  <c r="Q1123" i="33"/>
  <c r="Q1124" i="33"/>
  <c r="Q1125" i="33"/>
  <c r="Q1126" i="33"/>
  <c r="Q1127" i="33"/>
  <c r="Q1128" i="33"/>
  <c r="Q1129" i="33"/>
  <c r="Q1130" i="33"/>
  <c r="Q1131" i="33"/>
  <c r="Q1132" i="33"/>
  <c r="Q1133" i="33"/>
  <c r="Q1134" i="33"/>
  <c r="Q1135" i="33"/>
  <c r="Q1136" i="33"/>
  <c r="Q1137" i="33"/>
  <c r="Q1138" i="33"/>
  <c r="Q1139" i="33"/>
  <c r="Q1140" i="33"/>
  <c r="Q1141" i="33"/>
  <c r="Q1142" i="33"/>
  <c r="Q1143" i="33"/>
  <c r="Q1144" i="33"/>
  <c r="Q1145" i="33"/>
  <c r="Q1146" i="33"/>
  <c r="Q1147" i="33"/>
  <c r="Q1148" i="33"/>
  <c r="Q1149" i="33"/>
  <c r="Q1150" i="33"/>
  <c r="Q1151" i="33"/>
  <c r="Q1152" i="33"/>
  <c r="Q1153" i="33"/>
  <c r="Q1154" i="33"/>
  <c r="Q1155" i="33"/>
  <c r="Q1156" i="33"/>
  <c r="Q1157" i="33"/>
  <c r="Q1158" i="33"/>
  <c r="Q1159" i="33"/>
  <c r="Q1160" i="33"/>
  <c r="Q1161" i="33"/>
  <c r="Q1162" i="33"/>
  <c r="Q1163" i="33"/>
  <c r="Q1164" i="33"/>
  <c r="Q1165" i="33"/>
  <c r="Q1166" i="33"/>
  <c r="Q1167" i="33"/>
  <c r="Q1168" i="33"/>
  <c r="Q1169" i="33"/>
  <c r="Q1170" i="33"/>
  <c r="Q1171" i="33"/>
  <c r="Q1172" i="33"/>
  <c r="Q1173" i="33"/>
  <c r="Q1174" i="33"/>
  <c r="Q1175" i="33"/>
  <c r="Q1176" i="33"/>
  <c r="Q1177" i="33"/>
  <c r="Q1178" i="33"/>
  <c r="Q1179" i="33"/>
  <c r="Q1180" i="33"/>
  <c r="Q1181" i="33"/>
  <c r="Q1182" i="33"/>
  <c r="Q1183" i="33"/>
  <c r="Q1184" i="33"/>
  <c r="Q1185" i="33"/>
  <c r="Q1186" i="33"/>
  <c r="Q1187" i="33"/>
  <c r="Q1188" i="33"/>
  <c r="Q1189" i="33"/>
  <c r="Q1190" i="33"/>
  <c r="Q1191" i="33"/>
  <c r="Q1192" i="33"/>
  <c r="Q1193" i="33"/>
  <c r="Q1194" i="33"/>
  <c r="Q1195" i="33"/>
  <c r="Q1196" i="33"/>
  <c r="Q1197" i="33"/>
  <c r="R2" i="33"/>
  <c r="R3" i="33"/>
  <c r="R4" i="33"/>
  <c r="R5" i="33"/>
  <c r="R6" i="33"/>
  <c r="R7" i="33"/>
  <c r="R8" i="33"/>
  <c r="R9" i="33"/>
  <c r="R10" i="33"/>
  <c r="R11" i="33"/>
  <c r="R12" i="33"/>
  <c r="R13" i="33"/>
  <c r="R14" i="33"/>
  <c r="R15" i="33"/>
  <c r="R16" i="33"/>
  <c r="R17" i="33"/>
  <c r="R18" i="33"/>
  <c r="R19" i="33"/>
  <c r="R20" i="33"/>
  <c r="R21" i="33"/>
  <c r="R22" i="33"/>
  <c r="R23" i="33"/>
  <c r="R24" i="33"/>
  <c r="R25" i="33"/>
  <c r="R26" i="33"/>
  <c r="R27" i="33"/>
  <c r="R28" i="33"/>
  <c r="R29" i="33"/>
  <c r="R30" i="33"/>
  <c r="R31" i="33"/>
  <c r="R32" i="33"/>
  <c r="R33" i="33"/>
  <c r="R34" i="33"/>
  <c r="R35" i="33"/>
  <c r="R36" i="33"/>
  <c r="R37" i="33"/>
  <c r="R38" i="33"/>
  <c r="R39" i="33"/>
  <c r="R40" i="33"/>
  <c r="R41" i="33"/>
  <c r="R42" i="33"/>
  <c r="R43" i="33"/>
  <c r="R44" i="33"/>
  <c r="R45" i="33"/>
  <c r="R46" i="33"/>
  <c r="R47" i="33"/>
  <c r="R48" i="33"/>
  <c r="R49" i="33"/>
  <c r="R50" i="33"/>
  <c r="R51" i="33"/>
  <c r="R52" i="33"/>
  <c r="R53" i="33"/>
  <c r="R54" i="33"/>
  <c r="R55" i="33"/>
  <c r="R56" i="33"/>
  <c r="R57" i="33"/>
  <c r="R58" i="33"/>
  <c r="R59" i="33"/>
  <c r="R60" i="33"/>
  <c r="R61" i="33"/>
  <c r="R62" i="33"/>
  <c r="R63" i="33"/>
  <c r="R64" i="33"/>
  <c r="R65" i="33"/>
  <c r="R66" i="33"/>
  <c r="R67" i="33"/>
  <c r="R68" i="33"/>
  <c r="R69" i="33"/>
  <c r="R70" i="33"/>
  <c r="R71" i="33"/>
  <c r="R72" i="33"/>
  <c r="R73" i="33"/>
  <c r="R74" i="33"/>
  <c r="R75" i="33"/>
  <c r="R76" i="33"/>
  <c r="R77" i="33"/>
  <c r="R78" i="33"/>
  <c r="R79" i="33"/>
  <c r="R80" i="33"/>
  <c r="R81" i="33"/>
  <c r="R82" i="33"/>
  <c r="R83" i="33"/>
  <c r="R84" i="33"/>
  <c r="R85" i="33"/>
  <c r="R86" i="33"/>
  <c r="R87" i="33"/>
  <c r="R88" i="33"/>
  <c r="R89" i="33"/>
  <c r="R90" i="33"/>
  <c r="R91" i="33"/>
  <c r="R92" i="33"/>
  <c r="R93" i="33"/>
  <c r="R94" i="33"/>
  <c r="R95" i="33"/>
  <c r="R96" i="33"/>
  <c r="R97" i="33"/>
  <c r="R98" i="33"/>
  <c r="R99" i="33"/>
  <c r="R100" i="33"/>
  <c r="R101" i="33"/>
  <c r="R102" i="33"/>
  <c r="R103" i="33"/>
  <c r="R104" i="33"/>
  <c r="R105" i="33"/>
  <c r="R106" i="33"/>
  <c r="R107" i="33"/>
  <c r="R108" i="33"/>
  <c r="R109" i="33"/>
  <c r="R110" i="33"/>
  <c r="R111" i="33"/>
  <c r="R112" i="33"/>
  <c r="R113" i="33"/>
  <c r="R114" i="33"/>
  <c r="R115" i="33"/>
  <c r="R116" i="33"/>
  <c r="R117" i="33"/>
  <c r="R118" i="33"/>
  <c r="R119" i="33"/>
  <c r="R120" i="33"/>
  <c r="R121" i="33"/>
  <c r="R122" i="33"/>
  <c r="R123" i="33"/>
  <c r="R124" i="33"/>
  <c r="R125" i="33"/>
  <c r="R126" i="33"/>
  <c r="R127" i="33"/>
  <c r="R128" i="33"/>
  <c r="R129" i="33"/>
  <c r="R130" i="33"/>
  <c r="R131" i="33"/>
  <c r="R132" i="33"/>
  <c r="R133" i="33"/>
  <c r="R134" i="33"/>
  <c r="R135" i="33"/>
  <c r="R136" i="33"/>
  <c r="R137" i="33"/>
  <c r="R138" i="33"/>
  <c r="R139" i="33"/>
  <c r="R140" i="33"/>
  <c r="R141" i="33"/>
  <c r="R142" i="33"/>
  <c r="R143" i="33"/>
  <c r="R144" i="33"/>
  <c r="R145" i="33"/>
  <c r="R146" i="33"/>
  <c r="R147" i="33"/>
  <c r="R148" i="33"/>
  <c r="R149" i="33"/>
  <c r="R150" i="33"/>
  <c r="R151" i="33"/>
  <c r="R152" i="33"/>
  <c r="R153" i="33"/>
  <c r="R154" i="33"/>
  <c r="R155" i="33"/>
  <c r="R156" i="33"/>
  <c r="R157" i="33"/>
  <c r="R158" i="33"/>
  <c r="R159" i="33"/>
  <c r="R160" i="33"/>
  <c r="R161" i="33"/>
  <c r="R162" i="33"/>
  <c r="R163" i="33"/>
  <c r="R164" i="33"/>
  <c r="R165" i="33"/>
  <c r="R166" i="33"/>
  <c r="R167" i="33"/>
  <c r="R168" i="33"/>
  <c r="R169" i="33"/>
  <c r="R170" i="33"/>
  <c r="R171" i="33"/>
  <c r="R172" i="33"/>
  <c r="R173" i="33"/>
  <c r="R174" i="33"/>
  <c r="R175" i="33"/>
  <c r="R176" i="33"/>
  <c r="R177" i="33"/>
  <c r="R178" i="33"/>
  <c r="R179" i="33"/>
  <c r="R180" i="33"/>
  <c r="R181" i="33"/>
  <c r="R182" i="33"/>
  <c r="R183" i="33"/>
  <c r="R184" i="33"/>
  <c r="R185" i="33"/>
  <c r="R186" i="33"/>
  <c r="R187" i="33"/>
  <c r="R188" i="33"/>
  <c r="R189" i="33"/>
  <c r="R190" i="33"/>
  <c r="R191" i="33"/>
  <c r="R192" i="33"/>
  <c r="R193" i="33"/>
  <c r="R194" i="33"/>
  <c r="R195" i="33"/>
  <c r="R196" i="33"/>
  <c r="R197" i="33"/>
  <c r="R198" i="33"/>
  <c r="R199" i="33"/>
  <c r="R200" i="33"/>
  <c r="R201" i="33"/>
  <c r="R202" i="33"/>
  <c r="R203" i="33"/>
  <c r="R204" i="33"/>
  <c r="R205" i="33"/>
  <c r="R206" i="33"/>
  <c r="R207" i="33"/>
  <c r="R208" i="33"/>
  <c r="R209" i="33"/>
  <c r="R210" i="33"/>
  <c r="R211" i="33"/>
  <c r="R212" i="33"/>
  <c r="R213" i="33"/>
  <c r="R214" i="33"/>
  <c r="R215" i="33"/>
  <c r="R216" i="33"/>
  <c r="R217" i="33"/>
  <c r="R218" i="33"/>
  <c r="R219" i="33"/>
  <c r="R220" i="33"/>
  <c r="R221" i="33"/>
  <c r="R222" i="33"/>
  <c r="R223" i="33"/>
  <c r="R224" i="33"/>
  <c r="R225" i="33"/>
  <c r="R226" i="33"/>
  <c r="R227" i="33"/>
  <c r="R228" i="33"/>
  <c r="R229" i="33"/>
  <c r="R230" i="33"/>
  <c r="R231" i="33"/>
  <c r="R232" i="33"/>
  <c r="R233" i="33"/>
  <c r="R234" i="33"/>
  <c r="R235" i="33"/>
  <c r="R236" i="33"/>
  <c r="R237" i="33"/>
  <c r="R238" i="33"/>
  <c r="R239" i="33"/>
  <c r="R240" i="33"/>
  <c r="R241" i="33"/>
  <c r="R242" i="33"/>
  <c r="R243" i="33"/>
  <c r="R244" i="33"/>
  <c r="R245" i="33"/>
  <c r="R246" i="33"/>
  <c r="R247" i="33"/>
  <c r="R248" i="33"/>
  <c r="R249" i="33"/>
  <c r="R250" i="33"/>
  <c r="R251" i="33"/>
  <c r="R252" i="33"/>
  <c r="R253" i="33"/>
  <c r="R254" i="33"/>
  <c r="R255" i="33"/>
  <c r="R256" i="33"/>
  <c r="R257" i="33"/>
  <c r="R258" i="33"/>
  <c r="R259" i="33"/>
  <c r="R260" i="33"/>
  <c r="R261" i="33"/>
  <c r="R262" i="33"/>
  <c r="R263" i="33"/>
  <c r="R264" i="33"/>
  <c r="R265" i="33"/>
  <c r="R266" i="33"/>
  <c r="R267" i="33"/>
  <c r="R268" i="33"/>
  <c r="R269" i="33"/>
  <c r="R270" i="33"/>
  <c r="R271" i="33"/>
  <c r="R272" i="33"/>
  <c r="R273" i="33"/>
  <c r="R274" i="33"/>
  <c r="R275" i="33"/>
  <c r="R276" i="33"/>
  <c r="R277" i="33"/>
  <c r="R278" i="33"/>
  <c r="R279" i="33"/>
  <c r="R280" i="33"/>
  <c r="R281" i="33"/>
  <c r="R282" i="33"/>
  <c r="R283" i="33"/>
  <c r="R284" i="33"/>
  <c r="R285" i="33"/>
  <c r="R286" i="33"/>
  <c r="R287" i="33"/>
  <c r="R288" i="33"/>
  <c r="R289" i="33"/>
  <c r="R290" i="33"/>
  <c r="R291" i="33"/>
  <c r="R292" i="33"/>
  <c r="R293" i="33"/>
  <c r="R294" i="33"/>
  <c r="R295" i="33"/>
  <c r="R296" i="33"/>
  <c r="R297" i="33"/>
  <c r="R298" i="33"/>
  <c r="R299" i="33"/>
  <c r="R300" i="33"/>
  <c r="R301" i="33"/>
  <c r="R302" i="33"/>
  <c r="R303" i="33"/>
  <c r="R304" i="33"/>
  <c r="R305" i="33"/>
  <c r="R306" i="33"/>
  <c r="R307" i="33"/>
  <c r="R308" i="33"/>
  <c r="R309" i="33"/>
  <c r="R310" i="33"/>
  <c r="R311" i="33"/>
  <c r="R312" i="33"/>
  <c r="R313" i="33"/>
  <c r="R314" i="33"/>
  <c r="R315" i="33"/>
  <c r="R316" i="33"/>
  <c r="R317" i="33"/>
  <c r="R318" i="33"/>
  <c r="R319" i="33"/>
  <c r="R320" i="33"/>
  <c r="R321" i="33"/>
  <c r="R322" i="33"/>
  <c r="R323" i="33"/>
  <c r="R324" i="33"/>
  <c r="R325" i="33"/>
  <c r="R326" i="33"/>
  <c r="R327" i="33"/>
  <c r="R328" i="33"/>
  <c r="R329" i="33"/>
  <c r="R330" i="33"/>
  <c r="R331" i="33"/>
  <c r="R332" i="33"/>
  <c r="R333" i="33"/>
  <c r="R334" i="33"/>
  <c r="R335" i="33"/>
  <c r="R336" i="33"/>
  <c r="R337" i="33"/>
  <c r="R338" i="33"/>
  <c r="R339" i="33"/>
  <c r="R340" i="33"/>
  <c r="R341" i="33"/>
  <c r="R342" i="33"/>
  <c r="R343" i="33"/>
  <c r="R344" i="33"/>
  <c r="R345" i="33"/>
  <c r="R346" i="33"/>
  <c r="R347" i="33"/>
  <c r="R348" i="33"/>
  <c r="R349" i="33"/>
  <c r="R350" i="33"/>
  <c r="R351" i="33"/>
  <c r="R352" i="33"/>
  <c r="R353" i="33"/>
  <c r="R354" i="33"/>
  <c r="R355" i="33"/>
  <c r="R356" i="33"/>
  <c r="R357" i="33"/>
  <c r="R358" i="33"/>
  <c r="R359" i="33"/>
  <c r="R360" i="33"/>
  <c r="R361" i="33"/>
  <c r="R362" i="33"/>
  <c r="R363" i="33"/>
  <c r="R364" i="33"/>
  <c r="R365" i="33"/>
  <c r="R366" i="33"/>
  <c r="R367" i="33"/>
  <c r="R368" i="33"/>
  <c r="R369" i="33"/>
  <c r="R370" i="33"/>
  <c r="R371" i="33"/>
  <c r="R372" i="33"/>
  <c r="R373" i="33"/>
  <c r="R374" i="33"/>
  <c r="R375" i="33"/>
  <c r="R376" i="33"/>
  <c r="R377" i="33"/>
  <c r="R378" i="33"/>
  <c r="R379" i="33"/>
  <c r="R380" i="33"/>
  <c r="R381" i="33"/>
  <c r="R382" i="33"/>
  <c r="R383" i="33"/>
  <c r="R384" i="33"/>
  <c r="R385" i="33"/>
  <c r="R386" i="33"/>
  <c r="R387" i="33"/>
  <c r="R388" i="33"/>
  <c r="R389" i="33"/>
  <c r="R390" i="33"/>
  <c r="R391" i="33"/>
  <c r="R392" i="33"/>
  <c r="R393" i="33"/>
  <c r="R394" i="33"/>
  <c r="R395" i="33"/>
  <c r="R396" i="33"/>
  <c r="R397" i="33"/>
  <c r="R398" i="33"/>
  <c r="R399" i="33"/>
  <c r="R400" i="33"/>
  <c r="R401" i="33"/>
  <c r="R402" i="33"/>
  <c r="R403" i="33"/>
  <c r="R404" i="33"/>
  <c r="R405" i="33"/>
  <c r="R406" i="33"/>
  <c r="R407" i="33"/>
  <c r="R408" i="33"/>
  <c r="R409" i="33"/>
  <c r="R410" i="33"/>
  <c r="R411" i="33"/>
  <c r="R412" i="33"/>
  <c r="R413" i="33"/>
  <c r="R414" i="33"/>
  <c r="R415" i="33"/>
  <c r="R416" i="33"/>
  <c r="R417" i="33"/>
  <c r="R418" i="33"/>
  <c r="R419" i="33"/>
  <c r="R420" i="33"/>
  <c r="R421" i="33"/>
  <c r="R422" i="33"/>
  <c r="R423" i="33"/>
  <c r="R424" i="33"/>
  <c r="R425" i="33"/>
  <c r="R426" i="33"/>
  <c r="R427" i="33"/>
  <c r="R428" i="33"/>
  <c r="R429" i="33"/>
  <c r="R430" i="33"/>
  <c r="R431" i="33"/>
  <c r="R432" i="33"/>
  <c r="R433" i="33"/>
  <c r="R434" i="33"/>
  <c r="R435" i="33"/>
  <c r="R436" i="33"/>
  <c r="R437" i="33"/>
  <c r="R438" i="33"/>
  <c r="R439" i="33"/>
  <c r="R440" i="33"/>
  <c r="R441" i="33"/>
  <c r="R442" i="33"/>
  <c r="R443" i="33"/>
  <c r="R444" i="33"/>
  <c r="R445" i="33"/>
  <c r="R446" i="33"/>
  <c r="R447" i="33"/>
  <c r="R448" i="33"/>
  <c r="R449" i="33"/>
  <c r="R450" i="33"/>
  <c r="R451" i="33"/>
  <c r="R452" i="33"/>
  <c r="R453" i="33"/>
  <c r="R454" i="33"/>
  <c r="R455" i="33"/>
  <c r="R456" i="33"/>
  <c r="R457" i="33"/>
  <c r="R458" i="33"/>
  <c r="R459" i="33"/>
  <c r="R460" i="33"/>
  <c r="R461" i="33"/>
  <c r="R462" i="33"/>
  <c r="R463" i="33"/>
  <c r="R464" i="33"/>
  <c r="R465" i="33"/>
  <c r="R466" i="33"/>
  <c r="R467" i="33"/>
  <c r="R468" i="33"/>
  <c r="R469" i="33"/>
  <c r="R470" i="33"/>
  <c r="R471" i="33"/>
  <c r="R472" i="33"/>
  <c r="R473" i="33"/>
  <c r="R474" i="33"/>
  <c r="R475" i="33"/>
  <c r="R476" i="33"/>
  <c r="R477" i="33"/>
  <c r="R478" i="33"/>
  <c r="R479" i="33"/>
  <c r="R480" i="33"/>
  <c r="R481" i="33"/>
  <c r="R482" i="33"/>
  <c r="R483" i="33"/>
  <c r="R484" i="33"/>
  <c r="R485" i="33"/>
  <c r="R486" i="33"/>
  <c r="R487" i="33"/>
  <c r="R488" i="33"/>
  <c r="R489" i="33"/>
  <c r="R490" i="33"/>
  <c r="R491" i="33"/>
  <c r="R492" i="33"/>
  <c r="R493" i="33"/>
  <c r="R494" i="33"/>
  <c r="R495" i="33"/>
  <c r="R496" i="33"/>
  <c r="R497" i="33"/>
  <c r="R498" i="33"/>
  <c r="R499" i="33"/>
  <c r="R500" i="33"/>
  <c r="R501" i="33"/>
  <c r="R502" i="33"/>
  <c r="R503" i="33"/>
  <c r="R504" i="33"/>
  <c r="R505" i="33"/>
  <c r="R506" i="33"/>
  <c r="R507" i="33"/>
  <c r="R508" i="33"/>
  <c r="R509" i="33"/>
  <c r="R510" i="33"/>
  <c r="R511" i="33"/>
  <c r="R512" i="33"/>
  <c r="R513" i="33"/>
  <c r="R514" i="33"/>
  <c r="R515" i="33"/>
  <c r="R516" i="33"/>
  <c r="R517" i="33"/>
  <c r="R518" i="33"/>
  <c r="R519" i="33"/>
  <c r="R520" i="33"/>
  <c r="R521" i="33"/>
  <c r="R522" i="33"/>
  <c r="R523" i="33"/>
  <c r="R524" i="33"/>
  <c r="R525" i="33"/>
  <c r="R526" i="33"/>
  <c r="R527" i="33"/>
  <c r="R528" i="33"/>
  <c r="R529" i="33"/>
  <c r="R530" i="33"/>
  <c r="R531" i="33"/>
  <c r="R532" i="33"/>
  <c r="R533" i="33"/>
  <c r="R534" i="33"/>
  <c r="R535" i="33"/>
  <c r="R536" i="33"/>
  <c r="R537" i="33"/>
  <c r="R538" i="33"/>
  <c r="R539" i="33"/>
  <c r="R540" i="33"/>
  <c r="R541" i="33"/>
  <c r="R542" i="33"/>
  <c r="R543" i="33"/>
  <c r="R544" i="33"/>
  <c r="R545" i="33"/>
  <c r="R546" i="33"/>
  <c r="R547" i="33"/>
  <c r="R548" i="33"/>
  <c r="R549" i="33"/>
  <c r="R550" i="33"/>
  <c r="R551" i="33"/>
  <c r="R552" i="33"/>
  <c r="R553" i="33"/>
  <c r="R554" i="33"/>
  <c r="R555" i="33"/>
  <c r="R556" i="33"/>
  <c r="R557" i="33"/>
  <c r="R558" i="33"/>
  <c r="R559" i="33"/>
  <c r="R560" i="33"/>
  <c r="R561" i="33"/>
  <c r="R562" i="33"/>
  <c r="R563" i="33"/>
  <c r="R564" i="33"/>
  <c r="R565" i="33"/>
  <c r="R566" i="33"/>
  <c r="R567" i="33"/>
  <c r="R568" i="33"/>
  <c r="R569" i="33"/>
  <c r="R570" i="33"/>
  <c r="R571" i="33"/>
  <c r="R572" i="33"/>
  <c r="R573" i="33"/>
  <c r="R574" i="33"/>
  <c r="R575" i="33"/>
  <c r="R576" i="33"/>
  <c r="R577" i="33"/>
  <c r="R578" i="33"/>
  <c r="R579" i="33"/>
  <c r="R580" i="33"/>
  <c r="R581" i="33"/>
  <c r="R582" i="33"/>
  <c r="R583" i="33"/>
  <c r="R584" i="33"/>
  <c r="R585" i="33"/>
  <c r="R586" i="33"/>
  <c r="R587" i="33"/>
  <c r="R588" i="33"/>
  <c r="R589" i="33"/>
  <c r="R590" i="33"/>
  <c r="R591" i="33"/>
  <c r="R592" i="33"/>
  <c r="R593" i="33"/>
  <c r="R594" i="33"/>
  <c r="R595" i="33"/>
  <c r="R596" i="33"/>
  <c r="R597" i="33"/>
  <c r="R598" i="33"/>
  <c r="R599" i="33"/>
  <c r="R600" i="33"/>
  <c r="R601" i="33"/>
  <c r="R602" i="33"/>
  <c r="R603" i="33"/>
  <c r="R604" i="33"/>
  <c r="R605" i="33"/>
  <c r="R606" i="33"/>
  <c r="R607" i="33"/>
  <c r="R608" i="33"/>
  <c r="R609" i="33"/>
  <c r="R610" i="33"/>
  <c r="R611" i="33"/>
  <c r="R612" i="33"/>
  <c r="R613" i="33"/>
  <c r="R614" i="33"/>
  <c r="R615" i="33"/>
  <c r="R616" i="33"/>
  <c r="R617" i="33"/>
  <c r="R618" i="33"/>
  <c r="R619" i="33"/>
  <c r="R620" i="33"/>
  <c r="R621" i="33"/>
  <c r="R622" i="33"/>
  <c r="R623" i="33"/>
  <c r="R624" i="33"/>
  <c r="R625" i="33"/>
  <c r="R626" i="33"/>
  <c r="R627" i="33"/>
  <c r="R628" i="33"/>
  <c r="R629" i="33"/>
  <c r="R630" i="33"/>
  <c r="R631" i="33"/>
  <c r="R632" i="33"/>
  <c r="R633" i="33"/>
  <c r="R634" i="33"/>
  <c r="R635" i="33"/>
  <c r="R636" i="33"/>
  <c r="R637" i="33"/>
  <c r="R638" i="33"/>
  <c r="R639" i="33"/>
  <c r="R640" i="33"/>
  <c r="R641" i="33"/>
  <c r="R642" i="33"/>
  <c r="R643" i="33"/>
  <c r="R644" i="33"/>
  <c r="R645" i="33"/>
  <c r="R646" i="33"/>
  <c r="R647" i="33"/>
  <c r="R648" i="33"/>
  <c r="R649" i="33"/>
  <c r="R650" i="33"/>
  <c r="R651" i="33"/>
  <c r="R652" i="33"/>
  <c r="R653" i="33"/>
  <c r="R654" i="33"/>
  <c r="R655" i="33"/>
  <c r="R656" i="33"/>
  <c r="R657" i="33"/>
  <c r="R658" i="33"/>
  <c r="R659" i="33"/>
  <c r="R660" i="33"/>
  <c r="R661" i="33"/>
  <c r="R662" i="33"/>
  <c r="R663" i="33"/>
  <c r="R664" i="33"/>
  <c r="R665" i="33"/>
  <c r="R666" i="33"/>
  <c r="R667" i="33"/>
  <c r="R668" i="33"/>
  <c r="R669" i="33"/>
  <c r="R670" i="33"/>
  <c r="R671" i="33"/>
  <c r="R672" i="33"/>
  <c r="R673" i="33"/>
  <c r="R674" i="33"/>
  <c r="R675" i="33"/>
  <c r="R676" i="33"/>
  <c r="R677" i="33"/>
  <c r="R678" i="33"/>
  <c r="R679" i="33"/>
  <c r="R680" i="33"/>
  <c r="R681" i="33"/>
  <c r="R682" i="33"/>
  <c r="R683" i="33"/>
  <c r="R684" i="33"/>
  <c r="R685" i="33"/>
  <c r="R686" i="33"/>
  <c r="R687" i="33"/>
  <c r="R688" i="33"/>
  <c r="R689" i="33"/>
  <c r="R690" i="33"/>
  <c r="R691" i="33"/>
  <c r="R692" i="33"/>
  <c r="R693" i="33"/>
  <c r="R694" i="33"/>
  <c r="R695" i="33"/>
  <c r="R696" i="33"/>
  <c r="R697" i="33"/>
  <c r="R698" i="33"/>
  <c r="R699" i="33"/>
  <c r="R700" i="33"/>
  <c r="R701" i="33"/>
  <c r="R702" i="33"/>
  <c r="R703" i="33"/>
  <c r="R704" i="33"/>
  <c r="R705" i="33"/>
  <c r="R706" i="33"/>
  <c r="R707" i="33"/>
  <c r="R708" i="33"/>
  <c r="R709" i="33"/>
  <c r="R710" i="33"/>
  <c r="R711" i="33"/>
  <c r="R712" i="33"/>
  <c r="R713" i="33"/>
  <c r="R714" i="33"/>
  <c r="R715" i="33"/>
  <c r="R716" i="33"/>
  <c r="R717" i="33"/>
  <c r="R718" i="33"/>
  <c r="R719" i="33"/>
  <c r="R720" i="33"/>
  <c r="R721" i="33"/>
  <c r="R722" i="33"/>
  <c r="R723" i="33"/>
  <c r="R724" i="33"/>
  <c r="R725" i="33"/>
  <c r="R726" i="33"/>
  <c r="R727" i="33"/>
  <c r="R728" i="33"/>
  <c r="R729" i="33"/>
  <c r="R730" i="33"/>
  <c r="R731" i="33"/>
  <c r="R732" i="33"/>
  <c r="R733" i="33"/>
  <c r="R734" i="33"/>
  <c r="R735" i="33"/>
  <c r="R736" i="33"/>
  <c r="R737" i="33"/>
  <c r="R738" i="33"/>
  <c r="R739" i="33"/>
  <c r="R740" i="33"/>
  <c r="R741" i="33"/>
  <c r="R742" i="33"/>
  <c r="R743" i="33"/>
  <c r="R744" i="33"/>
  <c r="R745" i="33"/>
  <c r="R746" i="33"/>
  <c r="R747" i="33"/>
  <c r="R748" i="33"/>
  <c r="R749" i="33"/>
  <c r="R750" i="33"/>
  <c r="R751" i="33"/>
  <c r="R752" i="33"/>
  <c r="R753" i="33"/>
  <c r="R754" i="33"/>
  <c r="R755" i="33"/>
  <c r="R756" i="33"/>
  <c r="R757" i="33"/>
  <c r="R758" i="33"/>
  <c r="R759" i="33"/>
  <c r="R760" i="33"/>
  <c r="R761" i="33"/>
  <c r="R762" i="33"/>
  <c r="R763" i="33"/>
  <c r="R764" i="33"/>
  <c r="R765" i="33"/>
  <c r="R766" i="33"/>
  <c r="R767" i="33"/>
  <c r="R768" i="33"/>
  <c r="R769" i="33"/>
  <c r="R770" i="33"/>
  <c r="R771" i="33"/>
  <c r="R772" i="33"/>
  <c r="R773" i="33"/>
  <c r="R774" i="33"/>
  <c r="R775" i="33"/>
  <c r="R776" i="33"/>
  <c r="R777" i="33"/>
  <c r="R778" i="33"/>
  <c r="R779" i="33"/>
  <c r="R780" i="33"/>
  <c r="R781" i="33"/>
  <c r="R782" i="33"/>
  <c r="R783" i="33"/>
  <c r="R784" i="33"/>
  <c r="R785" i="33"/>
  <c r="R786" i="33"/>
  <c r="R787" i="33"/>
  <c r="R788" i="33"/>
  <c r="R789" i="33"/>
  <c r="R790" i="33"/>
  <c r="R791" i="33"/>
  <c r="R792" i="33"/>
  <c r="R793" i="33"/>
  <c r="R794" i="33"/>
  <c r="R795" i="33"/>
  <c r="R796" i="33"/>
  <c r="R797" i="33"/>
  <c r="R798" i="33"/>
  <c r="R799" i="33"/>
  <c r="R800" i="33"/>
  <c r="R801" i="33"/>
  <c r="R802" i="33"/>
  <c r="R803" i="33"/>
  <c r="R804" i="33"/>
  <c r="R805" i="33"/>
  <c r="R806" i="33"/>
  <c r="R807" i="33"/>
  <c r="R808" i="33"/>
  <c r="R809" i="33"/>
  <c r="R810" i="33"/>
  <c r="R811" i="33"/>
  <c r="R812" i="33"/>
  <c r="R813" i="33"/>
  <c r="R814" i="33"/>
  <c r="R815" i="33"/>
  <c r="R816" i="33"/>
  <c r="R817" i="33"/>
  <c r="R818" i="33"/>
  <c r="R819" i="33"/>
  <c r="R820" i="33"/>
  <c r="R821" i="33"/>
  <c r="R822" i="33"/>
  <c r="R823" i="33"/>
  <c r="R824" i="33"/>
  <c r="R825" i="33"/>
  <c r="R826" i="33"/>
  <c r="R827" i="33"/>
  <c r="R828" i="33"/>
  <c r="R829" i="33"/>
  <c r="R830" i="33"/>
  <c r="R831" i="33"/>
  <c r="R832" i="33"/>
  <c r="R833" i="33"/>
  <c r="R834" i="33"/>
  <c r="R835" i="33"/>
  <c r="R836" i="33"/>
  <c r="R837" i="33"/>
  <c r="R838" i="33"/>
  <c r="R839" i="33"/>
  <c r="R840" i="33"/>
  <c r="R841" i="33"/>
  <c r="R842" i="33"/>
  <c r="R843" i="33"/>
  <c r="R844" i="33"/>
  <c r="R845" i="33"/>
  <c r="R846" i="33"/>
  <c r="R847" i="33"/>
  <c r="R848" i="33"/>
  <c r="R849" i="33"/>
  <c r="R850" i="33"/>
  <c r="R851" i="33"/>
  <c r="R852" i="33"/>
  <c r="R853" i="33"/>
  <c r="R854" i="33"/>
  <c r="R855" i="33"/>
  <c r="R856" i="33"/>
  <c r="R857" i="33"/>
  <c r="R858" i="33"/>
  <c r="R859" i="33"/>
  <c r="R860" i="33"/>
  <c r="R861" i="33"/>
  <c r="R862" i="33"/>
  <c r="R863" i="33"/>
  <c r="R864" i="33"/>
  <c r="R865" i="33"/>
  <c r="R866" i="33"/>
  <c r="R867" i="33"/>
  <c r="R868" i="33"/>
  <c r="R869" i="33"/>
  <c r="R870" i="33"/>
  <c r="R871" i="33"/>
  <c r="R872" i="33"/>
  <c r="R873" i="33"/>
  <c r="R874" i="33"/>
  <c r="R875" i="33"/>
  <c r="R876" i="33"/>
  <c r="R877" i="33"/>
  <c r="R878" i="33"/>
  <c r="R879" i="33"/>
  <c r="R880" i="33"/>
  <c r="R881" i="33"/>
  <c r="R882" i="33"/>
  <c r="R883" i="33"/>
  <c r="R884" i="33"/>
  <c r="R885" i="33"/>
  <c r="R886" i="33"/>
  <c r="R887" i="33"/>
  <c r="R888" i="33"/>
  <c r="R889" i="33"/>
  <c r="R890" i="33"/>
  <c r="R891" i="33"/>
  <c r="R892" i="33"/>
  <c r="R893" i="33"/>
  <c r="R894" i="33"/>
  <c r="R895" i="33"/>
  <c r="R896" i="33"/>
  <c r="R897" i="33"/>
  <c r="R898" i="33"/>
  <c r="R899" i="33"/>
  <c r="R900" i="33"/>
  <c r="R901" i="33"/>
  <c r="R902" i="33"/>
  <c r="R903" i="33"/>
  <c r="R904" i="33"/>
  <c r="R905" i="33"/>
  <c r="R906" i="33"/>
  <c r="R907" i="33"/>
  <c r="R908" i="33"/>
  <c r="R909" i="33"/>
  <c r="R910" i="33"/>
  <c r="R911" i="33"/>
  <c r="R912" i="33"/>
  <c r="R913" i="33"/>
  <c r="R914" i="33"/>
  <c r="R915" i="33"/>
  <c r="R916" i="33"/>
  <c r="R917" i="33"/>
  <c r="R918" i="33"/>
  <c r="R919" i="33"/>
  <c r="R920" i="33"/>
  <c r="R921" i="33"/>
  <c r="R922" i="33"/>
  <c r="R923" i="33"/>
  <c r="R924" i="33"/>
  <c r="R925" i="33"/>
  <c r="R926" i="33"/>
  <c r="R927" i="33"/>
  <c r="R928" i="33"/>
  <c r="R929" i="33"/>
  <c r="R930" i="33"/>
  <c r="R931" i="33"/>
  <c r="R932" i="33"/>
  <c r="R933" i="33"/>
  <c r="R934" i="33"/>
  <c r="R935" i="33"/>
  <c r="R936" i="33"/>
  <c r="R937" i="33"/>
  <c r="R938" i="33"/>
  <c r="R939" i="33"/>
  <c r="R940" i="33"/>
  <c r="R941" i="33"/>
  <c r="R942" i="33"/>
  <c r="R943" i="33"/>
  <c r="R944" i="33"/>
  <c r="R945" i="33"/>
  <c r="R946" i="33"/>
  <c r="R947" i="33"/>
  <c r="R948" i="33"/>
  <c r="R949" i="33"/>
  <c r="R950" i="33"/>
  <c r="R951" i="33"/>
  <c r="R952" i="33"/>
  <c r="R953" i="33"/>
  <c r="R954" i="33"/>
  <c r="R955" i="33"/>
  <c r="R956" i="33"/>
  <c r="R957" i="33"/>
  <c r="R958" i="33"/>
  <c r="R959" i="33"/>
  <c r="R960" i="33"/>
  <c r="R961" i="33"/>
  <c r="R962" i="33"/>
  <c r="R963" i="33"/>
  <c r="R964" i="33"/>
  <c r="R965" i="33"/>
  <c r="R966" i="33"/>
  <c r="R967" i="33"/>
  <c r="R968" i="33"/>
  <c r="R969" i="33"/>
  <c r="R970" i="33"/>
  <c r="R971" i="33"/>
  <c r="R972" i="33"/>
  <c r="R973" i="33"/>
  <c r="R974" i="33"/>
  <c r="R975" i="33"/>
  <c r="R976" i="33"/>
  <c r="R977" i="33"/>
  <c r="R978" i="33"/>
  <c r="R979" i="33"/>
  <c r="R980" i="33"/>
  <c r="R981" i="33"/>
  <c r="R982" i="33"/>
  <c r="R983" i="33"/>
  <c r="R984" i="33"/>
  <c r="R985" i="33"/>
  <c r="R986" i="33"/>
  <c r="R987" i="33"/>
  <c r="R988" i="33"/>
  <c r="R989" i="33"/>
  <c r="R990" i="33"/>
  <c r="R991" i="33"/>
  <c r="R992" i="33"/>
  <c r="R993" i="33"/>
  <c r="R994" i="33"/>
  <c r="R995" i="33"/>
  <c r="R996" i="33"/>
  <c r="R997" i="33"/>
  <c r="R998" i="33"/>
  <c r="R999" i="33"/>
  <c r="R1000" i="33"/>
  <c r="R1001" i="33"/>
  <c r="R1002" i="33"/>
  <c r="R1003" i="33"/>
  <c r="R1004" i="33"/>
  <c r="R1005" i="33"/>
  <c r="R1006" i="33"/>
  <c r="R1007" i="33"/>
  <c r="R1008" i="33"/>
  <c r="R1009" i="33"/>
  <c r="R1010" i="33"/>
  <c r="R1011" i="33"/>
  <c r="R1012" i="33"/>
  <c r="R1013" i="33"/>
  <c r="R1014" i="33"/>
  <c r="R1015" i="33"/>
  <c r="R1016" i="33"/>
  <c r="R1017" i="33"/>
  <c r="R1018" i="33"/>
  <c r="R1019" i="33"/>
  <c r="R1020" i="33"/>
  <c r="R1021" i="33"/>
  <c r="R1022" i="33"/>
  <c r="R1023" i="33"/>
  <c r="R1024" i="33"/>
  <c r="R1025" i="33"/>
  <c r="R1026" i="33"/>
  <c r="R1027" i="33"/>
  <c r="R1028" i="33"/>
  <c r="R1029" i="33"/>
  <c r="R1030" i="33"/>
  <c r="R1031" i="33"/>
  <c r="R1032" i="33"/>
  <c r="R1033" i="33"/>
  <c r="R1034" i="33"/>
  <c r="R1035" i="33"/>
  <c r="R1036" i="33"/>
  <c r="R1037" i="33"/>
  <c r="R1038" i="33"/>
  <c r="R1039" i="33"/>
  <c r="R1040" i="33"/>
  <c r="R1041" i="33"/>
  <c r="R1042" i="33"/>
  <c r="R1043" i="33"/>
  <c r="R1044" i="33"/>
  <c r="R1045" i="33"/>
  <c r="R1046" i="33"/>
  <c r="R1047" i="33"/>
  <c r="R1048" i="33"/>
  <c r="R1049" i="33"/>
  <c r="R1050" i="33"/>
  <c r="R1051" i="33"/>
  <c r="R1052" i="33"/>
  <c r="R1053" i="33"/>
  <c r="R1054" i="33"/>
  <c r="R1055" i="33"/>
  <c r="R1056" i="33"/>
  <c r="R1057" i="33"/>
  <c r="R1058" i="33"/>
  <c r="R1059" i="33"/>
  <c r="R1060" i="33"/>
  <c r="R1061" i="33"/>
  <c r="R1062" i="33"/>
  <c r="R1063" i="33"/>
  <c r="R1064" i="33"/>
  <c r="R1065" i="33"/>
  <c r="R1066" i="33"/>
  <c r="R1067" i="33"/>
  <c r="R1068" i="33"/>
  <c r="R1069" i="33"/>
  <c r="R1070" i="33"/>
  <c r="R1071" i="33"/>
  <c r="R1072" i="33"/>
  <c r="R1073" i="33"/>
  <c r="R1074" i="33"/>
  <c r="R1075" i="33"/>
  <c r="R1076" i="33"/>
  <c r="R1077" i="33"/>
  <c r="R1078" i="33"/>
  <c r="R1079" i="33"/>
  <c r="R1080" i="33"/>
  <c r="R1081" i="33"/>
  <c r="R1082" i="33"/>
  <c r="R1083" i="33"/>
  <c r="R1084" i="33"/>
  <c r="R1085" i="33"/>
  <c r="R1086" i="33"/>
  <c r="R1087" i="33"/>
  <c r="R1088" i="33"/>
  <c r="R1089" i="33"/>
  <c r="R1090" i="33"/>
  <c r="R1091" i="33"/>
  <c r="R1092" i="33"/>
  <c r="R1093" i="33"/>
  <c r="R1094" i="33"/>
  <c r="R1095" i="33"/>
  <c r="R1096" i="33"/>
  <c r="R1097" i="33"/>
  <c r="R1098" i="33"/>
  <c r="R1099" i="33"/>
  <c r="R1100" i="33"/>
  <c r="R1101" i="33"/>
  <c r="R1102" i="33"/>
  <c r="R1103" i="33"/>
  <c r="R1104" i="33"/>
  <c r="R1105" i="33"/>
  <c r="R1106" i="33"/>
  <c r="R1107" i="33"/>
  <c r="R1108" i="33"/>
  <c r="R1109" i="33"/>
  <c r="R1110" i="33"/>
  <c r="R1111" i="33"/>
  <c r="R1112" i="33"/>
  <c r="R1113" i="33"/>
  <c r="R1114" i="33"/>
  <c r="R1115" i="33"/>
  <c r="R1116" i="33"/>
  <c r="R1117" i="33"/>
  <c r="R1118" i="33"/>
  <c r="R1119" i="33"/>
  <c r="R1120" i="33"/>
  <c r="R1121" i="33"/>
  <c r="R1122" i="33"/>
  <c r="R1123" i="33"/>
  <c r="R1124" i="33"/>
  <c r="R1125" i="33"/>
  <c r="R1126" i="33"/>
  <c r="R1127" i="33"/>
  <c r="R1128" i="33"/>
  <c r="R1129" i="33"/>
  <c r="R1130" i="33"/>
  <c r="R1131" i="33"/>
  <c r="R1132" i="33"/>
  <c r="R1133" i="33"/>
  <c r="R1134" i="33"/>
  <c r="R1135" i="33"/>
  <c r="R1136" i="33"/>
  <c r="R1137" i="33"/>
  <c r="R1138" i="33"/>
  <c r="R1139" i="33"/>
  <c r="R1140" i="33"/>
  <c r="R1141" i="33"/>
  <c r="R1142" i="33"/>
  <c r="R1143" i="33"/>
  <c r="R1144" i="33"/>
  <c r="R1145" i="33"/>
  <c r="R1146" i="33"/>
  <c r="R1147" i="33"/>
  <c r="R1148" i="33"/>
  <c r="R1149" i="33"/>
  <c r="R1150" i="33"/>
  <c r="R1151" i="33"/>
  <c r="R1152" i="33"/>
  <c r="R1153" i="33"/>
  <c r="R1154" i="33"/>
  <c r="R1155" i="33"/>
  <c r="R1156" i="33"/>
  <c r="R1157" i="33"/>
  <c r="R1158" i="33"/>
  <c r="R1159" i="33"/>
  <c r="R1160" i="33"/>
  <c r="R1161" i="33"/>
  <c r="R1162" i="33"/>
  <c r="R1163" i="33"/>
  <c r="R1164" i="33"/>
  <c r="R1165" i="33"/>
  <c r="R1166" i="33"/>
  <c r="R1167" i="33"/>
  <c r="R1168" i="33"/>
  <c r="R1169" i="33"/>
  <c r="R1170" i="33"/>
  <c r="R1171" i="33"/>
  <c r="R1172" i="33"/>
  <c r="R1173" i="33"/>
  <c r="R1174" i="33"/>
  <c r="R1175" i="33"/>
  <c r="R1176" i="33"/>
  <c r="R1177" i="33"/>
  <c r="R1178" i="33"/>
  <c r="R1179" i="33"/>
  <c r="R1180" i="33"/>
  <c r="R1181" i="33"/>
  <c r="R1182" i="33"/>
  <c r="R1183" i="33"/>
  <c r="R1184" i="33"/>
  <c r="R1185" i="33"/>
  <c r="R1186" i="33"/>
  <c r="R1187" i="33"/>
  <c r="R1188" i="33"/>
  <c r="R1189" i="33"/>
  <c r="R1190" i="33"/>
  <c r="R1191" i="33"/>
  <c r="R1192" i="33"/>
  <c r="R1193" i="33"/>
  <c r="R1194" i="33"/>
  <c r="R1195" i="33"/>
  <c r="R1196" i="33"/>
  <c r="R1197" i="33"/>
  <c r="G1197" i="33"/>
  <c r="C1197" i="33"/>
  <c r="L1662" i="17"/>
  <c r="C1191" i="33"/>
  <c r="C1192" i="33"/>
  <c r="C1193" i="33"/>
  <c r="C1194" i="33"/>
  <c r="C1195" i="33"/>
  <c r="C1196" i="33"/>
  <c r="G1191" i="33"/>
  <c r="G1192" i="33"/>
  <c r="G1193" i="33"/>
  <c r="G1194" i="33"/>
  <c r="G1195" i="33"/>
  <c r="G1196" i="33"/>
  <c r="C1190" i="33"/>
  <c r="G1190" i="33"/>
  <c r="L1648" i="17"/>
  <c r="C1181" i="33"/>
  <c r="C1182" i="33"/>
  <c r="C1183" i="33"/>
  <c r="C1184" i="33"/>
  <c r="C1185" i="33"/>
  <c r="C1186" i="33"/>
  <c r="C1187" i="33"/>
  <c r="C1188" i="33"/>
  <c r="C1189" i="33"/>
  <c r="G1181" i="33"/>
  <c r="G1182" i="33"/>
  <c r="G1183" i="33"/>
  <c r="G1184" i="33"/>
  <c r="G1185" i="33"/>
  <c r="G1186" i="33"/>
  <c r="G1187" i="33"/>
  <c r="G1188" i="33"/>
  <c r="G1189" i="33"/>
  <c r="C1180" i="33"/>
  <c r="G1180" i="33"/>
  <c r="C1938" i="17"/>
  <c r="L1596" i="17"/>
  <c r="L1570" i="17"/>
  <c r="L1534" i="17"/>
  <c r="C1937" i="17"/>
  <c r="J1618" i="17"/>
  <c r="L1506" i="17"/>
  <c r="L1495" i="17"/>
  <c r="L1483" i="17"/>
  <c r="L1459" i="17"/>
  <c r="L1441" i="17"/>
  <c r="C1936" i="17"/>
  <c r="L1433" i="17"/>
  <c r="L1413" i="17"/>
  <c r="L1401" i="17"/>
  <c r="L1373" i="17"/>
  <c r="L1363" i="17"/>
  <c r="C1935" i="17"/>
  <c r="L1328" i="17"/>
  <c r="L1271" i="17"/>
  <c r="C1934" i="17"/>
  <c r="L1247" i="17"/>
  <c r="E8" i="38"/>
  <c r="C60" i="38"/>
  <c r="I58" i="38"/>
  <c r="C55" i="38"/>
  <c r="C54" i="38"/>
  <c r="C53" i="38"/>
  <c r="J52" i="38"/>
  <c r="I52" i="38"/>
  <c r="C52" i="38"/>
  <c r="K51" i="38"/>
  <c r="C51" i="38"/>
  <c r="K50" i="38"/>
  <c r="C50" i="38"/>
  <c r="K49" i="38"/>
  <c r="C49" i="38"/>
  <c r="K48" i="38"/>
  <c r="C48" i="38"/>
  <c r="K47" i="38"/>
  <c r="C47" i="38"/>
  <c r="K46" i="38"/>
  <c r="K52" i="38"/>
  <c r="C44" i="38"/>
  <c r="C43" i="38"/>
  <c r="C42" i="38"/>
  <c r="C41" i="38"/>
  <c r="C40" i="38"/>
  <c r="C39" i="38"/>
  <c r="D16" i="38"/>
  <c r="F15" i="38"/>
  <c r="I10" i="38"/>
  <c r="L10" i="38"/>
  <c r="E60" i="38"/>
  <c r="F60" i="38"/>
  <c r="E7" i="38"/>
  <c r="E6" i="38"/>
  <c r="E5" i="38"/>
  <c r="E4" i="38"/>
  <c r="E3" i="38"/>
  <c r="E2" i="38"/>
  <c r="F8" i="38"/>
  <c r="L1211" i="17"/>
  <c r="L1202" i="17"/>
  <c r="L1187" i="17"/>
  <c r="C1933" i="17"/>
  <c r="K1534" i="17"/>
  <c r="L1183" i="17"/>
  <c r="L1159" i="17"/>
  <c r="L1148" i="17"/>
  <c r="L1134" i="17"/>
  <c r="C1932" i="17"/>
  <c r="L1108" i="17"/>
  <c r="L1085" i="17"/>
  <c r="L1075" i="17"/>
  <c r="L1060" i="17"/>
  <c r="C1931" i="17"/>
  <c r="L1040" i="17"/>
  <c r="L1035" i="17"/>
  <c r="L1011" i="17"/>
  <c r="C1930" i="17"/>
  <c r="L1006" i="17"/>
  <c r="L993" i="17"/>
  <c r="L990" i="17"/>
  <c r="L975" i="17"/>
  <c r="L966" i="17"/>
  <c r="L954" i="17"/>
  <c r="L944" i="17"/>
  <c r="C1929" i="17"/>
  <c r="L932" i="17"/>
  <c r="K1168" i="17"/>
  <c r="L929" i="17"/>
  <c r="L912" i="17"/>
  <c r="L906" i="17"/>
  <c r="L885" i="17"/>
  <c r="L870" i="17"/>
  <c r="C1928" i="17"/>
  <c r="L860" i="17"/>
  <c r="L850" i="17"/>
  <c r="L842" i="17"/>
  <c r="L828" i="17"/>
  <c r="L821" i="17"/>
  <c r="L812" i="17"/>
  <c r="C1920" i="17"/>
  <c r="L807" i="17"/>
  <c r="C1927" i="17"/>
  <c r="L793" i="17"/>
  <c r="L789" i="17"/>
  <c r="L774" i="17"/>
  <c r="L765" i="17"/>
  <c r="C1926" i="17"/>
  <c r="L763" i="17"/>
  <c r="L756" i="17"/>
  <c r="L744" i="17"/>
  <c r="L736" i="17"/>
  <c r="L724" i="17"/>
  <c r="L720" i="17"/>
  <c r="L708" i="17"/>
  <c r="L701" i="17"/>
  <c r="L691" i="17"/>
  <c r="L677" i="17"/>
  <c r="L663" i="17"/>
  <c r="C1925" i="17"/>
  <c r="L645" i="17"/>
  <c r="T486" i="33"/>
  <c r="S486" i="33"/>
  <c r="L624" i="17"/>
  <c r="U486" i="33"/>
  <c r="L615" i="17"/>
  <c r="L594" i="17"/>
  <c r="L580" i="17"/>
  <c r="L568" i="17"/>
  <c r="L551" i="17"/>
  <c r="L539" i="17"/>
  <c r="C1924" i="17"/>
  <c r="J594" i="17"/>
  <c r="E1924" i="17"/>
  <c r="L513" i="17"/>
  <c r="C1923" i="17"/>
  <c r="L486" i="17"/>
  <c r="L467" i="17"/>
  <c r="L457" i="17"/>
  <c r="L433" i="17"/>
  <c r="C1922" i="17"/>
  <c r="L427" i="17"/>
  <c r="L417" i="17"/>
  <c r="L401" i="17"/>
  <c r="L386" i="17"/>
  <c r="L376" i="17"/>
  <c r="C1921" i="17"/>
  <c r="L371" i="17"/>
  <c r="L362" i="17"/>
  <c r="L347" i="17"/>
  <c r="L329" i="17"/>
  <c r="L306" i="17"/>
  <c r="L293" i="17"/>
  <c r="L275" i="17"/>
  <c r="L238" i="17"/>
  <c r="L227" i="17"/>
  <c r="L215" i="17"/>
  <c r="L197" i="17"/>
  <c r="L179" i="17"/>
  <c r="C1919" i="17"/>
  <c r="L174" i="17"/>
  <c r="L162" i="17"/>
  <c r="L149" i="17"/>
  <c r="C2" i="37"/>
  <c r="C4" i="36"/>
  <c r="B2" i="36"/>
  <c r="L128" i="17"/>
  <c r="L119" i="17"/>
  <c r="L16" i="17"/>
  <c r="L25" i="17"/>
  <c r="L42" i="17"/>
  <c r="L49" i="17"/>
  <c r="L63" i="17"/>
  <c r="L72" i="17"/>
  <c r="L87" i="17"/>
  <c r="L99" i="17"/>
  <c r="L109" i="17"/>
  <c r="E1918" i="17"/>
  <c r="C1918" i="17"/>
  <c r="J87" i="17"/>
  <c r="D144" i="32"/>
  <c r="D156" i="30"/>
  <c r="D143" i="32"/>
  <c r="D155" i="30"/>
  <c r="D2" i="32"/>
  <c r="E2" i="32"/>
  <c r="F2" i="32"/>
  <c r="D3" i="32"/>
  <c r="E3" i="32"/>
  <c r="F3" i="32"/>
  <c r="D4" i="32"/>
  <c r="E4" i="32"/>
  <c r="F4" i="32"/>
  <c r="D5" i="32"/>
  <c r="E5" i="32"/>
  <c r="F5" i="32"/>
  <c r="D6" i="32"/>
  <c r="E6" i="32"/>
  <c r="F6" i="32"/>
  <c r="D7" i="32"/>
  <c r="E7" i="32"/>
  <c r="F7" i="32"/>
  <c r="D8" i="32"/>
  <c r="E8" i="32"/>
  <c r="F8" i="32"/>
  <c r="D9" i="32"/>
  <c r="E9" i="32"/>
  <c r="F9" i="32"/>
  <c r="D10" i="32"/>
  <c r="E10" i="32"/>
  <c r="F10" i="32"/>
  <c r="D11" i="32"/>
  <c r="E11" i="32"/>
  <c r="F11" i="32"/>
  <c r="D12" i="32"/>
  <c r="E12" i="32"/>
  <c r="F12" i="32"/>
  <c r="D13" i="32"/>
  <c r="E13" i="32"/>
  <c r="F13" i="32"/>
  <c r="D14" i="32"/>
  <c r="E14" i="32"/>
  <c r="F14" i="32"/>
  <c r="D15" i="32"/>
  <c r="E15" i="32"/>
  <c r="F15" i="32"/>
  <c r="D16" i="32"/>
  <c r="E16" i="32"/>
  <c r="F16" i="32"/>
  <c r="D17" i="32"/>
  <c r="E17" i="32"/>
  <c r="F17" i="32"/>
  <c r="D18" i="32"/>
  <c r="E18" i="32"/>
  <c r="F18" i="32"/>
  <c r="D19" i="32"/>
  <c r="E19" i="32"/>
  <c r="F19" i="32"/>
  <c r="D20" i="32"/>
  <c r="E20" i="32"/>
  <c r="F20" i="32"/>
  <c r="D21" i="32"/>
  <c r="E21" i="32"/>
  <c r="F21" i="32"/>
  <c r="D22" i="32"/>
  <c r="E22" i="32"/>
  <c r="F22" i="32"/>
  <c r="D23" i="32"/>
  <c r="E23" i="32"/>
  <c r="F23" i="32"/>
  <c r="D24" i="32"/>
  <c r="E24" i="32"/>
  <c r="F24" i="32"/>
  <c r="D25" i="32"/>
  <c r="E25" i="32"/>
  <c r="F25" i="32"/>
  <c r="D26" i="32"/>
  <c r="E26" i="32"/>
  <c r="F26" i="32"/>
  <c r="D27" i="32"/>
  <c r="E27" i="32"/>
  <c r="F27" i="32"/>
  <c r="D28" i="32"/>
  <c r="E28" i="32"/>
  <c r="F28" i="32"/>
  <c r="D29" i="32"/>
  <c r="E29" i="32"/>
  <c r="F29" i="32"/>
  <c r="D30" i="32"/>
  <c r="E30" i="32"/>
  <c r="F30" i="32"/>
  <c r="D31" i="32"/>
  <c r="E31" i="32"/>
  <c r="F31" i="32"/>
  <c r="D32" i="32"/>
  <c r="E32" i="32"/>
  <c r="F32" i="32"/>
  <c r="D33" i="32"/>
  <c r="E33" i="32"/>
  <c r="F33" i="32"/>
  <c r="D34" i="32"/>
  <c r="E34" i="32"/>
  <c r="F34" i="32"/>
  <c r="D35" i="32"/>
  <c r="E35" i="32"/>
  <c r="F35" i="32"/>
  <c r="D36" i="32"/>
  <c r="E36" i="32"/>
  <c r="F36" i="32"/>
  <c r="D37" i="32"/>
  <c r="E37" i="32"/>
  <c r="F37" i="32"/>
  <c r="D38" i="32"/>
  <c r="E38" i="32"/>
  <c r="F38" i="32"/>
  <c r="D39" i="32"/>
  <c r="E39" i="32"/>
  <c r="F39" i="32"/>
  <c r="D40" i="32"/>
  <c r="E40" i="32"/>
  <c r="F40" i="32"/>
  <c r="D41" i="32"/>
  <c r="E41" i="32"/>
  <c r="F41" i="32"/>
  <c r="D42" i="32"/>
  <c r="E42" i="32"/>
  <c r="F42" i="32"/>
  <c r="D43" i="32"/>
  <c r="E43" i="32"/>
  <c r="F43" i="32"/>
  <c r="D44" i="32"/>
  <c r="E44" i="32"/>
  <c r="F44" i="32"/>
  <c r="D45" i="32"/>
  <c r="E45" i="32"/>
  <c r="F45" i="32"/>
  <c r="D46" i="32"/>
  <c r="E46" i="32"/>
  <c r="F46" i="32"/>
  <c r="D47" i="32"/>
  <c r="E47" i="32"/>
  <c r="F47" i="32"/>
  <c r="D48" i="32"/>
  <c r="E48" i="32"/>
  <c r="F48" i="32"/>
  <c r="D49" i="32"/>
  <c r="E49" i="32"/>
  <c r="F49" i="32"/>
  <c r="D50" i="32"/>
  <c r="E50" i="32"/>
  <c r="F50" i="32"/>
  <c r="D51" i="32"/>
  <c r="E51" i="32"/>
  <c r="F51" i="32"/>
  <c r="D52" i="32"/>
  <c r="E52" i="32"/>
  <c r="F52" i="32"/>
  <c r="D53" i="32"/>
  <c r="E53" i="32"/>
  <c r="F53" i="32"/>
  <c r="D54" i="32"/>
  <c r="E54" i="32"/>
  <c r="F54" i="32"/>
  <c r="D55" i="32"/>
  <c r="E55" i="32"/>
  <c r="F55" i="32"/>
  <c r="D56" i="32"/>
  <c r="E56" i="32"/>
  <c r="F56" i="32"/>
  <c r="D57" i="32"/>
  <c r="E57" i="32"/>
  <c r="F57" i="32"/>
  <c r="D58" i="32"/>
  <c r="E58" i="32"/>
  <c r="F58" i="32"/>
  <c r="D59" i="32"/>
  <c r="E59" i="32"/>
  <c r="F59" i="32"/>
  <c r="D60" i="32"/>
  <c r="E60" i="32"/>
  <c r="F60" i="32"/>
  <c r="D61" i="32"/>
  <c r="E61" i="32"/>
  <c r="F61" i="32"/>
  <c r="D62" i="32"/>
  <c r="E62" i="32"/>
  <c r="F62" i="32"/>
  <c r="D63" i="32"/>
  <c r="E63" i="32"/>
  <c r="F63" i="32"/>
  <c r="D64" i="32"/>
  <c r="E64" i="32"/>
  <c r="F64" i="32"/>
  <c r="D65" i="32"/>
  <c r="E65" i="32"/>
  <c r="F65" i="32"/>
  <c r="D66" i="32"/>
  <c r="E66" i="32"/>
  <c r="F66" i="32"/>
  <c r="D67" i="32"/>
  <c r="E67" i="32"/>
  <c r="F67" i="32"/>
  <c r="D68" i="32"/>
  <c r="E68" i="32"/>
  <c r="F68" i="32"/>
  <c r="D69" i="32"/>
  <c r="E69" i="32"/>
  <c r="F69" i="32"/>
  <c r="D70" i="32"/>
  <c r="E70" i="32"/>
  <c r="F70" i="32"/>
  <c r="D71" i="32"/>
  <c r="E71" i="32"/>
  <c r="F71" i="32"/>
  <c r="D72" i="32"/>
  <c r="E72" i="32"/>
  <c r="F72" i="32"/>
  <c r="D73" i="32"/>
  <c r="E73" i="32"/>
  <c r="F73" i="32"/>
  <c r="D74" i="32"/>
  <c r="E74" i="32"/>
  <c r="F74" i="32"/>
  <c r="D75" i="32"/>
  <c r="E75" i="32"/>
  <c r="F75" i="32"/>
  <c r="D76" i="32"/>
  <c r="E76" i="32"/>
  <c r="F76" i="32"/>
  <c r="D77" i="32"/>
  <c r="E77" i="32"/>
  <c r="F77" i="32"/>
  <c r="D78" i="32"/>
  <c r="E78" i="32"/>
  <c r="F78" i="32"/>
  <c r="D79" i="32"/>
  <c r="E79" i="32"/>
  <c r="F79" i="32"/>
  <c r="D80" i="32"/>
  <c r="E80" i="32"/>
  <c r="F80" i="32"/>
  <c r="D81" i="32"/>
  <c r="E81" i="32"/>
  <c r="F81" i="32"/>
  <c r="D82" i="32"/>
  <c r="E82" i="32"/>
  <c r="F82" i="32"/>
  <c r="D83" i="32"/>
  <c r="E83" i="32"/>
  <c r="F83" i="32"/>
  <c r="D84" i="32"/>
  <c r="E84" i="32"/>
  <c r="F84" i="32"/>
  <c r="D85" i="32"/>
  <c r="E85" i="32"/>
  <c r="F85" i="32"/>
  <c r="D86" i="32"/>
  <c r="E86" i="32"/>
  <c r="F86" i="32"/>
  <c r="D87" i="32"/>
  <c r="E87" i="32"/>
  <c r="F87" i="32"/>
  <c r="D88" i="32"/>
  <c r="E88" i="32"/>
  <c r="F88" i="32"/>
  <c r="D89" i="32"/>
  <c r="E89" i="32"/>
  <c r="F89" i="32"/>
  <c r="D90" i="32"/>
  <c r="E90" i="32"/>
  <c r="F90" i="32"/>
  <c r="D91" i="32"/>
  <c r="E91" i="32"/>
  <c r="F91" i="32"/>
  <c r="D92" i="32"/>
  <c r="E92" i="32"/>
  <c r="F92" i="32"/>
  <c r="D93" i="32"/>
  <c r="E93" i="32"/>
  <c r="F93" i="32"/>
  <c r="D94" i="32"/>
  <c r="E94" i="32"/>
  <c r="F94" i="32"/>
  <c r="D95" i="32"/>
  <c r="E95" i="32"/>
  <c r="F95" i="32"/>
  <c r="D96" i="32"/>
  <c r="E96" i="32"/>
  <c r="F96" i="32"/>
  <c r="D97" i="32"/>
  <c r="E97" i="32"/>
  <c r="F97" i="32"/>
  <c r="D98" i="32"/>
  <c r="E98" i="32"/>
  <c r="F98" i="32"/>
  <c r="D99" i="32"/>
  <c r="E99" i="32"/>
  <c r="F99" i="32"/>
  <c r="D100" i="32"/>
  <c r="E100" i="32"/>
  <c r="F100" i="32"/>
  <c r="D101" i="32"/>
  <c r="E101" i="32"/>
  <c r="F101" i="32"/>
  <c r="D102" i="32"/>
  <c r="E102" i="32"/>
  <c r="F102" i="32"/>
  <c r="D103" i="32"/>
  <c r="E103" i="32"/>
  <c r="F103" i="32"/>
  <c r="D104" i="32"/>
  <c r="E104" i="32"/>
  <c r="F104" i="32"/>
  <c r="D105" i="32"/>
  <c r="E105" i="32"/>
  <c r="F105" i="32"/>
  <c r="D106" i="32"/>
  <c r="E106" i="32"/>
  <c r="F106" i="32"/>
  <c r="D107" i="32"/>
  <c r="E107" i="32"/>
  <c r="F107" i="32"/>
  <c r="D108" i="32"/>
  <c r="E108" i="32"/>
  <c r="F108" i="32"/>
  <c r="D109" i="32"/>
  <c r="E109" i="32"/>
  <c r="F109" i="32"/>
  <c r="D110" i="32"/>
  <c r="E110" i="32"/>
  <c r="F110" i="32"/>
  <c r="D111" i="32"/>
  <c r="E111" i="32"/>
  <c r="F111" i="32"/>
  <c r="D112" i="32"/>
  <c r="E112" i="32"/>
  <c r="F112" i="32"/>
  <c r="D113" i="32"/>
  <c r="E113" i="32"/>
  <c r="F113" i="32"/>
  <c r="D114" i="32"/>
  <c r="E114" i="32"/>
  <c r="F114" i="32"/>
  <c r="D115" i="32"/>
  <c r="E115" i="32"/>
  <c r="F115" i="32"/>
  <c r="D116" i="32"/>
  <c r="E116" i="32"/>
  <c r="F116" i="32"/>
  <c r="D117" i="32"/>
  <c r="E117" i="32"/>
  <c r="F117" i="32"/>
  <c r="D118" i="32"/>
  <c r="E118" i="32"/>
  <c r="F118" i="32"/>
  <c r="D119" i="32"/>
  <c r="E119" i="32"/>
  <c r="F119" i="32"/>
  <c r="D120" i="32"/>
  <c r="E120" i="32"/>
  <c r="F120" i="32"/>
  <c r="D121" i="32"/>
  <c r="E121" i="32"/>
  <c r="F121" i="32"/>
  <c r="D122" i="32"/>
  <c r="E122" i="32"/>
  <c r="F122" i="32"/>
  <c r="D123" i="32"/>
  <c r="E123" i="32"/>
  <c r="F123" i="32"/>
  <c r="D124" i="32"/>
  <c r="E124" i="32"/>
  <c r="F124" i="32"/>
  <c r="D125" i="32"/>
  <c r="E125" i="32"/>
  <c r="F125" i="32"/>
  <c r="D126" i="32"/>
  <c r="E126" i="32"/>
  <c r="F126" i="32"/>
  <c r="D127" i="32"/>
  <c r="E127" i="32"/>
  <c r="F127" i="32"/>
  <c r="D128" i="32"/>
  <c r="E128" i="32"/>
  <c r="F128" i="32"/>
  <c r="D129" i="32"/>
  <c r="E129" i="32"/>
  <c r="F129" i="32"/>
  <c r="D130" i="32"/>
  <c r="E130" i="32"/>
  <c r="F130" i="32"/>
  <c r="D142" i="32"/>
  <c r="D141" i="32"/>
  <c r="D140" i="32"/>
  <c r="D154" i="30"/>
  <c r="D153" i="30"/>
  <c r="D152" i="30"/>
  <c r="D139" i="32"/>
  <c r="D151" i="30"/>
  <c r="D138" i="32"/>
  <c r="D150" i="30"/>
  <c r="D137" i="32"/>
  <c r="D149" i="30"/>
  <c r="D135" i="32"/>
  <c r="D131" i="32"/>
  <c r="D132" i="32"/>
  <c r="D133" i="32"/>
  <c r="D134" i="32"/>
  <c r="E135" i="32"/>
  <c r="F131" i="32"/>
  <c r="F132" i="32"/>
  <c r="F133" i="32"/>
  <c r="F134" i="32"/>
  <c r="F135" i="32"/>
  <c r="D136" i="32"/>
  <c r="E136" i="32"/>
  <c r="F136" i="32"/>
  <c r="F137" i="32"/>
  <c r="F138" i="32"/>
  <c r="F139" i="32"/>
  <c r="F140" i="32"/>
  <c r="F141" i="32"/>
  <c r="F142" i="32"/>
  <c r="F143" i="32"/>
  <c r="F144" i="32"/>
  <c r="D147" i="30"/>
  <c r="D2" i="30"/>
  <c r="D3" i="30"/>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E147" i="30"/>
  <c r="F2" i="30"/>
  <c r="F3" i="30"/>
  <c r="F4" i="30"/>
  <c r="F5" i="30"/>
  <c r="F6" i="30"/>
  <c r="F7" i="30"/>
  <c r="F8" i="30"/>
  <c r="F9" i="30"/>
  <c r="F10" i="30"/>
  <c r="F11" i="30"/>
  <c r="F12" i="30"/>
  <c r="F13" i="30"/>
  <c r="F14" i="30"/>
  <c r="F15" i="30"/>
  <c r="F16" i="30"/>
  <c r="F17" i="30"/>
  <c r="F18" i="30"/>
  <c r="F19" i="30"/>
  <c r="F20" i="30"/>
  <c r="F21" i="30"/>
  <c r="F22" i="30"/>
  <c r="F23" i="30"/>
  <c r="F24" i="30"/>
  <c r="F25" i="30"/>
  <c r="F26" i="30"/>
  <c r="F27" i="30"/>
  <c r="F28" i="30"/>
  <c r="F29" i="30"/>
  <c r="F30" i="30"/>
  <c r="F31" i="30"/>
  <c r="F32" i="30"/>
  <c r="F33" i="30"/>
  <c r="F34" i="30"/>
  <c r="F35" i="30"/>
  <c r="F36" i="30"/>
  <c r="F37" i="30"/>
  <c r="F38" i="30"/>
  <c r="F39" i="30"/>
  <c r="F40" i="30"/>
  <c r="F41" i="30"/>
  <c r="F42" i="30"/>
  <c r="F43" i="30"/>
  <c r="F44" i="30"/>
  <c r="F45" i="30"/>
  <c r="F46" i="30"/>
  <c r="F47" i="30"/>
  <c r="F48" i="30"/>
  <c r="F49" i="30"/>
  <c r="F50" i="30"/>
  <c r="F51" i="30"/>
  <c r="F52" i="30"/>
  <c r="F53" i="30"/>
  <c r="F54" i="30"/>
  <c r="F55" i="30"/>
  <c r="F56" i="30"/>
  <c r="F57" i="30"/>
  <c r="F58" i="30"/>
  <c r="F59" i="30"/>
  <c r="F60" i="30"/>
  <c r="F61" i="30"/>
  <c r="F62" i="30"/>
  <c r="F63" i="30"/>
  <c r="F64" i="30"/>
  <c r="F65" i="30"/>
  <c r="F66" i="30"/>
  <c r="F67" i="30"/>
  <c r="F68" i="30"/>
  <c r="F69" i="30"/>
  <c r="F70" i="30"/>
  <c r="F71" i="30"/>
  <c r="F72" i="30"/>
  <c r="F73" i="30"/>
  <c r="F74" i="30"/>
  <c r="F75" i="30"/>
  <c r="F76" i="30"/>
  <c r="F77" i="30"/>
  <c r="F78" i="30"/>
  <c r="F79" i="30"/>
  <c r="F80" i="30"/>
  <c r="F81" i="30"/>
  <c r="F82" i="30"/>
  <c r="F83" i="30"/>
  <c r="F84" i="30"/>
  <c r="F85" i="30"/>
  <c r="F86" i="30"/>
  <c r="F87" i="30"/>
  <c r="F88" i="30"/>
  <c r="F89" i="30"/>
  <c r="F90" i="30"/>
  <c r="F91" i="30"/>
  <c r="F92" i="30"/>
  <c r="F93" i="30"/>
  <c r="F94" i="30"/>
  <c r="F95" i="30"/>
  <c r="F96" i="30"/>
  <c r="F97" i="30"/>
  <c r="F98" i="30"/>
  <c r="F99" i="30"/>
  <c r="F100" i="30"/>
  <c r="F101" i="30"/>
  <c r="F102" i="30"/>
  <c r="F103" i="30"/>
  <c r="F104" i="30"/>
  <c r="F105" i="30"/>
  <c r="F106" i="30"/>
  <c r="F107" i="30"/>
  <c r="F108" i="30"/>
  <c r="F109" i="30"/>
  <c r="F110" i="30"/>
  <c r="F111" i="30"/>
  <c r="F112" i="30"/>
  <c r="F113" i="30"/>
  <c r="F114" i="30"/>
  <c r="F115" i="30"/>
  <c r="F116" i="30"/>
  <c r="F117" i="30"/>
  <c r="F118" i="30"/>
  <c r="F119" i="30"/>
  <c r="F120" i="30"/>
  <c r="F121" i="30"/>
  <c r="F122" i="30"/>
  <c r="F123" i="30"/>
  <c r="F124" i="30"/>
  <c r="F125" i="30"/>
  <c r="F126" i="30"/>
  <c r="F127" i="30"/>
  <c r="F128" i="30"/>
  <c r="F129" i="30"/>
  <c r="F130" i="30"/>
  <c r="F131" i="30"/>
  <c r="F132" i="30"/>
  <c r="F133" i="30"/>
  <c r="F134" i="30"/>
  <c r="F135" i="30"/>
  <c r="F136" i="30"/>
  <c r="F137" i="30"/>
  <c r="F138" i="30"/>
  <c r="F139" i="30"/>
  <c r="F140" i="30"/>
  <c r="F141" i="30"/>
  <c r="F142" i="30"/>
  <c r="F143" i="30"/>
  <c r="F144" i="30"/>
  <c r="F145" i="30"/>
  <c r="F146" i="30"/>
  <c r="F147" i="30"/>
  <c r="D148" i="30"/>
  <c r="E148" i="30"/>
  <c r="F148" i="30"/>
  <c r="F149" i="30"/>
  <c r="F150" i="30"/>
  <c r="F151" i="30"/>
  <c r="F152" i="30"/>
  <c r="F153" i="30"/>
  <c r="F154" i="30"/>
  <c r="E133" i="32"/>
  <c r="E134" i="32"/>
  <c r="E145" i="30"/>
  <c r="E146" i="30"/>
  <c r="E131" i="32"/>
  <c r="E132" i="32"/>
  <c r="E143" i="30"/>
  <c r="E144" i="30"/>
  <c r="D13" i="31"/>
  <c r="E120" i="30"/>
  <c r="E121" i="30"/>
  <c r="E122" i="30"/>
  <c r="E123" i="30"/>
  <c r="E124" i="30"/>
  <c r="E125" i="30"/>
  <c r="E126" i="30"/>
  <c r="D12" i="31"/>
  <c r="D11" i="31"/>
  <c r="B212" i="30"/>
  <c r="B211" i="30"/>
  <c r="B210" i="30"/>
  <c r="B200" i="32"/>
  <c r="B199" i="32"/>
  <c r="B198" i="32"/>
  <c r="B197" i="32"/>
  <c r="D200" i="32"/>
  <c r="E200" i="32"/>
  <c r="D212" i="30"/>
  <c r="E212" i="30"/>
  <c r="D10" i="31"/>
  <c r="D9" i="31"/>
  <c r="D8" i="31"/>
  <c r="D7" i="31"/>
  <c r="D199" i="32"/>
  <c r="E199" i="32"/>
  <c r="D211" i="30"/>
  <c r="E211" i="30"/>
  <c r="B214" i="32"/>
  <c r="B204" i="32"/>
  <c r="D188" i="32"/>
  <c r="B188" i="32"/>
  <c r="D187" i="32"/>
  <c r="E188" i="32"/>
  <c r="B187" i="32"/>
  <c r="D186" i="32"/>
  <c r="E187" i="32"/>
  <c r="B186" i="32"/>
  <c r="D185" i="32"/>
  <c r="E186" i="32"/>
  <c r="B185" i="32"/>
  <c r="D184" i="32"/>
  <c r="E185" i="32"/>
  <c r="B184" i="32"/>
  <c r="D183" i="32"/>
  <c r="E184" i="32"/>
  <c r="B183" i="32"/>
  <c r="D182" i="32"/>
  <c r="E183" i="32"/>
  <c r="B182" i="32"/>
  <c r="D181" i="32"/>
  <c r="E182" i="32"/>
  <c r="B181" i="32"/>
  <c r="D180" i="32"/>
  <c r="E181" i="32"/>
  <c r="B180" i="32"/>
  <c r="D179" i="32"/>
  <c r="E180" i="32"/>
  <c r="B179" i="32"/>
  <c r="D178" i="32"/>
  <c r="E179" i="32"/>
  <c r="B178" i="32"/>
  <c r="D177" i="32"/>
  <c r="E178" i="32"/>
  <c r="B177" i="32"/>
  <c r="D176" i="32"/>
  <c r="E177" i="32"/>
  <c r="B176" i="32"/>
  <c r="D175" i="32"/>
  <c r="E176" i="32"/>
  <c r="B175" i="32"/>
  <c r="H150" i="32"/>
  <c r="H151" i="32"/>
  <c r="C150" i="32"/>
  <c r="A149" i="32"/>
  <c r="A151" i="32"/>
  <c r="D151" i="32"/>
  <c r="H148" i="32"/>
  <c r="H152" i="32"/>
  <c r="B146" i="32"/>
  <c r="B80" i="31"/>
  <c r="B67" i="31"/>
  <c r="B66" i="31"/>
  <c r="B70" i="31"/>
  <c r="D57" i="31"/>
  <c r="B57" i="31"/>
  <c r="D56" i="31"/>
  <c r="E57" i="31"/>
  <c r="B56" i="31"/>
  <c r="D55" i="31"/>
  <c r="E56" i="31"/>
  <c r="B55" i="31"/>
  <c r="D54" i="31"/>
  <c r="E55" i="31"/>
  <c r="B54" i="31"/>
  <c r="D53" i="31"/>
  <c r="E54" i="31"/>
  <c r="B53" i="31"/>
  <c r="D52" i="31"/>
  <c r="E53" i="31"/>
  <c r="B52" i="31"/>
  <c r="D51" i="31"/>
  <c r="E52" i="31"/>
  <c r="B51" i="31"/>
  <c r="D50" i="31"/>
  <c r="E51" i="31"/>
  <c r="B50" i="31"/>
  <c r="D49" i="31"/>
  <c r="E50" i="31"/>
  <c r="B49" i="31"/>
  <c r="D48" i="31"/>
  <c r="E49" i="31"/>
  <c r="B48" i="31"/>
  <c r="D47" i="31"/>
  <c r="E48" i="31"/>
  <c r="B47" i="31"/>
  <c r="D46" i="31"/>
  <c r="E47" i="31"/>
  <c r="B46" i="31"/>
  <c r="D45" i="31"/>
  <c r="E46" i="31"/>
  <c r="B45" i="31"/>
  <c r="D44" i="31"/>
  <c r="E45" i="31"/>
  <c r="B44" i="31"/>
  <c r="H19" i="31"/>
  <c r="H20" i="31"/>
  <c r="C19" i="31"/>
  <c r="A18" i="31"/>
  <c r="A20" i="31"/>
  <c r="D20" i="31"/>
  <c r="H17" i="31"/>
  <c r="H21" i="31"/>
  <c r="B15" i="31"/>
  <c r="L6" i="31"/>
  <c r="D6" i="31"/>
  <c r="L5" i="31"/>
  <c r="D5" i="31"/>
  <c r="D67" i="31"/>
  <c r="E67" i="31"/>
  <c r="L4" i="31"/>
  <c r="D4" i="31"/>
  <c r="L3" i="31"/>
  <c r="D3" i="31"/>
  <c r="L2" i="31"/>
  <c r="D2" i="31"/>
  <c r="B226" i="30"/>
  <c r="B209" i="30"/>
  <c r="B216" i="30"/>
  <c r="C162" i="30"/>
  <c r="A161" i="30"/>
  <c r="A163" i="30"/>
  <c r="D163" i="30"/>
  <c r="H160" i="30"/>
  <c r="B158" i="30"/>
  <c r="D158" i="30"/>
  <c r="K162" i="30"/>
  <c r="K163" i="30"/>
  <c r="G7" i="22"/>
  <c r="G3" i="22"/>
  <c r="G2" i="22"/>
  <c r="D7" i="22"/>
  <c r="D3" i="22"/>
  <c r="D2" i="22"/>
  <c r="J10" i="22"/>
  <c r="J11" i="22"/>
  <c r="G10" i="22"/>
  <c r="D10" i="22"/>
  <c r="U3" i="22"/>
  <c r="D1895" i="17"/>
  <c r="N4" i="22"/>
  <c r="N5" i="22"/>
  <c r="N6" i="22"/>
  <c r="I1952" i="17"/>
  <c r="C1891" i="17"/>
  <c r="C1950" i="17"/>
  <c r="H7" i="22"/>
  <c r="H3" i="22"/>
  <c r="H2" i="22"/>
  <c r="H4" i="22"/>
  <c r="G6" i="22"/>
  <c r="B8" i="22"/>
  <c r="B4" i="22"/>
  <c r="E7" i="22"/>
  <c r="E3" i="22"/>
  <c r="E2" i="22"/>
  <c r="S4" i="6"/>
  <c r="G6" i="9"/>
  <c r="G9" i="9"/>
  <c r="B14" i="14"/>
  <c r="A14" i="14"/>
  <c r="C2" i="9"/>
  <c r="D2" i="9"/>
  <c r="A3" i="9"/>
  <c r="E2" i="9"/>
  <c r="C3" i="9"/>
  <c r="D3" i="9"/>
  <c r="A4" i="9"/>
  <c r="E3" i="9"/>
  <c r="I2" i="9"/>
  <c r="G3" i="9"/>
  <c r="J2" i="9"/>
  <c r="K2" i="9"/>
  <c r="B12" i="14"/>
  <c r="B13" i="14"/>
  <c r="A12" i="14"/>
  <c r="A13" i="14"/>
  <c r="E30" i="14"/>
  <c r="E29" i="14"/>
  <c r="S7" i="6"/>
  <c r="S8" i="6"/>
  <c r="B11" i="14"/>
  <c r="A11" i="14"/>
  <c r="B2" i="14"/>
  <c r="B9" i="14"/>
  <c r="C4" i="14"/>
  <c r="F2" i="6"/>
  <c r="G2" i="6"/>
  <c r="E3" i="6"/>
  <c r="F3" i="6"/>
  <c r="G3" i="6"/>
  <c r="E4" i="6"/>
  <c r="F4" i="6"/>
  <c r="G4" i="6"/>
  <c r="E5" i="6"/>
  <c r="F5" i="6"/>
  <c r="G5" i="6"/>
  <c r="E6" i="6"/>
  <c r="F6" i="6"/>
  <c r="G6" i="6"/>
  <c r="E7" i="6"/>
  <c r="F7" i="6"/>
  <c r="G7" i="6"/>
  <c r="E8" i="6"/>
  <c r="F8" i="6"/>
  <c r="G8" i="6"/>
  <c r="E9" i="6"/>
  <c r="F9" i="6"/>
  <c r="G9" i="6"/>
  <c r="E10" i="6"/>
  <c r="F10" i="6"/>
  <c r="G10" i="6"/>
  <c r="E11" i="6"/>
  <c r="F11" i="6"/>
  <c r="L11" i="6"/>
  <c r="G11" i="6"/>
  <c r="B2" i="6"/>
  <c r="C2" i="6"/>
  <c r="B3" i="6"/>
  <c r="H2" i="6"/>
  <c r="L2" i="6"/>
  <c r="S5" i="6"/>
  <c r="T5" i="6"/>
  <c r="M2" i="6"/>
  <c r="N2" i="6"/>
  <c r="D3" i="6"/>
  <c r="C3" i="6"/>
  <c r="B4" i="6"/>
  <c r="C4" i="6"/>
  <c r="H3" i="6"/>
  <c r="B5" i="6"/>
  <c r="L3" i="6"/>
  <c r="D4" i="6"/>
  <c r="M3" i="6"/>
  <c r="N3" i="6"/>
  <c r="H4" i="6"/>
  <c r="B6" i="6"/>
  <c r="C5" i="6"/>
  <c r="I3" i="6"/>
  <c r="J3" i="6"/>
  <c r="K3" i="6"/>
  <c r="H5" i="6"/>
  <c r="B7" i="6"/>
  <c r="C6" i="6"/>
  <c r="C7" i="6"/>
  <c r="H6" i="6"/>
  <c r="B8" i="6"/>
  <c r="M4" i="6"/>
  <c r="N4" i="6"/>
  <c r="L4" i="6"/>
  <c r="C8" i="6"/>
  <c r="H7" i="6"/>
  <c r="B9" i="6"/>
  <c r="I4" i="6"/>
  <c r="J4" i="6"/>
  <c r="K4" i="6"/>
  <c r="D5" i="6"/>
  <c r="H8" i="6"/>
  <c r="B10" i="6"/>
  <c r="C9" i="6"/>
  <c r="L5" i="6"/>
  <c r="D6" i="6"/>
  <c r="M5" i="6"/>
  <c r="N5" i="6"/>
  <c r="H9" i="6"/>
  <c r="B11" i="6"/>
  <c r="C10" i="6"/>
  <c r="I5" i="6"/>
  <c r="J5" i="6"/>
  <c r="K5" i="6"/>
  <c r="C11" i="6"/>
  <c r="H10" i="6"/>
  <c r="B12" i="6"/>
  <c r="M6" i="6"/>
  <c r="N6" i="6"/>
  <c r="D7" i="6"/>
  <c r="L6" i="6"/>
  <c r="C12" i="6"/>
  <c r="H11" i="6"/>
  <c r="B13" i="6"/>
  <c r="I6" i="6"/>
  <c r="J6" i="6"/>
  <c r="K6" i="6"/>
  <c r="H12" i="6"/>
  <c r="B14" i="6"/>
  <c r="C13" i="6"/>
  <c r="L7" i="6"/>
  <c r="D8" i="6"/>
  <c r="M7" i="6"/>
  <c r="N7" i="6"/>
  <c r="H13" i="6"/>
  <c r="B15" i="6"/>
  <c r="C14" i="6"/>
  <c r="I7" i="6"/>
  <c r="J7" i="6"/>
  <c r="K7" i="6"/>
  <c r="C15" i="6"/>
  <c r="H14" i="6"/>
  <c r="B16" i="6"/>
  <c r="D9" i="6"/>
  <c r="L8" i="6"/>
  <c r="M8" i="6"/>
  <c r="N8" i="6"/>
  <c r="C16" i="6"/>
  <c r="H15" i="6"/>
  <c r="B17" i="6"/>
  <c r="I8" i="6"/>
  <c r="J8" i="6"/>
  <c r="K8" i="6"/>
  <c r="H16" i="6"/>
  <c r="B18" i="6"/>
  <c r="C17" i="6"/>
  <c r="L9" i="6"/>
  <c r="M9" i="6"/>
  <c r="N9" i="6"/>
  <c r="H17" i="6"/>
  <c r="B19" i="6"/>
  <c r="C18" i="6"/>
  <c r="I9" i="6"/>
  <c r="J9" i="6"/>
  <c r="K9" i="6"/>
  <c r="D10" i="6"/>
  <c r="C19" i="6"/>
  <c r="H18" i="6"/>
  <c r="B20" i="6"/>
  <c r="M10" i="6"/>
  <c r="N10" i="6"/>
  <c r="D11" i="6"/>
  <c r="L10" i="6"/>
  <c r="C20" i="6"/>
  <c r="H19" i="6"/>
  <c r="B21" i="6"/>
  <c r="I10" i="6"/>
  <c r="J10" i="6"/>
  <c r="K10" i="6"/>
  <c r="H20" i="6"/>
  <c r="B22" i="6"/>
  <c r="C21" i="6"/>
  <c r="M11" i="6"/>
  <c r="N11" i="6"/>
  <c r="H21" i="6"/>
  <c r="B23" i="6"/>
  <c r="C22" i="6"/>
  <c r="I11" i="6"/>
  <c r="J11" i="6"/>
  <c r="K11" i="6"/>
  <c r="E12" i="6"/>
  <c r="F12" i="6"/>
  <c r="D12" i="6"/>
  <c r="C23" i="6"/>
  <c r="H22" i="6"/>
  <c r="B24" i="6"/>
  <c r="G12" i="6"/>
  <c r="M12" i="6"/>
  <c r="N12" i="6"/>
  <c r="L12" i="6"/>
  <c r="C24" i="6"/>
  <c r="H23" i="6"/>
  <c r="B25" i="6"/>
  <c r="I12" i="6"/>
  <c r="J12" i="6"/>
  <c r="K12" i="6"/>
  <c r="E13" i="6"/>
  <c r="F13" i="6"/>
  <c r="D13" i="6"/>
  <c r="H24" i="6"/>
  <c r="B26" i="6"/>
  <c r="C25" i="6"/>
  <c r="G13" i="6"/>
  <c r="D14" i="6"/>
  <c r="L13" i="6"/>
  <c r="M13" i="6"/>
  <c r="N13" i="6"/>
  <c r="H25" i="6"/>
  <c r="B27" i="6"/>
  <c r="C26" i="6"/>
  <c r="E14" i="6"/>
  <c r="F14" i="6"/>
  <c r="I13" i="6"/>
  <c r="J13" i="6"/>
  <c r="K13" i="6"/>
  <c r="C27" i="6"/>
  <c r="H26" i="6"/>
  <c r="B28" i="6"/>
  <c r="M14" i="6"/>
  <c r="N14" i="6"/>
  <c r="G14" i="6"/>
  <c r="D15" i="6"/>
  <c r="L14" i="6"/>
  <c r="C28" i="6"/>
  <c r="H27" i="6"/>
  <c r="B29" i="6"/>
  <c r="I14" i="6"/>
  <c r="J14" i="6"/>
  <c r="K14" i="6"/>
  <c r="E15" i="6"/>
  <c r="F15" i="6"/>
  <c r="H28" i="6"/>
  <c r="B30" i="6"/>
  <c r="C29" i="6"/>
  <c r="L15" i="6"/>
  <c r="G15" i="6"/>
  <c r="D16" i="6"/>
  <c r="M15" i="6"/>
  <c r="N15" i="6"/>
  <c r="H29" i="6"/>
  <c r="B31" i="6"/>
  <c r="C30" i="6"/>
  <c r="I15" i="6"/>
  <c r="J15" i="6"/>
  <c r="K15" i="6"/>
  <c r="E16" i="6"/>
  <c r="F16" i="6"/>
  <c r="C31" i="6"/>
  <c r="H30" i="6"/>
  <c r="B32" i="6"/>
  <c r="G16" i="6"/>
  <c r="L16" i="6"/>
  <c r="M16" i="6"/>
  <c r="N16" i="6"/>
  <c r="C32" i="6"/>
  <c r="H31" i="6"/>
  <c r="B33" i="6"/>
  <c r="I16" i="6"/>
  <c r="J16" i="6"/>
  <c r="K16" i="6"/>
  <c r="E17" i="6"/>
  <c r="F17" i="6"/>
  <c r="D17" i="6"/>
  <c r="H32" i="6"/>
  <c r="B34" i="6"/>
  <c r="C33" i="6"/>
  <c r="G17" i="6"/>
  <c r="L17" i="6"/>
  <c r="D18" i="6"/>
  <c r="M17" i="6"/>
  <c r="N17" i="6"/>
  <c r="H33" i="6"/>
  <c r="B35" i="6"/>
  <c r="C34" i="6"/>
  <c r="E18" i="6"/>
  <c r="F18" i="6"/>
  <c r="I17" i="6"/>
  <c r="J17" i="6"/>
  <c r="K17" i="6"/>
  <c r="C35" i="6"/>
  <c r="H34" i="6"/>
  <c r="B36" i="6"/>
  <c r="M18" i="6"/>
  <c r="N18" i="6"/>
  <c r="G18" i="6"/>
  <c r="D19" i="6"/>
  <c r="L18" i="6"/>
  <c r="C36" i="6"/>
  <c r="H35" i="6"/>
  <c r="B37" i="6"/>
  <c r="I18" i="6"/>
  <c r="J18" i="6"/>
  <c r="K18" i="6"/>
  <c r="E19" i="6"/>
  <c r="F19" i="6"/>
  <c r="H36" i="6"/>
  <c r="C37" i="6"/>
  <c r="G19" i="6"/>
  <c r="D20" i="6"/>
  <c r="L19" i="6"/>
  <c r="M19" i="6"/>
  <c r="N19" i="6"/>
  <c r="I19" i="6"/>
  <c r="J19" i="6"/>
  <c r="K19" i="6"/>
  <c r="E20" i="6"/>
  <c r="F20" i="6"/>
  <c r="M20" i="6"/>
  <c r="N20" i="6"/>
  <c r="L20" i="6"/>
  <c r="G20" i="6"/>
  <c r="E21" i="6"/>
  <c r="F21" i="6"/>
  <c r="I20" i="6"/>
  <c r="J20" i="6"/>
  <c r="K20" i="6"/>
  <c r="D21" i="6"/>
  <c r="M21" i="6"/>
  <c r="N21" i="6"/>
  <c r="G21" i="6"/>
  <c r="L21" i="6"/>
  <c r="I21" i="6"/>
  <c r="J21" i="6"/>
  <c r="K21" i="6"/>
  <c r="E22" i="6"/>
  <c r="F22" i="6"/>
  <c r="D22" i="6"/>
  <c r="L22" i="6"/>
  <c r="M22" i="6"/>
  <c r="N22" i="6"/>
  <c r="G22" i="6"/>
  <c r="D23" i="6"/>
  <c r="I22" i="6"/>
  <c r="J22" i="6"/>
  <c r="K22" i="6"/>
  <c r="E23" i="6"/>
  <c r="F23" i="6"/>
  <c r="G23" i="6"/>
  <c r="D24" i="6"/>
  <c r="L23" i="6"/>
  <c r="M23" i="6"/>
  <c r="N23" i="6"/>
  <c r="I23" i="6"/>
  <c r="J23" i="6"/>
  <c r="K23" i="6"/>
  <c r="E24" i="6"/>
  <c r="F24" i="6"/>
  <c r="G24" i="6"/>
  <c r="D25" i="6"/>
  <c r="L24" i="6"/>
  <c r="M24" i="6"/>
  <c r="N24" i="6"/>
  <c r="E25" i="6"/>
  <c r="F25" i="6"/>
  <c r="I24" i="6"/>
  <c r="J24" i="6"/>
  <c r="K24" i="6"/>
  <c r="M25" i="6"/>
  <c r="N25" i="6"/>
  <c r="L25" i="6"/>
  <c r="G25" i="6"/>
  <c r="I25" i="6"/>
  <c r="J25" i="6"/>
  <c r="K25" i="6"/>
  <c r="E26" i="6"/>
  <c r="F26" i="6"/>
  <c r="D26" i="6"/>
  <c r="L26" i="6"/>
  <c r="G26" i="6"/>
  <c r="M26" i="6"/>
  <c r="N26" i="6"/>
  <c r="E27" i="6"/>
  <c r="F27" i="6"/>
  <c r="I26" i="6"/>
  <c r="J26" i="6"/>
  <c r="K26" i="6"/>
  <c r="D27" i="6"/>
  <c r="G27" i="6"/>
  <c r="D28" i="6"/>
  <c r="L27" i="6"/>
  <c r="M27" i="6"/>
  <c r="N27" i="6"/>
  <c r="E28" i="6"/>
  <c r="F28" i="6"/>
  <c r="I27" i="6"/>
  <c r="J27" i="6"/>
  <c r="K27" i="6"/>
  <c r="M28" i="6"/>
  <c r="N28" i="6"/>
  <c r="L28" i="6"/>
  <c r="G28" i="6"/>
  <c r="D29" i="6"/>
  <c r="E29" i="6"/>
  <c r="F29" i="6"/>
  <c r="I28" i="6"/>
  <c r="J28" i="6"/>
  <c r="K28" i="6"/>
  <c r="M29" i="6"/>
  <c r="N29" i="6"/>
  <c r="G29" i="6"/>
  <c r="L29" i="6"/>
  <c r="I29" i="6"/>
  <c r="J29" i="6"/>
  <c r="K29" i="6"/>
  <c r="E30" i="6"/>
  <c r="F30" i="6"/>
  <c r="D30" i="6"/>
  <c r="L30" i="6"/>
  <c r="M30" i="6"/>
  <c r="N30" i="6"/>
  <c r="G30" i="6"/>
  <c r="I30" i="6"/>
  <c r="J30" i="6"/>
  <c r="K30" i="6"/>
  <c r="E31" i="6"/>
  <c r="F31" i="6"/>
  <c r="D31" i="6"/>
  <c r="G31" i="6"/>
  <c r="D32" i="6"/>
  <c r="L31" i="6"/>
  <c r="M31" i="6"/>
  <c r="N31" i="6"/>
  <c r="I31" i="6"/>
  <c r="J31" i="6"/>
  <c r="K31" i="6"/>
  <c r="E32" i="6"/>
  <c r="F32" i="6"/>
  <c r="G32" i="6"/>
  <c r="D33" i="6"/>
  <c r="L32" i="6"/>
  <c r="M32" i="6"/>
  <c r="N32" i="6"/>
  <c r="E33" i="6"/>
  <c r="F33" i="6"/>
  <c r="I32" i="6"/>
  <c r="J32" i="6"/>
  <c r="K32" i="6"/>
  <c r="M33" i="6"/>
  <c r="N33" i="6"/>
  <c r="L33" i="6"/>
  <c r="G33" i="6"/>
  <c r="I33" i="6"/>
  <c r="J33" i="6"/>
  <c r="K33" i="6"/>
  <c r="E34" i="6"/>
  <c r="F34" i="6"/>
  <c r="D34" i="6"/>
  <c r="L34" i="6"/>
  <c r="G34" i="6"/>
  <c r="M34" i="6"/>
  <c r="N34" i="6"/>
  <c r="I34" i="6"/>
  <c r="J34" i="6"/>
  <c r="K34" i="6"/>
  <c r="E35" i="6"/>
  <c r="F35" i="6"/>
  <c r="D35" i="6"/>
  <c r="G35" i="6"/>
  <c r="L35" i="6"/>
  <c r="M35" i="6"/>
  <c r="N35" i="6"/>
  <c r="D36" i="6"/>
  <c r="E36" i="6"/>
  <c r="F36" i="6"/>
  <c r="I35" i="6"/>
  <c r="J35" i="6"/>
  <c r="K35" i="6"/>
  <c r="L36" i="6"/>
  <c r="M36" i="6"/>
  <c r="N36" i="6"/>
  <c r="G36" i="6"/>
  <c r="I36" i="6"/>
  <c r="J36" i="6"/>
  <c r="K36" i="6"/>
  <c r="E37" i="6"/>
  <c r="F37" i="6"/>
  <c r="D37" i="6"/>
  <c r="G37" i="6"/>
  <c r="L37" i="6"/>
  <c r="M37" i="6"/>
  <c r="N37" i="6"/>
  <c r="J37" i="6"/>
  <c r="K37" i="6"/>
  <c r="P18" i="6"/>
  <c r="C5" i="14"/>
  <c r="C6" i="14"/>
  <c r="C7" i="14"/>
  <c r="O2" i="6"/>
  <c r="P2" i="6"/>
  <c r="I2" i="6"/>
  <c r="J2" i="6"/>
  <c r="K2" i="6"/>
  <c r="C2" i="14"/>
  <c r="C4" i="9"/>
  <c r="E4" i="9"/>
  <c r="I3" i="9"/>
  <c r="G4" i="9"/>
  <c r="I4" i="9"/>
  <c r="G5" i="9"/>
  <c r="A5" i="9"/>
  <c r="D4" i="9"/>
  <c r="C5" i="9"/>
  <c r="J4" i="9"/>
  <c r="J3" i="9"/>
  <c r="K3" i="9"/>
  <c r="K4" i="9"/>
  <c r="E5" i="9"/>
  <c r="D5" i="9"/>
  <c r="A6" i="9"/>
  <c r="I5" i="9"/>
  <c r="C6" i="9"/>
  <c r="E6" i="9"/>
  <c r="D2" i="14"/>
  <c r="D6" i="9"/>
  <c r="A7" i="9"/>
  <c r="J5" i="9"/>
  <c r="K5" i="9"/>
  <c r="C7" i="9"/>
  <c r="D4" i="14"/>
  <c r="D11" i="14"/>
  <c r="D5" i="14"/>
  <c r="D12" i="14"/>
  <c r="C12" i="14"/>
  <c r="E12" i="14"/>
  <c r="F12" i="14"/>
  <c r="D7" i="14"/>
  <c r="D14" i="14"/>
  <c r="C14" i="14"/>
  <c r="E14" i="14"/>
  <c r="F14" i="14"/>
  <c r="D6" i="14"/>
  <c r="D13" i="14"/>
  <c r="C13" i="14"/>
  <c r="E13" i="14"/>
  <c r="F13" i="14"/>
  <c r="E2" i="14"/>
  <c r="D9" i="14"/>
  <c r="E7" i="9"/>
  <c r="D7" i="9"/>
  <c r="A8" i="9"/>
  <c r="I6" i="9"/>
  <c r="G7" i="9"/>
  <c r="K6" i="9"/>
  <c r="C8" i="9"/>
  <c r="E8" i="9"/>
  <c r="C11" i="14"/>
  <c r="E11" i="14"/>
  <c r="F11" i="14"/>
  <c r="D8" i="9"/>
  <c r="A9" i="9"/>
  <c r="J6" i="9"/>
  <c r="C9" i="9"/>
  <c r="E9" i="9"/>
  <c r="D9" i="9"/>
  <c r="A10" i="9"/>
  <c r="I7" i="9"/>
  <c r="G8" i="9"/>
  <c r="C10" i="9"/>
  <c r="E10" i="9"/>
  <c r="D10" i="9"/>
  <c r="A11" i="9"/>
  <c r="C11" i="9"/>
  <c r="K7" i="9"/>
  <c r="J7" i="9"/>
  <c r="E11" i="9"/>
  <c r="D11" i="9"/>
  <c r="I8" i="9"/>
  <c r="K8" i="9"/>
  <c r="J8" i="9"/>
  <c r="I9" i="9"/>
  <c r="G10" i="9"/>
  <c r="K9" i="9"/>
  <c r="J9" i="9"/>
  <c r="I10" i="9"/>
  <c r="G11" i="9"/>
  <c r="K10" i="9"/>
  <c r="J10" i="9"/>
  <c r="I11" i="9"/>
  <c r="J11" i="9"/>
  <c r="K11" i="9"/>
  <c r="J1898" i="17"/>
  <c r="H6" i="22"/>
  <c r="H8" i="22"/>
  <c r="E4" i="22"/>
  <c r="D6" i="22"/>
  <c r="E6" i="22"/>
  <c r="E8" i="22"/>
  <c r="J4" i="22"/>
  <c r="J5" i="22"/>
  <c r="E119" i="30"/>
  <c r="E118" i="30"/>
  <c r="E117" i="30"/>
  <c r="E116" i="30"/>
  <c r="E115" i="30"/>
  <c r="E114" i="30"/>
  <c r="E113" i="30"/>
  <c r="E112" i="30"/>
  <c r="E111" i="30"/>
  <c r="E110" i="30"/>
  <c r="E109" i="30"/>
  <c r="E12" i="31"/>
  <c r="E11" i="31"/>
  <c r="E108" i="30"/>
  <c r="E107" i="30"/>
  <c r="E106" i="30"/>
  <c r="E105" i="30"/>
  <c r="E104" i="30"/>
  <c r="E103" i="30"/>
  <c r="E102" i="30"/>
  <c r="E101" i="30"/>
  <c r="D210" i="30"/>
  <c r="E210" i="30"/>
  <c r="D198" i="32"/>
  <c r="E198" i="32"/>
  <c r="E100" i="30"/>
  <c r="E10" i="31"/>
  <c r="E9" i="31"/>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8" i="31"/>
  <c r="E7" i="31"/>
  <c r="E68" i="30"/>
  <c r="E67" i="30"/>
  <c r="E66" i="30"/>
  <c r="E65" i="30"/>
  <c r="E64" i="30"/>
  <c r="E63"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D197" i="32"/>
  <c r="D174" i="32"/>
  <c r="E175" i="32"/>
  <c r="D146" i="32"/>
  <c r="L153" i="32"/>
  <c r="I153" i="32"/>
  <c r="H153" i="32"/>
  <c r="J152" i="32"/>
  <c r="H149" i="32"/>
  <c r="I149" i="32"/>
  <c r="C149" i="32"/>
  <c r="E149" i="32"/>
  <c r="D66" i="31"/>
  <c r="D43" i="31"/>
  <c r="E44" i="31"/>
  <c r="D15" i="31"/>
  <c r="E6" i="31"/>
  <c r="E5" i="31"/>
  <c r="E4" i="31"/>
  <c r="E3" i="31"/>
  <c r="F2" i="31"/>
  <c r="F3" i="31"/>
  <c r="F4" i="31"/>
  <c r="F5" i="31"/>
  <c r="F6" i="31"/>
  <c r="F7" i="31"/>
  <c r="F8" i="31"/>
  <c r="F9" i="31"/>
  <c r="F10" i="31"/>
  <c r="F11" i="31"/>
  <c r="F12" i="31"/>
  <c r="E2" i="31"/>
  <c r="O2" i="31"/>
  <c r="P2" i="31"/>
  <c r="Q2" i="31"/>
  <c r="M2" i="31"/>
  <c r="N2" i="31"/>
  <c r="O3" i="31"/>
  <c r="P3" i="31"/>
  <c r="Q3" i="31"/>
  <c r="M3" i="31"/>
  <c r="N3" i="31"/>
  <c r="O4" i="31"/>
  <c r="P4" i="31"/>
  <c r="Q4" i="31"/>
  <c r="M4" i="31"/>
  <c r="N4" i="31"/>
  <c r="O5" i="31"/>
  <c r="P5" i="31"/>
  <c r="Q5" i="31"/>
  <c r="M5" i="31"/>
  <c r="N5" i="31"/>
  <c r="O6" i="31"/>
  <c r="P6" i="31"/>
  <c r="Q6" i="31"/>
  <c r="M6" i="31"/>
  <c r="N6" i="31"/>
  <c r="L22" i="31"/>
  <c r="I22" i="31"/>
  <c r="H22" i="31"/>
  <c r="J21" i="31"/>
  <c r="H18" i="31"/>
  <c r="I18" i="31"/>
  <c r="C18" i="31"/>
  <c r="E18" i="31"/>
  <c r="D209"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E7" i="30"/>
  <c r="H162" i="30"/>
  <c r="H163" i="30"/>
  <c r="E6" i="30"/>
  <c r="E5" i="30"/>
  <c r="E4" i="30"/>
  <c r="E3" i="30"/>
  <c r="E2" i="30"/>
  <c r="L165" i="30"/>
  <c r="I165" i="30"/>
  <c r="H164" i="30"/>
  <c r="A153" i="32"/>
  <c r="K150" i="32"/>
  <c r="K151" i="32"/>
  <c r="K152" i="32"/>
  <c r="J146" i="32"/>
  <c r="I146" i="32"/>
  <c r="H146" i="32"/>
  <c r="D204" i="32"/>
  <c r="E204" i="32"/>
  <c r="E197" i="32"/>
  <c r="A22" i="31"/>
  <c r="K19" i="31"/>
  <c r="K20" i="31"/>
  <c r="K21" i="31"/>
  <c r="J15" i="31"/>
  <c r="I15" i="31"/>
  <c r="H15" i="31"/>
  <c r="D70" i="31"/>
  <c r="E70" i="31"/>
  <c r="E66" i="31"/>
  <c r="H165" i="30"/>
  <c r="J164" i="30"/>
  <c r="H161" i="30"/>
  <c r="I161" i="30"/>
  <c r="C161" i="30"/>
  <c r="E161" i="30"/>
  <c r="A165" i="30"/>
  <c r="K164" i="30"/>
  <c r="J158" i="30"/>
  <c r="I158" i="30"/>
  <c r="H158" i="30"/>
  <c r="D216" i="30"/>
  <c r="E216" i="30"/>
  <c r="E209" i="30"/>
  <c r="F1918" i="17"/>
  <c r="K153" i="32"/>
  <c r="K149" i="32"/>
  <c r="L149" i="32"/>
  <c r="K22" i="31"/>
  <c r="K18" i="31"/>
  <c r="L18" i="31"/>
  <c r="K165" i="30"/>
  <c r="K161" i="30"/>
  <c r="L161" i="30"/>
  <c r="F13" i="31"/>
  <c r="F15" i="31"/>
  <c r="E13" i="31"/>
  <c r="E142" i="30"/>
  <c r="E141" i="30"/>
  <c r="E140" i="30"/>
  <c r="E139" i="30"/>
  <c r="E138" i="30"/>
  <c r="E137" i="30"/>
  <c r="E136" i="30"/>
  <c r="E135" i="30"/>
  <c r="E134" i="30"/>
  <c r="E133" i="30"/>
  <c r="E132" i="30"/>
  <c r="E131" i="30"/>
  <c r="E130" i="30"/>
  <c r="E129" i="30"/>
  <c r="E128" i="30"/>
  <c r="E127" i="30"/>
  <c r="F146" i="32"/>
  <c r="E144" i="32"/>
  <c r="F156" i="30"/>
  <c r="E156" i="30"/>
  <c r="E143" i="32"/>
  <c r="F155" i="30"/>
  <c r="E155" i="30"/>
  <c r="E142" i="32"/>
  <c r="E141" i="32"/>
  <c r="E140" i="32"/>
  <c r="E154" i="30"/>
  <c r="E153" i="30"/>
  <c r="E152" i="30"/>
  <c r="E139" i="32"/>
  <c r="E151" i="30"/>
  <c r="E138" i="32"/>
  <c r="E150" i="30"/>
  <c r="E137" i="32"/>
  <c r="E149" i="30"/>
  <c r="F158" i="30"/>
  <c r="F1894" i="17"/>
  <c r="L139" i="17"/>
  <c r="E1919" i="17"/>
  <c r="J162" i="17"/>
  <c r="F1919" i="17"/>
  <c r="L258" i="17"/>
  <c r="K238" i="17"/>
  <c r="J238" i="17"/>
  <c r="J362" i="17"/>
  <c r="E1921" i="17"/>
  <c r="F1921" i="17"/>
  <c r="J417" i="17"/>
  <c r="E1922" i="17"/>
  <c r="F1922" i="17"/>
  <c r="L500" i="17"/>
  <c r="J500" i="17"/>
  <c r="E1923" i="17"/>
  <c r="F1923" i="17"/>
  <c r="F1924" i="17"/>
  <c r="C1949" i="17"/>
  <c r="K639" i="17"/>
  <c r="L639" i="17"/>
  <c r="J691" i="17"/>
  <c r="E1925" i="17"/>
  <c r="F1925" i="17"/>
  <c r="J756" i="17"/>
  <c r="E1926" i="17"/>
  <c r="F1926" i="17"/>
  <c r="E1920" i="17"/>
  <c r="F1920" i="17"/>
  <c r="L802" i="17"/>
  <c r="E1927" i="17"/>
  <c r="J793" i="17"/>
  <c r="F1927" i="17"/>
  <c r="L784" i="17"/>
  <c r="J850" i="17"/>
  <c r="L894" i="17"/>
  <c r="K912" i="17"/>
  <c r="J929" i="17"/>
  <c r="E1929" i="17"/>
  <c r="F1929" i="17"/>
  <c r="J993" i="17"/>
  <c r="E1930" i="17"/>
  <c r="F1930" i="17"/>
  <c r="J1040" i="17"/>
  <c r="E1931" i="17"/>
  <c r="F1931" i="17"/>
  <c r="L1103" i="17"/>
  <c r="J1103" i="17"/>
  <c r="E1932" i="17"/>
  <c r="F1932" i="17"/>
  <c r="L1122" i="17"/>
  <c r="L1168" i="17"/>
  <c r="E1933" i="17"/>
  <c r="F1933" i="17"/>
  <c r="J1183" i="17"/>
  <c r="E39" i="38"/>
  <c r="F7" i="38"/>
  <c r="F6" i="38"/>
  <c r="F5" i="38"/>
  <c r="F4" i="38"/>
  <c r="F3" i="38"/>
  <c r="G2" i="38"/>
  <c r="G3" i="38"/>
  <c r="G4" i="38"/>
  <c r="G5" i="38"/>
  <c r="G6" i="38"/>
  <c r="G7" i="38"/>
  <c r="G8" i="38"/>
  <c r="F2" i="38"/>
  <c r="E40" i="38"/>
  <c r="F40" i="38"/>
  <c r="E41" i="38"/>
  <c r="F41" i="38"/>
  <c r="E42" i="38"/>
  <c r="E43" i="38"/>
  <c r="F43" i="38"/>
  <c r="E44" i="38"/>
  <c r="F44" i="38"/>
  <c r="C45" i="38"/>
  <c r="B15" i="38"/>
  <c r="B17" i="38"/>
  <c r="E17" i="38"/>
  <c r="C12" i="38"/>
  <c r="J19" i="38"/>
  <c r="C46" i="38"/>
  <c r="E47" i="38"/>
  <c r="F47" i="38"/>
  <c r="E48" i="38"/>
  <c r="F48" i="38"/>
  <c r="E49" i="38"/>
  <c r="F49" i="38"/>
  <c r="E50" i="38"/>
  <c r="F50" i="38"/>
  <c r="E51" i="38"/>
  <c r="F51" i="38"/>
  <c r="E52" i="38"/>
  <c r="F52" i="38"/>
  <c r="E53" i="38"/>
  <c r="F53" i="38"/>
  <c r="E54" i="38"/>
  <c r="F54" i="38"/>
  <c r="K10" i="38"/>
  <c r="E55" i="38"/>
  <c r="F55" i="38"/>
  <c r="J10" i="38"/>
  <c r="C58" i="38"/>
  <c r="C59" i="38"/>
  <c r="E46" i="38"/>
  <c r="F46" i="38"/>
  <c r="E45" i="38"/>
  <c r="F45" i="38"/>
  <c r="E12" i="38"/>
  <c r="E59" i="38"/>
  <c r="F59" i="38"/>
  <c r="F42" i="38"/>
  <c r="I16" i="38"/>
  <c r="I17" i="38"/>
  <c r="I18" i="38"/>
  <c r="E58" i="38"/>
  <c r="F58" i="38"/>
  <c r="F39" i="38"/>
  <c r="J20" i="38"/>
  <c r="I20" i="38"/>
  <c r="I19" i="38"/>
  <c r="J15" i="38"/>
  <c r="I15" i="38"/>
  <c r="B19" i="38"/>
  <c r="K12" i="38"/>
  <c r="J12" i="38"/>
  <c r="I12" i="38"/>
  <c r="G12" i="38"/>
  <c r="E1891" i="17"/>
  <c r="L1227" i="17"/>
  <c r="B1898" i="17"/>
  <c r="L1238" i="17"/>
  <c r="L1266" i="17"/>
  <c r="E1934" i="17"/>
  <c r="F1934" i="17"/>
  <c r="L1284" i="17"/>
  <c r="J1266" i="17"/>
  <c r="L1310" i="17"/>
  <c r="L1295" i="17"/>
  <c r="L1339" i="17"/>
  <c r="L1354" i="17"/>
  <c r="J1354" i="17"/>
  <c r="E1935" i="17"/>
  <c r="F1935" i="17"/>
  <c r="L1387" i="17"/>
  <c r="L1555" i="17"/>
  <c r="J1506" i="17"/>
  <c r="E1937" i="17"/>
  <c r="L1523" i="17"/>
  <c r="L1466" i="17"/>
  <c r="J1413" i="17"/>
  <c r="E1936" i="17"/>
  <c r="F1936" i="17"/>
  <c r="L1407" i="17"/>
  <c r="F1937" i="17"/>
  <c r="L1628" i="17"/>
  <c r="E1938" i="17"/>
  <c r="F1938" i="17"/>
  <c r="L1618" i="17"/>
  <c r="L1589" i="17"/>
  <c r="I1704" i="17"/>
  <c r="L1704" i="17"/>
  <c r="I1775" i="17"/>
  <c r="L1775" i="17"/>
  <c r="I1771" i="17"/>
  <c r="L1771" i="17"/>
  <c r="E1940" i="17"/>
  <c r="J1758" i="17"/>
  <c r="I1763" i="17"/>
  <c r="L1763" i="17"/>
  <c r="I1758" i="17"/>
  <c r="L1758" i="17"/>
  <c r="E1939" i="17"/>
  <c r="F1939" i="17"/>
  <c r="J1730" i="17"/>
  <c r="I1734" i="17"/>
  <c r="F1940" i="17"/>
  <c r="L1734" i="17"/>
  <c r="F1889" i="17" l="1"/>
  <c r="F1888" i="17"/>
  <c r="P1319" i="33"/>
  <c r="M1319" i="33"/>
  <c r="L1325" i="33"/>
  <c r="K1325" i="33"/>
  <c r="J1319" i="33"/>
  <c r="F1319" i="33"/>
  <c r="B14" i="36"/>
  <c r="B18" i="36"/>
  <c r="B16" i="36"/>
  <c r="B15" i="36"/>
  <c r="B17" i="36"/>
  <c r="B6" i="36"/>
  <c r="C10" i="36"/>
  <c r="C9" i="36"/>
  <c r="C8" i="36"/>
  <c r="C7" i="36"/>
  <c r="B7" i="36"/>
  <c r="B10" i="36"/>
  <c r="B8" i="36"/>
  <c r="B9" i="36"/>
  <c r="F1887" i="17"/>
  <c r="F1886" i="17"/>
  <c r="F1885" i="17"/>
  <c r="F1884" i="17"/>
  <c r="J1882" i="17"/>
  <c r="E1945" i="17"/>
  <c r="E1946" i="17"/>
  <c r="F1946" i="17" s="1"/>
  <c r="F1883" i="17"/>
  <c r="I1883" i="17"/>
  <c r="L1883" i="17" s="1"/>
  <c r="J1889" i="17"/>
  <c r="I1882" i="17"/>
  <c r="L1882" i="17" s="1"/>
  <c r="F1882" i="17"/>
  <c r="F1881" i="17"/>
  <c r="F1880" i="17"/>
  <c r="F1879" i="17"/>
  <c r="I1878" i="17"/>
  <c r="L1878" i="17" s="1"/>
  <c r="F1878" i="17"/>
  <c r="F1877" i="17"/>
  <c r="F1876" i="17"/>
  <c r="I1875" i="17"/>
  <c r="L1875" i="17" s="1"/>
  <c r="F1875" i="17"/>
  <c r="F1874" i="17"/>
  <c r="F1873" i="17"/>
  <c r="F1872" i="17"/>
  <c r="F1871" i="17"/>
  <c r="E1944" i="17"/>
  <c r="F1945" i="17"/>
  <c r="E1928" i="17"/>
  <c r="F1928" i="17" s="1"/>
  <c r="F1870" i="17"/>
  <c r="F1869" i="17"/>
  <c r="I1868" i="17"/>
  <c r="L1868" i="17" s="1"/>
  <c r="F1868" i="17"/>
  <c r="F1867" i="17"/>
  <c r="F1866" i="17"/>
  <c r="F1865" i="17"/>
  <c r="F1864" i="17"/>
  <c r="F1863" i="17"/>
  <c r="F1862" i="17"/>
  <c r="F1861" i="17"/>
  <c r="J1857" i="17"/>
  <c r="E1943" i="17"/>
  <c r="F1860" i="17"/>
  <c r="F1859" i="17"/>
  <c r="F1858" i="17"/>
  <c r="F1944" i="17"/>
  <c r="F1857" i="17"/>
  <c r="F1856" i="17"/>
  <c r="F1855" i="17"/>
  <c r="F1854" i="17"/>
  <c r="F1853" i="17"/>
  <c r="F1852" i="17"/>
  <c r="F1851" i="17"/>
  <c r="F1850" i="17"/>
  <c r="F1849" i="17"/>
  <c r="F1848" i="17"/>
  <c r="F1847" i="17"/>
  <c r="F1846" i="17"/>
  <c r="F1845" i="17"/>
  <c r="E1942" i="17"/>
  <c r="J1830" i="17"/>
  <c r="F1943" i="17"/>
  <c r="F1951" i="17"/>
  <c r="I1830" i="17"/>
  <c r="L1830" i="17" s="1"/>
  <c r="K1821" i="17"/>
  <c r="K1889" i="17"/>
  <c r="I1824" i="17"/>
  <c r="L1824" i="17" s="1"/>
  <c r="J1806" i="17"/>
  <c r="J1891" i="17" s="1"/>
  <c r="E1941" i="17"/>
  <c r="F1941" i="17" s="1"/>
  <c r="C18" i="36"/>
  <c r="D18" i="36" s="1"/>
  <c r="C16" i="36"/>
  <c r="D16" i="36" s="1"/>
  <c r="C15" i="36"/>
  <c r="D15" i="36" s="1"/>
  <c r="C17" i="36"/>
  <c r="D17" i="36" s="1"/>
  <c r="D10" i="36"/>
  <c r="D9" i="36"/>
  <c r="D8" i="36"/>
  <c r="D7" i="36"/>
  <c r="P1320" i="33"/>
  <c r="P1321" i="33" s="1"/>
  <c r="L1320" i="33"/>
  <c r="E1320" i="33"/>
  <c r="K1891" i="17" l="1"/>
  <c r="B1894" i="17"/>
  <c r="B1896" i="17" s="1"/>
  <c r="E1896" i="17" s="1"/>
  <c r="F1942" i="17"/>
  <c r="E1950" i="17"/>
  <c r="F1950" i="17" s="1"/>
  <c r="E1949" i="17"/>
  <c r="F1949" i="17" s="1"/>
  <c r="G1845" i="17"/>
  <c r="G1846" i="17" s="1"/>
  <c r="G1847" i="17" s="1"/>
  <c r="G1848" i="17" s="1"/>
  <c r="G1849" i="17" s="1"/>
  <c r="G1850" i="17" s="1"/>
  <c r="G1851" i="17" s="1"/>
  <c r="G1852" i="17" s="1"/>
  <c r="G1853" i="17" s="1"/>
  <c r="G1854" i="17" s="1"/>
  <c r="G1855" i="17" s="1"/>
  <c r="G1856" i="17" s="1"/>
  <c r="G1857" i="17" s="1"/>
  <c r="G1858" i="17" s="1"/>
  <c r="G1859" i="17" s="1"/>
  <c r="G1860" i="17" s="1"/>
  <c r="G1861" i="17" s="1"/>
  <c r="G1862" i="17" s="1"/>
  <c r="G1863" i="17" s="1"/>
  <c r="G1864" i="17" s="1"/>
  <c r="G1865" i="17" s="1"/>
  <c r="G1866" i="17" s="1"/>
  <c r="G1867" i="17" s="1"/>
  <c r="G1868" i="17" s="1"/>
  <c r="G1869" i="17" s="1"/>
  <c r="G1870" i="17" s="1"/>
  <c r="G1871" i="17" s="1"/>
  <c r="G1872" i="17" s="1"/>
  <c r="G1873" i="17" s="1"/>
  <c r="G1874" i="17" s="1"/>
  <c r="G1875" i="17" s="1"/>
  <c r="G1876" i="17" s="1"/>
  <c r="G1877" i="17" s="1"/>
  <c r="G1878" i="17" s="1"/>
  <c r="G1879" i="17" s="1"/>
  <c r="G1880" i="17" s="1"/>
  <c r="G1881" i="17" s="1"/>
  <c r="G1882" i="17" s="1"/>
  <c r="G1883" i="17" s="1"/>
  <c r="G1884" i="17" s="1"/>
  <c r="G1885" i="17" s="1"/>
  <c r="G1886" i="17" s="1"/>
  <c r="G1887" i="17" s="1"/>
  <c r="G1888" i="17" s="1"/>
  <c r="G1889" i="17" s="1"/>
  <c r="G1891" i="17"/>
  <c r="E1321" i="33"/>
  <c r="E1322" i="33"/>
  <c r="E1323" i="33"/>
  <c r="I1320" i="33"/>
  <c r="G1320" i="33"/>
  <c r="L1321" i="33"/>
  <c r="L1322" i="33"/>
  <c r="L1323" i="33"/>
  <c r="I1322" i="33" l="1"/>
  <c r="I1323" i="33"/>
  <c r="I1321" i="33"/>
  <c r="I1891" i="17" l="1"/>
  <c r="I1895" i="17"/>
  <c r="I1896" i="17" s="1"/>
  <c r="I1897" i="17" s="1"/>
  <c r="J1894" i="17" l="1"/>
  <c r="I1894" i="17" s="1"/>
  <c r="I1899" i="17"/>
  <c r="J1899" i="17"/>
  <c r="I1898"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Franklin Santaella</author>
  </authors>
  <commentList>
    <comment ref="B1940" authorId="0" shapeId="0" xr:uid="{0C223A3B-F616-4A57-B64E-1FBABAF7B392}">
      <text>
        <r>
          <rPr>
            <sz val="11"/>
            <color theme="1"/>
            <rFont val="Calibri"/>
            <family val="2"/>
            <scheme val="minor"/>
          </rPr>
          <t>Postemporada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Franklin Santaella</author>
  </authors>
  <commentList>
    <comment ref="E2" authorId="0" shapeId="0" xr:uid="{E3622553-1561-40C8-BE30-BBBE8521B7C7}">
      <text>
        <r>
          <rPr>
            <sz val="11"/>
            <color theme="1"/>
            <rFont val="Calibri"/>
            <family val="2"/>
            <scheme val="minor"/>
          </rPr>
          <t xml:space="preserve">2 OT
</t>
        </r>
      </text>
    </comment>
    <comment ref="I2" authorId="0" shapeId="0" xr:uid="{9DC1A767-3C94-4DAE-B71C-712FDC106341}">
      <text>
        <r>
          <rPr>
            <sz val="11"/>
            <color theme="1"/>
            <rFont val="Calibri"/>
            <family val="2"/>
            <scheme val="minor"/>
          </rPr>
          <t>2 OT</t>
        </r>
      </text>
    </comment>
    <comment ref="E16" authorId="0" shapeId="0" xr:uid="{3D000F21-1C22-4741-9158-47D0494A1EF3}">
      <text>
        <r>
          <rPr>
            <sz val="11"/>
            <color theme="1"/>
            <rFont val="Calibri"/>
            <family val="2"/>
            <scheme val="minor"/>
          </rPr>
          <t>2 OT</t>
        </r>
      </text>
    </comment>
    <comment ref="I16" authorId="0" shapeId="0" xr:uid="{CA08C511-22B0-432F-8BBD-5CE6BB1B7A70}">
      <text>
        <r>
          <rPr>
            <sz val="11"/>
            <color theme="1"/>
            <rFont val="Calibri"/>
            <family val="2"/>
            <scheme val="minor"/>
          </rPr>
          <t>2 OT</t>
        </r>
      </text>
    </comment>
    <comment ref="E17" authorId="0" shapeId="0" xr:uid="{1AA79A2F-C678-4DFE-9884-CC62C7C2BC66}">
      <text>
        <r>
          <rPr>
            <sz val="11"/>
            <color theme="1"/>
            <rFont val="Calibri"/>
            <family val="2"/>
            <scheme val="minor"/>
          </rPr>
          <t>OT</t>
        </r>
      </text>
    </comment>
    <comment ref="I17" authorId="0" shapeId="0" xr:uid="{CE858B45-3171-4A3D-A9F2-D0652496F759}">
      <text>
        <r>
          <rPr>
            <sz val="11"/>
            <color theme="1"/>
            <rFont val="Calibri"/>
            <family val="2"/>
            <scheme val="minor"/>
          </rPr>
          <t>OT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Carrillo</author>
  </authors>
  <commentList>
    <comment ref="O6" authorId="0" shapeId="0" xr:uid="{00000000-0006-0000-0300-000001000000}">
      <text>
        <r>
          <rPr>
            <b/>
            <sz val="9"/>
            <color indexed="81"/>
            <rFont val="Tahoma"/>
            <family val="2"/>
          </rPr>
          <t>Carrillo:</t>
        </r>
        <r>
          <rPr>
            <sz val="9"/>
            <color indexed="81"/>
            <rFont val="Tahoma"/>
            <family val="2"/>
          </rPr>
          <t xml:space="preserve">
Please only use money you can lose in case worst luck is following you :)!</t>
        </r>
      </text>
    </comment>
    <comment ref="O7" authorId="0" shapeId="0" xr:uid="{00000000-0006-0000-0300-000002000000}">
      <text>
        <r>
          <rPr>
            <b/>
            <sz val="9"/>
            <color indexed="81"/>
            <rFont val="Tahoma"/>
            <family val="2"/>
          </rPr>
          <t>Carrillo:</t>
        </r>
        <r>
          <rPr>
            <sz val="9"/>
            <color indexed="81"/>
            <rFont val="Tahoma"/>
            <family val="2"/>
          </rPr>
          <t xml:space="preserve">
When do you expect to start to apply your Money Management plan (MMP)</t>
        </r>
      </text>
    </comment>
    <comment ref="O8" authorId="0" shapeId="0" xr:uid="{00000000-0006-0000-0300-000003000000}">
      <text>
        <r>
          <rPr>
            <b/>
            <sz val="9"/>
            <color indexed="81"/>
            <rFont val="Tahoma"/>
            <family val="2"/>
          </rPr>
          <t>Carrillo:</t>
        </r>
        <r>
          <rPr>
            <sz val="9"/>
            <color indexed="81"/>
            <rFont val="Tahoma"/>
            <family val="2"/>
          </rPr>
          <t xml:space="preserve">
Every how many months you want to make a withdrawal? (Recommended every 3 months to build a good and quick bankroll)</t>
        </r>
      </text>
    </comment>
    <comment ref="O9" authorId="0" shapeId="0" xr:uid="{00000000-0006-0000-0300-000004000000}">
      <text>
        <r>
          <rPr>
            <b/>
            <sz val="9"/>
            <color indexed="81"/>
            <rFont val="Tahoma"/>
            <family val="2"/>
          </rPr>
          <t>Carrillo:</t>
        </r>
        <r>
          <rPr>
            <sz val="9"/>
            <color indexed="81"/>
            <rFont val="Tahoma"/>
            <family val="2"/>
          </rPr>
          <t xml:space="preserve">
Recommended 60% increase in you bankroll before doing a withdrawal</t>
        </r>
      </text>
    </comment>
    <comment ref="O10" authorId="0" shapeId="0" xr:uid="{00000000-0006-0000-0300-000005000000}">
      <text>
        <r>
          <rPr>
            <b/>
            <sz val="9"/>
            <color indexed="81"/>
            <rFont val="Tahoma"/>
            <family val="2"/>
          </rPr>
          <t>Carrillo:</t>
        </r>
        <r>
          <rPr>
            <sz val="9"/>
            <color indexed="81"/>
            <rFont val="Tahoma"/>
            <family val="2"/>
          </rPr>
          <t xml:space="preserve">
Is the % of money you want to withdrawal from your profits</t>
        </r>
      </text>
    </comment>
    <comment ref="O11" authorId="0" shapeId="0" xr:uid="{00000000-0006-0000-0300-000006000000}">
      <text>
        <r>
          <rPr>
            <b/>
            <sz val="9"/>
            <color indexed="81"/>
            <rFont val="Tahoma"/>
            <family val="2"/>
          </rPr>
          <t>Carrillo:</t>
        </r>
        <r>
          <rPr>
            <sz val="9"/>
            <color indexed="81"/>
            <rFont val="Tahoma"/>
            <family val="2"/>
          </rPr>
          <t xml:space="preserve">
For a low risk you must risk no more than 2%, but better 1%
For medium risk more than 2% and less than 3%
For High risk between 3% and no more than 5%.
Never bet more than 5% of your bankroll.</t>
        </r>
      </text>
    </comment>
    <comment ref="O12" authorId="0" shapeId="0" xr:uid="{00000000-0006-0000-0300-000007000000}">
      <text>
        <r>
          <rPr>
            <b/>
            <sz val="9"/>
            <color indexed="81"/>
            <rFont val="Tahoma"/>
            <family val="2"/>
          </rPr>
          <t>Carrillo:</t>
        </r>
        <r>
          <rPr>
            <sz val="9"/>
            <color indexed="81"/>
            <rFont val="Tahoma"/>
            <family val="2"/>
          </rPr>
          <t xml:space="preserve">
This is the amount of money you would love to receive per period in order  to be Happy. (This value is important to calculate the date you will achive this as per your plan selected)</t>
        </r>
      </text>
    </comment>
    <comment ref="O14" authorId="0" shapeId="0" xr:uid="{00000000-0006-0000-0300-000008000000}">
      <text>
        <r>
          <rPr>
            <b/>
            <sz val="9"/>
            <color indexed="81"/>
            <rFont val="Tahoma"/>
            <family val="2"/>
          </rPr>
          <t>Carrillo:</t>
        </r>
        <r>
          <rPr>
            <sz val="9"/>
            <color indexed="81"/>
            <rFont val="Tahoma"/>
            <family val="2"/>
          </rPr>
          <t xml:space="preserve">
When you are following series system we recommend you to never bet to win more than 1% of your bankroll per serie. As you will be betting A-B-C or even D you can higly damage your bankroll if you lose a D or even C bet.</t>
        </r>
      </text>
    </comment>
    <comment ref="O15" authorId="0" shapeId="0" xr:uid="{00000000-0006-0000-0300-000009000000}">
      <text>
        <r>
          <rPr>
            <b/>
            <sz val="9"/>
            <color indexed="81"/>
            <rFont val="Tahoma"/>
            <family val="2"/>
          </rPr>
          <t>Carrillo:</t>
        </r>
        <r>
          <rPr>
            <sz val="9"/>
            <color indexed="81"/>
            <rFont val="Tahoma"/>
            <family val="2"/>
          </rPr>
          <t xml:space="preserve">
Some series are X - 3X - 6X but as odd is never 2.0, you can go up to 7.5X. We don’t recommend series up to D nor more than 7.5 X. Above this, your bankroll can  be really damage.</t>
        </r>
      </text>
    </comment>
  </commentList>
</comments>
</file>

<file path=xl/sharedStrings.xml><?xml version="1.0" encoding="utf-8"?>
<sst xmlns="http://schemas.openxmlformats.org/spreadsheetml/2006/main" count="3949" uniqueCount="1197">
  <si>
    <t>Fecha</t>
  </si>
  <si>
    <t>Jugada</t>
  </si>
  <si>
    <t>Cuota</t>
  </si>
  <si>
    <t>Beneficio Neto</t>
  </si>
  <si>
    <t>Yield</t>
  </si>
  <si>
    <t>$</t>
  </si>
  <si>
    <t>Diario</t>
  </si>
  <si>
    <t>Semanal</t>
  </si>
  <si>
    <t>Mensual</t>
  </si>
  <si>
    <t>Unidades</t>
  </si>
  <si>
    <t>Los Angeles Lakers</t>
  </si>
  <si>
    <t>Washington Wizards</t>
  </si>
  <si>
    <t>San Antonio Spurs</t>
  </si>
  <si>
    <t>New Orleans Pelicans</t>
  </si>
  <si>
    <t>Atlanta Hawks</t>
  </si>
  <si>
    <t>Charlotte Hornets</t>
  </si>
  <si>
    <t>Miami Heat</t>
  </si>
  <si>
    <t>Dallas Mavericks</t>
  </si>
  <si>
    <t>LA Clippers</t>
  </si>
  <si>
    <t>Los Angeles Lakers @ Charlotte Hornets</t>
  </si>
  <si>
    <t>Washington Wizards @ Detroit Pistons</t>
  </si>
  <si>
    <t>San Antonio Spurs @ Chicago Bulls</t>
  </si>
  <si>
    <t>Milwaukee Bucks @ Dallas Mavericks</t>
  </si>
  <si>
    <t>New Orleans Pelicans @ Phoenix Suns</t>
  </si>
  <si>
    <t>Atlanta Hawks @ LA Clippers</t>
  </si>
  <si>
    <t>Toronto Raptors</t>
  </si>
  <si>
    <t>Memphis Grizzlies</t>
  </si>
  <si>
    <t>Golden State Warriors</t>
  </si>
  <si>
    <t>Brooklyn Nets</t>
  </si>
  <si>
    <t>New York Knicks</t>
  </si>
  <si>
    <t>Oklahoma City Thunder</t>
  </si>
  <si>
    <t>Toronto Raptors @ Brooklyn Nets</t>
  </si>
  <si>
    <t>Memphis Grizzlies @ New York Knicks</t>
  </si>
  <si>
    <t>Golden State Warriors @ Oklahoma City Thunder</t>
  </si>
  <si>
    <t>Milwaukee Bucks</t>
  </si>
  <si>
    <t>Chicago Bulls</t>
  </si>
  <si>
    <t>Phoenix Suns</t>
  </si>
  <si>
    <t>Boston Celtics</t>
  </si>
  <si>
    <t>Sacramento Kings</t>
  </si>
  <si>
    <t>Milwaukee Bucks @ Charlotte Hornets</t>
  </si>
  <si>
    <t>Chicago Bulls @ Detroit Pistons</t>
  </si>
  <si>
    <t>Memphis Grizzlies @ Boston Celtics</t>
  </si>
  <si>
    <t>Portland Trail Blazers @ New Orleans Pelicans</t>
  </si>
  <si>
    <t>Phoenix Suns @ Dallas Mavericks</t>
  </si>
  <si>
    <t>Los Angeles Lakers @ Oklahoma City Thunder</t>
  </si>
  <si>
    <t>Atlanta Hawks @ Sacramento Kings</t>
  </si>
  <si>
    <t>Cleveland Cavaliers</t>
  </si>
  <si>
    <t>Utah Jazz</t>
  </si>
  <si>
    <t>Toronto Raptors @ Cleveland Cavaliers</t>
  </si>
  <si>
    <t>Indiana Pacers @ Phoenix Suns</t>
  </si>
  <si>
    <t>Atlanta Hawks @ Utah Jazz</t>
  </si>
  <si>
    <t>Philadelphia 76ers</t>
  </si>
  <si>
    <t>Portland Trail Blazers</t>
  </si>
  <si>
    <t>Houston Rockets</t>
  </si>
  <si>
    <t>Miami Heat @ New York Knicks</t>
  </si>
  <si>
    <t>Portland Trail Blazers @ Houston Rockets</t>
  </si>
  <si>
    <t>Los Angeles Lakers @ New Orleans Pelicans</t>
  </si>
  <si>
    <t>LA Clippers @ Dallas Mavericks</t>
  </si>
  <si>
    <t>Golden State Warriors @ San Antonio Spurs</t>
  </si>
  <si>
    <t>Denver Nuggets</t>
  </si>
  <si>
    <t>Indiana Pacers</t>
  </si>
  <si>
    <t>Memphis Grizzlies @ Cleveland Cavaliers</t>
  </si>
  <si>
    <t>Oklahoma City Thunder @ Charlotte Hornets</t>
  </si>
  <si>
    <t>Los Angeles Lakers @ Milwaukee Bucks</t>
  </si>
  <si>
    <t>Orlando Magic</t>
  </si>
  <si>
    <t>LA Clippers @ Boston Celtics</t>
  </si>
  <si>
    <t>Orlando Magic @ Houston Rockets</t>
  </si>
  <si>
    <t>Golden State Warriors @ New Orleans Pelicans</t>
  </si>
  <si>
    <t>Portland Trail Blazers @ Dallas Mavericks</t>
  </si>
  <si>
    <t>Atlanta Hawks @ Phoenix Suns</t>
  </si>
  <si>
    <t>Milwaukee Bucks @ Cleveland Cavaliers</t>
  </si>
  <si>
    <t>Indiana Pacers @ Detroit Pistons</t>
  </si>
  <si>
    <t>LA Clippers @ Philadelphia 76ers</t>
  </si>
  <si>
    <t>Dallas Mavericks @ Minnesota Timberwolves</t>
  </si>
  <si>
    <t>Oklahoma City Thunder @ New Orleans Pelicans</t>
  </si>
  <si>
    <t>Golden State Warriors @ Orlando Magic</t>
  </si>
  <si>
    <t>Boston Celtics @ Brooklyn Nets</t>
  </si>
  <si>
    <t>Detroit Pistons @ Atlanta Hawks</t>
  </si>
  <si>
    <t>Memphis Grizzlies @ San Antonio Spurs</t>
  </si>
  <si>
    <t>Houston Rockets @ Cleveland Cavaliers</t>
  </si>
  <si>
    <t>Charlotte Hornets @ Indiana Pacers</t>
  </si>
  <si>
    <t>Sacramento Kings @ Oklahoma City Thunder</t>
  </si>
  <si>
    <t>LA Clippers @ Orlando Magic</t>
  </si>
  <si>
    <t>Sacramento Kings @ Memphis Grizzlies</t>
  </si>
  <si>
    <t>Philadelphia 76ers @ Milwaukee Bucks</t>
  </si>
  <si>
    <t>Atlanta Hawks @ San Antonio Spurs</t>
  </si>
  <si>
    <t>Indiana Pacers @ Cleveland Cavaliers</t>
  </si>
  <si>
    <t>Minnesota Timberwolves @ Phoenix Suns</t>
  </si>
  <si>
    <t>Portland Trail Blazers @ Golden State Warriors</t>
  </si>
  <si>
    <t>LA Clippers @ Charlotte Hornets</t>
  </si>
  <si>
    <t>Atlanta Hawks @ New Orleans Pelicans</t>
  </si>
  <si>
    <t>Detroit Pistons @ Milwaukee Bucks</t>
  </si>
  <si>
    <t>Memphis Grizzlies @ Dallas Mavericks</t>
  </si>
  <si>
    <t>Charlotte Hornets @ Atlanta Hawks</t>
  </si>
  <si>
    <t>LA Clippers @ Cleveland Cavaliers</t>
  </si>
  <si>
    <t>Portland Trail Blazers @ Oklahoma City Thunder</t>
  </si>
  <si>
    <t>San Antonio Spurs @ Phoenix Suns</t>
  </si>
  <si>
    <t>Detroit Pistons</t>
  </si>
  <si>
    <t>Detroit Pistons @ Indiana Pacers</t>
  </si>
  <si>
    <t>Portland Trail Blazers @ Milwaukee Bucks</t>
  </si>
  <si>
    <t>Houston Rockets @ Phoenix Suns</t>
  </si>
  <si>
    <t>Minnesota Timberwolves @ Sacramento Kings</t>
  </si>
  <si>
    <t>Atlanta Hawks @ Washington Wizards</t>
  </si>
  <si>
    <t>Orlando Magic @ Philadelphia 76ers</t>
  </si>
  <si>
    <t>Minnesota Timberwolves</t>
  </si>
  <si>
    <t>Detroit Pistons @ Boston Celtics</t>
  </si>
  <si>
    <t>Indiana Pacers @ Toronto Raptors</t>
  </si>
  <si>
    <t>Minnesota Timberwolves @ Oklahoma City Thunder</t>
  </si>
  <si>
    <t>Memphis Grizzlies @ New Orleans Pelicans</t>
  </si>
  <si>
    <t>Houston Rockets @ Golden State Warriors</t>
  </si>
  <si>
    <t>Phoenix Suns @ Sacramento Kings</t>
  </si>
  <si>
    <t>Cleveland Cavaliers @ Atlanta Hawks</t>
  </si>
  <si>
    <t>Philadelphia 76ers @ Brooklyn Nets</t>
  </si>
  <si>
    <t>Orlando Magic @ Detroit Pistons</t>
  </si>
  <si>
    <t>San Antonio Spurs @ Denver Nuggets</t>
  </si>
  <si>
    <t>Dallas Mavericks @ Los Angeles Lakers</t>
  </si>
  <si>
    <t>Memphis Grizzlies @ LA Clippers</t>
  </si>
  <si>
    <t>Boston Celtics @ Minnesota Timberwolves</t>
  </si>
  <si>
    <t>Toronto Raptors @ Charlotte Hornets</t>
  </si>
  <si>
    <t>Brooklyn Nets @ Milwaukee Bucks</t>
  </si>
  <si>
    <t>New Orleans Pelicans @ Golden State Warriors</t>
  </si>
  <si>
    <t>Houston Rockets @ Utah Jazz</t>
  </si>
  <si>
    <t>Atlanta Hawks @ Philadelphia 76ers</t>
  </si>
  <si>
    <t>San Antonio Spurs @ Minnesota Timberwolves</t>
  </si>
  <si>
    <t>Memphis Grizzlies @ Sacramento Kings</t>
  </si>
  <si>
    <t>Entrenamiento</t>
  </si>
  <si>
    <t>Atlanta Hawks @ Detroit Pistons</t>
  </si>
  <si>
    <t>Cleveland Cavaliers @ Indiana Pacers</t>
  </si>
  <si>
    <t>Milwaukee Bucks @ Washington Wizards</t>
  </si>
  <si>
    <t>Charlotte Hornets @ Brooklyn Nets</t>
  </si>
  <si>
    <t>Chicago Bulls @ Orlando Magic</t>
  </si>
  <si>
    <t>Phoenix Suns @ Los Angeles Lakers</t>
  </si>
  <si>
    <t>Washington Wizards @ Philadelphia 76ers</t>
  </si>
  <si>
    <t>Portland Trail Blazers @ Toronto Raptors</t>
  </si>
  <si>
    <t>New York Knicks @ Boston Celtics</t>
  </si>
  <si>
    <t>Minnesota Timberwolves @ New Orleans Pelicans</t>
  </si>
  <si>
    <t>Oklahoma City Thunder @ Golden State Warriors</t>
  </si>
  <si>
    <t>Portland Trail Blazers @ Cleveland Cavaliers</t>
  </si>
  <si>
    <t>Denver Nuggets @ Indiana Pacers</t>
  </si>
  <si>
    <t>LA Clippers @ Atlanta Hawks</t>
  </si>
  <si>
    <t>Charlotte Hornets @ New York Knicks</t>
  </si>
  <si>
    <t>Brooklyn Nets @ Chicago Bulls</t>
  </si>
  <si>
    <t>Sacramento Kings @ Houston Rockets</t>
  </si>
  <si>
    <t>Miami Heat @ Dallas Mavericks</t>
  </si>
  <si>
    <t>Golden State Warriors @ Philadelphia 76ers</t>
  </si>
  <si>
    <t>Boston Celtics @ Washington Wizards</t>
  </si>
  <si>
    <t>Utah Jazz @ Brooklyn Nets</t>
  </si>
  <si>
    <t>Los Angeles Lakers @ Toronto Raptors</t>
  </si>
  <si>
    <t>Los Angeles Lakers @ Boston Celtics</t>
  </si>
  <si>
    <t>Denver Nuggets @ Atlanta Hawks</t>
  </si>
  <si>
    <t>San Antonio Spurs @ Cleveland Cavaliers</t>
  </si>
  <si>
    <t>Utah Jazz @ New York Knicks</t>
  </si>
  <si>
    <t>Charlotte Hornets @ Toronto Raptors</t>
  </si>
  <si>
    <t>Phoenix Suns @ Houston Rockets</t>
  </si>
  <si>
    <t>LA Clippers @ Memphis Grizzlies</t>
  </si>
  <si>
    <t>New Orleans Pelicans @ Brooklyn Nets</t>
  </si>
  <si>
    <t>Golden State Warriors @ Cleveland Cavaliers</t>
  </si>
  <si>
    <t>Milwaukee Bucks @ Detroit Pistons</t>
  </si>
  <si>
    <t>LA Clippers @ Minnesota Timberwolves</t>
  </si>
  <si>
    <t>Houston Rockets @ Dallas Mavericks</t>
  </si>
  <si>
    <t>Orlando Magic @ New York Knicks</t>
  </si>
  <si>
    <t>Boston Celtics @ Toronto Raptors</t>
  </si>
  <si>
    <t>Portland Trail Blazers @ Memphis Grizzlies</t>
  </si>
  <si>
    <t>Golden State Warriors @ Chicago Bulls</t>
  </si>
  <si>
    <t>Oklahoma City Thunder @ Utah Jazz</t>
  </si>
  <si>
    <t>Sacramento Kings @ Indiana Pacers</t>
  </si>
  <si>
    <t>Phoenix Suns @ Minnesota Timberwolves</t>
  </si>
  <si>
    <t>San Antonio Spurs @ New Orleans Pelicans</t>
  </si>
  <si>
    <t>Miami Heat @ Orlando Magic</t>
  </si>
  <si>
    <t>New York Knicks @ Toronto Raptors</t>
  </si>
  <si>
    <t>LA Clippers @ Houston Rockets</t>
  </si>
  <si>
    <t>Boston Celtics @ Milwaukee Bucks</t>
  </si>
  <si>
    <t>Denver Nuggets @ Sacramento Kings</t>
  </si>
  <si>
    <t>Chicago Bulls @ Charlotte Hornets</t>
  </si>
  <si>
    <t>Cleveland Cavaliers @ Washington Wizards</t>
  </si>
  <si>
    <t>Brooklyn Nets @ Dallas Mavericks</t>
  </si>
  <si>
    <t>Minnesota Timberwolves @ Golden State Warriors</t>
  </si>
  <si>
    <t>Washington Wizards @ Indiana Pacers</t>
  </si>
  <si>
    <t>Philadelphia 76ers @ Atlanta Hawks</t>
  </si>
  <si>
    <t>Milwaukee Bucks @ Brooklyn Nets</t>
  </si>
  <si>
    <t>Sacramento Kings @ Minnesota Timberwolves</t>
  </si>
  <si>
    <t>New Orleans Pelicans @ Chicago Bulls</t>
  </si>
  <si>
    <t>Dallas Mavericks @ Utah Jazz</t>
  </si>
  <si>
    <t>Houston Rockets @ Denver Nuggets</t>
  </si>
  <si>
    <t>Cleveland Cavaliers @ Chicago Bulls</t>
  </si>
  <si>
    <t>Memphis Grizzlies @ Minnesota Timberwolves</t>
  </si>
  <si>
    <t>Atlanta Hawks @ Charlotte Hornets</t>
  </si>
  <si>
    <t>New York Knicks @ Indiana Pacers</t>
  </si>
  <si>
    <t>LA Clippers @ Oklahoma City Thunder</t>
  </si>
  <si>
    <t>Washington Wizards @ San Antonio Spurs</t>
  </si>
  <si>
    <t>Toronto Raptors @ Milwaukee Bucks</t>
  </si>
  <si>
    <t>Houston Rockets @ New Orleans Pelicans</t>
  </si>
  <si>
    <t>Orlando Magic @ Denver Nuggets</t>
  </si>
  <si>
    <t>Golden State Warriors @ Phoenix Suns</t>
  </si>
  <si>
    <t>Los Angeles Lakers @ Utah Jazz</t>
  </si>
  <si>
    <t>Miami Heat @ Boston Celtics</t>
  </si>
  <si>
    <t>Philadelphia 76ers @ New York Knicks</t>
  </si>
  <si>
    <t>Chicago Bulls @ Cleveland Cavaliers</t>
  </si>
  <si>
    <t>Dallas Mavericks @ Philadelphia 76ers</t>
  </si>
  <si>
    <t>Indiana Pacers @ New Orleans Pelicans</t>
  </si>
  <si>
    <t>Washington Wizards @ Memphis Grizzlies</t>
  </si>
  <si>
    <t>Phoenix Suns @ Golden State Warriors</t>
  </si>
  <si>
    <t>Orlando Magic @ Utah Jazz</t>
  </si>
  <si>
    <t>Los Angeles Lakers @ LA Clippers</t>
  </si>
  <si>
    <t>Chicago Bulls @ Atlanta Hawks</t>
  </si>
  <si>
    <t>San Antonio Spurs @ Washington Wizards</t>
  </si>
  <si>
    <t>Milwaukee Bucks @ Minnesota Timberwolves</t>
  </si>
  <si>
    <t>Houston Rockets @ Sacramento Kings</t>
  </si>
  <si>
    <t>Charlotte Hornets @ Cleveland Cavaliers</t>
  </si>
  <si>
    <t>Indiana Pacers @ Boston Celtics</t>
  </si>
  <si>
    <t>Dallas Mavericks @ New Orleans Pelicans</t>
  </si>
  <si>
    <t>Orlando Magic @ Golden State Warriors</t>
  </si>
  <si>
    <t>Detroit Pistons @ Portland Trail Blazers</t>
  </si>
  <si>
    <t>Washington Wizards @ Charlotte Hornets</t>
  </si>
  <si>
    <t>Brooklyn Nets @ Philadelphia 76ers</t>
  </si>
  <si>
    <t>New Orleans Pelicans @ Cleveland Cavaliers</t>
  </si>
  <si>
    <t>Milwaukee Bucks @ Indiana Pacers</t>
  </si>
  <si>
    <t>New York Knicks @ Minnesota Timberwolves</t>
  </si>
  <si>
    <t>Oklahoma City Thunder @ San Antonio Spurs</t>
  </si>
  <si>
    <t>Los Angeles Lakers @ Phoenix Suns</t>
  </si>
  <si>
    <t>Memphis Grizzlies @ Utah Jazz</t>
  </si>
  <si>
    <t>Detroit Pistons @ Sacramento Kings</t>
  </si>
  <si>
    <t>Houston Rockets @ LA Clippers</t>
  </si>
  <si>
    <t>Cleveland Cavaliers @ New York Knicks</t>
  </si>
  <si>
    <t>San Antonio Spurs @ Oklahoma City Thunder</t>
  </si>
  <si>
    <t>Dallas Mavericks @ Golden State Warriors</t>
  </si>
  <si>
    <t>Houston Rockets @ Los Angeles Lakers</t>
  </si>
  <si>
    <t>Miami Heat @ Atlanta Hawks</t>
  </si>
  <si>
    <t>Toronto Raptors @ Washington Wizards</t>
  </si>
  <si>
    <t>Boston Celtics @ Indiana Pacers</t>
  </si>
  <si>
    <t>Milwaukee Bucks @ Memphis Grizzlies</t>
  </si>
  <si>
    <t>Phoenix Suns @ New Orleans Pelicans</t>
  </si>
  <si>
    <t>LA Clippers @ Portland Trail Blazers</t>
  </si>
  <si>
    <t>Dallas Mavericks @ Sacramento Kings</t>
  </si>
  <si>
    <t>New York Knicks @ Atlanta Hawks</t>
  </si>
  <si>
    <t>Milwaukee Bucks @ Chicago Bulls</t>
  </si>
  <si>
    <t>Utah Jazz @ San Antonio Spurs</t>
  </si>
  <si>
    <t>Golden State Warriors @ Toronto Raptors</t>
  </si>
  <si>
    <t>Philadelphia 76ers @ Oklahoma City Thunder</t>
  </si>
  <si>
    <t>Memphis Grizzlies @ Washington Wizards</t>
  </si>
  <si>
    <t>Boston Celtics @ Portland Trail Blazers</t>
  </si>
  <si>
    <t>Detroit Pistons @ LA Clippers</t>
  </si>
  <si>
    <t>Sacramento Kings @ Los Angeles Lakers</t>
  </si>
  <si>
    <t>Phoenix Suns @ Washington Wizards</t>
  </si>
  <si>
    <t>Golden State Warriors @ Brooklyn Nets</t>
  </si>
  <si>
    <t>Indiana Pacers @ Houston Rockets</t>
  </si>
  <si>
    <t>New York Knicks @ New Orleans Pelicans</t>
  </si>
  <si>
    <t>Atlanta Hawks @ Oklahoma City Thunder</t>
  </si>
  <si>
    <t>Cleveland Cavaliers @ San Antonio Spurs</t>
  </si>
  <si>
    <t>Dallas Mavericks @ Portland Trail Blazers</t>
  </si>
  <si>
    <t>Philadelphia 76ers @ Memphis Grizzlies</t>
  </si>
  <si>
    <t>Sacramento Kings @ LA Clippers</t>
  </si>
  <si>
    <t>Golden State Warriors @ Charlotte Hornets</t>
  </si>
  <si>
    <t>Phoenix Suns @ Cleveland Cavaliers</t>
  </si>
  <si>
    <t>New York Knicks @ San Antonio Spurs</t>
  </si>
  <si>
    <t>Washington Wizards @ Milwaukee Bucks</t>
  </si>
  <si>
    <t>Utah Jazz @ LA Clippers</t>
  </si>
  <si>
    <t>Boston Celtics @ Sacramento Kings</t>
  </si>
  <si>
    <t>San Antonio Spurs @ Indiana Pacers</t>
  </si>
  <si>
    <t>Brooklyn Nets @ Washington Wizards</t>
  </si>
  <si>
    <t>Atlanta Hawks @ New York Knicks</t>
  </si>
  <si>
    <t>Minnesota Timberwolves @ Miami Heat</t>
  </si>
  <si>
    <t>Portland Trail Blazers @ San Antonio Spurs</t>
  </si>
  <si>
    <t>Utah Jazz @ Golden State Warriors</t>
  </si>
  <si>
    <t>Detroit Pistons @ Cleveland Cavaliers</t>
  </si>
  <si>
    <t>Indiana Pacers @ Orlando Magic</t>
  </si>
  <si>
    <t>Denver Nuggets @ Brooklyn Nets</t>
  </si>
  <si>
    <t>Minnesota Timberwolves @ Washington Wizards</t>
  </si>
  <si>
    <t>Milwaukee Bucks @ Sacramento Kings</t>
  </si>
  <si>
    <t>New York Knicks @ Detroit Pistons</t>
  </si>
  <si>
    <t>Charlotte Hornets @ Oklahoma City Thunder</t>
  </si>
  <si>
    <t>Denver Nuggets @ Philadelphia 76ers</t>
  </si>
  <si>
    <t>Golden State Warriors @ LA Clippers</t>
  </si>
  <si>
    <t>Orlando Magic @ Washington Wizards</t>
  </si>
  <si>
    <t>Utah Jazz @ Cleveland Cavaliers</t>
  </si>
  <si>
    <t>Cleveland Cavaliers @ Philadelphia 76ers</t>
  </si>
  <si>
    <t>Utah Jazz @ Chicago Bulls</t>
  </si>
  <si>
    <t>Denver Nuggets @ Dallas Mavericks</t>
  </si>
  <si>
    <t>Boston Celtics @ Miami Heat</t>
  </si>
  <si>
    <t>Atlanta Hawks @ Portland Trail Blazers</t>
  </si>
  <si>
    <t>Chicago Bulls @ Brooklyn Nets</t>
  </si>
  <si>
    <t>Portland Trail Blazers @ Sacramento Kings</t>
  </si>
  <si>
    <t>Oklahoma City Thunder @ Cleveland Cavaliers</t>
  </si>
  <si>
    <t>Boston Celtics @ Detroit Pistons</t>
  </si>
  <si>
    <t>Los Angeles Lakers @ Denver Nuggets</t>
  </si>
  <si>
    <t>Miami Heat @ Sacramento Kings</t>
  </si>
  <si>
    <t>Oklahoma City Thunder @ Milwaukee Bucks</t>
  </si>
  <si>
    <t>Chicago Bulls @ Minnesota Timberwolves</t>
  </si>
  <si>
    <t>Miami Heat @ Portland Trail Blazers</t>
  </si>
  <si>
    <t>New Orleans Pelicans @ Memphis Grizzlies</t>
  </si>
  <si>
    <t>Toronto Raptors @ Portland Trail Blazers</t>
  </si>
  <si>
    <t>New York Knicks @ Philadelphia 76ers</t>
  </si>
  <si>
    <t>Cleveland Cavaliers @ Orlando Magic</t>
  </si>
  <si>
    <t>Boston Celtics @ Chicago Bulls</t>
  </si>
  <si>
    <t>Los Angeles Lakers @ Dallas Mavericks</t>
  </si>
  <si>
    <t>Miami Heat @ Utah Jazz</t>
  </si>
  <si>
    <t>Golden State Warriors @ Minnesota Timberwolves</t>
  </si>
  <si>
    <t>New Orleans Pelicans @ San Antonio Spurs</t>
  </si>
  <si>
    <t>Miami Heat @ Phoenix Suns</t>
  </si>
  <si>
    <t>Indiana Pacers @ Atlanta Hawks</t>
  </si>
  <si>
    <t>Orlando Magic @ Cleveland Cavaliers</t>
  </si>
  <si>
    <t>Los Angeles Lakers @ Chicago Bulls</t>
  </si>
  <si>
    <t>Portland Trail Blazers @ Washington Wizards</t>
  </si>
  <si>
    <t>Sacramento Kings @ New York Knicks</t>
  </si>
  <si>
    <t>Milwaukee Bucks @ Philadelphia 76ers</t>
  </si>
  <si>
    <t>New Orleans Pelicans @ Oklahoma City Thunder</t>
  </si>
  <si>
    <t>LA Clippers @ Utah Jazz</t>
  </si>
  <si>
    <t>Los Angeles Lakers @ Cleveland Cavaliers</t>
  </si>
  <si>
    <t>Chicago Bulls @ Indiana Pacers</t>
  </si>
  <si>
    <t>Atlanta Hawks @ Boston Celtics</t>
  </si>
  <si>
    <t>Orlando Magic @ Miami Heat</t>
  </si>
  <si>
    <t>Minnesota Timberwolves @ Dallas Mavericks</t>
  </si>
  <si>
    <t>Golden State Warriors @ Utah Jazz</t>
  </si>
  <si>
    <t>Sacramento Kings @ Philadelphia 76ers</t>
  </si>
  <si>
    <t>Miami Heat @ Chicago Bulls</t>
  </si>
  <si>
    <t>Charlotte Hornets @ Dallas Mavericks</t>
  </si>
  <si>
    <t>Brooklyn Nets @ Denver Nuggets</t>
  </si>
  <si>
    <t>Detroit Pistons @ Phoenix Suns</t>
  </si>
  <si>
    <t>Oklahoma City Thunder @ Minnesota Timberwolves</t>
  </si>
  <si>
    <t>Portland Trail Blazers @ New York Knicks</t>
  </si>
  <si>
    <t>LA Clippers @ Denver Nuggets</t>
  </si>
  <si>
    <t>Brooklyn Nets @ Utah Jazz</t>
  </si>
  <si>
    <t>New Orleans Pelicans @ Philadelphia 76ers</t>
  </si>
  <si>
    <t>Chicago Bulls @ Miami Heat</t>
  </si>
  <si>
    <t>Milwaukee Bucks @ Boston Celtics</t>
  </si>
  <si>
    <t>Utah Jazz @ Toronto Raptors</t>
  </si>
  <si>
    <t>Orlando Magic @ San Antonio Spurs</t>
  </si>
  <si>
    <t>Los Angeles Lakers @ New York Knicks</t>
  </si>
  <si>
    <t>LA Clippers @ Phoenix Suns</t>
  </si>
  <si>
    <t>Houston Rockets @ Indiana Pacers</t>
  </si>
  <si>
    <t>Philadelphia 76ers @ LA Clippers</t>
  </si>
  <si>
    <t>Denver Nuggets @ Detroit Pistons</t>
  </si>
  <si>
    <t>Utah Jazz @ Indiana Pacers</t>
  </si>
  <si>
    <t>Atlanta Hawks @ Miami Heat</t>
  </si>
  <si>
    <t>Boston Celtics @ Dallas Mavericks</t>
  </si>
  <si>
    <t>Phoenix Suns @ Portland Trail Blazers</t>
  </si>
  <si>
    <t>Brooklyn Nets @ Orlando Magic</t>
  </si>
  <si>
    <t>Utah Jazz @ Atlanta Hawks</t>
  </si>
  <si>
    <t>San Antonio Spurs @ Dallas Mavericks</t>
  </si>
  <si>
    <t>Philadelphia 76ers @ Los Angeles Lakers</t>
  </si>
  <si>
    <t>New Orleans Pelicans @ Minnesota Timberwolves</t>
  </si>
  <si>
    <t>LA Clippers @ Sacramento Kings</t>
  </si>
  <si>
    <t>Washington Wizards @ Brooklyn Nets</t>
  </si>
  <si>
    <t>Houston Rockets @ Oklahoma City Thunder</t>
  </si>
  <si>
    <t>Dallas Mavericks @ San Antonio Spurs</t>
  </si>
  <si>
    <t>Utah Jazz @ Orlando Magic</t>
  </si>
  <si>
    <t>Denver Nuggets @ Chicago Bulls</t>
  </si>
  <si>
    <t>Philadelphia 76ers @ Phoenix Suns</t>
  </si>
  <si>
    <t>Memphis Grizzlies @ Portland Trail Blazers</t>
  </si>
  <si>
    <t>Cleveland Cavaliers @ Sacramento Kings</t>
  </si>
  <si>
    <t>Miami Heat @ Washington Wizards</t>
  </si>
  <si>
    <t>Utah Jazz @ Miami Heat</t>
  </si>
  <si>
    <t>Milwaukee Bucks @ Orlando Magic</t>
  </si>
  <si>
    <t>Atlanta Hawks @ Minnesota Timberwolves</t>
  </si>
  <si>
    <t>Sacramento Kings @ New Orleans Pelicans</t>
  </si>
  <si>
    <t>Cleveland Cavaliers @ Denver Nuggets</t>
  </si>
  <si>
    <t>Memphis Grizzlies @ Golden State Warriors</t>
  </si>
  <si>
    <t>Oklahoma City Thunder @ Los Angeles Lakers</t>
  </si>
  <si>
    <t>Dallas Mavericks @ Phoenix Suns</t>
  </si>
  <si>
    <t>Washington Wizards @ Cleveland Cavaliers</t>
  </si>
  <si>
    <t>Chicago Bulls @ Boston Celtics</t>
  </si>
  <si>
    <t>Indiana Pacers @ Brooklyn Nets</t>
  </si>
  <si>
    <t>Portland Trail Blazers @ Minnesota Timberwolves</t>
  </si>
  <si>
    <t>Miami Heat @ New Orleans Pelicans</t>
  </si>
  <si>
    <t>Sacramento Kings @ Utah Jazz</t>
  </si>
  <si>
    <t>Memphis Grizzlies @ Denver Nuggets</t>
  </si>
  <si>
    <t>San Antonio Spurs @ Golden State Warriors</t>
  </si>
  <si>
    <t>Milwaukee Bucks @ Oklahoma City Thunder</t>
  </si>
  <si>
    <t>Portland Trail Blazers @ Utah Jazz</t>
  </si>
  <si>
    <t>Houston Rockets @ Charlotte Hornets</t>
  </si>
  <si>
    <t>Brooklyn Nets @ Cleveland Cavaliers</t>
  </si>
  <si>
    <t>Indiana Pacers @ Washington Wizards</t>
  </si>
  <si>
    <t>Detroit Pistons @ New York Knicks</t>
  </si>
  <si>
    <t>Toronto Raptors @ Chicago Bulls</t>
  </si>
  <si>
    <t>Phoenix Suns @ San Antonio Spurs</t>
  </si>
  <si>
    <t>Boston Celtics @ Golden State Warriors</t>
  </si>
  <si>
    <t>Orlando Magic @ Sacramento Kings</t>
  </si>
  <si>
    <t>Denver Nuggets @ LA Clippers</t>
  </si>
  <si>
    <t>Cleveland Cavaliers @ Charlotte Hornets</t>
  </si>
  <si>
    <t>Milwaukee Bucks @ New Orleans Pelicans</t>
  </si>
  <si>
    <t>Denver Nuggets @ Portland Trail Blazers</t>
  </si>
  <si>
    <t>Orlando Magic @ Phoenix Suns</t>
  </si>
  <si>
    <t>Philadelphia 76ers @ New Orleans Pelicans</t>
  </si>
  <si>
    <t>Memphis Grizzlies @ Miami Heat</t>
  </si>
  <si>
    <t>Detroit Pistons @ Chicago Bulls</t>
  </si>
  <si>
    <t>Sacramento Kings @ San Antonio Spurs</t>
  </si>
  <si>
    <t>Brooklyn Nets @ Atlanta Hawks</t>
  </si>
  <si>
    <t>Dallas Mavericks @ Indiana Pacers</t>
  </si>
  <si>
    <t>Boston Celtics @ Los Angeles Lakers</t>
  </si>
  <si>
    <t>Philadelphia 76ers @ Minnesota Timberwolves</t>
  </si>
  <si>
    <t>New York Knicks @ Chicago Bulls</t>
  </si>
  <si>
    <t>Orlando Magic @ LA Clippers</t>
  </si>
  <si>
    <t>Philadelphia 76ers @ Indiana Pacers</t>
  </si>
  <si>
    <t>New York Knicks @ Cleveland Cavaliers</t>
  </si>
  <si>
    <t>Charlotte Hornets @ Chicago Bulls</t>
  </si>
  <si>
    <t>Miami Heat @ Milwaukee Bucks</t>
  </si>
  <si>
    <t>Boston Celtics @ Phoenix Suns</t>
  </si>
  <si>
    <t>Orlando Magic @ Los Angeles Lakers</t>
  </si>
  <si>
    <t>San Antonio Spurs @ Toronto Raptors</t>
  </si>
  <si>
    <t>Golden State Warriors @ Memphis Grizzlies</t>
  </si>
  <si>
    <t>Cleveland Cavaliers @ Milwaukee Bucks</t>
  </si>
  <si>
    <t>Boston Celtics @ Denver Nuggets</t>
  </si>
  <si>
    <t>Miami Heat @ Philadelphia 76ers</t>
  </si>
  <si>
    <t>Washington Wizards @ Atlanta Hawks</t>
  </si>
  <si>
    <t>San Antonio Spurs @ Brooklyn Nets</t>
  </si>
  <si>
    <t>Portland Trail Blazers @ Chicago Bulls</t>
  </si>
  <si>
    <t>Sacramento Kings @ Dallas Mavericks</t>
  </si>
  <si>
    <t>New Orleans Pelicans @ Utah Jazz</t>
  </si>
  <si>
    <t>Cleveland Cavaliers @ Detroit Pistons</t>
  </si>
  <si>
    <t>Denver Nuggets @ Oklahoma City Thunder</t>
  </si>
  <si>
    <t>Portland Trail Blazers @ Charlotte Hornets</t>
  </si>
  <si>
    <t>Houston Rockets @ Miami Heat</t>
  </si>
  <si>
    <t>San Antonio Spurs @ New York Knicks</t>
  </si>
  <si>
    <t>Minnesota Timberwolves @ Denver Nuggets</t>
  </si>
  <si>
    <t>Memphis Grizzlies @ Indiana Pacers</t>
  </si>
  <si>
    <t>Portland Trail Blazers @ Atlanta Hawks</t>
  </si>
  <si>
    <t>Detroit Pistons @ Orlando Magic</t>
  </si>
  <si>
    <t>Philadelphia 76ers @ Boston Celtics</t>
  </si>
  <si>
    <t>Oklahoma City Thunder @ Dallas Mavericks</t>
  </si>
  <si>
    <t>Denver Nuggets @ Utah Jazz</t>
  </si>
  <si>
    <t>LA Clippers @ Golden State Warriors</t>
  </si>
  <si>
    <t>Dallas Mavericks @ Charlotte Hornets</t>
  </si>
  <si>
    <t>Brooklyn Nets @ Miami Heat</t>
  </si>
  <si>
    <t>San Antonio Spurs @ Philadelphia 76ers</t>
  </si>
  <si>
    <t>New Orleans Pelicans @ Los Angeles Lakers</t>
  </si>
  <si>
    <t>Utah Jazz @ Philadelphia 76ers</t>
  </si>
  <si>
    <t>Atlanta Hawks @ Milwaukee Bucks</t>
  </si>
  <si>
    <t>Indiana Pacers @ LA Clippers</t>
  </si>
  <si>
    <t>Dallas Mavericks @ Orlando Magic</t>
  </si>
  <si>
    <t>Utah Jazz @ Washington Wizards</t>
  </si>
  <si>
    <t>Golden State Warriors @ Houston Rockets</t>
  </si>
  <si>
    <t>Detroit Pistons @ San Antonio Spurs</t>
  </si>
  <si>
    <t>New Orleans Pelicans @ Sacramento Kings</t>
  </si>
  <si>
    <t>Dallas Mavericks @ Boston Celtics</t>
  </si>
  <si>
    <t>Miami Heat @ Charlotte Hornets</t>
  </si>
  <si>
    <t>New York Knicks @ Denver Nuggets</t>
  </si>
  <si>
    <t>LA Clippers @ San Antonio Spurs</t>
  </si>
  <si>
    <t>Indiana Pacers @ Los Angeles Lakers</t>
  </si>
  <si>
    <t>Brooklyn Nets @ Detroit Pistons</t>
  </si>
  <si>
    <t>Utah Jazz @ Milwaukee Bucks</t>
  </si>
  <si>
    <t>Detroit Pistons @ Miami Heat</t>
  </si>
  <si>
    <t>Dallas Mavericks @ Toronto Raptors</t>
  </si>
  <si>
    <t>Washington Wizards @ New Orleans Pelicans</t>
  </si>
  <si>
    <t>Indiana Pacers @ Portland Trail Blazers</t>
  </si>
  <si>
    <t>Chicago Bulls @ Sacramento Kings</t>
  </si>
  <si>
    <t>Charlotte Hornets @ Phoenix Suns</t>
  </si>
  <si>
    <t>Detroit Pistons @ Brooklyn Nets</t>
  </si>
  <si>
    <t>Washington Wizards @ Miami Heat</t>
  </si>
  <si>
    <t>Dallas Mavericks @ Atlanta Hawks</t>
  </si>
  <si>
    <t>Boston Celtics @ San Antonio Spurs</t>
  </si>
  <si>
    <t>Charlotte Hornets @ Portland Trail Blazers</t>
  </si>
  <si>
    <t>Indiana Pacers @ Sacramento Kings</t>
  </si>
  <si>
    <t>Toronto Raptors @ New Orleans Pelicans</t>
  </si>
  <si>
    <t>New York Knicks @ Utah Jazz</t>
  </si>
  <si>
    <t>Charlotte Hornets @ Sacramento Kings</t>
  </si>
  <si>
    <t>Minnesota Timberwolves @ LA Clippers</t>
  </si>
  <si>
    <t>Washington Wizards @ Orlando Magic</t>
  </si>
  <si>
    <t>Milwaukee Bucks @ Miami Heat</t>
  </si>
  <si>
    <t>Dallas Mavericks @ Memphis Grizzlies</t>
  </si>
  <si>
    <t>Denver Nuggets @ San Antonio Spurs</t>
  </si>
  <si>
    <t>Chicago Bulls @ Los Angeles Lakers</t>
  </si>
  <si>
    <t>Memphis Grizzlies @ Detroit Pistons</t>
  </si>
  <si>
    <t>Cleveland Cavaliers @ Dallas Mavericks</t>
  </si>
  <si>
    <t>New Orleans Pelicans @ Houston Rockets</t>
  </si>
  <si>
    <t>Utah Jazz @ Portland Trail Blazers</t>
  </si>
  <si>
    <t>Chicago Bulls @ LA Clippers</t>
  </si>
  <si>
    <t>Washington Wizards @ Boston Celtics</t>
  </si>
  <si>
    <t>Denver Nuggets @ Los Angeles Lakers</t>
  </si>
  <si>
    <t>Oklahoma City</t>
  </si>
  <si>
    <t>Dallas Mavericks @ Cleveland Cavaliers</t>
  </si>
  <si>
    <t>Detroit Pistons @ Toronto Raptors</t>
  </si>
  <si>
    <t>Indiana Pacers @ Milwaukee Bucks</t>
  </si>
  <si>
    <t>Portland Trail Blazers @ Philadelphia 76ers</t>
  </si>
  <si>
    <t>Golden State Warriors @ New York Knicks</t>
  </si>
  <si>
    <t>Utah Jazz @ Sacramento Kings</t>
  </si>
  <si>
    <t>Memphis Grizzlies @ Chicago Bulls</t>
  </si>
  <si>
    <t>Los Angeles Lakers @ Houston Rockets</t>
  </si>
  <si>
    <t>Detroit Pistons @ Washington Wizards</t>
  </si>
  <si>
    <t>Philadelphia 76ers @ Denver Nuggets</t>
  </si>
  <si>
    <t>Golden State Warriors @ Boston Celtics</t>
  </si>
  <si>
    <t>Oklahoma City Thunder @ Brooklyn Nets</t>
  </si>
  <si>
    <t>Portland Trail Blazers @ Indiana Pacers</t>
  </si>
  <si>
    <t>Atlanta Hawks @ Dallas Mavericks</t>
  </si>
  <si>
    <t>Denver Nuggets @ Memphis Grizzlies</t>
  </si>
  <si>
    <t>Orlando Magic @ Charlotte Hornets</t>
  </si>
  <si>
    <t>Los Angeles Lakers @ Miami Heat</t>
  </si>
  <si>
    <t>Milwaukee Bucks @ Utah Jazz</t>
  </si>
  <si>
    <t>Philadelphia 76ers @ Sacramento Kings</t>
  </si>
  <si>
    <t>Golden State Warriors @ Detroit Pistons</t>
  </si>
  <si>
    <t>Atlanta Hawks @ Houston Rockets</t>
  </si>
  <si>
    <t>Boston Celtics @ Memphis Grizzlies</t>
  </si>
  <si>
    <t>Toronto Raptors @ Denver Nuggets</t>
  </si>
  <si>
    <t>Portland Trail Blazers @ Denver Nuggets</t>
  </si>
  <si>
    <t>Washington Wizards @ New York Knicks</t>
  </si>
  <si>
    <t>Oklahoma City Thunder @ Philadelphia 76ers</t>
  </si>
  <si>
    <t>San Antonio Spurs @ Miami Heat</t>
  </si>
  <si>
    <t>Memphis Grizzlies @ Atlanta Hawks</t>
  </si>
  <si>
    <t>Houston Rockets @ Chicago Bulls</t>
  </si>
  <si>
    <t>Toronto Raptors @ Utah Jazz</t>
  </si>
  <si>
    <t>Golden State Warriors @ Dallas Mavericks</t>
  </si>
  <si>
    <t>Sacramento Kings @ Charlotte Hornets</t>
  </si>
  <si>
    <t>New Orleans Pelicans @ New York Knicks</t>
  </si>
  <si>
    <t>Denver Nuggets @ Phoenix Suns</t>
  </si>
  <si>
    <t>Los Angeles Lakers @ Indiana Pacers</t>
  </si>
  <si>
    <t>Chicago Bulls @ Philadelphia 76ers</t>
  </si>
  <si>
    <t>Oklahoma City Thunder @ Boston Celtics</t>
  </si>
  <si>
    <t>Miami Heat @ Cleveland Cavaliers</t>
  </si>
  <si>
    <t>San Antonio Spurs @ Memphis Grizzlies</t>
  </si>
  <si>
    <t>Dallas Mavericks @ Denver Nuggets</t>
  </si>
  <si>
    <t>Toronto Raptors @ LA Clippers</t>
  </si>
  <si>
    <t>New York Knicks @ Charlotte Hornets</t>
  </si>
  <si>
    <t>New Orleans Pelicans @ Detroit Pistons</t>
  </si>
  <si>
    <t>Sacramento Kings @ Orlando Magic</t>
  </si>
  <si>
    <t xml:space="preserve">New Orleans Pelicans </t>
  </si>
  <si>
    <t>LA Clippers @ Indiana Pacers</t>
  </si>
  <si>
    <t>Houston Rockets @ Memphis Grizzlies</t>
  </si>
  <si>
    <t>Chicago Bulls @ Oklahoma City Thunder</t>
  </si>
  <si>
    <t>Utah Jazz @ Denver Nuggets</t>
  </si>
  <si>
    <t>Washington Wizards @ Golden State Warriors</t>
  </si>
  <si>
    <t>Philadelphia 76ers @ Charlotte Hornets</t>
  </si>
  <si>
    <t>Sacramento Kings @ Atlanta Hawks</t>
  </si>
  <si>
    <t>Chicago Bulls @ Memphis Grizzlies</t>
  </si>
  <si>
    <t>Utah Jazz @ Phoenix Suns</t>
  </si>
  <si>
    <t>LA Clippers @ Milwaukee Bucks</t>
  </si>
  <si>
    <t>Miami Heat @ Indiana Pacers</t>
  </si>
  <si>
    <t>Orlando Magic @ Toronto Raptors</t>
  </si>
  <si>
    <t>Washington Wizards @ Portland Trail Blazers</t>
  </si>
  <si>
    <t>Golden State Warriors @ Denver Nuggets</t>
  </si>
  <si>
    <t>Philadelphia 76ers @ Miami Heat</t>
  </si>
  <si>
    <t>Boston Celtics @ Atlanta Hawks</t>
  </si>
  <si>
    <t>Phoenix Suns @ Memphis Grizzlies</t>
  </si>
  <si>
    <t>Chicago Bulls @ San Antonio Spurs</t>
  </si>
  <si>
    <t>Cleveland Cavaliers @ Utah Jazz</t>
  </si>
  <si>
    <t>Detroit Pistons @ Oklahoma City Thunder</t>
  </si>
  <si>
    <t>Washington Wizards @ Los Angeles Lakers</t>
  </si>
  <si>
    <t>Phoenix Suns @ Orlando Magic</t>
  </si>
  <si>
    <t>Toronto Raptors @ Detroit Pistons</t>
  </si>
  <si>
    <t>Dallas Mavericks @ Milwaukee Bucks</t>
  </si>
  <si>
    <t>Cleveland Cavaliers @ Los Angeles Lakers</t>
  </si>
  <si>
    <t>Philadelphia 76ers @ Washington Wizards</t>
  </si>
  <si>
    <t>Atlanta Hawks @ Orlando Magic</t>
  </si>
  <si>
    <t>New York Knicks @ Memphis Grizzlies</t>
  </si>
  <si>
    <t>Sacramento Kings @ Toronto Raptors</t>
  </si>
  <si>
    <t>Indiana Pacers @ Chicago Bulls</t>
  </si>
  <si>
    <t>Milwaukee Bucks @ Houston Rockets</t>
  </si>
  <si>
    <t>Phoenix Suns @ Charlotte Hornets</t>
  </si>
  <si>
    <t>Minnesota Timberwolves @ Detroit Pistons</t>
  </si>
  <si>
    <t>Cleveland Cavaliers @ Golden State Warriors</t>
  </si>
  <si>
    <t>New Orleans Pelicans @ Portland Trail Blazers</t>
  </si>
  <si>
    <t>San Antonio Spurs @ LA Clippers</t>
  </si>
  <si>
    <t>Indiana Pacers @ Charlotte Hornets</t>
  </si>
  <si>
    <t>Minnesota Timberwolves @ Philadelphia 76ers</t>
  </si>
  <si>
    <t>Atlanta Hawks @ Brooklyn Nets</t>
  </si>
  <si>
    <t>Chicago Bulls @ New York Knicks</t>
  </si>
  <si>
    <t>Utah Jazz @ Houston Rockets</t>
  </si>
  <si>
    <t>Toronto Raptors @ Memphis Grizzlies</t>
  </si>
  <si>
    <t>Orlando Magic @ Dallas Mavericks</t>
  </si>
  <si>
    <t>Detroit Pistons @ Philadelphia 76ers</t>
  </si>
  <si>
    <t>Toronto Raptors @ Boston Celtics</t>
  </si>
  <si>
    <t>Phoenix Suns @ Chicago Bulls</t>
  </si>
  <si>
    <t>Memphis Grizzlies @ Milwaukee Bucks</t>
  </si>
  <si>
    <t>Charlotte Hornets @ Minnesota Timberwolves</t>
  </si>
  <si>
    <t>Orlando Magic @ New Orleans Pelicans</t>
  </si>
  <si>
    <t>Utah Jazz @ Oklahoma City Thunder</t>
  </si>
  <si>
    <t>Cleveland Cavaliers @ Memphis Grizzlies</t>
  </si>
  <si>
    <t>Philadelphia 76ers @ San Antonio Spurs</t>
  </si>
  <si>
    <t>Chicago Bulls @ Washington Wizards</t>
  </si>
  <si>
    <t>Minnesota Timberwolves @ Indiana Pacers</t>
  </si>
  <si>
    <t>Miami Heat @ Toronto Raptors</t>
  </si>
  <si>
    <t>Charlotte Hornets @ Boston Celtics</t>
  </si>
  <si>
    <t>Utah Jazz @ New Orleans Pelicans</t>
  </si>
  <si>
    <t>Sacramento Kings @ Golden State Warriors</t>
  </si>
  <si>
    <t>Dallas Mavericks @ LA Clippers</t>
  </si>
  <si>
    <t>Atlanta Hawks @ Cleveland Cavaliers</t>
  </si>
  <si>
    <t>Minnesota Timberwolves @ Orlando Magic</t>
  </si>
  <si>
    <t>Oklahoma City Thunder @ LA Clippers</t>
  </si>
  <si>
    <t>Boston Celtics @ New York Knicks</t>
  </si>
  <si>
    <t>Philadelphia 76ers @ Houston Rockets</t>
  </si>
  <si>
    <t>Los Angeles Lakers @ Golden State Warriors</t>
  </si>
  <si>
    <t>Detroit Pistons @ Charlotte Hornets</t>
  </si>
  <si>
    <t>New Orleans Pelicans @ Boston Celtics</t>
  </si>
  <si>
    <t>Orlando Magic @ Chicago Bulls</t>
  </si>
  <si>
    <t>Oklahoma City Thunder @ Denver Nuggets</t>
  </si>
  <si>
    <t>Minnesota Timberwolves @ Houston Rockets</t>
  </si>
  <si>
    <t>Chicago Bulls @ Dallas Mavericks</t>
  </si>
  <si>
    <t>Memphis Grizzlies @ Houston Rockets</t>
  </si>
  <si>
    <t>Phoenix Suns @ Oklahoma City Thunder</t>
  </si>
  <si>
    <t>Sacramento Kings @ Portland Trail Blazers</t>
  </si>
  <si>
    <t>Portland Trail Blazers @ Phoenix Suns</t>
  </si>
  <si>
    <t>Charlotte Hornets @ Orlando Magic</t>
  </si>
  <si>
    <t>Cleveland Cavaliers @ Toronto Raptors</t>
  </si>
  <si>
    <t>Denver Nuggets @ Minnesota Timberwolves</t>
  </si>
  <si>
    <t>Boston Celtics @ Philadelphia 76ers</t>
  </si>
  <si>
    <t xml:space="preserve">Los Angeles Lakers </t>
  </si>
  <si>
    <t>San Antonio Spurs @ Portland Trail Blazers</t>
  </si>
  <si>
    <t>Oklahoma City Thunder @ Phoenix Suns</t>
  </si>
  <si>
    <t xml:space="preserve">San Antonio Spurs </t>
  </si>
  <si>
    <t xml:space="preserve">Boston Celtics </t>
  </si>
  <si>
    <t xml:space="preserve">Minnesota Timberwolves </t>
  </si>
  <si>
    <t>Minnesota Timberwolves @ San Antonio Spurs</t>
  </si>
  <si>
    <t xml:space="preserve">Cleveland Cavaliers </t>
  </si>
  <si>
    <t>Picks</t>
  </si>
  <si>
    <t>Valida Cuotas</t>
  </si>
  <si>
    <t>Bankroll (700$)</t>
  </si>
  <si>
    <t>Stake Minimo</t>
  </si>
  <si>
    <t>Stake Maximo</t>
  </si>
  <si>
    <t>Acierto</t>
  </si>
  <si>
    <t>Ganancia</t>
  </si>
  <si>
    <t>Retiro</t>
  </si>
  <si>
    <t>Ganancia Neta</t>
  </si>
  <si>
    <t>Bankroll+Ganancia</t>
  </si>
  <si>
    <t>ROI</t>
  </si>
  <si>
    <t>Rollover</t>
  </si>
  <si>
    <t>Stop-Loss</t>
  </si>
  <si>
    <t>Stop-Win</t>
  </si>
  <si>
    <t>Semana</t>
  </si>
  <si>
    <t>Un ROI objetivo del 5% mensual</t>
  </si>
  <si>
    <t>Semana 1</t>
  </si>
  <si>
    <t>Semana 2</t>
  </si>
  <si>
    <t>Semana 3</t>
  </si>
  <si>
    <t>ENTRENAMIENTO</t>
  </si>
  <si>
    <t>Semana 4</t>
  </si>
  <si>
    <t>Semana 5</t>
  </si>
  <si>
    <t>Semana 6</t>
  </si>
  <si>
    <t>Semana 7</t>
  </si>
  <si>
    <t>Semana 8</t>
  </si>
  <si>
    <t>Semana 9</t>
  </si>
  <si>
    <t>Semana 10</t>
  </si>
  <si>
    <t>Semana 11</t>
  </si>
  <si>
    <t>Semana 12</t>
  </si>
  <si>
    <t>Semana 13</t>
  </si>
  <si>
    <t>Semana 14</t>
  </si>
  <si>
    <t>Semana 15</t>
  </si>
  <si>
    <t>Semana 16</t>
  </si>
  <si>
    <t>Semana 17</t>
  </si>
  <si>
    <t>Semana 18</t>
  </si>
  <si>
    <t>Semana 19</t>
  </si>
  <si>
    <t>Semana 20</t>
  </si>
  <si>
    <t>Semana 21</t>
  </si>
  <si>
    <t>Semana 22</t>
  </si>
  <si>
    <t>Semana 23</t>
  </si>
  <si>
    <t>Semana 24</t>
  </si>
  <si>
    <t>Semana 25</t>
  </si>
  <si>
    <t>Semana 26</t>
  </si>
  <si>
    <t>Semana 27</t>
  </si>
  <si>
    <t>Semana 28</t>
  </si>
  <si>
    <t>Semana 29</t>
  </si>
  <si>
    <t>Total</t>
  </si>
  <si>
    <t>E1</t>
  </si>
  <si>
    <t>Partido</t>
  </si>
  <si>
    <t>Visitante</t>
  </si>
  <si>
    <t>Pro</t>
  </si>
  <si>
    <t>Real</t>
  </si>
  <si>
    <t>OU_V</t>
  </si>
  <si>
    <t>Home</t>
  </si>
  <si>
    <t>Pro2</t>
  </si>
  <si>
    <t>Real3</t>
  </si>
  <si>
    <t>O/U_H</t>
  </si>
  <si>
    <t>Tot</t>
  </si>
  <si>
    <t>Tot R</t>
  </si>
  <si>
    <t>O/U_T</t>
  </si>
  <si>
    <t>Dif</t>
  </si>
  <si>
    <t>Real4</t>
  </si>
  <si>
    <t>W/L</t>
  </si>
  <si>
    <t>Mes</t>
  </si>
  <si>
    <t>Golden State Warriors @ Los Angeles Lakers</t>
  </si>
  <si>
    <t>Brooklyn Nets @ Charlotte Hornets</t>
  </si>
  <si>
    <t>Toronto Raptors @ Atlanta Hawks</t>
  </si>
  <si>
    <t>Sacramento Kings @ Phoenix Suns</t>
  </si>
  <si>
    <t>Minnesota Timberwolves @ Portland Trail Blazers</t>
  </si>
  <si>
    <t>Oklahoma City Thunder @ Indiana Pacers</t>
  </si>
  <si>
    <t>Denver Nuggets @ Golden State Warriors</t>
  </si>
  <si>
    <t>Milwaukee Bucks @ Toronto Raptors</t>
  </si>
  <si>
    <t>Cleveland Cavaliers @ Brooklyn Nets</t>
  </si>
  <si>
    <t>Detroit Pistons @ Houston Rockets</t>
  </si>
  <si>
    <t>Miami Heat @ Memphis Grizzlies</t>
  </si>
  <si>
    <t>Washington Wizards @ Dallas Mavericks</t>
  </si>
  <si>
    <t>Minnesota Timberwolves @ Los Angeles Lakers</t>
  </si>
  <si>
    <t>Golden State Warriors @ Portland Trail Blazers</t>
  </si>
  <si>
    <t>Phoenix Suns @ LA Clippers'</t>
  </si>
  <si>
    <t>Oklahoma City Thunder @ Atlanta Hawks</t>
  </si>
  <si>
    <t>Charlotte Hornets @ Philadelphia 76ers</t>
  </si>
  <si>
    <t>Indiana Pacers @ Memphis Grizzlies</t>
  </si>
  <si>
    <t>Phoenix Suns @ Denver Nuggets</t>
  </si>
  <si>
    <t>Brooklyn Nets @ San Antonio Spurs</t>
  </si>
  <si>
    <t>New York Knicks @ Miami Heat</t>
  </si>
  <si>
    <t>Charlotte Hornets @ Washington Wizards</t>
  </si>
  <si>
    <t>Indiana Pacers @ Minnesota Timberwolves</t>
  </si>
  <si>
    <t>Toronto Raptors @ Dallas Mavericks</t>
  </si>
  <si>
    <t>Portland Trail Blazers @ LA Clippers</t>
  </si>
  <si>
    <t>Los Angeles Lakers @ Sacramento Kings</t>
  </si>
  <si>
    <t>Atlanta Hawks @ Chicago Bulls</t>
  </si>
  <si>
    <t>Brooklyn Nets @ Houston Rockets</t>
  </si>
  <si>
    <t>Boston Celtics @ New Orleans Pelicans</t>
  </si>
  <si>
    <t>Toronto Raptors @ San Antonio Spurs</t>
  </si>
  <si>
    <t>Phoenix Suns @ Utah Jazz</t>
  </si>
  <si>
    <t>Portland Trail Blazers @ Los Angeles Lakers</t>
  </si>
  <si>
    <t>Charlotte Hornets @ Miami Heat</t>
  </si>
  <si>
    <t>New York Knicks @ Milwaukee Bucks</t>
  </si>
  <si>
    <t>Houston Rockets @ Toronto Raptors</t>
  </si>
  <si>
    <t>Cleveland Cavaliers @ Boston Celtics</t>
  </si>
  <si>
    <t>Sacramento Kings @ Chicago Bulls</t>
  </si>
  <si>
    <t>Indiana Pacers @ Dallas Mavericks</t>
  </si>
  <si>
    <t>New Orleans Pelicans @ Denver Nuggets</t>
  </si>
  <si>
    <t>Los Angeles Lakers @ Minnesota Timberwolves</t>
  </si>
  <si>
    <t>Memphis Grizzlies @ Phoenix Suns</t>
  </si>
  <si>
    <t>Golden State Warriors @ Milwaukee Bucks</t>
  </si>
  <si>
    <t>Washington Wizards @ Oklahoma City Thunder</t>
  </si>
  <si>
    <t>Miami Heat @ San Antonio Spurs</t>
  </si>
  <si>
    <t>Atlanta Hawks @ Indiana Pacers</t>
  </si>
  <si>
    <t>Los Angeles Lakers @ Memphis Grizzlies</t>
  </si>
  <si>
    <t>New Orleans Pelicans @ LA Clippers</t>
  </si>
  <si>
    <t>Sacramento Kings @ Milwaukee Bucks</t>
  </si>
  <si>
    <t>Minnesota Timberwolves @ Charlotte Hornets</t>
  </si>
  <si>
    <t>Golden State Warriors @ Indiana Pacers</t>
  </si>
  <si>
    <t>Houston Rockets @ Boston Celtics</t>
  </si>
  <si>
    <t>Dallas Mavericks @ Detroit Pistons</t>
  </si>
  <si>
    <t>Utah Jazz @ Charlotte Hornets</t>
  </si>
  <si>
    <t>Memphis Grizzlies @ Toronto Raptors</t>
  </si>
  <si>
    <t>Miami Heat @ Los Angeles Lakers</t>
  </si>
  <si>
    <t>Minnesota Timberwolves @ Brooklyn Nets</t>
  </si>
  <si>
    <t>Utah Jazz @ Boston Celtics</t>
  </si>
  <si>
    <t>Dallas Mavericks @ Houston Rockets</t>
  </si>
  <si>
    <t>Detroit Pistons @ Memphis Grizzlies</t>
  </si>
  <si>
    <t>Sacramento Kings @ Denver Nuggets</t>
  </si>
  <si>
    <t>Los Angeles Lakers @ Portland Trail Blazers</t>
  </si>
  <si>
    <t>Miami Heat @ LA Clippers</t>
  </si>
  <si>
    <t>Orlando Magic @ Atlanta Hawks</t>
  </si>
  <si>
    <t>Philadelphia 76ers @ Chicago Bulls</t>
  </si>
  <si>
    <t>Charlotte Hornets @ New Orleans Pelicans</t>
  </si>
  <si>
    <t>Philadelphia 76ers @ Cleveland Cavaliers</t>
  </si>
  <si>
    <t>Utah Jazz @ Detroit Pistons</t>
  </si>
  <si>
    <t>Brooklyn Nets @ Indiana Pacers</t>
  </si>
  <si>
    <t>Minnesota Timberwolves @ New York Knicks</t>
  </si>
  <si>
    <t>New Orleans Pelicans @ Dallas Mavericks</t>
  </si>
  <si>
    <t>Miami Heat @ Denver Nuggets</t>
  </si>
  <si>
    <t>San Antonio Spurs @ Los Angeles Lakers</t>
  </si>
  <si>
    <t>Oklahoma City Thunder @ Portland Trail Blazers</t>
  </si>
  <si>
    <t>Golden State Warriors @ Sacramento Kings</t>
  </si>
  <si>
    <t>Boston Celtics @ Orlando Magic</t>
  </si>
  <si>
    <t>Houston Rockets @ San Antonio Spurs</t>
  </si>
  <si>
    <t>Chicago Bulls @ Milwaukee Bucks</t>
  </si>
  <si>
    <t>Utah Jazz @ Minnesota Timberwolves</t>
  </si>
  <si>
    <t>Oklahoma City Thunder @ Sacramento Kings</t>
  </si>
  <si>
    <t>Dallas Mavericks @ Washington Wizards</t>
  </si>
  <si>
    <t>Toronto Raptors @ Philadelphia 76ers</t>
  </si>
  <si>
    <t>Los Angeles Lakers @ Atlanta Hawks</t>
  </si>
  <si>
    <t>Portland Trail Blazers @ Miami Heat</t>
  </si>
  <si>
    <t>Indiana Pacers @ Denver Nuggets</t>
  </si>
  <si>
    <t>Phoenix Suns @ LA Clippers</t>
  </si>
  <si>
    <t>Houston Rockets @ Milwaukee Bucks</t>
  </si>
  <si>
    <t>Brooklyn Nets @ New York Knicks</t>
  </si>
  <si>
    <t>Oklahoma City Thunder @ Memphis Grizzlies</t>
  </si>
  <si>
    <t>Indiana Pacers @ Golden State Warriors</t>
  </si>
  <si>
    <t>Portland Trail Blazers @ Orlando Magic</t>
  </si>
  <si>
    <t>Cleveland Cavaliers @ Miami Heat</t>
  </si>
  <si>
    <t>Minnesota Timberwolves @ Utah Jazz</t>
  </si>
  <si>
    <t>Indiana Pacers @ Utah Jazz</t>
  </si>
  <si>
    <t>Washington Wizards @ Houston Rockets</t>
  </si>
  <si>
    <t>Philadelphia 76ers @ Detroit Pistons</t>
  </si>
  <si>
    <t>Charlotte Hornets @ Milwaukee Bucks</t>
  </si>
  <si>
    <t>Toronto Raptors @ Indiana Pacers</t>
  </si>
  <si>
    <t>Chicago Bulls @ Utah Jazz</t>
  </si>
  <si>
    <t>Chicago Bulls @ Denver Nuggets</t>
  </si>
  <si>
    <t>Utah Jazz @ Los Angeles Lakers</t>
  </si>
  <si>
    <t>Golden State Warriors @ Miami Heat</t>
  </si>
  <si>
    <t>Washington Wizards @ Minnesota Timberwolves</t>
  </si>
  <si>
    <t>Denver Nuggets @ New Orleans Pelicans</t>
  </si>
  <si>
    <t>New York Knicks @ Dallas Mavericks</t>
  </si>
  <si>
    <t>Chicago Bulls @ Portland Trail Blazers</t>
  </si>
  <si>
    <t>Brooklyn Nets @ Boston Celtics</t>
  </si>
  <si>
    <t>Washington Wizards @ Toronto Raptors</t>
  </si>
  <si>
    <t>Denver Nuggets @ Houston Rockets</t>
  </si>
  <si>
    <t>New York Knicks @ Orlando Magic</t>
  </si>
  <si>
    <t>Washington Wizards @ Chicago Bulls</t>
  </si>
  <si>
    <t>Orlando Magic @ Boston Celtics</t>
  </si>
  <si>
    <t>Brooklyn Nets @ Toronto Raptors</t>
  </si>
  <si>
    <t>New York Knicks @ Brooklyn Nets</t>
  </si>
  <si>
    <t>Dallas Mavericks @ Miami Heat</t>
  </si>
  <si>
    <t>Chicago Bulls @ New Orleans Pelicans</t>
  </si>
  <si>
    <t>LA Clippers @ Los Angeles Lakers</t>
  </si>
  <si>
    <t>Milwaukee Bucks @ New York Knicks</t>
  </si>
  <si>
    <t>Boston Celtics @ Cleveland Cavaliers</t>
  </si>
  <si>
    <t>Toronto Raptors @ New York Knicks</t>
  </si>
  <si>
    <t>LA Clippers @ Miami Heat</t>
  </si>
  <si>
    <t>San Antonio Spurs @ Orlando Magic</t>
  </si>
  <si>
    <t>Portland Trail Blazers @ Detroit Pistons</t>
  </si>
  <si>
    <t>Dallas Mavericks @ Oklahoma City Thunder</t>
  </si>
  <si>
    <t>Sacramento Kings @ Miami Heat</t>
  </si>
  <si>
    <t>Denver Nuggets @ Charlotte Hornets</t>
  </si>
  <si>
    <t>Los Angeles Lakers @ Philadelphia 76ers</t>
  </si>
  <si>
    <t>Indiana Pacers @ Philadelphia 76ers</t>
  </si>
  <si>
    <t>Utah Jazz @ Memphis Grizzlies</t>
  </si>
  <si>
    <t>Toronto Raptors @ Miami Heat</t>
  </si>
  <si>
    <t>Miami Heat @ Brooklyn Nets</t>
  </si>
  <si>
    <t>Detroit Pistons @ Dallas Mavericks</t>
  </si>
  <si>
    <t>San Antonio Spurs @ Atlanta Hawks</t>
  </si>
  <si>
    <t>Charlotte Hornets @ Detroit Pistons</t>
  </si>
  <si>
    <t>Memphis Grizzlies @ Oklahoma City Thunder</t>
  </si>
  <si>
    <t>Orlando Magic @ Portland Trail Blazers</t>
  </si>
  <si>
    <t>Detroit Pistons @ Utah Jazz</t>
  </si>
  <si>
    <t>Denver Nuggets @ Orlando Magic</t>
  </si>
  <si>
    <t>Indiana Pacers @ Miami Heat</t>
  </si>
  <si>
    <t>Cleveland Cavaliers @ Houston Rockets</t>
  </si>
  <si>
    <t>Brooklyn Nets @ Minnesota Timberwolves</t>
  </si>
  <si>
    <t>Denver Nuggets @ Miami Heat</t>
  </si>
  <si>
    <t>Minnesota Timberwolves @ Chicago Bulls</t>
  </si>
  <si>
    <t>Boston Celtics @ Utah Jazz</t>
  </si>
  <si>
    <t>Detroit Pistons @ Los Angeles Lakers</t>
  </si>
  <si>
    <t>Minnesota Timberwolves @ Atlanta Hawks</t>
  </si>
  <si>
    <t>Orlando Magic @ Indiana Pacers</t>
  </si>
  <si>
    <t>Denver Nuggets @ Toronto Raptors</t>
  </si>
  <si>
    <t>Houston Rockets @ Brooklyn Nets</t>
  </si>
  <si>
    <t>Miami Heat @ Detroit Pistons</t>
  </si>
  <si>
    <t>Philadelphia 76ers @ Dallas Mavericks</t>
  </si>
  <si>
    <t>Denver Nuggets @ Cleveland Cavaliers</t>
  </si>
  <si>
    <t>Memphis Grizzlies @ Los Angeles Lakers</t>
  </si>
  <si>
    <t>Atlanta Hawks @ Toronto Raptors</t>
  </si>
  <si>
    <t>Boston Celtics @ LA Clippers</t>
  </si>
  <si>
    <t>New Orleans Pelicans @ Miami Heat</t>
  </si>
  <si>
    <t>Miami Heat @ Minnesota Timberwolves</t>
  </si>
  <si>
    <t>Denver Nuggets @ Boston Celtics</t>
  </si>
  <si>
    <t>New Orleans Pelicans @ Atlanta Hawks</t>
  </si>
  <si>
    <t>Orlando Magic @ Brooklyn Nets</t>
  </si>
  <si>
    <t>LA Clippers @ New York Knicks</t>
  </si>
  <si>
    <t>Los Angeles Lakers @ San Antonio Spurs</t>
  </si>
  <si>
    <t>Milwaukee Bucks @ Golden State Warriors</t>
  </si>
  <si>
    <t>Houston Rockets @ Portland Trail Blazers</t>
  </si>
  <si>
    <t>Cleveland Cavaliers @ Minnesota Timberwolves</t>
  </si>
  <si>
    <t>Philadelphia 76ers @ Orlando Magic</t>
  </si>
  <si>
    <t>New Orleans Pelicans @ Washington Wizards</t>
  </si>
  <si>
    <t>LA Clippers @ Brooklyn Nets</t>
  </si>
  <si>
    <t>Atlanta Hawks @ Denver Nuggets</t>
  </si>
  <si>
    <t>New York Knicks @ Phoenix Suns</t>
  </si>
  <si>
    <t>Milwaukee Bucks @ Los Angeles Lakers</t>
  </si>
  <si>
    <t>Minnesota Timberwolves @ Cleveland Cavaliers</t>
  </si>
  <si>
    <t>LA Clippers @ Detroit Pistons</t>
  </si>
  <si>
    <t>San Antonio Spurs @ Boston Celtics</t>
  </si>
  <si>
    <t>Dallas Mavericks @ Chicago Bulls</t>
  </si>
  <si>
    <t>Charlotte Hornets @ Utah Jazz</t>
  </si>
  <si>
    <t>New Orleans Pelicans @ Orlando Magic</t>
  </si>
  <si>
    <t>Brooklyn Nets @ Memphis Grizzlies</t>
  </si>
  <si>
    <t>Philadelphia 76ers @ Toronto Raptors</t>
  </si>
  <si>
    <t>New York Knicks @ Portland Trail Blazers</t>
  </si>
  <si>
    <t>Miami Heat @ Oklahoma City Thunder</t>
  </si>
  <si>
    <t>Milwaukee Bucks @ Denver Nuggets</t>
  </si>
  <si>
    <t>Washington Wizards @ Phoenix Suns</t>
  </si>
  <si>
    <t>Atlanta Hawks @ Golden State Warriors</t>
  </si>
  <si>
    <t>Charlotte Hornets @ LA Clippers</t>
  </si>
  <si>
    <t>Phoenix Suns @ Miami Heat</t>
  </si>
  <si>
    <t>Chicago Bulls @ Houston Rockets</t>
  </si>
  <si>
    <t>Minnesota Timberwolves @ Milwaukee Bucks</t>
  </si>
  <si>
    <t>Atlanta Hawks @ Los Angeles Lakers</t>
  </si>
  <si>
    <t>Brooklyn Nets @ New Orleans Pelicans</t>
  </si>
  <si>
    <t>New York Knicks @ Sacramento Kings</t>
  </si>
  <si>
    <t>Washington Wizards @ LA Clippers</t>
  </si>
  <si>
    <t>Memphis Grizzlies @ Orlando Magic</t>
  </si>
  <si>
    <t>Phoenix Suns @ Detroit Pistons</t>
  </si>
  <si>
    <t>Oklahoma City Thunder @ Houston Rockets</t>
  </si>
  <si>
    <t>Milwaukee Bucks @ San Antonio Spurs</t>
  </si>
  <si>
    <t>Utah Jazz @ Dallas Mavericks</t>
  </si>
  <si>
    <t>New York Knicks @ Golden State Warriors</t>
  </si>
  <si>
    <t>Charlotte Hornets @ Los Angeles Lakers</t>
  </si>
  <si>
    <t>New Orleans Pelicans @ Indiana Pacers</t>
  </si>
  <si>
    <t>LA Clippers @ Toronto Raptors</t>
  </si>
  <si>
    <t>Washington Wizards @ Sacramento Kings</t>
  </si>
  <si>
    <t>Phoenix Suns @ New York Knicks</t>
  </si>
  <si>
    <t>Oklahoma City Thunder @ Miami Heat</t>
  </si>
  <si>
    <t>Charlotte Hornets @ Golden State Warriors</t>
  </si>
  <si>
    <t>Washington Wizards @ Denver Nuggets</t>
  </si>
  <si>
    <t>Orlando Magic @ Memphis Grizzlies</t>
  </si>
  <si>
    <t>Charlotte Hornets @ Denver Nuggets</t>
  </si>
  <si>
    <t>Toronto Raptors @ Los Angeles Lakers</t>
  </si>
  <si>
    <t>Milwaukee Bucks @ Atlanta Hawks</t>
  </si>
  <si>
    <t>LA Clippers @ Washington Wizards</t>
  </si>
  <si>
    <t>Dallas Mavericks @ New York Knicks</t>
  </si>
  <si>
    <t>Phoenix Suns @ Brooklyn Nets</t>
  </si>
  <si>
    <t>Miami Heat @ Golden State Warriors</t>
  </si>
  <si>
    <t>Phoenix Suns @ Philadelphia 76ers</t>
  </si>
  <si>
    <t>LA Clippers @ Chicago Bulls</t>
  </si>
  <si>
    <t>San Antonio Spurs @ Houston Rockets</t>
  </si>
  <si>
    <t>Toronto Raptors @ Golden State Warriors</t>
  </si>
  <si>
    <t>Atlanta Hawks @ Memphis Grizzlies</t>
  </si>
  <si>
    <t>Detroit Pistons @ New Orleans Pelicans</t>
  </si>
  <si>
    <t>Toronto Raptors @ Sacramento Kings</t>
  </si>
  <si>
    <t>Houston Rockets @ Philadelphia 76ers</t>
  </si>
  <si>
    <t>Denver Nuggets @ Washington Wizards</t>
  </si>
  <si>
    <t>San Antonio Spurs @ Utah Jazz</t>
  </si>
  <si>
    <t>Houston Rockets @ Detroit Pistons</t>
  </si>
  <si>
    <t>Phoenix Suns @ Atlanta Hawks</t>
  </si>
  <si>
    <t>Sacramento Kings @ Cleveland Cavaliers</t>
  </si>
  <si>
    <t>Indiana Pacers @ Oklahoma City Thunder</t>
  </si>
  <si>
    <t>Denver Nuggets @ Milwaukee Bucks</t>
  </si>
  <si>
    <t>Sacramento Kings @ Detroit Pistons</t>
  </si>
  <si>
    <t>Toronto Raptors @ Oklahoma City Thunder</t>
  </si>
  <si>
    <t>Brooklyn Nets @ LA Clippers</t>
  </si>
  <si>
    <t>Portland Trail Blazers @ Boston Celtics</t>
  </si>
  <si>
    <t>Detroit Pistons @ Denver Nuggets</t>
  </si>
  <si>
    <t>Brooklyn Nets @ Phoenix Suns</t>
  </si>
  <si>
    <t>Charlotte Hornets @ Memphis Grizzlies</t>
  </si>
  <si>
    <t>Houston Rockets @ Atlanta Hawks</t>
  </si>
  <si>
    <t>Los Angeles Lakers @ Washington Wizards</t>
  </si>
  <si>
    <t>Toronto Raptors @ Orlando Magic</t>
  </si>
  <si>
    <t>Sacramento Kings @ Boston Celtics</t>
  </si>
  <si>
    <t>Cleveland Cavaliers @ Phoenix Suns</t>
  </si>
  <si>
    <t>Detroit Pistons @ Golden State Warriors</t>
  </si>
  <si>
    <t>San Antonio Spurs @ Charlotte Hornets</t>
  </si>
  <si>
    <t>Minnesota Timberwolves @ Memphis Grizzlies</t>
  </si>
  <si>
    <t>Sacramento Kings @ Washington Wizards</t>
  </si>
  <si>
    <t>Cleveland Cavaliers @ Portland Trail Blazers</t>
  </si>
  <si>
    <t>New Orleans Pelicans @ Charlotte Hornets</t>
  </si>
  <si>
    <t>New York Knicks @ Washington Wizards</t>
  </si>
  <si>
    <t>Los Angeles Lakers @ Brooklyn Nets</t>
  </si>
  <si>
    <t>Orlando Magic @ Oklahoma City Thunder</t>
  </si>
  <si>
    <t>Philadelphia 76ers @ Golden State Warriors</t>
  </si>
  <si>
    <t>Denver Nuggets @ New York Knicks</t>
  </si>
  <si>
    <t>Minnesota Timberwolves @ Toronto Raptors</t>
  </si>
  <si>
    <t>Boston Celtics @ Houston Rockets</t>
  </si>
  <si>
    <t>New Orleans Pelicans @ Milwaukee Bucks</t>
  </si>
  <si>
    <t>Cleveland Cavaliers @ LA Clippers</t>
  </si>
  <si>
    <t>Chicago Bulls @ Toronto Raptors</t>
  </si>
  <si>
    <t>Charlotte Hornets @ Houston Rockets</t>
  </si>
  <si>
    <t>Philadelphia 76ers @ Portland Trail Blazers</t>
  </si>
  <si>
    <t>Indiana Pacers @ New York Knicks</t>
  </si>
  <si>
    <t>Brooklyn Nets @ Oklahoma City Thunder</t>
  </si>
  <si>
    <t>Houston Rockets @ New York Knicks</t>
  </si>
  <si>
    <t>Cleveland Cavaliers @ Oklahoma City Thunder</t>
  </si>
  <si>
    <t>San Antonio Spurs @ Detroit Pistons</t>
  </si>
  <si>
    <t>Dallas Mavericks @ Brooklyn Nets</t>
  </si>
  <si>
    <t>Oklahoma City Thunder @ Toronto Raptors</t>
  </si>
  <si>
    <t>Oklahoma City Thunder @ Detroit Pistons</t>
  </si>
  <si>
    <t>Houston Rockets @ Orlando Magic</t>
  </si>
  <si>
    <t>Houston Rockets @ Washington Wizards</t>
  </si>
  <si>
    <t>Oklahoma City Thunder @ Chicago Bulls</t>
  </si>
  <si>
    <t>Oklahoma City Thunder @ New York Knicks</t>
  </si>
  <si>
    <t>Toronto Raptors @ Minnesota Timberwolves</t>
  </si>
  <si>
    <t>Chicago Bulls @ Phoenix Suns</t>
  </si>
  <si>
    <t>Orlando Magic @ Minnesota Timberwolves</t>
  </si>
  <si>
    <t>New York Knicks @ Los Angeles Lakers</t>
  </si>
  <si>
    <t>Orlando Magic @ Milwaukee Bucks</t>
  </si>
  <si>
    <t>Memphis Grizzlies @ Brooklyn Nets</t>
  </si>
  <si>
    <t>New York Knicks @ LA Clippers</t>
  </si>
  <si>
    <t>Memphis Grizzlies @ Philadelphia 76ers</t>
  </si>
  <si>
    <t>Toronto Raptors @ Houston Rockets</t>
  </si>
  <si>
    <t>Phoenix Suns @ Milwaukee Bucks</t>
  </si>
  <si>
    <t>Chicago Bulls @ Golden State Warriors</t>
  </si>
  <si>
    <t>Phoenix Suns @ Indiana Pacers</t>
  </si>
  <si>
    <t>Boston Celtics @ Oklahoma City Thunder</t>
  </si>
  <si>
    <t>Phoenix Suns @ Toronto Raptors</t>
  </si>
  <si>
    <t>Charlotte Hornets @ San Antonio Spurs</t>
  </si>
  <si>
    <t>Minnesota Timberwolves @ Oklahoma City</t>
  </si>
  <si>
    <t>Golden State Warriors @ Washington Wizards</t>
  </si>
  <si>
    <t>Portland Trail Blazers @ Brooklyn Nets</t>
  </si>
  <si>
    <t>Phoenix Suns @ Boston Celtics</t>
  </si>
  <si>
    <t>Oklahoma City Thunder @ Orlando Magic</t>
  </si>
  <si>
    <t>San Antonio Spurs @ Sacramento Kings</t>
  </si>
  <si>
    <t>LA Clippers @ New Orleans Pelicans</t>
  </si>
  <si>
    <t>Oklahoma City Thunder @ Washington Wizards</t>
  </si>
  <si>
    <t>Memphis Grizzlies @ Charlotte Hornets</t>
  </si>
  <si>
    <t>Los Angeles Lakers @ Orlando Magic</t>
  </si>
  <si>
    <t>Cleveland Cavaliers @ New Orleans Pelicans</t>
  </si>
  <si>
    <t>Golden State Warriors @ Atlanta Hawks</t>
  </si>
  <si>
    <t>Miami Heat @ Houston Rockets</t>
  </si>
  <si>
    <t>Indiana Pacers @ San Antonio Spurs</t>
  </si>
  <si>
    <t>Philadelphia 76ers @ Utah Jazz</t>
  </si>
  <si>
    <t>Milwaukee Bucks @ Phoenix Suns</t>
  </si>
  <si>
    <t>Brooklyn Nets @ Sacramento Kings</t>
  </si>
  <si>
    <t>Minnesota Timberwolves @ Boston Celtics</t>
  </si>
  <si>
    <t>Toronto Raptors @ Phoenix Suns</t>
  </si>
  <si>
    <t>Los Angeles Lakers @ Detroit Pistons</t>
  </si>
  <si>
    <t>Brooklyn Nets @ Portland Trail Blazers</t>
  </si>
  <si>
    <t>Milwaukee Bucks @ LA Clippers</t>
  </si>
  <si>
    <t>Washington Wizards @ Utah Jazz</t>
  </si>
  <si>
    <t>Houston Rockets @ Minnesota Timberwolves</t>
  </si>
  <si>
    <t>Brooklyn Nets @ Golden State Warriors</t>
  </si>
  <si>
    <t>Milwaukee Bucks @ Portland Trail Blazers</t>
  </si>
  <si>
    <t>New Orleans Pelicans @ Toronto Raptors</t>
  </si>
  <si>
    <t>Brooklyn Nets @ Los Angeles Lakers</t>
  </si>
  <si>
    <t>San Antonio Spurs @ Milwaukee Bucks</t>
  </si>
  <si>
    <t>Detroit Pistons @ Minnesota Timberwolves</t>
  </si>
  <si>
    <t>Sacramento Kings @ Brooklyn Nets</t>
  </si>
  <si>
    <t>Boston Celtics @ Charlotte Hornets</t>
  </si>
  <si>
    <t>New York Knicks @ Oklahoma City Thunder</t>
  </si>
  <si>
    <t>New York Knicks @ Houston Rockets</t>
  </si>
  <si>
    <t>Dashboard NBA – Tendencias por Periodo</t>
  </si>
  <si>
    <t>Fecha de actualización</t>
  </si>
  <si>
    <t>Selecciona semana:</t>
  </si>
  <si>
    <t>Semana 32</t>
  </si>
  <si>
    <t>Total de partidos</t>
  </si>
  <si>
    <t>Over Visitantes</t>
  </si>
  <si>
    <t>Over Local</t>
  </si>
  <si>
    <t>Over Total</t>
  </si>
  <si>
    <t>Pronostico partido</t>
  </si>
  <si>
    <t>Selecciona mes:</t>
  </si>
  <si>
    <t>may</t>
  </si>
  <si>
    <t>Suma de OU_V</t>
  </si>
  <si>
    <t>Promedio de OU_V2</t>
  </si>
  <si>
    <t>Suma de O/U_H</t>
  </si>
  <si>
    <t>Promedio de O/U_H2</t>
  </si>
  <si>
    <t>Suma de O/U_T</t>
  </si>
  <si>
    <t>Promedio de O/U_T2</t>
  </si>
  <si>
    <t>Suma de W/L</t>
  </si>
  <si>
    <t>Promedio de W/L2</t>
  </si>
  <si>
    <t>Total general</t>
  </si>
  <si>
    <t>Semana Año</t>
  </si>
  <si>
    <t>Semana Temporada</t>
  </si>
  <si>
    <t>nov</t>
  </si>
  <si>
    <t>dic</t>
  </si>
  <si>
    <t>ene</t>
  </si>
  <si>
    <t>feb</t>
  </si>
  <si>
    <t>mar</t>
  </si>
  <si>
    <t>abr</t>
  </si>
  <si>
    <t>jun</t>
  </si>
  <si>
    <t>jul</t>
  </si>
  <si>
    <t>ago</t>
  </si>
  <si>
    <t>sep</t>
  </si>
  <si>
    <t>Semana 30</t>
  </si>
  <si>
    <t>Semana 31</t>
  </si>
  <si>
    <t>Semana 33</t>
  </si>
  <si>
    <t>Semana 34</t>
  </si>
  <si>
    <t>Semana 35</t>
  </si>
  <si>
    <t>Semana 36</t>
  </si>
  <si>
    <t>Semana 37</t>
  </si>
  <si>
    <t>Semana 38</t>
  </si>
  <si>
    <t>Semana 39</t>
  </si>
  <si>
    <t>Semana 40</t>
  </si>
  <si>
    <t>Semana 41</t>
  </si>
  <si>
    <t>Semana 42</t>
  </si>
  <si>
    <t>Semana 43</t>
  </si>
  <si>
    <t>Semana 44</t>
  </si>
  <si>
    <t>Semana 45</t>
  </si>
  <si>
    <t>Semana 46</t>
  </si>
  <si>
    <t>Semana 47</t>
  </si>
  <si>
    <t>Semana 48</t>
  </si>
  <si>
    <t>Semana 49</t>
  </si>
  <si>
    <t>Semana 50</t>
  </si>
  <si>
    <t>Semana 51</t>
  </si>
  <si>
    <t>Semana 52</t>
  </si>
  <si>
    <t>K% = W - [ (1 - W) / R ]</t>
  </si>
  <si>
    <t>Milwaukee Brewers Over Individual</t>
  </si>
  <si>
    <t>Pittsburgh Pirates vs Milwaukee Brewers Over</t>
  </si>
  <si>
    <t>New York Yankees vs Toronto Blue Jays Over</t>
  </si>
  <si>
    <t>Atlanta Braves vs Seattle Mariners Over</t>
  </si>
  <si>
    <t>Texas Rangers vs Houston Astros Over</t>
  </si>
  <si>
    <t>San Francisco Giants Over Individual</t>
  </si>
  <si>
    <t>St. Louis Cardinals vs San Francisco Giants Over</t>
  </si>
  <si>
    <t>Colorado Rockies vs San Diego Padres Over</t>
  </si>
  <si>
    <t>Arizona Diamondbacks vs Boston Red Sox Over</t>
  </si>
  <si>
    <t>Kansas City Royals vs Minnesota Twins Over</t>
  </si>
  <si>
    <t>Tampa Bay Rays Over Individual</t>
  </si>
  <si>
    <t>Tampa Bay Rays vs Cleveland Guardians Over</t>
  </si>
  <si>
    <t>Miami Marlins vs Philadelphia Phillies Over</t>
  </si>
  <si>
    <t>San Francisco Giants vs Arizona Diamondbacks Over</t>
  </si>
  <si>
    <t>Philadelphia Phillies vs New York Mets Over</t>
  </si>
  <si>
    <t>Atlanta Braves vs Chicago Cubs Over</t>
  </si>
  <si>
    <t>Texas Rangers vs Milwaukee Brewers Over</t>
  </si>
  <si>
    <t>Athletics vs Boston Red Sox Over</t>
  </si>
  <si>
    <t>Los Angeles Angels vs Minnesota Twins Over</t>
  </si>
  <si>
    <t>Athletics Over Individual</t>
  </si>
  <si>
    <t>Toronto Blue Jays Over Individual</t>
  </si>
  <si>
    <t>Toronto Blue Jays vs Houston Astros Over</t>
  </si>
  <si>
    <t>Miami Marlins vs Washington Nationals Over</t>
  </si>
  <si>
    <t>Athletics vs Cincinnati Reds Over</t>
  </si>
  <si>
    <t>Atlanta Braves vs Houston Astros Over</t>
  </si>
  <si>
    <t>Minnesota Twins vs Arizona Diamondbacks Over</t>
  </si>
  <si>
    <t>Cleveland Guardians vs Chicago White Sox Over</t>
  </si>
  <si>
    <t>Boston Red Sox vs New York Yankees Over</t>
  </si>
  <si>
    <t>Toronto Blue Jays vs Baltimore Orioles Over</t>
  </si>
  <si>
    <t>San Francisco Giants vs Los Angeles Dodgers Over</t>
  </si>
  <si>
    <t>Chicago Cubs vs Tampa Bay Rays Over</t>
  </si>
  <si>
    <t>Milwaukee Brewers vs St. Louis Cardinals Over</t>
  </si>
  <si>
    <t>Miami Marlins vs Detroit Tigers Over</t>
  </si>
  <si>
    <t>Philadelphia Phillies vs Kansas City Royals Over</t>
  </si>
  <si>
    <t>Arizona Diamondbacks vs San Francisco Giants Over</t>
  </si>
  <si>
    <t>Chicago White Sox vs Baltimore Orioles Over</t>
  </si>
  <si>
    <t>Tampa Bay Rays vs Toronto Blue Jays Over</t>
  </si>
  <si>
    <t>Colorado Rockies vs Miami Marlins Over</t>
  </si>
  <si>
    <t>Minnesota Twins vs New York Yankees Over</t>
  </si>
  <si>
    <t>Los Angeles Dodgers vs Philadelphia Phillies Over</t>
  </si>
  <si>
    <t>Chicago Cubs Over Individual</t>
  </si>
  <si>
    <t>Boston Red Sox Over Individual</t>
  </si>
  <si>
    <t>Pittsburgh Pirates vs Chicago Cubs Over</t>
  </si>
  <si>
    <t>Boston Red Sox vs Athletics Over</t>
  </si>
  <si>
    <t>St. Louis Cardinals vs Cincinnati Reds Over</t>
  </si>
  <si>
    <t>Milwaukee Brewers vs Los Angeles Angels Over</t>
  </si>
  <si>
    <t>New York Mets vs San Diego Padres Over</t>
  </si>
  <si>
    <t>Baltimore Orioles vs New York Yankees Over</t>
  </si>
  <si>
    <t>Kansas City Royals vs Seattle Mariners Over</t>
  </si>
  <si>
    <t>Cincinnati Reds vs Chicago Cubs Over</t>
  </si>
  <si>
    <t>Los Angeles Dodgers vs San Francisco Giants Over</t>
  </si>
  <si>
    <t>Minnesota Twins vs Cleveland Guardians Over</t>
  </si>
  <si>
    <t>Colorado Rockies vs Los Angeles Angels Over</t>
  </si>
  <si>
    <t>Arizona Diamondbacks vs Philadelphia Phillies Over</t>
  </si>
  <si>
    <t>Pittsburgh Pirates vs Athletics Over</t>
  </si>
  <si>
    <t>Chicago White Sox vs San Diego Padres Over</t>
  </si>
  <si>
    <t>Houston Astros vs Seattle Mariners Over</t>
  </si>
  <si>
    <t>Tampa Bay Rays vs Boston Red Sox Over</t>
  </si>
  <si>
    <t>St. Louis Cardinals vs Milwaukee Brewers Over</t>
  </si>
  <si>
    <t>Kansas City Royals Over Individual</t>
  </si>
  <si>
    <t>New York Yankees Over Individual</t>
  </si>
  <si>
    <t>Kansas City Royals vs Toronto Blue Jays</t>
  </si>
  <si>
    <t>San Francisco Giants vs St. Louis Cardinals Over</t>
  </si>
  <si>
    <t>Philadelphia Phillies Over Individual</t>
  </si>
  <si>
    <t>Athletics vs Houston Astros Over</t>
  </si>
  <si>
    <t>New York Yankees vs Chicago White Sox Over</t>
  </si>
  <si>
    <t>Philadelphia Phillies vs Miami Marlins Over</t>
  </si>
  <si>
    <t>Seattle Mariners vs Colorado Rockies Over</t>
  </si>
  <si>
    <t>Cincinnati Reds vs Pittsburgh Pirates Over</t>
  </si>
  <si>
    <t>Arizona Diamondbacks vs Los Angeles Dodgers Over</t>
  </si>
  <si>
    <t>Atlanta Braves vs Washington Nationals Over</t>
  </si>
  <si>
    <t>Toronto Blue Jays vs Boston Red Sox Over</t>
  </si>
  <si>
    <t>Cleveland Guardians vs Detroit Tigers Over</t>
  </si>
  <si>
    <t>Baltimore Orioles vs Tampa Bay Rays Over</t>
  </si>
  <si>
    <t>Chicago Cubs vs New York Mets Over</t>
  </si>
  <si>
    <t>Boston Red Sox vs Detroit Tigers Over</t>
  </si>
  <si>
    <t>Athletics vs Kansas City Royals Over</t>
  </si>
  <si>
    <t>Philadelphia Phillies vs Minnesota Twins Over</t>
  </si>
  <si>
    <t>Seattle Mariners vs Los Angeles Dodgers Over</t>
  </si>
  <si>
    <t>Chicago Cubs vs St. Louis Cardinals Over</t>
  </si>
  <si>
    <t>San Diego Padres vs Arizona Diamondbacks Over</t>
  </si>
  <si>
    <t>Toronto Blue Jays vs Tampa Bay Rays Over</t>
  </si>
  <si>
    <t>Washington Nationals vs Chicago White Sox Over</t>
  </si>
  <si>
    <t>New York Yankees vs Baltimore Orioles Over</t>
  </si>
  <si>
    <t>San Francisco Giants vs Colorado Rockies Over</t>
  </si>
  <si>
    <t>Cleveland Guardians vs Texas Rangers Over</t>
  </si>
  <si>
    <t>Houston Astros Over Individual</t>
  </si>
  <si>
    <t>Miami Marlins vs New York Mets Over</t>
  </si>
  <si>
    <t>Los Angeles Angels vs Houston Astros Over</t>
  </si>
  <si>
    <t>New York Yankees vs Boston Red Sox Over</t>
  </si>
  <si>
    <t>Chicago Cubs vs San Diego Padres Over</t>
  </si>
  <si>
    <t>Toronto Blue Jays vs New York Yankees Over</t>
  </si>
  <si>
    <t>Philadelphia Phillies vs Los Angeles Dodgers Over</t>
  </si>
  <si>
    <t>Detroit Tigers vs Seattle Mariners Over</t>
  </si>
  <si>
    <t>Toronto Blue Jays vs Seattle Mariners Over</t>
  </si>
  <si>
    <t xml:space="preserve">Seattle Mariners vs Toronto Blue Jays  Over </t>
  </si>
  <si>
    <t>Bankroll (100$)</t>
  </si>
  <si>
    <t>Kelly</t>
  </si>
  <si>
    <t>Stake</t>
  </si>
  <si>
    <t>Apuesta</t>
  </si>
  <si>
    <t>Peso</t>
  </si>
  <si>
    <t>Arizona</t>
  </si>
  <si>
    <t>Ponderado</t>
  </si>
  <si>
    <t>Cleveland</t>
  </si>
  <si>
    <t>Criterio de Kelly</t>
  </si>
  <si>
    <t>Stake = (bp - q) / b, donde 'b' es la cuota decimal, 'p' es nuestra probabilidad estimada y 'q' es 1 - p.</t>
  </si>
  <si>
    <t xml:space="preserve">Bs </t>
  </si>
  <si>
    <t>Rub</t>
  </si>
  <si>
    <t>% temporada</t>
  </si>
  <si>
    <t>b = cuota</t>
  </si>
  <si>
    <t>% últimos 15 juegos</t>
  </si>
  <si>
    <t>p = probabilidad implicita</t>
  </si>
  <si>
    <t>NO</t>
  </si>
  <si>
    <t>q= analisis estadistico</t>
  </si>
  <si>
    <t>SI</t>
  </si>
  <si>
    <t>% temporada + % últimos 15 juegos</t>
  </si>
  <si>
    <t>(bp - q)/b</t>
  </si>
  <si>
    <t>% de carreras permitidas por el pitcher rival</t>
  </si>
  <si>
    <t>12.297,25 equivalian a 25.504,70 Rub</t>
  </si>
  <si>
    <t>Period</t>
  </si>
  <si>
    <t>Date of Period Start</t>
  </si>
  <si>
    <t xml:space="preserve"> Date of End Period </t>
  </si>
  <si>
    <t>Bankroll required for Withdrawl</t>
  </si>
  <si>
    <t>Withdrawal</t>
  </si>
  <si>
    <t>Bankroll after Withdrawal</t>
  </si>
  <si>
    <t>Profit required for withdawal</t>
  </si>
  <si>
    <t>Days on the Period</t>
  </si>
  <si>
    <t>% Growth per day</t>
  </si>
  <si>
    <t>$ Profit per day</t>
  </si>
  <si>
    <t>UNITS required per day to win</t>
  </si>
  <si>
    <t>Stake per pick (1 UNIT)</t>
  </si>
  <si>
    <t>Profit to look for per serie</t>
  </si>
  <si>
    <t>Max allowed lost PICK per serie</t>
  </si>
  <si>
    <t>Bankroll (8000€)</t>
  </si>
  <si>
    <t>Selections</t>
  </si>
  <si>
    <t>Initial bankroll</t>
  </si>
  <si>
    <t>Starting date</t>
  </si>
  <si>
    <t>Months between withdrawals</t>
  </si>
  <si>
    <t>% Increase Bankroll required for withdrawal</t>
  </si>
  <si>
    <t>Amount of profit to be withdrawal</t>
  </si>
  <si>
    <t>Risk per pick (1 UNIT)</t>
  </si>
  <si>
    <t>Your goal per period to be free</t>
  </si>
  <si>
    <t>Optional Selections</t>
  </si>
  <si>
    <t>Bankroll % to win per serie</t>
  </si>
  <si>
    <t>Series maximum multiplier</t>
  </si>
  <si>
    <t>Results</t>
  </si>
  <si>
    <t>When you will be achiving your goal per period?</t>
  </si>
  <si>
    <t>Inversionistas</t>
  </si>
  <si>
    <t>Monto Inicial</t>
  </si>
  <si>
    <t>%</t>
  </si>
  <si>
    <t>Monto Final</t>
  </si>
  <si>
    <t>Ysi</t>
  </si>
  <si>
    <t>Roso</t>
  </si>
  <si>
    <t>Sarahi</t>
  </si>
  <si>
    <t>Franklin</t>
  </si>
  <si>
    <t>Validacion</t>
  </si>
  <si>
    <t>Monto</t>
  </si>
  <si>
    <t>1,71*3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</si>
</sst>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0.00\ &quot;€&quot;_-;\-* #,##0.00\ &quot;€&quot;_-;_-* &quot;-&quot;??\ &quot;€&quot;_-;_-@_-"/>
    <numFmt numFmtId="164" formatCode="_ * #,##0.00_ ;_ * \-#,##0.00_ ;_ * &quot;-&quot;??_ ;_ @_ "/>
    <numFmt numFmtId="165" formatCode="#,##0.00;[Red]#,##0.00"/>
    <numFmt numFmtId="166" formatCode="#,##0;[Red]#,##0"/>
    <numFmt numFmtId="167" formatCode="&quot;$&quot;#,##0.00;[Red]&quot;$&quot;#,##0.00"/>
    <numFmt numFmtId="168" formatCode="0.0%"/>
    <numFmt numFmtId="169" formatCode="[$-F800]dddd\,\ mmmm\ dd\,\ yyyy"/>
    <numFmt numFmtId="170" formatCode="[$€-2]\ #,##0.00;[Red][$€-2]\ #,##0.00"/>
    <numFmt numFmtId="171" formatCode="_-* #,##0.000\ &quot;€&quot;_-;\-* #,##0.000\ &quot;€&quot;_-;_-* &quot;-&quot;??\ &quot;€&quot;_-;_-@_-"/>
    <numFmt numFmtId="172" formatCode="&quot;$&quot;#,##0.00"/>
    <numFmt numFmtId="173" formatCode="[$$-540A]#,##0.00;[Red][$$-540A]#,##0.00"/>
    <numFmt numFmtId="174" formatCode="dd/mm/yy;@"/>
    <numFmt numFmtId="175" formatCode="dd\-mm\-yy;@"/>
    <numFmt numFmtId="176" formatCode="0;[Red]0"/>
    <numFmt numFmtId="177" formatCode="0.00;[Red]0.00"/>
  </numFmts>
  <fonts count="26">
    <font>
      <sz val="11"/>
      <color theme="1"/>
      <name val="Calibri"/>
      <family val="2"/>
      <scheme val="minor"/>
    </font>
    <font>
      <sz val="11"/>
      <color indexed="8"/>
      <name val="Calibri"/>
      <family val="2"/>
    </font>
    <font>
      <b/>
      <sz val="11"/>
      <color indexed="8"/>
      <name val="Calibri"/>
      <family val="2"/>
    </font>
    <font>
      <b/>
      <sz val="9"/>
      <name val="Arial"/>
      <family val="2"/>
    </font>
    <font>
      <sz val="9"/>
      <name val="Arial"/>
      <family val="2"/>
    </font>
    <font>
      <sz val="9"/>
      <color indexed="30"/>
      <name val="Arial"/>
      <family val="2"/>
    </font>
    <font>
      <b/>
      <sz val="9"/>
      <color indexed="81"/>
      <name val="Tahoma"/>
      <family val="2"/>
    </font>
    <font>
      <sz val="9"/>
      <color indexed="81"/>
      <name val="Tahoma"/>
      <family val="2"/>
    </font>
    <font>
      <b/>
      <sz val="11"/>
      <color theme="1"/>
      <name val="Calibri"/>
      <family val="2"/>
      <scheme val="minor"/>
    </font>
    <font>
      <sz val="11"/>
      <color indexed="8"/>
      <name val="Calibri"/>
    </font>
    <font>
      <b/>
      <sz val="24"/>
      <color theme="1"/>
      <name val="Calibri"/>
      <family val="2"/>
      <scheme val="minor"/>
    </font>
    <font>
      <sz val="11"/>
      <color rgb="FF000000"/>
      <name val="System-Ui"/>
      <charset val="1"/>
    </font>
    <font>
      <sz val="10"/>
      <color rgb="FF1A1C1E"/>
      <name val="DM Mono"/>
      <family val="3"/>
      <charset val="1"/>
    </font>
    <font>
      <sz val="12"/>
      <color rgb="FF141414"/>
      <name val="Inter"/>
      <charset val="1"/>
    </font>
    <font>
      <sz val="11"/>
      <color rgb="FFFF0000"/>
      <name val="Calibri"/>
      <family val="2"/>
      <scheme val="minor"/>
    </font>
    <font>
      <sz val="11"/>
      <color rgb="FF000000"/>
      <name val="Calibri"/>
      <family val="2"/>
      <scheme val="minor"/>
    </font>
    <font>
      <sz val="11"/>
      <color theme="0"/>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1"/>
      <name val="Calibri"/>
      <family val="2"/>
      <scheme val="minor"/>
    </font>
    <font>
      <sz val="11"/>
      <name val="Calibri"/>
    </font>
    <font>
      <b/>
      <sz val="11"/>
      <name val="Calibri"/>
      <family val="2"/>
      <scheme val="minor"/>
    </font>
    <font>
      <b/>
      <sz val="11"/>
      <color rgb="FF000000"/>
      <name val="System-Ui"/>
      <charset val="1"/>
    </font>
    <font>
      <b/>
      <sz val="11"/>
      <color rgb="FF000000"/>
      <name val="Calibri"/>
      <family val="2"/>
      <scheme val="minor"/>
    </font>
    <font>
      <b/>
      <sz val="11"/>
      <color rgb="FFFF0000"/>
      <name val="Calibri"/>
      <family val="2"/>
      <scheme val="minor"/>
    </font>
  </fonts>
  <fills count="11">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F2F2F2"/>
        <bgColor indexed="64"/>
      </patternFill>
    </fill>
    <fill>
      <patternFill patternType="solid">
        <fgColor rgb="FFF0AAD4"/>
        <bgColor indexed="64"/>
      </patternFill>
    </fill>
    <fill>
      <patternFill patternType="solid">
        <fgColor rgb="FFFFFFFF"/>
        <bgColor indexed="64"/>
      </patternFill>
    </fill>
  </fills>
  <borders count="124">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diagonal/>
    </border>
    <border>
      <left/>
      <right/>
      <top/>
      <bottom style="medium">
        <color rgb="FF000000"/>
      </bottom>
      <diagonal/>
    </border>
    <border>
      <left style="thick">
        <color indexed="64"/>
      </left>
      <right/>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style="medium">
        <color indexed="64"/>
      </bottom>
      <diagonal/>
    </border>
    <border>
      <left/>
      <right style="thick">
        <color indexed="64"/>
      </right>
      <top style="thick">
        <color indexed="64"/>
      </top>
      <bottom style="thick">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medium">
        <color indexed="64"/>
      </right>
      <top style="medium">
        <color indexed="64"/>
      </top>
      <bottom/>
      <diagonal/>
    </border>
    <border>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style="medium">
        <color rgb="FF000000"/>
      </bottom>
      <diagonal/>
    </border>
    <border>
      <left style="thin">
        <color indexed="64"/>
      </left>
      <right style="thin">
        <color indexed="64"/>
      </right>
      <top style="medium">
        <color rgb="FF000000"/>
      </top>
      <bottom style="medium">
        <color rgb="FF000000"/>
      </bottom>
      <diagonal/>
    </border>
    <border>
      <left style="medium">
        <color rgb="FF000000"/>
      </left>
      <right style="thin">
        <color indexed="64"/>
      </right>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thin">
        <color indexed="64"/>
      </right>
      <top style="medium">
        <color rgb="FF000000"/>
      </top>
      <bottom/>
      <diagonal/>
    </border>
    <border>
      <left style="medium">
        <color rgb="FF000000"/>
      </left>
      <right style="thin">
        <color rgb="FF000000"/>
      </right>
      <top/>
      <bottom style="medium">
        <color rgb="FF000000"/>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diagonal/>
    </border>
    <border>
      <left style="medium">
        <color indexed="64"/>
      </left>
      <right style="thin">
        <color rgb="FF000000"/>
      </right>
      <top/>
      <bottom style="thin">
        <color indexed="64"/>
      </bottom>
      <diagonal/>
    </border>
    <border>
      <left style="medium">
        <color indexed="64"/>
      </left>
      <right style="thin">
        <color rgb="FF000000"/>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top style="thin">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medium">
        <color rgb="FF000000"/>
      </top>
      <bottom/>
      <diagonal/>
    </border>
    <border>
      <left style="thin">
        <color rgb="FF000000"/>
      </left>
      <right/>
      <top/>
      <bottom/>
      <diagonal/>
    </border>
    <border>
      <left style="thin">
        <color rgb="FF000000"/>
      </left>
      <right/>
      <top/>
      <bottom style="medium">
        <color rgb="FF000000"/>
      </bottom>
      <diagonal/>
    </border>
    <border>
      <left/>
      <right style="thin">
        <color indexed="64"/>
      </right>
      <top style="medium">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s>
  <cellStyleXfs count="3">
    <xf numFmtId="0" fontId="0" fillId="0" borderId="0"/>
    <xf numFmtId="44" fontId="4" fillId="0" borderId="0" applyFont="0" applyFill="0" applyBorder="0" applyAlignment="0" applyProtection="0"/>
    <xf numFmtId="9" fontId="1" fillId="0" borderId="0" applyFont="0" applyFill="0" applyBorder="0" applyAlignment="0" applyProtection="0"/>
  </cellStyleXfs>
  <cellXfs count="710">
    <xf numFmtId="0" fontId="0" fillId="0" borderId="0" xfId="0"/>
    <xf numFmtId="166" fontId="0" fillId="0" borderId="0" xfId="0" applyNumberFormat="1"/>
    <xf numFmtId="165" fontId="0" fillId="0" borderId="0" xfId="0" applyNumberFormat="1"/>
    <xf numFmtId="0" fontId="0" fillId="0" borderId="0" xfId="0" applyAlignment="1">
      <alignment horizontal="left"/>
    </xf>
    <xf numFmtId="165" fontId="0" fillId="0" borderId="7" xfId="0" applyNumberFormat="1" applyBorder="1" applyAlignment="1">
      <alignment horizontal="center" vertical="center"/>
    </xf>
    <xf numFmtId="166" fontId="0" fillId="0" borderId="7" xfId="0" applyNumberFormat="1" applyBorder="1" applyAlignment="1">
      <alignment horizontal="center" vertical="center"/>
    </xf>
    <xf numFmtId="10" fontId="0" fillId="0" borderId="8" xfId="0" applyNumberFormat="1" applyBorder="1" applyAlignment="1">
      <alignment horizontal="center" vertical="center"/>
    </xf>
    <xf numFmtId="166" fontId="0" fillId="0" borderId="9" xfId="0" applyNumberFormat="1" applyBorder="1" applyAlignment="1">
      <alignment horizontal="center" vertical="center"/>
    </xf>
    <xf numFmtId="165" fontId="0" fillId="0" borderId="9" xfId="0" applyNumberFormat="1" applyBorder="1" applyAlignment="1">
      <alignment horizontal="center" vertical="center"/>
    </xf>
    <xf numFmtId="10" fontId="1" fillId="0" borderId="11" xfId="0" applyNumberFormat="1" applyFont="1" applyBorder="1"/>
    <xf numFmtId="10" fontId="1" fillId="0" borderId="13" xfId="0" applyNumberFormat="1" applyFont="1" applyBorder="1"/>
    <xf numFmtId="165" fontId="0" fillId="0" borderId="4" xfId="0" applyNumberFormat="1" applyBorder="1"/>
    <xf numFmtId="165" fontId="0" fillId="0" borderId="5" xfId="0" applyNumberFormat="1" applyBorder="1"/>
    <xf numFmtId="165" fontId="0" fillId="0" borderId="6" xfId="0" applyNumberFormat="1" applyBorder="1" applyAlignment="1">
      <alignment horizontal="right" vertical="center"/>
    </xf>
    <xf numFmtId="10" fontId="1" fillId="0" borderId="0" xfId="0" applyNumberFormat="1" applyFont="1"/>
    <xf numFmtId="165" fontId="0" fillId="0" borderId="0" xfId="0" applyNumberFormat="1" applyAlignment="1">
      <alignment horizontal="right" vertical="center"/>
    </xf>
    <xf numFmtId="0" fontId="0" fillId="0" borderId="15" xfId="0" applyBorder="1" applyAlignment="1">
      <alignment horizontal="left"/>
    </xf>
    <xf numFmtId="0" fontId="0" fillId="0" borderId="0" xfId="0" applyAlignment="1">
      <alignment horizontal="right"/>
    </xf>
    <xf numFmtId="10" fontId="0" fillId="0" borderId="0" xfId="0" applyNumberFormat="1"/>
    <xf numFmtId="9" fontId="0" fillId="0" borderId="0" xfId="0" applyNumberFormat="1"/>
    <xf numFmtId="0" fontId="1" fillId="0" borderId="0" xfId="0" applyFont="1"/>
    <xf numFmtId="166" fontId="0" fillId="0" borderId="16" xfId="0" applyNumberFormat="1" applyBorder="1" applyAlignment="1">
      <alignment horizontal="center" vertical="center"/>
    </xf>
    <xf numFmtId="10" fontId="0" fillId="0" borderId="17" xfId="0" applyNumberFormat="1" applyBorder="1" applyAlignment="1">
      <alignment horizontal="center" vertical="center"/>
    </xf>
    <xf numFmtId="165" fontId="0" fillId="0" borderId="13" xfId="0" applyNumberFormat="1" applyBorder="1"/>
    <xf numFmtId="165" fontId="0" fillId="0" borderId="11" xfId="0" applyNumberFormat="1" applyBorder="1"/>
    <xf numFmtId="0" fontId="0" fillId="0" borderId="0" xfId="0" applyProtection="1">
      <protection locked="0"/>
    </xf>
    <xf numFmtId="17" fontId="0" fillId="0" borderId="0" xfId="0" applyNumberFormat="1" applyProtection="1">
      <protection hidden="1"/>
    </xf>
    <xf numFmtId="167" fontId="0" fillId="0" borderId="0" xfId="0" applyNumberFormat="1" applyProtection="1">
      <protection hidden="1"/>
    </xf>
    <xf numFmtId="0" fontId="5" fillId="0" borderId="0" xfId="0" applyFont="1" applyProtection="1">
      <protection hidden="1"/>
    </xf>
    <xf numFmtId="167" fontId="5" fillId="0" borderId="0" xfId="0" applyNumberFormat="1" applyFont="1" applyProtection="1">
      <protection locked="0"/>
    </xf>
    <xf numFmtId="17" fontId="5" fillId="0" borderId="0" xfId="0" applyNumberFormat="1" applyFont="1" applyProtection="1">
      <protection locked="0"/>
    </xf>
    <xf numFmtId="0" fontId="5" fillId="0" borderId="0" xfId="0" applyFont="1" applyProtection="1">
      <protection locked="0"/>
    </xf>
    <xf numFmtId="0" fontId="5" fillId="0" borderId="0" xfId="0" applyFont="1" applyAlignment="1" applyProtection="1">
      <alignment wrapText="1"/>
      <protection hidden="1"/>
    </xf>
    <xf numFmtId="168" fontId="5" fillId="0" borderId="0" xfId="0" applyNumberFormat="1" applyFont="1" applyProtection="1">
      <protection locked="0"/>
    </xf>
    <xf numFmtId="0" fontId="4" fillId="0" borderId="0" xfId="0" applyFont="1" applyProtection="1">
      <protection hidden="1"/>
    </xf>
    <xf numFmtId="170" fontId="0" fillId="0" borderId="0" xfId="0" applyNumberFormat="1"/>
    <xf numFmtId="171" fontId="0" fillId="0" borderId="0" xfId="0" applyNumberFormat="1"/>
    <xf numFmtId="165" fontId="0" fillId="0" borderId="18" xfId="0" applyNumberFormat="1" applyBorder="1" applyAlignment="1">
      <alignment horizontal="right" vertical="center"/>
    </xf>
    <xf numFmtId="165" fontId="0" fillId="0" borderId="19" xfId="0" applyNumberFormat="1" applyBorder="1" applyAlignment="1">
      <alignment horizontal="right" vertical="center"/>
    </xf>
    <xf numFmtId="165" fontId="0" fillId="0" borderId="20" xfId="0" applyNumberFormat="1" applyBorder="1" applyAlignment="1">
      <alignment horizontal="right" vertical="center"/>
    </xf>
    <xf numFmtId="165" fontId="0" fillId="0" borderId="22" xfId="0" applyNumberFormat="1" applyBorder="1" applyAlignment="1">
      <alignment horizontal="right" vertical="center"/>
    </xf>
    <xf numFmtId="165" fontId="0" fillId="0" borderId="23" xfId="0" applyNumberFormat="1" applyBorder="1" applyAlignment="1">
      <alignment horizontal="right" vertical="center"/>
    </xf>
    <xf numFmtId="0" fontId="8" fillId="0" borderId="0" xfId="0" applyFont="1"/>
    <xf numFmtId="165" fontId="8" fillId="0" borderId="24" xfId="0" applyNumberFormat="1" applyFont="1" applyBorder="1"/>
    <xf numFmtId="10" fontId="8" fillId="0" borderId="24" xfId="0" applyNumberFormat="1" applyFont="1" applyBorder="1"/>
    <xf numFmtId="10" fontId="0" fillId="0" borderId="25" xfId="0" applyNumberFormat="1" applyBorder="1"/>
    <xf numFmtId="165" fontId="0" fillId="0" borderId="24" xfId="0" applyNumberFormat="1" applyBorder="1"/>
    <xf numFmtId="10" fontId="9" fillId="0" borderId="18" xfId="0" applyNumberFormat="1" applyFont="1" applyBorder="1"/>
    <xf numFmtId="10" fontId="9" fillId="0" borderId="22" xfId="0" applyNumberFormat="1" applyFont="1" applyBorder="1"/>
    <xf numFmtId="0" fontId="0" fillId="0" borderId="28" xfId="0" applyBorder="1"/>
    <xf numFmtId="172" fontId="0" fillId="0" borderId="0" xfId="0" applyNumberFormat="1"/>
    <xf numFmtId="172" fontId="2" fillId="0" borderId="0" xfId="0" applyNumberFormat="1" applyFont="1"/>
    <xf numFmtId="0" fontId="2" fillId="0" borderId="0" xfId="0" applyFont="1"/>
    <xf numFmtId="0" fontId="2" fillId="0" borderId="0" xfId="0" applyFont="1" applyAlignment="1">
      <alignment horizontal="center"/>
    </xf>
    <xf numFmtId="167" fontId="0" fillId="0" borderId="0" xfId="0" applyNumberFormat="1"/>
    <xf numFmtId="0" fontId="2" fillId="0" borderId="30" xfId="0" applyFont="1" applyBorder="1" applyAlignment="1">
      <alignment horizontal="center"/>
    </xf>
    <xf numFmtId="172" fontId="2" fillId="0" borderId="29" xfId="0" applyNumberFormat="1" applyFont="1" applyBorder="1" applyAlignment="1">
      <alignment horizontal="center"/>
    </xf>
    <xf numFmtId="164" fontId="0" fillId="0" borderId="0" xfId="0" applyNumberFormat="1"/>
    <xf numFmtId="2" fontId="0" fillId="0" borderId="0" xfId="0" applyNumberFormat="1"/>
    <xf numFmtId="10" fontId="9" fillId="0" borderId="19" xfId="0" applyNumberFormat="1" applyFont="1" applyBorder="1"/>
    <xf numFmtId="170" fontId="0" fillId="0" borderId="5" xfId="0" applyNumberFormat="1" applyBorder="1"/>
    <xf numFmtId="172" fontId="0" fillId="0" borderId="30" xfId="0" applyNumberFormat="1" applyBorder="1"/>
    <xf numFmtId="172" fontId="0" fillId="0" borderId="38" xfId="0" applyNumberFormat="1" applyBorder="1"/>
    <xf numFmtId="10" fontId="2" fillId="0" borderId="29" xfId="0" applyNumberFormat="1" applyFont="1" applyBorder="1" applyAlignment="1">
      <alignment horizontal="center"/>
    </xf>
    <xf numFmtId="0" fontId="0" fillId="0" borderId="39" xfId="0" applyBorder="1" applyProtection="1">
      <protection hidden="1"/>
    </xf>
    <xf numFmtId="17" fontId="0" fillId="0" borderId="40" xfId="0" applyNumberFormat="1" applyBorder="1" applyProtection="1">
      <protection hidden="1"/>
    </xf>
    <xf numFmtId="0" fontId="0" fillId="0" borderId="41" xfId="0" applyBorder="1" applyProtection="1">
      <protection hidden="1"/>
    </xf>
    <xf numFmtId="0" fontId="0" fillId="0" borderId="0" xfId="0" applyProtection="1">
      <protection hidden="1"/>
    </xf>
    <xf numFmtId="167" fontId="0" fillId="0" borderId="33" xfId="0" applyNumberFormat="1" applyBorder="1" applyProtection="1">
      <protection hidden="1"/>
    </xf>
    <xf numFmtId="167" fontId="8" fillId="0" borderId="24" xfId="0" applyNumberFormat="1" applyFont="1" applyBorder="1" applyProtection="1">
      <protection hidden="1"/>
    </xf>
    <xf numFmtId="167" fontId="0" fillId="0" borderId="40" xfId="0" applyNumberFormat="1" applyBorder="1" applyProtection="1">
      <protection hidden="1"/>
    </xf>
    <xf numFmtId="0" fontId="0" fillId="0" borderId="40" xfId="0" applyBorder="1" applyProtection="1">
      <protection hidden="1"/>
    </xf>
    <xf numFmtId="10" fontId="0" fillId="0" borderId="40" xfId="0" applyNumberFormat="1" applyBorder="1"/>
    <xf numFmtId="2" fontId="0" fillId="0" borderId="40" xfId="0" applyNumberFormat="1" applyBorder="1"/>
    <xf numFmtId="167" fontId="0" fillId="0" borderId="32" xfId="0" applyNumberFormat="1" applyBorder="1" applyProtection="1">
      <protection hidden="1"/>
    </xf>
    <xf numFmtId="173" fontId="0" fillId="0" borderId="36" xfId="0" applyNumberFormat="1" applyBorder="1"/>
    <xf numFmtId="173" fontId="0" fillId="0" borderId="5" xfId="0" applyNumberFormat="1" applyBorder="1"/>
    <xf numFmtId="170" fontId="0" fillId="0" borderId="0" xfId="0" applyNumberFormat="1" applyAlignment="1">
      <alignment horizontal="left"/>
    </xf>
    <xf numFmtId="167" fontId="0" fillId="0" borderId="0" xfId="0" applyNumberFormat="1" applyProtection="1">
      <protection locked="0"/>
    </xf>
    <xf numFmtId="0" fontId="3" fillId="0" borderId="25" xfId="0" applyFont="1" applyBorder="1" applyAlignment="1" applyProtection="1">
      <alignment vertical="center"/>
      <protection hidden="1"/>
    </xf>
    <xf numFmtId="44" fontId="3" fillId="0" borderId="43" xfId="0" applyNumberFormat="1" applyFont="1" applyBorder="1" applyAlignment="1" applyProtection="1">
      <alignment vertical="center" wrapText="1"/>
      <protection hidden="1"/>
    </xf>
    <xf numFmtId="170" fontId="3" fillId="0" borderId="43" xfId="0" applyNumberFormat="1" applyFont="1" applyBorder="1" applyAlignment="1" applyProtection="1">
      <alignment vertical="center" wrapText="1"/>
      <protection hidden="1"/>
    </xf>
    <xf numFmtId="170" fontId="3" fillId="0" borderId="43" xfId="0" applyNumberFormat="1" applyFont="1" applyBorder="1" applyAlignment="1" applyProtection="1">
      <alignment horizontal="left" vertical="center" wrapText="1"/>
      <protection hidden="1"/>
    </xf>
    <xf numFmtId="171" fontId="3" fillId="0" borderId="43" xfId="0" applyNumberFormat="1" applyFont="1" applyBorder="1" applyAlignment="1" applyProtection="1">
      <alignment vertical="center" wrapText="1"/>
      <protection hidden="1"/>
    </xf>
    <xf numFmtId="170" fontId="3" fillId="0" borderId="31" xfId="0" applyNumberFormat="1" applyFont="1" applyBorder="1" applyAlignment="1" applyProtection="1">
      <alignment vertical="center" wrapText="1"/>
      <protection hidden="1"/>
    </xf>
    <xf numFmtId="170" fontId="3" fillId="0" borderId="0" xfId="0" applyNumberFormat="1" applyFont="1" applyAlignment="1" applyProtection="1">
      <alignment vertical="center" wrapText="1"/>
      <protection hidden="1"/>
    </xf>
    <xf numFmtId="0" fontId="0" fillId="0" borderId="0" xfId="0" applyAlignment="1" applyProtection="1">
      <alignment vertical="center"/>
      <protection locked="0"/>
    </xf>
    <xf numFmtId="172" fontId="0" fillId="0" borderId="18" xfId="0" applyNumberFormat="1" applyBorder="1"/>
    <xf numFmtId="0" fontId="0" fillId="0" borderId="44" xfId="0" applyBorder="1"/>
    <xf numFmtId="172" fontId="0" fillId="0" borderId="48" xfId="0" applyNumberFormat="1" applyBorder="1"/>
    <xf numFmtId="172" fontId="0" fillId="0" borderId="45" xfId="0" applyNumberFormat="1" applyBorder="1"/>
    <xf numFmtId="10" fontId="0" fillId="0" borderId="49" xfId="0" applyNumberFormat="1" applyBorder="1"/>
    <xf numFmtId="172" fontId="0" fillId="0" borderId="50" xfId="0" applyNumberFormat="1" applyBorder="1"/>
    <xf numFmtId="10" fontId="0" fillId="0" borderId="46" xfId="0" applyNumberFormat="1" applyBorder="1"/>
    <xf numFmtId="172" fontId="0" fillId="0" borderId="19" xfId="0" applyNumberFormat="1" applyBorder="1"/>
    <xf numFmtId="172" fontId="0" fillId="0" borderId="47" xfId="0" applyNumberFormat="1" applyBorder="1"/>
    <xf numFmtId="10" fontId="9" fillId="0" borderId="48" xfId="0" applyNumberFormat="1" applyFont="1" applyBorder="1"/>
    <xf numFmtId="165" fontId="0" fillId="0" borderId="48" xfId="0" applyNumberFormat="1" applyBorder="1" applyAlignment="1">
      <alignment horizontal="right" vertical="center"/>
    </xf>
    <xf numFmtId="10" fontId="0" fillId="0" borderId="0" xfId="0" applyNumberFormat="1" applyAlignment="1">
      <alignment vertical="center"/>
    </xf>
    <xf numFmtId="166" fontId="0" fillId="0" borderId="0" xfId="0" applyNumberFormat="1" applyAlignment="1">
      <alignment horizontal="right" vertical="center"/>
    </xf>
    <xf numFmtId="174" fontId="0" fillId="0" borderId="0" xfId="0" applyNumberFormat="1" applyAlignment="1">
      <alignment horizontal="center" vertical="center"/>
    </xf>
    <xf numFmtId="174" fontId="0" fillId="0" borderId="0" xfId="0" applyNumberFormat="1"/>
    <xf numFmtId="174" fontId="8" fillId="0" borderId="0" xfId="0" applyNumberFormat="1" applyFont="1" applyAlignment="1">
      <alignment horizontal="right" vertical="center"/>
    </xf>
    <xf numFmtId="165" fontId="0" fillId="0" borderId="49" xfId="0" applyNumberFormat="1" applyBorder="1" applyAlignment="1">
      <alignment horizontal="right" vertical="center"/>
    </xf>
    <xf numFmtId="0" fontId="8" fillId="5" borderId="33" xfId="0" applyFont="1" applyFill="1" applyBorder="1"/>
    <xf numFmtId="165" fontId="0" fillId="0" borderId="46" xfId="0" applyNumberFormat="1" applyBorder="1" applyAlignment="1">
      <alignment horizontal="right" vertical="center"/>
    </xf>
    <xf numFmtId="0" fontId="8" fillId="6" borderId="32" xfId="0" applyFont="1" applyFill="1" applyBorder="1"/>
    <xf numFmtId="0" fontId="8" fillId="6" borderId="33" xfId="0" applyFont="1" applyFill="1" applyBorder="1"/>
    <xf numFmtId="165" fontId="0" fillId="0" borderId="51" xfId="0" applyNumberFormat="1" applyBorder="1" applyAlignment="1">
      <alignment horizontal="right" vertical="center"/>
    </xf>
    <xf numFmtId="0" fontId="8" fillId="7" borderId="32" xfId="0" applyFont="1" applyFill="1" applyBorder="1"/>
    <xf numFmtId="0" fontId="8" fillId="7" borderId="33" xfId="0" applyFont="1" applyFill="1" applyBorder="1"/>
    <xf numFmtId="0" fontId="8" fillId="7" borderId="53" xfId="0" applyFont="1" applyFill="1" applyBorder="1"/>
    <xf numFmtId="166" fontId="0" fillId="0" borderId="25" xfId="0" applyNumberFormat="1" applyBorder="1" applyAlignment="1">
      <alignment horizontal="center" vertical="center"/>
    </xf>
    <xf numFmtId="165" fontId="0" fillId="0" borderId="54" xfId="0" applyNumberFormat="1" applyBorder="1" applyAlignment="1">
      <alignment horizontal="center" vertical="center"/>
    </xf>
    <xf numFmtId="166" fontId="0" fillId="0" borderId="54" xfId="0" applyNumberFormat="1" applyBorder="1" applyAlignment="1">
      <alignment horizontal="center" vertical="center"/>
    </xf>
    <xf numFmtId="10" fontId="0" fillId="0" borderId="54" xfId="0" applyNumberFormat="1" applyBorder="1" applyAlignment="1">
      <alignment horizontal="center" vertical="center"/>
    </xf>
    <xf numFmtId="0" fontId="0" fillId="0" borderId="31" xfId="0" applyBorder="1"/>
    <xf numFmtId="165" fontId="8" fillId="0" borderId="44" xfId="0" applyNumberFormat="1" applyFont="1" applyBorder="1" applyAlignment="1">
      <alignment horizontal="right" vertical="center"/>
    </xf>
    <xf numFmtId="165" fontId="0" fillId="8" borderId="10" xfId="0" applyNumberFormat="1" applyFill="1" applyBorder="1" applyAlignment="1">
      <alignment horizontal="right" vertical="center"/>
    </xf>
    <xf numFmtId="10" fontId="9" fillId="8" borderId="22" xfId="0" applyNumberFormat="1" applyFont="1" applyFill="1" applyBorder="1"/>
    <xf numFmtId="174" fontId="8" fillId="8" borderId="0" xfId="0" applyNumberFormat="1" applyFont="1" applyFill="1" applyAlignment="1">
      <alignment horizontal="right" vertical="center"/>
    </xf>
    <xf numFmtId="165" fontId="8" fillId="8" borderId="55" xfId="0" applyNumberFormat="1" applyFont="1" applyFill="1" applyBorder="1" applyAlignment="1">
      <alignment horizontal="right" vertical="center"/>
    </xf>
    <xf numFmtId="165" fontId="0" fillId="8" borderId="14" xfId="0" applyNumberFormat="1" applyFill="1" applyBorder="1" applyAlignment="1">
      <alignment horizontal="right" vertical="center"/>
    </xf>
    <xf numFmtId="10" fontId="9" fillId="8" borderId="21" xfId="0" applyNumberFormat="1" applyFont="1" applyFill="1" applyBorder="1"/>
    <xf numFmtId="166" fontId="0" fillId="0" borderId="56" xfId="0" applyNumberFormat="1" applyBorder="1" applyAlignment="1">
      <alignment horizontal="center" vertical="center"/>
    </xf>
    <xf numFmtId="170" fontId="0" fillId="0" borderId="0" xfId="0" applyNumberFormat="1" applyProtection="1">
      <protection hidden="1"/>
    </xf>
    <xf numFmtId="167" fontId="1" fillId="0" borderId="0" xfId="1" applyNumberFormat="1" applyFont="1" applyFill="1" applyBorder="1" applyProtection="1">
      <protection hidden="1"/>
    </xf>
    <xf numFmtId="173" fontId="0" fillId="0" borderId="24" xfId="0" applyNumberFormat="1" applyBorder="1"/>
    <xf numFmtId="173" fontId="0" fillId="0" borderId="15" xfId="0" applyNumberFormat="1" applyBorder="1" applyAlignment="1">
      <alignment horizontal="left"/>
    </xf>
    <xf numFmtId="0" fontId="0" fillId="0" borderId="50" xfId="0" applyBorder="1"/>
    <xf numFmtId="165" fontId="0" fillId="0" borderId="58" xfId="0" applyNumberFormat="1" applyBorder="1" applyAlignment="1">
      <alignment horizontal="right" vertical="center"/>
    </xf>
    <xf numFmtId="165" fontId="0" fillId="0" borderId="59" xfId="0" applyNumberFormat="1" applyBorder="1" applyAlignment="1">
      <alignment horizontal="center" vertical="center"/>
    </xf>
    <xf numFmtId="166" fontId="0" fillId="0" borderId="60" xfId="0" applyNumberFormat="1" applyBorder="1" applyAlignment="1">
      <alignment horizontal="center" vertical="center"/>
    </xf>
    <xf numFmtId="0" fontId="0" fillId="0" borderId="54" xfId="0" applyBorder="1" applyAlignment="1">
      <alignment horizontal="center"/>
    </xf>
    <xf numFmtId="10" fontId="0" fillId="0" borderId="61" xfId="0" applyNumberFormat="1" applyBorder="1" applyAlignment="1">
      <alignment horizontal="center" vertical="center"/>
    </xf>
    <xf numFmtId="165" fontId="2" fillId="2" borderId="2" xfId="0" applyNumberFormat="1" applyFont="1" applyFill="1" applyBorder="1" applyAlignment="1">
      <alignment horizontal="right" vertical="center"/>
    </xf>
    <xf numFmtId="165" fontId="0" fillId="7" borderId="3" xfId="0" applyNumberFormat="1" applyFill="1" applyBorder="1" applyAlignment="1">
      <alignment horizontal="right" vertical="center"/>
    </xf>
    <xf numFmtId="165" fontId="8" fillId="0" borderId="0" xfId="0" applyNumberFormat="1" applyFont="1"/>
    <xf numFmtId="173" fontId="0" fillId="0" borderId="0" xfId="0" applyNumberFormat="1"/>
    <xf numFmtId="0" fontId="0" fillId="0" borderId="1" xfId="0" applyBorder="1"/>
    <xf numFmtId="165" fontId="0" fillId="0" borderId="66" xfId="0" applyNumberFormat="1" applyBorder="1"/>
    <xf numFmtId="0" fontId="0" fillId="0" borderId="47" xfId="0" applyBorder="1"/>
    <xf numFmtId="0" fontId="0" fillId="0" borderId="59" xfId="0" applyBorder="1"/>
    <xf numFmtId="165" fontId="0" fillId="0" borderId="54" xfId="0" applyNumberFormat="1" applyBorder="1"/>
    <xf numFmtId="10" fontId="9" fillId="0" borderId="61" xfId="0" applyNumberFormat="1" applyFont="1" applyBorder="1"/>
    <xf numFmtId="0" fontId="0" fillId="0" borderId="72" xfId="0" applyBorder="1"/>
    <xf numFmtId="165" fontId="0" fillId="0" borderId="56" xfId="0" applyNumberFormat="1" applyBorder="1"/>
    <xf numFmtId="0" fontId="0" fillId="0" borderId="52" xfId="0" applyBorder="1"/>
    <xf numFmtId="0" fontId="0" fillId="0" borderId="0" xfId="0" applyFill="1" applyAlignment="1">
      <alignment horizontal="right"/>
    </xf>
    <xf numFmtId="173" fontId="0" fillId="0" borderId="31" xfId="0" applyNumberFormat="1" applyBorder="1"/>
    <xf numFmtId="173" fontId="0" fillId="0" borderId="42" xfId="0" applyNumberFormat="1" applyBorder="1"/>
    <xf numFmtId="165" fontId="0" fillId="0" borderId="18" xfId="0" applyNumberFormat="1" applyFill="1" applyBorder="1" applyAlignment="1">
      <alignment horizontal="right" vertical="center"/>
    </xf>
    <xf numFmtId="165" fontId="0" fillId="0" borderId="22" xfId="0" applyNumberFormat="1" applyFill="1" applyBorder="1" applyAlignment="1">
      <alignment horizontal="right" vertical="center"/>
    </xf>
    <xf numFmtId="10" fontId="1" fillId="4" borderId="57" xfId="0" applyNumberFormat="1" applyFont="1" applyFill="1" applyBorder="1"/>
    <xf numFmtId="165" fontId="0" fillId="0" borderId="0" xfId="0" applyNumberFormat="1" applyBorder="1"/>
    <xf numFmtId="165" fontId="0" fillId="0" borderId="63" xfId="0" applyNumberFormat="1" applyFill="1" applyBorder="1" applyAlignment="1">
      <alignment horizontal="right" vertical="center"/>
    </xf>
    <xf numFmtId="10" fontId="9" fillId="0" borderId="18" xfId="0" applyNumberFormat="1" applyFont="1" applyFill="1" applyBorder="1"/>
    <xf numFmtId="0" fontId="0" fillId="0" borderId="52" xfId="0" applyFill="1" applyBorder="1"/>
    <xf numFmtId="165" fontId="0" fillId="7" borderId="75" xfId="0" applyNumberFormat="1" applyFill="1" applyBorder="1" applyAlignment="1">
      <alignment horizontal="right" vertical="center"/>
    </xf>
    <xf numFmtId="165" fontId="2" fillId="2" borderId="76" xfId="0" applyNumberFormat="1" applyFont="1" applyFill="1" applyBorder="1" applyAlignment="1">
      <alignment horizontal="right" vertical="center"/>
    </xf>
    <xf numFmtId="10" fontId="9" fillId="0" borderId="0" xfId="0" applyNumberFormat="1" applyFont="1" applyBorder="1"/>
    <xf numFmtId="10" fontId="0" fillId="0" borderId="56" xfId="0" applyNumberFormat="1" applyBorder="1" applyAlignment="1">
      <alignment horizontal="center" vertical="center"/>
    </xf>
    <xf numFmtId="0" fontId="0" fillId="0" borderId="56" xfId="0" applyBorder="1" applyAlignment="1">
      <alignment horizontal="center"/>
    </xf>
    <xf numFmtId="165" fontId="0" fillId="0" borderId="48" xfId="0" applyNumberFormat="1" applyFill="1" applyBorder="1" applyAlignment="1">
      <alignment horizontal="right" vertical="center"/>
    </xf>
    <xf numFmtId="165" fontId="0" fillId="0" borderId="69" xfId="0" applyNumberFormat="1" applyFill="1" applyBorder="1" applyAlignment="1">
      <alignment horizontal="right" vertical="center"/>
    </xf>
    <xf numFmtId="165" fontId="0" fillId="0" borderId="19" xfId="0" applyNumberFormat="1" applyFill="1" applyBorder="1" applyAlignment="1">
      <alignment horizontal="right" vertical="center"/>
    </xf>
    <xf numFmtId="10" fontId="0" fillId="0" borderId="0" xfId="0" applyNumberFormat="1" applyBorder="1"/>
    <xf numFmtId="165" fontId="0" fillId="0" borderId="44" xfId="0" applyNumberFormat="1" applyFill="1" applyBorder="1" applyAlignment="1">
      <alignment horizontal="right" vertical="center"/>
    </xf>
    <xf numFmtId="0" fontId="0" fillId="0" borderId="45" xfId="0" applyFill="1" applyBorder="1"/>
    <xf numFmtId="165" fontId="0" fillId="0" borderId="49" xfId="0" applyNumberFormat="1" applyFill="1" applyBorder="1" applyAlignment="1">
      <alignment horizontal="right" vertical="center"/>
    </xf>
    <xf numFmtId="165" fontId="0" fillId="0" borderId="51" xfId="0" applyNumberFormat="1" applyFill="1" applyBorder="1" applyAlignment="1">
      <alignment horizontal="right" vertical="center"/>
    </xf>
    <xf numFmtId="0" fontId="0" fillId="0" borderId="45" xfId="0" applyFill="1" applyBorder="1" applyAlignment="1">
      <alignment wrapText="1"/>
    </xf>
    <xf numFmtId="165" fontId="0" fillId="0" borderId="46" xfId="0" applyNumberFormat="1" applyFill="1" applyBorder="1" applyAlignment="1">
      <alignment horizontal="right" vertical="center"/>
    </xf>
    <xf numFmtId="10" fontId="0" fillId="0" borderId="0" xfId="0" applyNumberFormat="1" applyAlignment="1">
      <alignment wrapText="1"/>
    </xf>
    <xf numFmtId="10" fontId="0" fillId="0" borderId="24" xfId="0" applyNumberFormat="1" applyBorder="1"/>
    <xf numFmtId="0" fontId="0" fillId="9" borderId="0" xfId="0" applyFill="1"/>
    <xf numFmtId="0" fontId="0" fillId="7" borderId="0" xfId="0" applyFill="1"/>
    <xf numFmtId="0" fontId="0" fillId="0" borderId="18" xfId="0" applyBorder="1"/>
    <xf numFmtId="10" fontId="0" fillId="0" borderId="18" xfId="0" applyNumberFormat="1" applyBorder="1"/>
    <xf numFmtId="10" fontId="0" fillId="0" borderId="22" xfId="0" applyNumberFormat="1" applyBorder="1"/>
    <xf numFmtId="10" fontId="0" fillId="0" borderId="63" xfId="0" applyNumberFormat="1" applyBorder="1"/>
    <xf numFmtId="165" fontId="0" fillId="0" borderId="67" xfId="0" applyNumberFormat="1" applyFill="1" applyBorder="1" applyAlignment="1">
      <alignment horizontal="right" vertical="center"/>
    </xf>
    <xf numFmtId="10" fontId="0" fillId="7" borderId="18" xfId="0" applyNumberFormat="1" applyFill="1" applyBorder="1"/>
    <xf numFmtId="10" fontId="0" fillId="7" borderId="69" xfId="0" applyNumberFormat="1" applyFill="1" applyBorder="1"/>
    <xf numFmtId="10" fontId="1" fillId="0" borderId="48" xfId="0" applyNumberFormat="1" applyFont="1" applyFill="1" applyBorder="1"/>
    <xf numFmtId="165" fontId="0" fillId="0" borderId="0" xfId="0" applyNumberFormat="1" applyFill="1"/>
    <xf numFmtId="0" fontId="0" fillId="0" borderId="0" xfId="0" applyFill="1"/>
    <xf numFmtId="10" fontId="0" fillId="0" borderId="39" xfId="0" applyNumberFormat="1" applyFill="1" applyBorder="1"/>
    <xf numFmtId="10" fontId="0" fillId="0" borderId="40" xfId="0" applyNumberFormat="1" applyFill="1" applyBorder="1"/>
    <xf numFmtId="2" fontId="0" fillId="0" borderId="40" xfId="0" applyNumberFormat="1" applyFill="1" applyBorder="1"/>
    <xf numFmtId="0" fontId="0" fillId="0" borderId="32" xfId="0" applyNumberFormat="1" applyFill="1" applyBorder="1"/>
    <xf numFmtId="0" fontId="0" fillId="0" borderId="50" xfId="0" applyFill="1" applyBorder="1"/>
    <xf numFmtId="10" fontId="9" fillId="0" borderId="22" xfId="0" applyNumberFormat="1" applyFont="1" applyFill="1" applyBorder="1"/>
    <xf numFmtId="10" fontId="9" fillId="0" borderId="48" xfId="0" applyNumberFormat="1" applyFont="1" applyFill="1" applyBorder="1"/>
    <xf numFmtId="0" fontId="0" fillId="0" borderId="52" xfId="0" applyFill="1" applyBorder="1" applyAlignment="1">
      <alignment wrapText="1"/>
    </xf>
    <xf numFmtId="10" fontId="9" fillId="0" borderId="19" xfId="0" applyNumberFormat="1" applyFont="1" applyFill="1" applyBorder="1"/>
    <xf numFmtId="0" fontId="0" fillId="0" borderId="47" xfId="0" applyFill="1" applyBorder="1"/>
    <xf numFmtId="10" fontId="9" fillId="0" borderId="69" xfId="0" applyNumberFormat="1" applyFont="1" applyFill="1" applyBorder="1"/>
    <xf numFmtId="10" fontId="0" fillId="0" borderId="34" xfId="0" applyNumberFormat="1" applyFill="1" applyBorder="1"/>
    <xf numFmtId="10" fontId="0" fillId="0" borderId="27" xfId="0" applyNumberFormat="1" applyFill="1" applyBorder="1"/>
    <xf numFmtId="2" fontId="0" fillId="0" borderId="27" xfId="0" applyNumberFormat="1" applyFill="1" applyBorder="1"/>
    <xf numFmtId="0" fontId="0" fillId="0" borderId="53" xfId="0" applyNumberFormat="1" applyFill="1" applyBorder="1"/>
    <xf numFmtId="0" fontId="0" fillId="0" borderId="45" xfId="0" applyFont="1" applyFill="1" applyBorder="1"/>
    <xf numFmtId="0" fontId="0" fillId="0" borderId="50" xfId="0" applyFont="1" applyFill="1" applyBorder="1"/>
    <xf numFmtId="0" fontId="0" fillId="0" borderId="47" xfId="0" applyFont="1" applyFill="1" applyBorder="1"/>
    <xf numFmtId="0" fontId="0" fillId="0" borderId="47" xfId="0" applyFont="1" applyFill="1" applyBorder="1" applyAlignment="1">
      <alignment wrapText="1"/>
    </xf>
    <xf numFmtId="165" fontId="0" fillId="0" borderId="78" xfId="0" applyNumberFormat="1" applyFill="1" applyBorder="1" applyAlignment="1">
      <alignment horizontal="right" vertical="center"/>
    </xf>
    <xf numFmtId="165" fontId="0" fillId="0" borderId="23" xfId="0" applyNumberFormat="1" applyFill="1" applyBorder="1" applyAlignment="1">
      <alignment horizontal="right" vertical="center"/>
    </xf>
    <xf numFmtId="165" fontId="0" fillId="0" borderId="77" xfId="0" applyNumberFormat="1" applyFill="1" applyBorder="1" applyAlignment="1">
      <alignment horizontal="right" vertical="center"/>
    </xf>
    <xf numFmtId="165" fontId="0" fillId="0" borderId="68" xfId="0" applyNumberFormat="1" applyFill="1" applyBorder="1" applyAlignment="1">
      <alignment horizontal="right" vertical="center"/>
    </xf>
    <xf numFmtId="165" fontId="0" fillId="0" borderId="72" xfId="0" applyNumberFormat="1" applyBorder="1" applyAlignment="1">
      <alignment horizontal="center" vertical="center"/>
    </xf>
    <xf numFmtId="0" fontId="0" fillId="0" borderId="52" xfId="0" applyFont="1" applyFill="1" applyBorder="1"/>
    <xf numFmtId="0" fontId="0" fillId="0" borderId="45" xfId="0" applyFont="1" applyFill="1" applyBorder="1" applyAlignment="1">
      <alignment wrapText="1"/>
    </xf>
    <xf numFmtId="0" fontId="0" fillId="0" borderId="52" xfId="0" applyFont="1" applyFill="1" applyBorder="1" applyAlignment="1">
      <alignment wrapText="1"/>
    </xf>
    <xf numFmtId="165" fontId="0" fillId="4" borderId="19" xfId="0" applyNumberFormat="1" applyFill="1" applyBorder="1" applyAlignment="1">
      <alignment horizontal="right" vertical="center"/>
    </xf>
    <xf numFmtId="10" fontId="1" fillId="0" borderId="69" xfId="0" applyNumberFormat="1" applyFont="1" applyFill="1" applyBorder="1"/>
    <xf numFmtId="0" fontId="0" fillId="0" borderId="70" xfId="0" applyFill="1" applyBorder="1"/>
    <xf numFmtId="0" fontId="0" fillId="0" borderId="70" xfId="0" applyFont="1" applyFill="1" applyBorder="1"/>
    <xf numFmtId="165" fontId="0" fillId="0" borderId="78" xfId="0" applyNumberFormat="1" applyBorder="1" applyAlignment="1">
      <alignment horizontal="right" vertical="center"/>
    </xf>
    <xf numFmtId="0" fontId="0" fillId="0" borderId="45" xfId="0" applyBorder="1"/>
    <xf numFmtId="165" fontId="0" fillId="0" borderId="77" xfId="0" applyNumberFormat="1" applyBorder="1" applyAlignment="1">
      <alignment horizontal="right" vertical="center"/>
    </xf>
    <xf numFmtId="10" fontId="0" fillId="0" borderId="39" xfId="0" applyNumberFormat="1" applyBorder="1"/>
    <xf numFmtId="0" fontId="0" fillId="0" borderId="61" xfId="0" applyFill="1" applyBorder="1" applyAlignment="1">
      <alignment horizontal="center"/>
    </xf>
    <xf numFmtId="164" fontId="0" fillId="0" borderId="0" xfId="0" applyNumberFormat="1" applyFill="1"/>
    <xf numFmtId="0" fontId="11" fillId="0" borderId="0" xfId="0" applyFont="1" applyFill="1"/>
    <xf numFmtId="165" fontId="0" fillId="0" borderId="79" xfId="0" applyNumberFormat="1" applyFill="1" applyBorder="1" applyAlignment="1">
      <alignment horizontal="right" vertical="center"/>
    </xf>
    <xf numFmtId="165" fontId="0" fillId="0" borderId="80" xfId="0" applyNumberFormat="1" applyFill="1" applyBorder="1" applyAlignment="1">
      <alignment horizontal="right" vertical="center"/>
    </xf>
    <xf numFmtId="10" fontId="9" fillId="0" borderId="81" xfId="0" applyNumberFormat="1" applyFont="1" applyFill="1" applyBorder="1"/>
    <xf numFmtId="165" fontId="0" fillId="0" borderId="81" xfId="0" applyNumberFormat="1" applyFill="1" applyBorder="1" applyAlignment="1">
      <alignment horizontal="right" vertical="center"/>
    </xf>
    <xf numFmtId="0" fontId="0" fillId="0" borderId="82" xfId="0" applyFill="1" applyBorder="1" applyAlignment="1">
      <alignment wrapText="1"/>
    </xf>
    <xf numFmtId="0" fontId="8" fillId="0" borderId="0" xfId="0" applyFont="1" applyAlignment="1">
      <alignment horizontal="right"/>
    </xf>
    <xf numFmtId="164" fontId="8" fillId="0" borderId="0" xfId="0" applyNumberFormat="1" applyFont="1"/>
    <xf numFmtId="165" fontId="0" fillId="0" borderId="36" xfId="0" applyNumberFormat="1" applyBorder="1"/>
    <xf numFmtId="173" fontId="8" fillId="0" borderId="0" xfId="0" applyNumberFormat="1" applyFont="1" applyAlignment="1">
      <alignment horizontal="left"/>
    </xf>
    <xf numFmtId="165" fontId="0" fillId="0" borderId="62" xfId="0" applyNumberFormat="1" applyFill="1" applyBorder="1" applyAlignment="1">
      <alignment horizontal="right" vertical="center"/>
    </xf>
    <xf numFmtId="165" fontId="0" fillId="0" borderId="64" xfId="0" applyNumberFormat="1" applyFill="1" applyBorder="1" applyAlignment="1">
      <alignment horizontal="right" vertical="center"/>
    </xf>
    <xf numFmtId="165" fontId="0" fillId="0" borderId="21" xfId="0" applyNumberFormat="1" applyFill="1" applyBorder="1" applyAlignment="1">
      <alignment horizontal="right" vertical="center"/>
    </xf>
    <xf numFmtId="0" fontId="0" fillId="0" borderId="18" xfId="0" applyBorder="1" applyAlignment="1">
      <alignment wrapText="1"/>
    </xf>
    <xf numFmtId="10" fontId="0" fillId="0" borderId="0" xfId="0" applyNumberFormat="1" applyFill="1"/>
    <xf numFmtId="173" fontId="8" fillId="7" borderId="24" xfId="0" applyNumberFormat="1" applyFont="1" applyFill="1" applyBorder="1"/>
    <xf numFmtId="4" fontId="0" fillId="0" borderId="0" xfId="0" applyNumberFormat="1"/>
    <xf numFmtId="0" fontId="13" fillId="10" borderId="0" xfId="0" applyFont="1" applyFill="1" applyAlignment="1">
      <alignment wrapText="1"/>
    </xf>
    <xf numFmtId="0" fontId="13" fillId="0" borderId="0" xfId="0" applyFont="1" applyAlignment="1">
      <alignment wrapText="1"/>
    </xf>
    <xf numFmtId="4" fontId="0" fillId="0" borderId="18" xfId="0" applyNumberFormat="1" applyBorder="1"/>
    <xf numFmtId="0" fontId="0" fillId="0" borderId="48" xfId="0" applyBorder="1"/>
    <xf numFmtId="4" fontId="0" fillId="0" borderId="49" xfId="0" applyNumberFormat="1" applyBorder="1"/>
    <xf numFmtId="4" fontId="0" fillId="0" borderId="50" xfId="0" applyNumberFormat="1" applyBorder="1"/>
    <xf numFmtId="4" fontId="0" fillId="0" borderId="46" xfId="0" applyNumberFormat="1" applyBorder="1"/>
    <xf numFmtId="4" fontId="0" fillId="0" borderId="19" xfId="0" applyNumberFormat="1" applyBorder="1"/>
    <xf numFmtId="4" fontId="0" fillId="0" borderId="47" xfId="0" applyNumberFormat="1" applyBorder="1"/>
    <xf numFmtId="0" fontId="0" fillId="0" borderId="0" xfId="0" applyAlignment="1">
      <alignment horizontal="center"/>
    </xf>
    <xf numFmtId="167" fontId="0" fillId="0" borderId="24" xfId="0" applyNumberFormat="1" applyBorder="1" applyProtection="1">
      <protection hidden="1"/>
    </xf>
    <xf numFmtId="165" fontId="0" fillId="0" borderId="0" xfId="0" applyNumberFormat="1" applyAlignment="1">
      <alignment horizontal="center"/>
    </xf>
    <xf numFmtId="10" fontId="1" fillId="0" borderId="21" xfId="0" applyNumberFormat="1" applyFont="1" applyFill="1" applyBorder="1"/>
    <xf numFmtId="0" fontId="0" fillId="0" borderId="83" xfId="0" applyFont="1" applyFill="1" applyBorder="1"/>
    <xf numFmtId="165" fontId="0" fillId="0" borderId="88" xfId="0" applyNumberFormat="1" applyFill="1" applyBorder="1" applyAlignment="1">
      <alignment horizontal="right" vertical="center"/>
    </xf>
    <xf numFmtId="10" fontId="9" fillId="0" borderId="89" xfId="0" applyNumberFormat="1" applyFont="1" applyFill="1" applyBorder="1"/>
    <xf numFmtId="165" fontId="0" fillId="0" borderId="89" xfId="0" applyNumberFormat="1" applyFill="1" applyBorder="1" applyAlignment="1">
      <alignment horizontal="right" vertical="center"/>
    </xf>
    <xf numFmtId="0" fontId="0" fillId="0" borderId="90" xfId="0" applyFont="1" applyFill="1" applyBorder="1" applyAlignment="1">
      <alignment wrapText="1"/>
    </xf>
    <xf numFmtId="169" fontId="0" fillId="0" borderId="24" xfId="0" applyNumberFormat="1" applyBorder="1" applyAlignment="1">
      <alignment vertical="center"/>
    </xf>
    <xf numFmtId="0" fontId="0" fillId="0" borderId="57" xfId="0" applyFill="1" applyBorder="1" applyAlignment="1">
      <alignment horizontal="center"/>
    </xf>
    <xf numFmtId="165" fontId="0" fillId="0" borderId="91" xfId="0" applyNumberFormat="1" applyFill="1" applyBorder="1" applyAlignment="1">
      <alignment horizontal="right" vertical="center"/>
    </xf>
    <xf numFmtId="165" fontId="0" fillId="0" borderId="92" xfId="0" applyNumberFormat="1" applyFill="1" applyBorder="1" applyAlignment="1">
      <alignment horizontal="right" vertical="center"/>
    </xf>
    <xf numFmtId="10" fontId="1" fillId="0" borderId="92" xfId="0" applyNumberFormat="1" applyFont="1" applyFill="1" applyBorder="1"/>
    <xf numFmtId="0" fontId="0" fillId="0" borderId="93" xfId="0" applyFill="1" applyBorder="1"/>
    <xf numFmtId="165" fontId="0" fillId="0" borderId="94" xfId="0" applyNumberFormat="1" applyFill="1" applyBorder="1" applyAlignment="1">
      <alignment horizontal="right" vertical="center"/>
    </xf>
    <xf numFmtId="0" fontId="0" fillId="0" borderId="93" xfId="0" applyFont="1" applyFill="1" applyBorder="1"/>
    <xf numFmtId="0" fontId="0" fillId="0" borderId="82" xfId="0" applyFont="1" applyFill="1" applyBorder="1" applyAlignment="1">
      <alignment wrapText="1"/>
    </xf>
    <xf numFmtId="169" fontId="0" fillId="0" borderId="25" xfId="0" applyNumberFormat="1" applyBorder="1" applyAlignment="1">
      <alignment horizontal="center" vertical="center"/>
    </xf>
    <xf numFmtId="10" fontId="9" fillId="0" borderId="92" xfId="0" applyNumberFormat="1" applyFont="1" applyFill="1" applyBorder="1"/>
    <xf numFmtId="0" fontId="0" fillId="0" borderId="93" xfId="0" applyFont="1" applyFill="1" applyBorder="1" applyAlignment="1">
      <alignment wrapText="1"/>
    </xf>
    <xf numFmtId="10" fontId="0" fillId="0" borderId="25" xfId="0" applyNumberFormat="1" applyFill="1" applyBorder="1"/>
    <xf numFmtId="10" fontId="0" fillId="0" borderId="43" xfId="0" applyNumberFormat="1" applyFill="1" applyBorder="1"/>
    <xf numFmtId="2" fontId="0" fillId="0" borderId="43" xfId="0" applyNumberFormat="1" applyFill="1" applyBorder="1"/>
    <xf numFmtId="0" fontId="0" fillId="0" borderId="31" xfId="0" applyNumberFormat="1" applyFill="1" applyBorder="1"/>
    <xf numFmtId="169" fontId="0" fillId="0" borderId="25" xfId="0" applyNumberFormat="1" applyBorder="1" applyAlignment="1">
      <alignment horizontal="right" vertical="center"/>
    </xf>
    <xf numFmtId="0" fontId="14" fillId="0" borderId="50" xfId="0" applyFont="1" applyFill="1" applyBorder="1"/>
    <xf numFmtId="0" fontId="15" fillId="0" borderId="50" xfId="0" applyFont="1" applyFill="1" applyBorder="1"/>
    <xf numFmtId="0" fontId="0" fillId="0" borderId="82" xfId="0" applyFill="1" applyBorder="1"/>
    <xf numFmtId="0" fontId="15" fillId="0" borderId="70" xfId="0" applyFont="1" applyFill="1" applyBorder="1"/>
    <xf numFmtId="0" fontId="0" fillId="0" borderId="82" xfId="0" applyFont="1" applyFill="1" applyBorder="1"/>
    <xf numFmtId="165" fontId="0" fillId="0" borderId="44" xfId="0" applyNumberFormat="1" applyBorder="1" applyAlignment="1">
      <alignment horizontal="right" vertical="center"/>
    </xf>
    <xf numFmtId="169" fontId="0" fillId="4" borderId="34" xfId="0" applyNumberFormat="1" applyFill="1" applyBorder="1" applyAlignment="1">
      <alignment horizontal="right" vertical="center"/>
    </xf>
    <xf numFmtId="0" fontId="0" fillId="0" borderId="90" xfId="0" applyFill="1" applyBorder="1" applyAlignment="1">
      <alignment wrapText="1"/>
    </xf>
    <xf numFmtId="175" fontId="0" fillId="0" borderId="0" xfId="0" applyNumberFormat="1"/>
    <xf numFmtId="0" fontId="8" fillId="0" borderId="0" xfId="0" applyFont="1" applyAlignment="1">
      <alignment horizontal="center"/>
    </xf>
    <xf numFmtId="0" fontId="0" fillId="0" borderId="19" xfId="0" applyBorder="1"/>
    <xf numFmtId="0" fontId="0" fillId="0" borderId="0" xfId="0" applyFont="1"/>
    <xf numFmtId="0" fontId="8" fillId="0" borderId="0" xfId="0" applyFont="1" applyBorder="1" applyAlignment="1">
      <alignment horizontal="center"/>
    </xf>
    <xf numFmtId="0" fontId="0" fillId="0" borderId="0" xfId="0" applyBorder="1"/>
    <xf numFmtId="0" fontId="0" fillId="0" borderId="18" xfId="0" applyFont="1" applyFill="1" applyBorder="1"/>
    <xf numFmtId="0" fontId="0" fillId="0" borderId="18" xfId="0" applyFill="1" applyBorder="1"/>
    <xf numFmtId="0" fontId="8" fillId="0" borderId="48" xfId="0" applyFont="1" applyBorder="1"/>
    <xf numFmtId="0" fontId="0" fillId="0" borderId="48" xfId="0" applyFill="1" applyBorder="1"/>
    <xf numFmtId="0" fontId="8" fillId="0" borderId="48" xfId="0" applyFont="1" applyFill="1" applyBorder="1"/>
    <xf numFmtId="0" fontId="0" fillId="0" borderId="48" xfId="0" applyFont="1" applyFill="1" applyBorder="1"/>
    <xf numFmtId="0" fontId="0" fillId="0" borderId="19" xfId="0" applyFill="1" applyBorder="1"/>
    <xf numFmtId="0" fontId="0" fillId="0" borderId="19" xfId="0" applyFont="1" applyFill="1" applyBorder="1"/>
    <xf numFmtId="0" fontId="0" fillId="0" borderId="94" xfId="0" applyFont="1" applyBorder="1" applyAlignment="1">
      <alignment horizontal="center"/>
    </xf>
    <xf numFmtId="0" fontId="0" fillId="0" borderId="22" xfId="0" applyBorder="1"/>
    <xf numFmtId="0" fontId="0" fillId="0" borderId="18" xfId="0" applyFont="1" applyBorder="1" applyAlignment="1">
      <alignment horizontal="center"/>
    </xf>
    <xf numFmtId="0" fontId="8" fillId="0" borderId="20" xfId="0" applyFont="1" applyFill="1" applyBorder="1"/>
    <xf numFmtId="0" fontId="0" fillId="0" borderId="23" xfId="0" applyBorder="1"/>
    <xf numFmtId="0" fontId="8" fillId="0" borderId="20" xfId="0" applyFont="1" applyBorder="1"/>
    <xf numFmtId="0" fontId="0" fillId="0" borderId="93" xfId="0" applyBorder="1"/>
    <xf numFmtId="0" fontId="0" fillId="0" borderId="22" xfId="0" applyFill="1" applyBorder="1"/>
    <xf numFmtId="0" fontId="8" fillId="0" borderId="22" xfId="0" applyFont="1" applyFill="1" applyBorder="1"/>
    <xf numFmtId="0" fontId="0" fillId="0" borderId="64" xfId="0" applyFont="1" applyBorder="1" applyAlignment="1">
      <alignment horizontal="center"/>
    </xf>
    <xf numFmtId="0" fontId="0" fillId="0" borderId="22" xfId="0" applyFont="1" applyFill="1" applyBorder="1"/>
    <xf numFmtId="0" fontId="8" fillId="0" borderId="22" xfId="0" applyFont="1" applyBorder="1"/>
    <xf numFmtId="0" fontId="0" fillId="0" borderId="19" xfId="0" applyFont="1" applyBorder="1" applyAlignment="1">
      <alignment horizontal="center"/>
    </xf>
    <xf numFmtId="0" fontId="8" fillId="0" borderId="95" xfId="0" applyFont="1" applyFill="1" applyBorder="1"/>
    <xf numFmtId="0" fontId="0" fillId="0" borderId="92" xfId="0" applyBorder="1"/>
    <xf numFmtId="0" fontId="8" fillId="0" borderId="97" xfId="0" applyFont="1" applyFill="1" applyBorder="1"/>
    <xf numFmtId="0" fontId="0" fillId="0" borderId="69" xfId="0" applyFont="1" applyBorder="1" applyAlignment="1">
      <alignment horizontal="center"/>
    </xf>
    <xf numFmtId="0" fontId="8" fillId="0" borderId="98" xfId="0" applyFont="1" applyFill="1" applyBorder="1"/>
    <xf numFmtId="0" fontId="0" fillId="0" borderId="48" xfId="0" applyFont="1" applyBorder="1" applyAlignment="1">
      <alignment horizontal="center"/>
    </xf>
    <xf numFmtId="0" fontId="8" fillId="0" borderId="95" xfId="0" applyFont="1" applyBorder="1"/>
    <xf numFmtId="0" fontId="8" fillId="0" borderId="97" xfId="0" applyFont="1" applyBorder="1"/>
    <xf numFmtId="0" fontId="8" fillId="0" borderId="101" xfId="0" applyFont="1" applyBorder="1"/>
    <xf numFmtId="176" fontId="0" fillId="0" borderId="48" xfId="0" applyNumberFormat="1" applyBorder="1"/>
    <xf numFmtId="176" fontId="0" fillId="0" borderId="22" xfId="0" applyNumberFormat="1" applyBorder="1"/>
    <xf numFmtId="176" fontId="0" fillId="0" borderId="48" xfId="0" applyNumberFormat="1" applyFont="1" applyFill="1" applyBorder="1"/>
    <xf numFmtId="176" fontId="0" fillId="0" borderId="96" xfId="0" applyNumberFormat="1" applyFont="1" applyBorder="1"/>
    <xf numFmtId="176" fontId="0" fillId="0" borderId="96" xfId="0" applyNumberFormat="1" applyFont="1" applyFill="1" applyBorder="1"/>
    <xf numFmtId="176" fontId="0" fillId="0" borderId="96" xfId="0" applyNumberFormat="1" applyBorder="1"/>
    <xf numFmtId="176" fontId="0" fillId="0" borderId="100" xfId="0" applyNumberFormat="1" applyBorder="1"/>
    <xf numFmtId="0" fontId="0" fillId="0" borderId="18" xfId="0" applyBorder="1" applyAlignment="1">
      <alignment horizontal="center"/>
    </xf>
    <xf numFmtId="0" fontId="0" fillId="0" borderId="63" xfId="0" applyBorder="1"/>
    <xf numFmtId="0" fontId="0" fillId="0" borderId="78" xfId="0" applyBorder="1"/>
    <xf numFmtId="0" fontId="0" fillId="0" borderId="94" xfId="0" applyBorder="1"/>
    <xf numFmtId="0" fontId="0" fillId="0" borderId="77" xfId="0" applyBorder="1"/>
    <xf numFmtId="0" fontId="0" fillId="0" borderId="19" xfId="0" applyBorder="1" applyAlignment="1">
      <alignment horizontal="center"/>
    </xf>
    <xf numFmtId="0" fontId="0" fillId="0" borderId="69" xfId="0" applyBorder="1" applyAlignment="1">
      <alignment horizontal="center"/>
    </xf>
    <xf numFmtId="0" fontId="0" fillId="0" borderId="22" xfId="0" applyBorder="1" applyAlignment="1">
      <alignment horizontal="center"/>
    </xf>
    <xf numFmtId="176" fontId="0" fillId="0" borderId="102" xfId="0" applyNumberFormat="1" applyBorder="1"/>
    <xf numFmtId="0" fontId="8" fillId="0" borderId="18" xfId="0" applyFont="1" applyBorder="1"/>
    <xf numFmtId="176" fontId="0" fillId="0" borderId="18" xfId="0" applyNumberFormat="1" applyBorder="1"/>
    <xf numFmtId="0" fontId="8" fillId="0" borderId="103" xfId="0" applyFont="1" applyBorder="1"/>
    <xf numFmtId="0" fontId="0" fillId="0" borderId="92" xfId="0" applyBorder="1" applyAlignment="1">
      <alignment horizontal="center"/>
    </xf>
    <xf numFmtId="176" fontId="0" fillId="0" borderId="40" xfId="0" applyNumberFormat="1" applyBorder="1"/>
    <xf numFmtId="0" fontId="0" fillId="0" borderId="69" xfId="0" applyBorder="1"/>
    <xf numFmtId="0" fontId="8" fillId="0" borderId="69" xfId="0" applyFont="1" applyBorder="1"/>
    <xf numFmtId="176" fontId="0" fillId="0" borderId="69" xfId="0" applyNumberFormat="1" applyBorder="1"/>
    <xf numFmtId="176" fontId="8" fillId="0" borderId="98" xfId="0" applyNumberFormat="1" applyFont="1" applyBorder="1"/>
    <xf numFmtId="176" fontId="8" fillId="0" borderId="97" xfId="0" applyNumberFormat="1" applyFont="1" applyBorder="1"/>
    <xf numFmtId="176" fontId="8" fillId="0" borderId="103" xfId="0" applyNumberFormat="1" applyFont="1" applyBorder="1"/>
    <xf numFmtId="176" fontId="8" fillId="0" borderId="20" xfId="0" applyNumberFormat="1" applyFont="1" applyBorder="1"/>
    <xf numFmtId="176" fontId="8" fillId="0" borderId="95" xfId="0" applyNumberFormat="1" applyFont="1" applyBorder="1"/>
    <xf numFmtId="176" fontId="8" fillId="0" borderId="0" xfId="0" applyNumberFormat="1" applyFont="1" applyBorder="1"/>
    <xf numFmtId="176" fontId="8" fillId="0" borderId="102" xfId="0" applyNumberFormat="1" applyFont="1" applyBorder="1"/>
    <xf numFmtId="0" fontId="0" fillId="0" borderId="69" xfId="0" applyFill="1" applyBorder="1"/>
    <xf numFmtId="176" fontId="8" fillId="0" borderId="101" xfId="0" applyNumberFormat="1" applyFont="1" applyBorder="1"/>
    <xf numFmtId="176" fontId="8" fillId="0" borderId="105" xfId="0" applyNumberFormat="1" applyFont="1" applyBorder="1"/>
    <xf numFmtId="0" fontId="0" fillId="0" borderId="70" xfId="0" applyBorder="1"/>
    <xf numFmtId="176" fontId="8" fillId="0" borderId="18" xfId="0" applyNumberFormat="1" applyFont="1" applyBorder="1"/>
    <xf numFmtId="176" fontId="8" fillId="0" borderId="40" xfId="0" applyNumberFormat="1" applyFont="1" applyBorder="1"/>
    <xf numFmtId="0" fontId="0" fillId="0" borderId="41" xfId="0" applyBorder="1"/>
    <xf numFmtId="0" fontId="0" fillId="0" borderId="48" xfId="0" applyBorder="1" applyAlignment="1">
      <alignment horizontal="center"/>
    </xf>
    <xf numFmtId="176" fontId="8" fillId="0" borderId="48" xfId="0" applyNumberFormat="1" applyFont="1" applyBorder="1"/>
    <xf numFmtId="176" fontId="8" fillId="0" borderId="22" xfId="0" applyNumberFormat="1" applyFont="1" applyBorder="1"/>
    <xf numFmtId="0" fontId="0" fillId="0" borderId="21" xfId="0" applyBorder="1"/>
    <xf numFmtId="0" fontId="8" fillId="0" borderId="92" xfId="0" applyFont="1" applyBorder="1"/>
    <xf numFmtId="176" fontId="0" fillId="0" borderId="92" xfId="0" applyNumberFormat="1" applyBorder="1"/>
    <xf numFmtId="176" fontId="8" fillId="0" borderId="92" xfId="0" applyNumberFormat="1" applyFont="1" applyBorder="1"/>
    <xf numFmtId="2" fontId="8" fillId="0" borderId="0" xfId="0" applyNumberFormat="1" applyFont="1" applyBorder="1" applyAlignment="1">
      <alignment horizontal="center"/>
    </xf>
    <xf numFmtId="166" fontId="0" fillId="0" borderId="106" xfId="0" applyNumberFormat="1" applyBorder="1" applyAlignment="1">
      <alignment horizontal="center" vertical="center"/>
    </xf>
    <xf numFmtId="0" fontId="0" fillId="0" borderId="57" xfId="0" applyBorder="1" applyAlignment="1">
      <alignment horizontal="center"/>
    </xf>
    <xf numFmtId="0" fontId="0" fillId="0" borderId="83" xfId="0" applyBorder="1"/>
    <xf numFmtId="165" fontId="0" fillId="0" borderId="73" xfId="0" applyNumberFormat="1" applyBorder="1" applyAlignment="1">
      <alignment horizontal="right" vertical="center"/>
    </xf>
    <xf numFmtId="165" fontId="0" fillId="0" borderId="63" xfId="0" applyNumberFormat="1" applyBorder="1" applyAlignment="1">
      <alignment horizontal="right" vertical="center"/>
    </xf>
    <xf numFmtId="0" fontId="0" fillId="0" borderId="34" xfId="0" applyBorder="1"/>
    <xf numFmtId="165" fontId="0" fillId="0" borderId="94" xfId="0" applyNumberFormat="1" applyBorder="1" applyAlignment="1">
      <alignment horizontal="right" vertical="center"/>
    </xf>
    <xf numFmtId="165" fontId="0" fillId="0" borderId="68" xfId="0" applyNumberFormat="1" applyBorder="1" applyAlignment="1">
      <alignment horizontal="right" vertical="center"/>
    </xf>
    <xf numFmtId="165" fontId="0" fillId="0" borderId="64" xfId="0" applyNumberFormat="1" applyBorder="1" applyAlignment="1">
      <alignment horizontal="right" vertical="center"/>
    </xf>
    <xf numFmtId="173" fontId="0" fillId="0" borderId="0" xfId="0" applyNumberFormat="1" applyBorder="1" applyAlignment="1">
      <alignment horizontal="left"/>
    </xf>
    <xf numFmtId="0" fontId="0" fillId="0" borderId="110" xfId="0" applyBorder="1"/>
    <xf numFmtId="0" fontId="0" fillId="0" borderId="111" xfId="0" applyBorder="1"/>
    <xf numFmtId="0" fontId="0" fillId="0" borderId="32" xfId="0" applyBorder="1"/>
    <xf numFmtId="0" fontId="0" fillId="0" borderId="33" xfId="0" applyBorder="1"/>
    <xf numFmtId="165" fontId="0" fillId="0" borderId="27" xfId="0" applyNumberFormat="1" applyBorder="1"/>
    <xf numFmtId="0" fontId="0" fillId="0" borderId="112" xfId="0" applyBorder="1"/>
    <xf numFmtId="173" fontId="0" fillId="0" borderId="0" xfId="0" applyNumberFormat="1" applyAlignment="1">
      <alignment horizontal="left"/>
    </xf>
    <xf numFmtId="165" fontId="0" fillId="0" borderId="102" xfId="0" applyNumberFormat="1" applyBorder="1" applyAlignment="1">
      <alignment horizontal="right" vertical="center"/>
    </xf>
    <xf numFmtId="165" fontId="0" fillId="0" borderId="99" xfId="0" applyNumberFormat="1" applyBorder="1" applyAlignment="1">
      <alignment horizontal="right" vertical="center"/>
    </xf>
    <xf numFmtId="165" fontId="0" fillId="0" borderId="96" xfId="0" applyNumberFormat="1" applyBorder="1" applyAlignment="1">
      <alignment horizontal="right" vertical="center"/>
    </xf>
    <xf numFmtId="165" fontId="0" fillId="0" borderId="100" xfId="0" applyNumberFormat="1" applyBorder="1" applyAlignment="1">
      <alignment horizontal="right" vertical="center"/>
    </xf>
    <xf numFmtId="165" fontId="0" fillId="0" borderId="109" xfId="0" applyNumberFormat="1" applyBorder="1" applyAlignment="1">
      <alignment horizontal="right" vertical="center"/>
    </xf>
    <xf numFmtId="0" fontId="0" fillId="0" borderId="113" xfId="0" applyBorder="1"/>
    <xf numFmtId="165" fontId="0" fillId="0" borderId="114" xfId="0" applyNumberFormat="1" applyBorder="1" applyAlignment="1">
      <alignment horizontal="right" vertical="center"/>
    </xf>
    <xf numFmtId="165" fontId="0" fillId="0" borderId="115" xfId="0" applyNumberFormat="1" applyBorder="1" applyAlignment="1">
      <alignment horizontal="right" vertical="center"/>
    </xf>
    <xf numFmtId="165" fontId="0" fillId="0" borderId="116" xfId="0" applyNumberFormat="1" applyBorder="1" applyAlignment="1">
      <alignment horizontal="right" vertical="center"/>
    </xf>
    <xf numFmtId="0" fontId="0" fillId="0" borderId="32" xfId="0" applyFill="1" applyBorder="1"/>
    <xf numFmtId="0" fontId="0" fillId="0" borderId="111" xfId="0" applyFill="1" applyBorder="1"/>
    <xf numFmtId="0" fontId="0" fillId="0" borderId="110" xfId="0" applyFill="1" applyBorder="1"/>
    <xf numFmtId="176" fontId="8" fillId="0" borderId="50" xfId="0" applyNumberFormat="1" applyFont="1" applyBorder="1"/>
    <xf numFmtId="0" fontId="0" fillId="0" borderId="23" xfId="0" applyFill="1" applyBorder="1"/>
    <xf numFmtId="0" fontId="8" fillId="0" borderId="18" xfId="0" applyFont="1" applyFill="1" applyBorder="1"/>
    <xf numFmtId="0" fontId="0" fillId="0" borderId="18" xfId="0" applyFill="1" applyBorder="1" applyAlignment="1">
      <alignment horizontal="center"/>
    </xf>
    <xf numFmtId="176" fontId="0" fillId="0" borderId="18" xfId="0" applyNumberFormat="1" applyFill="1" applyBorder="1"/>
    <xf numFmtId="176" fontId="8" fillId="0" borderId="50" xfId="0" applyNumberFormat="1" applyFont="1" applyFill="1" applyBorder="1"/>
    <xf numFmtId="0" fontId="0" fillId="0" borderId="53" xfId="0" applyBorder="1"/>
    <xf numFmtId="165" fontId="0" fillId="0" borderId="96" xfId="0" applyNumberFormat="1" applyFill="1" applyBorder="1" applyAlignment="1">
      <alignment horizontal="right" vertical="center"/>
    </xf>
    <xf numFmtId="165" fontId="0" fillId="0" borderId="102" xfId="0" applyNumberFormat="1" applyFill="1" applyBorder="1" applyAlignment="1">
      <alignment horizontal="right" vertical="center"/>
    </xf>
    <xf numFmtId="165" fontId="0" fillId="0" borderId="34" xfId="0" applyNumberFormat="1" applyBorder="1" applyAlignment="1">
      <alignment horizontal="right" vertical="center"/>
    </xf>
    <xf numFmtId="0" fontId="0" fillId="0" borderId="20" xfId="0" applyBorder="1"/>
    <xf numFmtId="0" fontId="0" fillId="0" borderId="95" xfId="0" applyBorder="1"/>
    <xf numFmtId="0" fontId="0" fillId="0" borderId="101" xfId="0" applyBorder="1"/>
    <xf numFmtId="0" fontId="0" fillId="0" borderId="97" xfId="0" applyBorder="1"/>
    <xf numFmtId="0" fontId="0" fillId="0" borderId="103" xfId="0" applyBorder="1"/>
    <xf numFmtId="0" fontId="0" fillId="0" borderId="98" xfId="0" applyBorder="1"/>
    <xf numFmtId="0" fontId="0" fillId="0" borderId="96" xfId="0" applyBorder="1"/>
    <xf numFmtId="0" fontId="0" fillId="0" borderId="96" xfId="0" applyFill="1" applyBorder="1"/>
    <xf numFmtId="0" fontId="8" fillId="0" borderId="104" xfId="0" applyFont="1" applyBorder="1" applyAlignment="1">
      <alignment horizontal="center"/>
    </xf>
    <xf numFmtId="0" fontId="8" fillId="0" borderId="21" xfId="0" applyFont="1" applyBorder="1" applyAlignment="1">
      <alignment horizontal="center"/>
    </xf>
    <xf numFmtId="0" fontId="0" fillId="0" borderId="0" xfId="0" pivotButton="1"/>
    <xf numFmtId="0" fontId="0" fillId="0" borderId="0" xfId="0" applyNumberFormat="1"/>
    <xf numFmtId="165" fontId="0" fillId="0" borderId="117" xfId="0" applyNumberFormat="1" applyBorder="1" applyAlignment="1">
      <alignment horizontal="right" vertical="center"/>
    </xf>
    <xf numFmtId="165" fontId="0" fillId="0" borderId="118" xfId="0" applyNumberFormat="1" applyBorder="1" applyAlignment="1">
      <alignment horizontal="right" vertical="center"/>
    </xf>
    <xf numFmtId="175" fontId="0" fillId="0" borderId="18" xfId="0" applyNumberFormat="1" applyBorder="1" applyAlignment="1">
      <alignment vertical="center"/>
    </xf>
    <xf numFmtId="175" fontId="0" fillId="0" borderId="18" xfId="0" applyNumberFormat="1" applyBorder="1"/>
    <xf numFmtId="0" fontId="0" fillId="0" borderId="63" xfId="0" applyBorder="1" applyAlignment="1">
      <alignment horizontal="left" wrapText="1"/>
    </xf>
    <xf numFmtId="0" fontId="0" fillId="0" borderId="68" xfId="0" applyBorder="1"/>
    <xf numFmtId="0" fontId="0" fillId="0" borderId="64" xfId="0" applyBorder="1"/>
    <xf numFmtId="0" fontId="0" fillId="0" borderId="63" xfId="0" applyFill="1" applyBorder="1"/>
    <xf numFmtId="175" fontId="0" fillId="0" borderId="44" xfId="0" applyNumberFormat="1" applyBorder="1" applyAlignment="1">
      <alignment vertical="center"/>
    </xf>
    <xf numFmtId="0" fontId="0" fillId="0" borderId="78" xfId="0" applyBorder="1" applyAlignment="1">
      <alignment wrapText="1"/>
    </xf>
    <xf numFmtId="0" fontId="0" fillId="0" borderId="78" xfId="0" applyFont="1" applyBorder="1" applyAlignment="1">
      <alignment horizontal="center"/>
    </xf>
    <xf numFmtId="0" fontId="0" fillId="0" borderId="40" xfId="0" applyBorder="1" applyAlignment="1">
      <alignment wrapText="1"/>
    </xf>
    <xf numFmtId="175" fontId="0" fillId="0" borderId="46" xfId="0" applyNumberFormat="1" applyBorder="1" applyAlignment="1">
      <alignment vertical="center"/>
    </xf>
    <xf numFmtId="0" fontId="0" fillId="0" borderId="88" xfId="0" applyFont="1" applyBorder="1" applyAlignment="1">
      <alignment horizontal="center"/>
    </xf>
    <xf numFmtId="0" fontId="8" fillId="0" borderId="19" xfId="0" applyFont="1" applyBorder="1"/>
    <xf numFmtId="176" fontId="0" fillId="0" borderId="19" xfId="0" applyNumberFormat="1" applyBorder="1"/>
    <xf numFmtId="0" fontId="0" fillId="0" borderId="27" xfId="0" applyBorder="1"/>
    <xf numFmtId="175" fontId="8" fillId="0" borderId="22" xfId="0" applyNumberFormat="1" applyFont="1" applyBorder="1" applyAlignment="1">
      <alignment horizontal="center"/>
    </xf>
    <xf numFmtId="0" fontId="8" fillId="0" borderId="64" xfId="0" applyFont="1" applyBorder="1" applyAlignment="1">
      <alignment horizontal="center"/>
    </xf>
    <xf numFmtId="0" fontId="8" fillId="0" borderId="21" xfId="0" applyFont="1" applyBorder="1"/>
    <xf numFmtId="0" fontId="8" fillId="0" borderId="83" xfId="0" applyFont="1" applyBorder="1"/>
    <xf numFmtId="0" fontId="8" fillId="0" borderId="104" xfId="0" applyFont="1" applyBorder="1"/>
    <xf numFmtId="175" fontId="0" fillId="0" borderId="69" xfId="0" applyNumberFormat="1" applyBorder="1" applyAlignment="1">
      <alignment vertical="center"/>
    </xf>
    <xf numFmtId="0" fontId="0" fillId="0" borderId="40" xfId="0" applyBorder="1"/>
    <xf numFmtId="175" fontId="0" fillId="0" borderId="49" xfId="0" applyNumberFormat="1" applyBorder="1" applyAlignment="1">
      <alignment vertical="center"/>
    </xf>
    <xf numFmtId="175" fontId="0" fillId="0" borderId="51" xfId="0" applyNumberFormat="1" applyBorder="1" applyAlignment="1">
      <alignment vertical="center"/>
    </xf>
    <xf numFmtId="0" fontId="0" fillId="0" borderId="21" xfId="0" applyFont="1" applyFill="1" applyBorder="1"/>
    <xf numFmtId="176" fontId="0" fillId="0" borderId="109" xfId="0" applyNumberFormat="1" applyFont="1" applyFill="1" applyBorder="1"/>
    <xf numFmtId="175" fontId="0" fillId="0" borderId="19" xfId="0" applyNumberFormat="1" applyBorder="1" applyAlignment="1">
      <alignment vertical="center"/>
    </xf>
    <xf numFmtId="175" fontId="0" fillId="0" borderId="89" xfId="0" applyNumberFormat="1" applyBorder="1" applyAlignment="1">
      <alignment vertical="center"/>
    </xf>
    <xf numFmtId="176" fontId="8" fillId="0" borderId="19" xfId="0" applyNumberFormat="1" applyFont="1" applyBorder="1"/>
    <xf numFmtId="176" fontId="8" fillId="0" borderId="69" xfId="0" applyNumberFormat="1" applyFont="1" applyBorder="1"/>
    <xf numFmtId="176" fontId="8" fillId="0" borderId="70" xfId="0" applyNumberFormat="1" applyFont="1" applyBorder="1"/>
    <xf numFmtId="0" fontId="0" fillId="0" borderId="109" xfId="0" applyBorder="1"/>
    <xf numFmtId="176" fontId="8" fillId="0" borderId="47" xfId="0" applyNumberFormat="1" applyFont="1" applyBorder="1"/>
    <xf numFmtId="175" fontId="0" fillId="0" borderId="69" xfId="0" applyNumberFormat="1" applyBorder="1"/>
    <xf numFmtId="10" fontId="16" fillId="0" borderId="0" xfId="0" applyNumberFormat="1" applyFont="1"/>
    <xf numFmtId="10" fontId="8" fillId="0" borderId="0" xfId="0" applyNumberFormat="1" applyFont="1"/>
    <xf numFmtId="175" fontId="0" fillId="0" borderId="0" xfId="0" applyNumberFormat="1" applyBorder="1"/>
    <xf numFmtId="175" fontId="0" fillId="0" borderId="22" xfId="0" applyNumberFormat="1" applyBorder="1" applyAlignment="1">
      <alignment vertical="center"/>
    </xf>
    <xf numFmtId="176" fontId="8" fillId="0" borderId="52" xfId="0" applyNumberFormat="1" applyFont="1" applyBorder="1"/>
    <xf numFmtId="0" fontId="0" fillId="0" borderId="102" xfId="0" applyBorder="1"/>
    <xf numFmtId="0" fontId="18" fillId="0" borderId="0" xfId="0" applyFont="1"/>
    <xf numFmtId="0" fontId="0" fillId="0" borderId="0" xfId="0" applyNumberFormat="1" applyBorder="1"/>
    <xf numFmtId="10" fontId="0" fillId="0" borderId="0" xfId="0" applyNumberFormat="1" applyFont="1"/>
    <xf numFmtId="176" fontId="8" fillId="0" borderId="45" xfId="0" applyNumberFormat="1" applyFont="1" applyBorder="1"/>
    <xf numFmtId="0" fontId="0" fillId="0" borderId="99" xfId="0" applyBorder="1"/>
    <xf numFmtId="165" fontId="0" fillId="0" borderId="41" xfId="0" applyNumberFormat="1" applyBorder="1" applyAlignment="1">
      <alignment horizontal="right" vertical="center"/>
    </xf>
    <xf numFmtId="175" fontId="0" fillId="0" borderId="91" xfId="0" applyNumberFormat="1" applyBorder="1" applyAlignment="1">
      <alignment vertical="center"/>
    </xf>
    <xf numFmtId="0" fontId="0" fillId="0" borderId="40" xfId="0" applyNumberFormat="1" applyBorder="1"/>
    <xf numFmtId="0" fontId="0" fillId="0" borderId="32" xfId="0" applyNumberFormat="1" applyBorder="1"/>
    <xf numFmtId="0" fontId="0" fillId="0" borderId="33" xfId="0" applyNumberFormat="1" applyBorder="1"/>
    <xf numFmtId="0" fontId="0" fillId="0" borderId="27" xfId="0" applyNumberFormat="1" applyBorder="1"/>
    <xf numFmtId="0" fontId="0" fillId="0" borderId="53" xfId="0" applyNumberFormat="1" applyBorder="1"/>
    <xf numFmtId="14" fontId="19" fillId="0" borderId="0" xfId="0" applyNumberFormat="1" applyFont="1" applyAlignment="1">
      <alignment horizontal="left"/>
    </xf>
    <xf numFmtId="176" fontId="8" fillId="0" borderId="93" xfId="0" applyNumberFormat="1" applyFont="1" applyBorder="1"/>
    <xf numFmtId="165" fontId="0" fillId="0" borderId="27" xfId="0" applyNumberFormat="1" applyBorder="1" applyAlignment="1">
      <alignment horizontal="right" vertical="center"/>
    </xf>
    <xf numFmtId="0" fontId="0" fillId="0" borderId="119" xfId="0" applyBorder="1"/>
    <xf numFmtId="165" fontId="0" fillId="0" borderId="0" xfId="0" applyNumberFormat="1" applyBorder="1" applyAlignment="1">
      <alignment horizontal="right" vertical="center"/>
    </xf>
    <xf numFmtId="175" fontId="0" fillId="0" borderId="21" xfId="0" applyNumberFormat="1" applyBorder="1" applyAlignment="1">
      <alignment vertical="center"/>
    </xf>
    <xf numFmtId="169" fontId="0" fillId="0" borderId="34" xfId="0" applyNumberFormat="1" applyBorder="1" applyAlignment="1">
      <alignment vertical="center"/>
    </xf>
    <xf numFmtId="0" fontId="0" fillId="0" borderId="23" xfId="0" applyBorder="1" applyAlignment="1">
      <alignment wrapText="1"/>
    </xf>
    <xf numFmtId="165" fontId="0" fillId="0" borderId="25" xfId="0" applyNumberFormat="1" applyBorder="1" applyAlignment="1">
      <alignment horizontal="right" vertical="center"/>
    </xf>
    <xf numFmtId="165" fontId="0" fillId="0" borderId="115" xfId="0" applyNumberFormat="1" applyFill="1" applyBorder="1" applyAlignment="1">
      <alignment horizontal="right" vertical="center"/>
    </xf>
    <xf numFmtId="0" fontId="0" fillId="0" borderId="113" xfId="0" applyFill="1" applyBorder="1"/>
    <xf numFmtId="0" fontId="0" fillId="0" borderId="112" xfId="0" applyFill="1" applyBorder="1"/>
    <xf numFmtId="165" fontId="0" fillId="0" borderId="117" xfId="0" applyNumberFormat="1" applyFill="1" applyBorder="1" applyAlignment="1">
      <alignment horizontal="right" vertical="center"/>
    </xf>
    <xf numFmtId="165" fontId="0" fillId="0" borderId="109" xfId="0" applyNumberFormat="1" applyFill="1" applyBorder="1" applyAlignment="1">
      <alignment horizontal="right" vertical="center"/>
    </xf>
    <xf numFmtId="0" fontId="0" fillId="0" borderId="119" xfId="0" applyFill="1" applyBorder="1"/>
    <xf numFmtId="0" fontId="16" fillId="0" borderId="0" xfId="0" applyFont="1" applyAlignment="1">
      <alignment wrapText="1"/>
    </xf>
    <xf numFmtId="165" fontId="0" fillId="0" borderId="99" xfId="0" applyNumberFormat="1" applyFill="1" applyBorder="1" applyAlignment="1">
      <alignment horizontal="right" vertical="center"/>
    </xf>
    <xf numFmtId="165" fontId="0" fillId="0" borderId="100" xfId="0" applyNumberFormat="1" applyFill="1" applyBorder="1" applyAlignment="1">
      <alignment horizontal="right" vertical="center"/>
    </xf>
    <xf numFmtId="0" fontId="8" fillId="4" borderId="0" xfId="0" applyFont="1" applyFill="1"/>
    <xf numFmtId="165" fontId="0" fillId="0" borderId="109" xfId="0" applyNumberFormat="1" applyBorder="1"/>
    <xf numFmtId="165" fontId="0" fillId="0" borderId="27" xfId="0" applyNumberFormat="1" applyFill="1" applyBorder="1" applyAlignment="1">
      <alignment horizontal="right" vertical="center"/>
    </xf>
    <xf numFmtId="0" fontId="0" fillId="0" borderId="53" xfId="0" applyFill="1" applyBorder="1"/>
    <xf numFmtId="165" fontId="0" fillId="0" borderId="114" xfId="0" applyNumberFormat="1" applyFill="1" applyBorder="1" applyAlignment="1">
      <alignment horizontal="right" vertical="center"/>
    </xf>
    <xf numFmtId="0" fontId="8" fillId="0" borderId="0" xfId="0" applyFont="1" applyFill="1"/>
    <xf numFmtId="0" fontId="0" fillId="0" borderId="0" xfId="0" applyFont="1" applyFill="1"/>
    <xf numFmtId="10" fontId="9" fillId="0" borderId="21" xfId="0" applyNumberFormat="1" applyFont="1" applyFill="1" applyBorder="1"/>
    <xf numFmtId="165" fontId="0" fillId="0" borderId="56" xfId="0" applyNumberFormat="1" applyFill="1" applyBorder="1" applyAlignment="1">
      <alignment horizontal="center" vertical="center"/>
    </xf>
    <xf numFmtId="166" fontId="0" fillId="0" borderId="56" xfId="0" applyNumberFormat="1" applyFill="1" applyBorder="1" applyAlignment="1">
      <alignment horizontal="center" vertical="center"/>
    </xf>
    <xf numFmtId="10" fontId="0" fillId="0" borderId="56" xfId="0" applyNumberFormat="1" applyFill="1" applyBorder="1" applyAlignment="1">
      <alignment horizontal="center" vertical="center"/>
    </xf>
    <xf numFmtId="0" fontId="0" fillId="0" borderId="56" xfId="0" applyFill="1" applyBorder="1" applyAlignment="1">
      <alignment horizontal="center"/>
    </xf>
    <xf numFmtId="165" fontId="0" fillId="0" borderId="6" xfId="0" applyNumberFormat="1" applyFill="1" applyBorder="1" applyAlignment="1">
      <alignment horizontal="right" vertical="center"/>
    </xf>
    <xf numFmtId="10" fontId="1" fillId="0" borderId="0" xfId="0" applyNumberFormat="1" applyFont="1" applyFill="1"/>
    <xf numFmtId="165" fontId="8" fillId="0" borderId="58" xfId="0" applyNumberFormat="1" applyFont="1" applyFill="1" applyBorder="1"/>
    <xf numFmtId="165" fontId="0" fillId="0" borderId="84" xfId="0" applyNumberFormat="1" applyFill="1" applyBorder="1" applyAlignment="1">
      <alignment horizontal="right" vertical="center"/>
    </xf>
    <xf numFmtId="165" fontId="2" fillId="0" borderId="76" xfId="0" applyNumberFormat="1" applyFont="1" applyFill="1" applyBorder="1" applyAlignment="1">
      <alignment horizontal="right" vertical="center"/>
    </xf>
    <xf numFmtId="165" fontId="0" fillId="0" borderId="0" xfId="0" applyNumberFormat="1" applyFill="1" applyAlignment="1">
      <alignment horizontal="right" vertical="center"/>
    </xf>
    <xf numFmtId="165" fontId="2" fillId="0" borderId="85" xfId="0" applyNumberFormat="1" applyFont="1" applyFill="1" applyBorder="1" applyAlignment="1">
      <alignment horizontal="right" vertical="center"/>
    </xf>
    <xf numFmtId="165" fontId="0" fillId="0" borderId="3" xfId="0" applyNumberFormat="1" applyFill="1" applyBorder="1" applyAlignment="1">
      <alignment horizontal="right" vertical="center"/>
    </xf>
    <xf numFmtId="165" fontId="0" fillId="0" borderId="56" xfId="0" applyNumberFormat="1" applyFill="1" applyBorder="1"/>
    <xf numFmtId="10" fontId="1" fillId="0" borderId="57" xfId="0" applyNumberFormat="1" applyFont="1" applyFill="1" applyBorder="1"/>
    <xf numFmtId="173" fontId="0" fillId="0" borderId="0" xfId="0" applyNumberFormat="1" applyFill="1" applyBorder="1"/>
    <xf numFmtId="173" fontId="0" fillId="0" borderId="0" xfId="0" applyNumberFormat="1" applyFill="1"/>
    <xf numFmtId="173" fontId="8" fillId="0" borderId="0" xfId="0" applyNumberFormat="1" applyFont="1" applyFill="1"/>
    <xf numFmtId="165" fontId="0" fillId="0" borderId="54" xfId="0" applyNumberFormat="1" applyFill="1" applyBorder="1"/>
    <xf numFmtId="10" fontId="9" fillId="0" borderId="61" xfId="0" applyNumberFormat="1" applyFont="1" applyFill="1" applyBorder="1"/>
    <xf numFmtId="165" fontId="8" fillId="0" borderId="0" xfId="0" applyNumberFormat="1" applyFont="1" applyFill="1"/>
    <xf numFmtId="0" fontId="8" fillId="0" borderId="0" xfId="0" applyFont="1" applyFill="1" applyAlignment="1">
      <alignment horizontal="right"/>
    </xf>
    <xf numFmtId="165" fontId="8" fillId="0" borderId="24" xfId="0" applyNumberFormat="1" applyFont="1" applyFill="1" applyBorder="1"/>
    <xf numFmtId="10" fontId="8" fillId="0" borderId="24" xfId="0" applyNumberFormat="1" applyFont="1" applyFill="1" applyBorder="1"/>
    <xf numFmtId="0" fontId="0" fillId="0" borderId="88" xfId="0" applyBorder="1"/>
    <xf numFmtId="0" fontId="0" fillId="0" borderId="89" xfId="0" applyBorder="1"/>
    <xf numFmtId="0" fontId="8" fillId="0" borderId="89" xfId="0" applyFont="1" applyBorder="1"/>
    <xf numFmtId="0" fontId="0" fillId="0" borderId="89" xfId="0" applyBorder="1" applyAlignment="1">
      <alignment horizontal="center"/>
    </xf>
    <xf numFmtId="176" fontId="0" fillId="0" borderId="89" xfId="0" applyNumberFormat="1" applyBorder="1"/>
    <xf numFmtId="176" fontId="8" fillId="0" borderId="90" xfId="0" applyNumberFormat="1" applyFont="1" applyBorder="1"/>
    <xf numFmtId="0" fontId="14" fillId="0" borderId="119" xfId="0" applyFont="1" applyFill="1" applyBorder="1"/>
    <xf numFmtId="175" fontId="0" fillId="0" borderId="73" xfId="0" applyNumberFormat="1" applyBorder="1" applyAlignment="1">
      <alignment vertical="center"/>
    </xf>
    <xf numFmtId="0" fontId="0" fillId="0" borderId="0" xfId="0" quotePrefix="1" applyFill="1"/>
    <xf numFmtId="0" fontId="0" fillId="4" borderId="0" xfId="0" applyFill="1"/>
    <xf numFmtId="165" fontId="14" fillId="0" borderId="69" xfId="0" applyNumberFormat="1" applyFont="1" applyFill="1" applyBorder="1" applyAlignment="1">
      <alignment horizontal="right" vertical="center"/>
    </xf>
    <xf numFmtId="10" fontId="0" fillId="7" borderId="36" xfId="0" applyNumberFormat="1" applyFill="1" applyBorder="1" applyAlignment="1">
      <alignment horizontal="center"/>
    </xf>
    <xf numFmtId="2" fontId="8" fillId="7" borderId="24" xfId="0" applyNumberFormat="1" applyFont="1" applyFill="1" applyBorder="1" applyAlignment="1">
      <alignment horizontal="center"/>
    </xf>
    <xf numFmtId="165" fontId="0" fillId="0" borderId="69" xfId="0" applyNumberFormat="1" applyFont="1" applyFill="1" applyBorder="1" applyAlignment="1">
      <alignment horizontal="right" vertical="center"/>
    </xf>
    <xf numFmtId="0" fontId="0" fillId="0" borderId="71" xfId="0" applyFont="1" applyBorder="1"/>
    <xf numFmtId="165" fontId="20" fillId="0" borderId="89" xfId="0" applyNumberFormat="1" applyFont="1" applyFill="1" applyBorder="1" applyAlignment="1">
      <alignment horizontal="right" vertical="center"/>
    </xf>
    <xf numFmtId="165" fontId="20" fillId="0" borderId="69" xfId="0" applyNumberFormat="1" applyFont="1" applyFill="1" applyBorder="1" applyAlignment="1">
      <alignment horizontal="right" vertical="center"/>
    </xf>
    <xf numFmtId="0" fontId="0" fillId="0" borderId="0" xfId="0" applyAlignment="1">
      <alignment wrapText="1"/>
    </xf>
    <xf numFmtId="165" fontId="0" fillId="4" borderId="56" xfId="0" applyNumberFormat="1" applyFill="1" applyBorder="1"/>
    <xf numFmtId="165" fontId="15" fillId="0" borderId="27" xfId="0" applyNumberFormat="1" applyFont="1" applyFill="1" applyBorder="1" applyAlignment="1">
      <alignment horizontal="right" vertical="center"/>
    </xf>
    <xf numFmtId="0" fontId="14" fillId="0" borderId="53" xfId="0" applyFont="1" applyFill="1" applyBorder="1"/>
    <xf numFmtId="165" fontId="15" fillId="0" borderId="69" xfId="0" applyNumberFormat="1" applyFont="1" applyFill="1" applyBorder="1" applyAlignment="1">
      <alignment horizontal="right" vertical="center"/>
    </xf>
    <xf numFmtId="165" fontId="15" fillId="0" borderId="89" xfId="0" applyNumberFormat="1" applyFont="1" applyFill="1" applyBorder="1" applyAlignment="1">
      <alignment horizontal="right" vertical="center"/>
    </xf>
    <xf numFmtId="177" fontId="11" fillId="0" borderId="0" xfId="0" applyNumberFormat="1" applyFont="1" applyAlignment="1">
      <alignment horizontal="right"/>
    </xf>
    <xf numFmtId="177" fontId="0" fillId="0" borderId="0" xfId="0" applyNumberFormat="1" applyAlignment="1">
      <alignment horizontal="right"/>
    </xf>
    <xf numFmtId="165" fontId="20" fillId="0" borderId="109" xfId="0" applyNumberFormat="1" applyFont="1" applyFill="1" applyBorder="1" applyAlignment="1">
      <alignment horizontal="right" vertical="center"/>
    </xf>
    <xf numFmtId="10" fontId="21" fillId="0" borderId="69" xfId="0" applyNumberFormat="1" applyFont="1" applyFill="1" applyBorder="1"/>
    <xf numFmtId="0" fontId="20" fillId="0" borderId="119" xfId="0" applyFont="1" applyFill="1" applyBorder="1"/>
    <xf numFmtId="165" fontId="20" fillId="0" borderId="27" xfId="0" applyNumberFormat="1" applyFont="1" applyFill="1" applyBorder="1" applyAlignment="1">
      <alignment horizontal="right" vertical="center"/>
    </xf>
    <xf numFmtId="10" fontId="21" fillId="0" borderId="89" xfId="0" applyNumberFormat="1" applyFont="1" applyFill="1" applyBorder="1"/>
    <xf numFmtId="0" fontId="20" fillId="0" borderId="53" xfId="0" applyFont="1" applyFill="1" applyBorder="1"/>
    <xf numFmtId="0" fontId="8" fillId="0" borderId="0" xfId="0" applyFont="1" applyFill="1" applyAlignment="1">
      <alignment horizontal="left"/>
    </xf>
    <xf numFmtId="177" fontId="0" fillId="0" borderId="0" xfId="0" applyNumberFormat="1"/>
    <xf numFmtId="4" fontId="0" fillId="4" borderId="0" xfId="0" applyNumberFormat="1" applyFill="1"/>
    <xf numFmtId="0" fontId="0" fillId="0" borderId="90" xfId="0" applyFill="1" applyBorder="1"/>
    <xf numFmtId="0" fontId="14" fillId="0" borderId="0" xfId="0" applyFont="1" applyFill="1"/>
    <xf numFmtId="0" fontId="8" fillId="0" borderId="24" xfId="0" applyFont="1" applyBorder="1" applyAlignment="1">
      <alignment horizontal="center"/>
    </xf>
    <xf numFmtId="166" fontId="8" fillId="0" borderId="43" xfId="0" applyNumberFormat="1" applyFont="1" applyBorder="1" applyAlignment="1">
      <alignment horizontal="center" vertical="center"/>
    </xf>
    <xf numFmtId="0" fontId="8" fillId="0" borderId="25" xfId="0" applyFont="1" applyFill="1" applyBorder="1" applyAlignment="1">
      <alignment horizontal="center"/>
    </xf>
    <xf numFmtId="166" fontId="8" fillId="0" borderId="24" xfId="0" applyNumberFormat="1" applyFont="1" applyFill="1" applyBorder="1" applyAlignment="1">
      <alignment horizontal="center" vertical="center"/>
    </xf>
    <xf numFmtId="10" fontId="8" fillId="0" borderId="31" xfId="0" applyNumberFormat="1" applyFont="1" applyFill="1" applyBorder="1" applyAlignment="1">
      <alignment horizontal="center" vertical="center"/>
    </xf>
    <xf numFmtId="165" fontId="22" fillId="4" borderId="89" xfId="0" applyNumberFormat="1" applyFont="1" applyFill="1" applyBorder="1" applyAlignment="1">
      <alignment horizontal="right" vertical="center"/>
    </xf>
    <xf numFmtId="165" fontId="22" fillId="0" borderId="69" xfId="0" applyNumberFormat="1" applyFont="1" applyFill="1" applyBorder="1" applyAlignment="1">
      <alignment horizontal="right" vertical="center"/>
    </xf>
    <xf numFmtId="10" fontId="0" fillId="0" borderId="36" xfId="0" applyNumberFormat="1" applyFont="1" applyBorder="1"/>
    <xf numFmtId="10" fontId="0" fillId="0" borderId="71" xfId="0" applyNumberFormat="1" applyFont="1" applyBorder="1"/>
    <xf numFmtId="10" fontId="0" fillId="0" borderId="58" xfId="0" applyNumberFormat="1" applyFont="1" applyBorder="1"/>
    <xf numFmtId="10" fontId="8" fillId="0" borderId="36" xfId="0" applyNumberFormat="1" applyFont="1" applyBorder="1"/>
    <xf numFmtId="10" fontId="8" fillId="0" borderId="71" xfId="0" applyNumberFormat="1" applyFont="1" applyBorder="1"/>
    <xf numFmtId="10" fontId="8" fillId="0" borderId="58" xfId="0" applyNumberFormat="1" applyFont="1" applyBorder="1"/>
    <xf numFmtId="3" fontId="0" fillId="0" borderId="0" xfId="0" applyNumberFormat="1"/>
    <xf numFmtId="177" fontId="23" fillId="0" borderId="0" xfId="0" applyNumberFormat="1" applyFont="1" applyAlignment="1">
      <alignment horizontal="right"/>
    </xf>
    <xf numFmtId="177" fontId="8" fillId="0" borderId="0" xfId="0" applyNumberFormat="1" applyFont="1" applyAlignment="1">
      <alignment horizontal="right"/>
    </xf>
    <xf numFmtId="165" fontId="14" fillId="0" borderId="89" xfId="0" applyNumberFormat="1" applyFont="1" applyFill="1" applyBorder="1" applyAlignment="1">
      <alignment horizontal="right" vertical="center"/>
    </xf>
    <xf numFmtId="165" fontId="15" fillId="0" borderId="81" xfId="0" applyNumberFormat="1" applyFont="1" applyFill="1" applyBorder="1" applyAlignment="1">
      <alignment horizontal="right" vertical="center"/>
    </xf>
    <xf numFmtId="10" fontId="21" fillId="0" borderId="81" xfId="0" applyNumberFormat="1" applyFont="1" applyFill="1" applyBorder="1"/>
    <xf numFmtId="165" fontId="20" fillId="0" borderId="81" xfId="0" applyNumberFormat="1" applyFont="1" applyFill="1" applyBorder="1" applyAlignment="1">
      <alignment horizontal="right" vertical="center"/>
    </xf>
    <xf numFmtId="0" fontId="20" fillId="0" borderId="31" xfId="0" applyFont="1" applyFill="1" applyBorder="1"/>
    <xf numFmtId="165" fontId="15" fillId="0" borderId="21" xfId="0" applyNumberFormat="1" applyFont="1" applyFill="1" applyBorder="1" applyAlignment="1">
      <alignment horizontal="right" vertical="center"/>
    </xf>
    <xf numFmtId="10" fontId="21" fillId="0" borderId="21" xfId="0" applyNumberFormat="1" applyFont="1" applyFill="1" applyBorder="1"/>
    <xf numFmtId="165" fontId="20" fillId="0" borderId="21" xfId="0" applyNumberFormat="1" applyFont="1" applyFill="1" applyBorder="1" applyAlignment="1">
      <alignment horizontal="right" vertical="center"/>
    </xf>
    <xf numFmtId="0" fontId="20" fillId="0" borderId="33" xfId="0" applyFont="1" applyFill="1" applyBorder="1"/>
    <xf numFmtId="165" fontId="15" fillId="0" borderId="79" xfId="0" applyNumberFormat="1" applyFont="1" applyFill="1" applyBorder="1" applyAlignment="1">
      <alignment horizontal="right" vertical="center"/>
    </xf>
    <xf numFmtId="165" fontId="15" fillId="0" borderId="109" xfId="0" applyNumberFormat="1" applyFont="1" applyFill="1" applyBorder="1" applyAlignment="1">
      <alignment horizontal="right" vertical="center"/>
    </xf>
    <xf numFmtId="165" fontId="24" fillId="0" borderId="89" xfId="0" applyNumberFormat="1" applyFont="1" applyFill="1" applyBorder="1" applyAlignment="1">
      <alignment horizontal="right" vertical="center"/>
    </xf>
    <xf numFmtId="165" fontId="25" fillId="0" borderId="89" xfId="0" applyNumberFormat="1" applyFont="1" applyFill="1" applyBorder="1" applyAlignment="1">
      <alignment horizontal="right" vertical="center"/>
    </xf>
    <xf numFmtId="165" fontId="24" fillId="0" borderId="69" xfId="0" applyNumberFormat="1" applyFont="1" applyFill="1" applyBorder="1" applyAlignment="1">
      <alignment horizontal="right" vertical="center"/>
    </xf>
    <xf numFmtId="0" fontId="0" fillId="0" borderId="18" xfId="0" applyFont="1" applyBorder="1"/>
    <xf numFmtId="0" fontId="0" fillId="0" borderId="69" xfId="0" applyFont="1" applyBorder="1"/>
    <xf numFmtId="0" fontId="22" fillId="0" borderId="119" xfId="0" applyFont="1" applyFill="1" applyBorder="1"/>
    <xf numFmtId="165" fontId="15" fillId="0" borderId="109" xfId="0" applyNumberFormat="1" applyFont="1" applyBorder="1" applyAlignment="1">
      <alignment horizontal="right" vertical="center"/>
    </xf>
    <xf numFmtId="165" fontId="15" fillId="0" borderId="69" xfId="0" applyNumberFormat="1" applyFont="1" applyBorder="1" applyAlignment="1">
      <alignment horizontal="right" vertical="center"/>
    </xf>
    <xf numFmtId="10" fontId="21" fillId="0" borderId="69" xfId="0" applyNumberFormat="1" applyFont="1" applyBorder="1"/>
    <xf numFmtId="165" fontId="20" fillId="0" borderId="69" xfId="0" applyNumberFormat="1" applyFont="1" applyBorder="1" applyAlignment="1">
      <alignment horizontal="right" vertical="center"/>
    </xf>
    <xf numFmtId="0" fontId="20" fillId="0" borderId="119" xfId="0" applyFont="1" applyBorder="1"/>
    <xf numFmtId="165" fontId="15" fillId="0" borderId="27" xfId="0" applyNumberFormat="1" applyFont="1" applyBorder="1" applyAlignment="1">
      <alignment horizontal="right" vertical="center"/>
    </xf>
    <xf numFmtId="165" fontId="15" fillId="0" borderId="89" xfId="0" applyNumberFormat="1" applyFont="1" applyBorder="1" applyAlignment="1">
      <alignment horizontal="right" vertical="center"/>
    </xf>
    <xf numFmtId="10" fontId="21" fillId="0" borderId="89" xfId="0" applyNumberFormat="1" applyFont="1" applyBorder="1"/>
    <xf numFmtId="165" fontId="20" fillId="0" borderId="89" xfId="0" applyNumberFormat="1" applyFont="1" applyBorder="1" applyAlignment="1">
      <alignment horizontal="right" vertical="center"/>
    </xf>
    <xf numFmtId="0" fontId="20" fillId="0" borderId="53" xfId="0" applyFont="1" applyBorder="1"/>
    <xf numFmtId="165" fontId="15" fillId="0" borderId="114" xfId="0" applyNumberFormat="1" applyFont="1" applyBorder="1" applyAlignment="1">
      <alignment horizontal="right" vertical="center"/>
    </xf>
    <xf numFmtId="165" fontId="15" fillId="0" borderId="48" xfId="0" applyNumberFormat="1" applyFont="1" applyFill="1" applyBorder="1" applyAlignment="1">
      <alignment horizontal="right" vertical="center"/>
    </xf>
    <xf numFmtId="165" fontId="15" fillId="0" borderId="48" xfId="0" applyNumberFormat="1" applyFont="1" applyBorder="1" applyAlignment="1">
      <alignment horizontal="right" vertical="center"/>
    </xf>
    <xf numFmtId="10" fontId="21" fillId="0" borderId="48" xfId="0" applyNumberFormat="1" applyFont="1" applyBorder="1"/>
    <xf numFmtId="165" fontId="20" fillId="0" borderId="48" xfId="0" applyNumberFormat="1" applyFont="1" applyBorder="1" applyAlignment="1">
      <alignment horizontal="right" vertical="center"/>
    </xf>
    <xf numFmtId="0" fontId="20" fillId="0" borderId="112" xfId="0" applyFont="1" applyFill="1" applyBorder="1"/>
    <xf numFmtId="165" fontId="15" fillId="0" borderId="34" xfId="0" applyNumberFormat="1" applyFont="1" applyBorder="1" applyAlignment="1">
      <alignment horizontal="right" vertical="center"/>
    </xf>
    <xf numFmtId="165" fontId="15" fillId="0" borderId="0" xfId="0" applyNumberFormat="1" applyFont="1" applyBorder="1" applyAlignment="1">
      <alignment horizontal="right" vertical="center"/>
    </xf>
    <xf numFmtId="165" fontId="15" fillId="0" borderId="21" xfId="0" applyNumberFormat="1" applyFont="1" applyBorder="1" applyAlignment="1">
      <alignment horizontal="right" vertical="center"/>
    </xf>
    <xf numFmtId="10" fontId="21" fillId="0" borderId="21" xfId="0" applyNumberFormat="1" applyFont="1" applyBorder="1"/>
    <xf numFmtId="165" fontId="20" fillId="0" borderId="21" xfId="0" applyNumberFormat="1" applyFont="1" applyBorder="1" applyAlignment="1">
      <alignment horizontal="right" vertical="center"/>
    </xf>
    <xf numFmtId="165" fontId="15" fillId="0" borderId="41" xfId="0" applyNumberFormat="1" applyFont="1" applyBorder="1" applyAlignment="1">
      <alignment horizontal="right" vertical="center"/>
    </xf>
    <xf numFmtId="165" fontId="15" fillId="0" borderId="25" xfId="0" applyNumberFormat="1" applyFont="1" applyBorder="1" applyAlignment="1">
      <alignment horizontal="right" vertical="center"/>
    </xf>
    <xf numFmtId="165" fontId="15" fillId="0" borderId="81" xfId="0" applyNumberFormat="1" applyFont="1" applyBorder="1" applyAlignment="1">
      <alignment horizontal="right" vertical="center"/>
    </xf>
    <xf numFmtId="10" fontId="21" fillId="0" borderId="81" xfId="0" applyNumberFormat="1" applyFont="1" applyBorder="1"/>
    <xf numFmtId="165" fontId="20" fillId="0" borderId="81" xfId="0" applyNumberFormat="1" applyFont="1" applyBorder="1" applyAlignment="1">
      <alignment horizontal="right" vertical="center"/>
    </xf>
    <xf numFmtId="0" fontId="0" fillId="0" borderId="21" xfId="0" applyBorder="1" applyAlignment="1">
      <alignment horizontal="center"/>
    </xf>
    <xf numFmtId="176" fontId="0" fillId="0" borderId="21" xfId="0" applyNumberFormat="1" applyBorder="1"/>
    <xf numFmtId="176" fontId="8" fillId="0" borderId="83" xfId="0" applyNumberFormat="1" applyFont="1" applyBorder="1"/>
    <xf numFmtId="175" fontId="0" fillId="0" borderId="79" xfId="0" applyNumberFormat="1" applyBorder="1" applyAlignment="1">
      <alignment vertical="center"/>
    </xf>
    <xf numFmtId="0" fontId="0" fillId="0" borderId="80" xfId="0" applyBorder="1"/>
    <xf numFmtId="0" fontId="0" fillId="0" borderId="81" xfId="0" applyBorder="1"/>
    <xf numFmtId="0" fontId="8" fillId="0" borderId="81" xfId="0" applyFont="1" applyBorder="1"/>
    <xf numFmtId="0" fontId="0" fillId="0" borderId="81" xfId="0" applyBorder="1" applyAlignment="1">
      <alignment horizontal="center"/>
    </xf>
    <xf numFmtId="176" fontId="0" fillId="0" borderId="81" xfId="0" applyNumberFormat="1" applyBorder="1"/>
    <xf numFmtId="176" fontId="8" fillId="0" borderId="82" xfId="0" applyNumberFormat="1" applyFont="1" applyBorder="1"/>
    <xf numFmtId="169" fontId="0" fillId="0" borderId="71" xfId="0" applyNumberFormat="1" applyBorder="1" applyAlignment="1">
      <alignment vertical="center"/>
    </xf>
    <xf numFmtId="169" fontId="0" fillId="0" borderId="58" xfId="0" applyNumberFormat="1" applyBorder="1" applyAlignment="1">
      <alignment vertical="center"/>
    </xf>
    <xf numFmtId="0" fontId="11" fillId="0" borderId="0" xfId="0" applyFont="1" applyAlignment="1">
      <alignment horizontal="center"/>
    </xf>
    <xf numFmtId="169" fontId="0" fillId="0" borderId="36" xfId="0" applyNumberFormat="1" applyBorder="1" applyAlignment="1">
      <alignment horizontal="right" vertical="center"/>
    </xf>
    <xf numFmtId="169" fontId="0" fillId="0" borderId="39" xfId="0" applyNumberFormat="1" applyBorder="1" applyAlignment="1">
      <alignment vertical="center"/>
    </xf>
    <xf numFmtId="169" fontId="0" fillId="0" borderId="58" xfId="0" applyNumberFormat="1" applyBorder="1" applyAlignment="1">
      <alignment horizontal="center" vertical="center"/>
    </xf>
    <xf numFmtId="0" fontId="0" fillId="0" borderId="25" xfId="0" applyBorder="1" applyAlignment="1">
      <alignment horizontal="center"/>
    </xf>
    <xf numFmtId="0" fontId="0" fillId="0" borderId="43" xfId="0" applyBorder="1" applyAlignment="1">
      <alignment horizontal="center"/>
    </xf>
    <xf numFmtId="2" fontId="0" fillId="9" borderId="41" xfId="0" applyNumberFormat="1" applyFont="1" applyFill="1" applyBorder="1" applyAlignment="1">
      <alignment horizontal="center"/>
    </xf>
    <xf numFmtId="2" fontId="0" fillId="9" borderId="33" xfId="0" applyNumberFormat="1" applyFont="1" applyFill="1" applyBorder="1" applyAlignment="1">
      <alignment horizontal="center"/>
    </xf>
    <xf numFmtId="2" fontId="0" fillId="9" borderId="39" xfId="0" applyNumberFormat="1" applyFont="1" applyFill="1" applyBorder="1" applyAlignment="1">
      <alignment horizontal="center"/>
    </xf>
    <xf numFmtId="2" fontId="0" fillId="9" borderId="32" xfId="0" applyNumberFormat="1" applyFont="1" applyFill="1" applyBorder="1" applyAlignment="1">
      <alignment horizontal="center"/>
    </xf>
    <xf numFmtId="10" fontId="0" fillId="9" borderId="39" xfId="0" applyNumberFormat="1" applyFill="1" applyBorder="1" applyAlignment="1">
      <alignment horizontal="center"/>
    </xf>
    <xf numFmtId="10" fontId="0" fillId="9" borderId="32" xfId="0" applyNumberFormat="1" applyFill="1" applyBorder="1" applyAlignment="1">
      <alignment horizontal="center"/>
    </xf>
    <xf numFmtId="10" fontId="0" fillId="9" borderId="25" xfId="0" applyNumberFormat="1" applyFill="1" applyBorder="1" applyAlignment="1">
      <alignment horizontal="center"/>
    </xf>
    <xf numFmtId="10" fontId="0" fillId="9" borderId="31" xfId="0" applyNumberFormat="1" applyFill="1" applyBorder="1" applyAlignment="1">
      <alignment horizontal="center"/>
    </xf>
    <xf numFmtId="10" fontId="0" fillId="9" borderId="40" xfId="0" applyNumberFormat="1" applyFill="1" applyBorder="1" applyAlignment="1">
      <alignment horizontal="center"/>
    </xf>
    <xf numFmtId="10" fontId="0" fillId="0" borderId="43" xfId="0" applyNumberFormat="1" applyBorder="1" applyAlignment="1">
      <alignment horizontal="center"/>
    </xf>
    <xf numFmtId="10" fontId="0" fillId="0" borderId="31" xfId="0" applyNumberFormat="1" applyBorder="1" applyAlignment="1">
      <alignment horizontal="center"/>
    </xf>
    <xf numFmtId="2" fontId="0" fillId="9" borderId="34" xfId="0" applyNumberFormat="1" applyFont="1" applyFill="1" applyBorder="1" applyAlignment="1">
      <alignment horizontal="center"/>
    </xf>
    <xf numFmtId="2" fontId="0" fillId="9" borderId="53" xfId="0" applyNumberFormat="1" applyFont="1" applyFill="1" applyBorder="1" applyAlignment="1">
      <alignment horizontal="center"/>
    </xf>
    <xf numFmtId="2" fontId="8" fillId="7" borderId="34" xfId="0" applyNumberFormat="1" applyFont="1" applyFill="1" applyBorder="1" applyAlignment="1">
      <alignment horizontal="center"/>
    </xf>
    <xf numFmtId="2" fontId="8" fillId="7" borderId="53" xfId="0" applyNumberFormat="1" applyFont="1" applyFill="1" applyBorder="1" applyAlignment="1">
      <alignment horizontal="center"/>
    </xf>
    <xf numFmtId="10" fontId="8" fillId="7" borderId="25" xfId="0" applyNumberFormat="1" applyFont="1" applyFill="1" applyBorder="1" applyAlignment="1">
      <alignment horizontal="center"/>
    </xf>
    <xf numFmtId="10" fontId="8" fillId="7" borderId="31" xfId="0" applyNumberFormat="1" applyFont="1" applyFill="1" applyBorder="1" applyAlignment="1">
      <alignment horizontal="center"/>
    </xf>
    <xf numFmtId="169" fontId="0" fillId="0" borderId="36" xfId="0" applyNumberFormat="1" applyBorder="1" applyAlignment="1">
      <alignment vertical="center"/>
    </xf>
    <xf numFmtId="169" fontId="0" fillId="0" borderId="58" xfId="0" applyNumberFormat="1" applyBorder="1" applyAlignment="1">
      <alignment vertical="center"/>
    </xf>
    <xf numFmtId="169" fontId="0" fillId="0" borderId="71" xfId="0" applyNumberFormat="1" applyBorder="1" applyAlignment="1">
      <alignment vertical="center"/>
    </xf>
    <xf numFmtId="169" fontId="0" fillId="0" borderId="39" xfId="0" applyNumberFormat="1" applyBorder="1" applyAlignment="1">
      <alignment vertical="center"/>
    </xf>
    <xf numFmtId="169" fontId="0" fillId="0" borderId="41" xfId="0" applyNumberFormat="1" applyBorder="1" applyAlignment="1">
      <alignment vertical="center"/>
    </xf>
    <xf numFmtId="169" fontId="0" fillId="0" borderId="36" xfId="0" applyNumberFormat="1" applyBorder="1" applyAlignment="1">
      <alignment horizontal="right" vertical="center"/>
    </xf>
    <xf numFmtId="169" fontId="0" fillId="0" borderId="107" xfId="0" applyNumberFormat="1" applyBorder="1" applyAlignment="1">
      <alignment horizontal="right" vertical="center"/>
    </xf>
    <xf numFmtId="169" fontId="0" fillId="0" borderId="108" xfId="0" applyNumberFormat="1" applyBorder="1" applyAlignment="1">
      <alignment horizontal="right" vertical="center"/>
    </xf>
    <xf numFmtId="169" fontId="0" fillId="0" borderId="71" xfId="0" applyNumberFormat="1" applyBorder="1" applyAlignment="1">
      <alignment horizontal="right" vertical="center"/>
    </xf>
    <xf numFmtId="169" fontId="0" fillId="0" borderId="39" xfId="0" applyNumberFormat="1" applyBorder="1" applyAlignment="1">
      <alignment horizontal="right" vertical="center"/>
    </xf>
    <xf numFmtId="169" fontId="0" fillId="0" borderId="41" xfId="0" applyNumberFormat="1" applyBorder="1" applyAlignment="1">
      <alignment horizontal="right" vertical="center"/>
    </xf>
    <xf numFmtId="169" fontId="0" fillId="0" borderId="34" xfId="0" applyNumberFormat="1" applyBorder="1" applyAlignment="1">
      <alignment horizontal="right" vertical="center"/>
    </xf>
    <xf numFmtId="0" fontId="0" fillId="0" borderId="41" xfId="0" applyBorder="1" applyAlignment="1">
      <alignment wrapText="1"/>
    </xf>
    <xf numFmtId="0" fontId="0" fillId="0" borderId="0" xfId="0" applyBorder="1" applyAlignment="1">
      <alignment wrapText="1"/>
    </xf>
    <xf numFmtId="0" fontId="11" fillId="0" borderId="0" xfId="0" applyFont="1" applyAlignment="1">
      <alignment horizontal="center"/>
    </xf>
    <xf numFmtId="173" fontId="0" fillId="0" borderId="120" xfId="0" applyNumberFormat="1" applyBorder="1" applyAlignment="1">
      <alignment horizontal="center"/>
    </xf>
    <xf numFmtId="173" fontId="0" fillId="0" borderId="121" xfId="0" applyNumberFormat="1" applyBorder="1" applyAlignment="1">
      <alignment horizontal="center"/>
    </xf>
    <xf numFmtId="173" fontId="0" fillId="0" borderId="122" xfId="0" applyNumberFormat="1" applyBorder="1" applyAlignment="1">
      <alignment horizontal="center"/>
    </xf>
    <xf numFmtId="173" fontId="0" fillId="0" borderId="123" xfId="0" applyNumberFormat="1" applyBorder="1" applyAlignment="1">
      <alignment horizontal="center"/>
    </xf>
    <xf numFmtId="165" fontId="10" fillId="0" borderId="86" xfId="0" applyNumberFormat="1" applyFont="1" applyFill="1" applyBorder="1" applyAlignment="1">
      <alignment horizontal="right" vertical="center"/>
    </xf>
    <xf numFmtId="165" fontId="10" fillId="0" borderId="87" xfId="0" applyNumberFormat="1" applyFont="1" applyFill="1" applyBorder="1" applyAlignment="1">
      <alignment horizontal="right" vertical="center"/>
    </xf>
    <xf numFmtId="173" fontId="0" fillId="0" borderId="35" xfId="0" applyNumberFormat="1" applyBorder="1" applyAlignment="1">
      <alignment horizontal="center"/>
    </xf>
    <xf numFmtId="173" fontId="0" fillId="0" borderId="42" xfId="0" applyNumberFormat="1" applyBorder="1" applyAlignment="1">
      <alignment horizontal="center"/>
    </xf>
    <xf numFmtId="0" fontId="0" fillId="0" borderId="25" xfId="0" applyFill="1" applyBorder="1" applyAlignment="1">
      <alignment horizontal="center"/>
    </xf>
    <xf numFmtId="0" fontId="0" fillId="0" borderId="43" xfId="0" applyFill="1" applyBorder="1" applyAlignment="1">
      <alignment horizontal="center"/>
    </xf>
    <xf numFmtId="0" fontId="0" fillId="0" borderId="31" xfId="0" applyFill="1" applyBorder="1" applyAlignment="1">
      <alignment horizontal="center"/>
    </xf>
    <xf numFmtId="0" fontId="17" fillId="0" borderId="0" xfId="0" applyFont="1" applyAlignment="1">
      <alignment horizontal="center" wrapText="1"/>
    </xf>
    <xf numFmtId="169" fontId="0" fillId="0" borderId="36" xfId="0" applyNumberFormat="1" applyBorder="1" applyAlignment="1">
      <alignment horizontal="center" vertical="center"/>
    </xf>
    <xf numFmtId="169" fontId="0" fillId="0" borderId="71" xfId="0" applyNumberFormat="1" applyBorder="1" applyAlignment="1">
      <alignment horizontal="center" vertical="center"/>
    </xf>
    <xf numFmtId="0" fontId="0" fillId="0" borderId="25" xfId="0" applyBorder="1" applyAlignment="1">
      <alignment horizontal="center"/>
    </xf>
    <xf numFmtId="0" fontId="0" fillId="0" borderId="43" xfId="0" applyBorder="1" applyAlignment="1">
      <alignment horizontal="center"/>
    </xf>
    <xf numFmtId="0" fontId="0" fillId="0" borderId="31" xfId="0" applyBorder="1" applyAlignment="1">
      <alignment horizontal="center"/>
    </xf>
    <xf numFmtId="173" fontId="0" fillId="0" borderId="5" xfId="0" applyNumberFormat="1" applyBorder="1" applyAlignment="1">
      <alignment horizontal="center"/>
    </xf>
    <xf numFmtId="169" fontId="0" fillId="0" borderId="39" xfId="0" applyNumberFormat="1" applyBorder="1" applyAlignment="1">
      <alignment horizontal="center" vertical="center"/>
    </xf>
    <xf numFmtId="169" fontId="0" fillId="0" borderId="41" xfId="0" applyNumberFormat="1" applyBorder="1" applyAlignment="1">
      <alignment horizontal="center" vertical="center"/>
    </xf>
    <xf numFmtId="169" fontId="0" fillId="0" borderId="58" xfId="0" applyNumberFormat="1" applyBorder="1" applyAlignment="1">
      <alignment horizontal="center" vertical="center"/>
    </xf>
    <xf numFmtId="169" fontId="0" fillId="0" borderId="32" xfId="0" applyNumberFormat="1" applyBorder="1" applyAlignment="1">
      <alignment vertical="center"/>
    </xf>
    <xf numFmtId="169" fontId="0" fillId="0" borderId="33" xfId="0" applyNumberFormat="1" applyBorder="1" applyAlignment="1">
      <alignment vertical="center"/>
    </xf>
    <xf numFmtId="169" fontId="0" fillId="0" borderId="0" xfId="0" applyNumberFormat="1" applyBorder="1" applyAlignment="1">
      <alignment vertical="center"/>
    </xf>
    <xf numFmtId="0" fontId="12" fillId="0" borderId="0" xfId="0" applyFont="1" applyAlignment="1">
      <alignment horizontal="left" wrapText="1"/>
    </xf>
    <xf numFmtId="173" fontId="0" fillId="0" borderId="37" xfId="0" applyNumberFormat="1" applyBorder="1" applyAlignment="1">
      <alignment horizontal="center"/>
    </xf>
    <xf numFmtId="173" fontId="0" fillId="0" borderId="74" xfId="0" applyNumberFormat="1" applyBorder="1" applyAlignment="1">
      <alignment horizontal="center"/>
    </xf>
    <xf numFmtId="173" fontId="0" fillId="0" borderId="26" xfId="0" applyNumberFormat="1" applyBorder="1" applyAlignment="1">
      <alignment horizontal="center"/>
    </xf>
    <xf numFmtId="173" fontId="0" fillId="0" borderId="12" xfId="0" applyNumberFormat="1" applyBorder="1" applyAlignment="1">
      <alignment horizontal="center"/>
    </xf>
    <xf numFmtId="165" fontId="10" fillId="7" borderId="14" xfId="0" applyNumberFormat="1" applyFont="1" applyFill="1" applyBorder="1" applyAlignment="1">
      <alignment horizontal="right" vertical="center"/>
    </xf>
    <xf numFmtId="165" fontId="10" fillId="7" borderId="65" xfId="0" applyNumberFormat="1" applyFont="1" applyFill="1" applyBorder="1" applyAlignment="1">
      <alignment horizontal="right" vertical="center"/>
    </xf>
    <xf numFmtId="169" fontId="0" fillId="0" borderId="34" xfId="0" applyNumberFormat="1" applyBorder="1" applyAlignment="1">
      <alignment horizontal="center" vertical="center"/>
    </xf>
    <xf numFmtId="169" fontId="0" fillId="4" borderId="36" xfId="0" applyNumberFormat="1" applyFill="1" applyBorder="1" applyAlignment="1">
      <alignment horizontal="center" vertical="center"/>
    </xf>
    <xf numFmtId="169" fontId="0" fillId="4" borderId="71" xfId="0" applyNumberFormat="1" applyFill="1" applyBorder="1" applyAlignment="1">
      <alignment horizontal="center" vertical="center"/>
    </xf>
    <xf numFmtId="169" fontId="0" fillId="4" borderId="58" xfId="0" applyNumberFormat="1" applyFill="1" applyBorder="1" applyAlignment="1">
      <alignment horizontal="center" vertical="center"/>
    </xf>
    <xf numFmtId="169" fontId="0" fillId="0" borderId="58" xfId="0" applyNumberFormat="1" applyBorder="1" applyAlignment="1">
      <alignment horizontal="right" vertical="center"/>
    </xf>
    <xf numFmtId="169" fontId="0" fillId="0" borderId="53" xfId="0" applyNumberFormat="1" applyBorder="1" applyAlignment="1">
      <alignment vertical="center"/>
    </xf>
    <xf numFmtId="169" fontId="0" fillId="0" borderId="32" xfId="0" applyNumberFormat="1" applyBorder="1" applyAlignment="1">
      <alignment horizontal="right" vertical="center"/>
    </xf>
    <xf numFmtId="169" fontId="0" fillId="0" borderId="33" xfId="0" applyNumberFormat="1" applyBorder="1" applyAlignment="1">
      <alignment horizontal="right" vertical="center"/>
    </xf>
    <xf numFmtId="169" fontId="0" fillId="0" borderId="53" xfId="0" applyNumberFormat="1" applyBorder="1" applyAlignment="1">
      <alignment horizontal="right" vertical="center"/>
    </xf>
    <xf numFmtId="0" fontId="0" fillId="0" borderId="0" xfId="0" applyAlignment="1">
      <alignment horizontal="left" wrapText="1"/>
    </xf>
    <xf numFmtId="0" fontId="3" fillId="2" borderId="0" xfId="0" applyFont="1" applyFill="1" applyAlignment="1" applyProtection="1">
      <alignment horizontal="center"/>
      <protection hidden="1"/>
    </xf>
    <xf numFmtId="0" fontId="4" fillId="3" borderId="0" xfId="0" applyFont="1" applyFill="1" applyAlignment="1" applyProtection="1">
      <alignment horizontal="center"/>
      <protection hidden="1"/>
    </xf>
    <xf numFmtId="173" fontId="0" fillId="0" borderId="25" xfId="0" applyNumberFormat="1" applyBorder="1" applyAlignment="1">
      <alignment horizontal="center"/>
    </xf>
    <xf numFmtId="173" fontId="0" fillId="0" borderId="31" xfId="0" applyNumberFormat="1" applyBorder="1" applyAlignment="1">
      <alignment horizontal="center"/>
    </xf>
  </cellXfs>
  <cellStyles count="3">
    <cellStyle name="Euro" xfId="1" xr:uid="{00000000-0005-0000-0000-000000000000}"/>
    <cellStyle name="Normal" xfId="0" builtinId="0"/>
    <cellStyle name="Percent 2" xfId="2" xr:uid="{00000000-0005-0000-0000-000002000000}"/>
  </cellStyles>
  <dxfs count="126">
    <dxf>
      <font>
        <color rgb="FF006100"/>
      </font>
      <fill>
        <patternFill>
          <bgColor rgb="FFC6EFCE"/>
        </patternFill>
      </fill>
    </dxf>
    <dxf>
      <font>
        <b/>
        <i val="0"/>
        <color rgb="FF00B050"/>
      </font>
    </dxf>
    <dxf>
      <font>
        <b/>
        <i val="0"/>
        <color rgb="FF00B050"/>
      </font>
    </dxf>
    <dxf>
      <font>
        <color rgb="FF006100"/>
      </font>
      <fill>
        <patternFill>
          <bgColor rgb="FFC6EFCE"/>
        </patternFill>
      </fill>
    </dxf>
    <dxf>
      <font>
        <color rgb="FF006100"/>
      </font>
      <fill>
        <patternFill>
          <bgColor rgb="FFC6EFCE"/>
        </patternFill>
      </fill>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color rgb="FF0070C0"/>
      </font>
    </dxf>
    <dxf>
      <font>
        <color rgb="FF0070C0"/>
      </font>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indexed="8"/>
        <name val="Arial"/>
        <scheme val="none"/>
      </font>
      <numFmt numFmtId="178" formatCode="0.000"/>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indexed="8"/>
        <name val="Arial"/>
        <scheme val="none"/>
      </font>
      <numFmt numFmtId="14" formatCode="0.00%"/>
      <protection locked="1" hidden="1"/>
    </dxf>
    <dxf>
      <numFmt numFmtId="0" formatCode="Genera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numFmt numFmtId="167" formatCode="&quot;$&quot;#,##0.00;[Red]&quot;$&quot;#,##0.00"/>
      <fill>
        <patternFill patternType="none">
          <fgColor indexed="64"/>
          <bgColor indexed="65"/>
        </patternFill>
      </fill>
      <protection locked="1" hidden="1"/>
    </dxf>
    <dxf>
      <numFmt numFmtId="22" formatCode="mmm\-yy"/>
      <protection locked="1" hidden="1"/>
    </dxf>
    <dxf>
      <numFmt numFmtId="22" formatCode="mmm\-yy"/>
      <protection locked="1" hidden="1"/>
    </dxf>
    <dxf>
      <protection locked="1" hidden="1"/>
    </dxf>
    <dxf>
      <font>
        <b val="0"/>
        <i val="0"/>
        <strike val="0"/>
        <condense val="0"/>
        <extend val="0"/>
        <outline val="0"/>
        <shadow val="0"/>
        <u val="none"/>
        <vertAlign val="baseline"/>
        <sz val="9"/>
        <color auto="1"/>
        <name val="Arial"/>
        <scheme val="none"/>
      </font>
      <fill>
        <patternFill patternType="none">
          <fgColor indexed="64"/>
          <bgColor indexed="65"/>
        </patternFill>
      </fill>
      <protection locked="1" hidden="1"/>
    </dxf>
    <dxf>
      <font>
        <b/>
        <i val="0"/>
        <strike val="0"/>
        <condense val="0"/>
        <extend val="0"/>
        <outline val="0"/>
        <shadow val="0"/>
        <u val="none"/>
        <vertAlign val="baseline"/>
        <sz val="9"/>
        <color auto="1"/>
        <name val="Arial"/>
        <scheme val="none"/>
      </font>
      <numFmt numFmtId="170" formatCode="[$€-2]\ #,##0.00;[Red][$€-2]\ #,##0.00"/>
      <alignment horizontal="general" vertical="center" textRotation="0" wrapText="1" indent="0" justifyLastLine="0" shrinkToFit="0" readingOrder="0"/>
      <protection locked="1" hidden="1"/>
    </dxf>
    <dxf>
      <font>
        <color auto="1"/>
      </font>
      <fill>
        <patternFill>
          <bgColor rgb="FF92D050"/>
        </patternFill>
      </fill>
    </dxf>
    <dxf>
      <font>
        <color rgb="FF006100"/>
      </font>
      <fill>
        <patternFill>
          <bgColor rgb="FFC6EFCE"/>
        </patternFill>
      </fill>
    </dxf>
    <dxf>
      <font>
        <b/>
        <i val="0"/>
        <color rgb="FF00B050"/>
      </font>
    </dxf>
    <dxf>
      <font>
        <b/>
        <i val="0"/>
        <color rgb="FF00B050"/>
      </font>
    </dxf>
    <dxf>
      <font>
        <b/>
        <i val="0"/>
        <color rgb="FF00B050"/>
      </font>
    </dxf>
    <dxf>
      <font>
        <b/>
        <i val="0"/>
        <color rgb="FF00B050"/>
      </font>
    </dxf>
    <dxf>
      <font>
        <color rgb="FF0070C0"/>
      </font>
    </dxf>
    <dxf>
      <font>
        <color rgb="FF006100"/>
      </font>
      <fill>
        <patternFill>
          <bgColor rgb="FFC6EFCE"/>
        </patternFill>
      </fill>
    </dxf>
    <dxf>
      <font>
        <color rgb="FF0070C0"/>
      </font>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color rgb="FF006100"/>
      </font>
      <fill>
        <patternFill>
          <bgColor rgb="FFC6EFCE"/>
        </patternFill>
      </fill>
    </dxf>
    <dxf>
      <font>
        <b/>
        <i val="0"/>
        <color rgb="FF00B050"/>
      </font>
    </dxf>
    <dxf>
      <font>
        <b/>
        <i val="0"/>
        <color rgb="FF00B050"/>
      </font>
    </dxf>
    <dxf>
      <font>
        <b/>
        <i val="0"/>
        <color rgb="FF00B050"/>
      </font>
    </dxf>
    <dxf>
      <font>
        <b/>
        <i val="0"/>
        <color rgb="FF00B050"/>
      </font>
    </dxf>
    <dxf>
      <font>
        <color rgb="FF0070C0"/>
      </font>
    </dxf>
    <dxf>
      <font>
        <color rgb="FF006100"/>
      </font>
      <fill>
        <patternFill>
          <bgColor rgb="FFC6EFCE"/>
        </patternFill>
      </fill>
    </dxf>
    <dxf>
      <font>
        <color rgb="FF0070C0"/>
      </font>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color rgb="FF006100"/>
      </font>
      <fill>
        <patternFill>
          <bgColor rgb="FFC6EFCE"/>
        </patternFill>
      </fill>
    </dxf>
    <dxf>
      <font>
        <b/>
        <i val="0"/>
        <color rgb="FF00B050"/>
      </font>
    </dxf>
    <dxf>
      <font>
        <b/>
        <i val="0"/>
        <color rgb="FF00B050"/>
      </font>
    </dxf>
    <dxf>
      <font>
        <color rgb="FF006100"/>
      </font>
      <fill>
        <patternFill>
          <bgColor rgb="FFC6EFCE"/>
        </patternFill>
      </fill>
    </dxf>
    <dxf>
      <font>
        <b/>
        <i val="0"/>
        <color rgb="FF00B050"/>
      </font>
    </dxf>
    <dxf>
      <font>
        <b/>
        <i val="0"/>
        <color rgb="FF00B050"/>
      </font>
    </dxf>
    <dxf>
      <font>
        <color rgb="FF0070C0"/>
      </font>
    </dxf>
    <dxf>
      <font>
        <color rgb="FF006100"/>
      </font>
      <fill>
        <patternFill>
          <bgColor rgb="FFC6EFCE"/>
        </patternFill>
      </fill>
    </dxf>
    <dxf>
      <font>
        <color rgb="FF0070C0"/>
      </font>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font>
        <b/>
        <i val="0"/>
        <strike val="0"/>
        <condense val="0"/>
        <extend val="0"/>
        <outline val="0"/>
        <shadow val="0"/>
        <u val="none"/>
        <vertAlign val="baseline"/>
        <sz val="11"/>
        <color theme="1"/>
        <name val="Calibri"/>
        <family val="2"/>
        <scheme val="minor"/>
      </font>
      <numFmt numFmtId="176" formatCode="0;[Red]0"/>
      <border diagonalUp="0" diagonalDown="0">
        <left style="thin">
          <color rgb="FF000000"/>
        </left>
        <right style="medium">
          <color rgb="FF000000"/>
        </right>
        <top style="thin">
          <color rgb="FF000000"/>
        </top>
        <bottom style="thin">
          <color rgb="FF000000"/>
        </bottom>
        <vertical/>
        <horizontal/>
      </border>
    </dxf>
    <dxf>
      <numFmt numFmtId="176" formatCode="0;[Red]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numFmt numFmtId="175" formatCode="dd\-mm\-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rgb="FF000000"/>
        </left>
        <right style="thin">
          <color rgb="FF000000"/>
        </right>
        <top/>
        <bottom/>
      </border>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b/>
        <i val="0"/>
        <color rgb="FF00B050"/>
      </font>
    </dxf>
    <dxf>
      <font>
        <b/>
        <i val="0"/>
        <color rgb="FF00B050"/>
      </font>
    </dxf>
    <dxf>
      <font>
        <color rgb="FF006100"/>
      </font>
      <fill>
        <patternFill>
          <bgColor rgb="FFC6EFCE"/>
        </patternFill>
      </fill>
    </dxf>
    <dxf>
      <font>
        <color rgb="FF006100"/>
      </font>
      <fill>
        <patternFill>
          <bgColor rgb="FFC6EFCE"/>
        </patternFill>
      </fill>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0AA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NBA!$G$2:$G$1890</c:f>
              <c:numCache>
                <c:formatCode>#,##0.00;[Red]#,##0.00</c:formatCode>
                <c:ptCount val="1889"/>
                <c:pt idx="0">
                  <c:v>2.2412000000000005</c:v>
                </c:pt>
                <c:pt idx="1">
                  <c:v>4.5811999999999999</c:v>
                </c:pt>
                <c:pt idx="2">
                  <c:v>6.9211999999999989</c:v>
                </c:pt>
                <c:pt idx="3">
                  <c:v>4.3211999999999993</c:v>
                </c:pt>
                <c:pt idx="4">
                  <c:v>1.7211999999999992</c:v>
                </c:pt>
                <c:pt idx="5">
                  <c:v>3.5515999999999988</c:v>
                </c:pt>
                <c:pt idx="6">
                  <c:v>5.6263999999999985</c:v>
                </c:pt>
                <c:pt idx="7">
                  <c:v>3.0263999999999984</c:v>
                </c:pt>
                <c:pt idx="8">
                  <c:v>0.42639999999999834</c:v>
                </c:pt>
                <c:pt idx="9">
                  <c:v>2.0019999999999984</c:v>
                </c:pt>
                <c:pt idx="10">
                  <c:v>3.5775999999999986</c:v>
                </c:pt>
                <c:pt idx="11">
                  <c:v>5.1531999999999982</c:v>
                </c:pt>
                <c:pt idx="12">
                  <c:v>6.7287999999999979</c:v>
                </c:pt>
                <c:pt idx="13">
                  <c:v>4.1287999999999982</c:v>
                </c:pt>
                <c:pt idx="14">
                  <c:v>1.5287999999999982</c:v>
                </c:pt>
                <c:pt idx="15">
                  <c:v>-2.3712000000000018</c:v>
                </c:pt>
                <c:pt idx="16">
                  <c:v>0.92429999999999835</c:v>
                </c:pt>
                <c:pt idx="17">
                  <c:v>-2.9757000000000016</c:v>
                </c:pt>
                <c:pt idx="18">
                  <c:v>-6.8757000000000019</c:v>
                </c:pt>
                <c:pt idx="19">
                  <c:v>-3.8961000000000019</c:v>
                </c:pt>
                <c:pt idx="20">
                  <c:v>-0.38610000000000255</c:v>
                </c:pt>
                <c:pt idx="21">
                  <c:v>-4.2861000000000029</c:v>
                </c:pt>
                <c:pt idx="22">
                  <c:v>-1.922700000000003</c:v>
                </c:pt>
                <c:pt idx="23">
                  <c:v>0.44069999999999698</c:v>
                </c:pt>
                <c:pt idx="24">
                  <c:v>-1.509300000000003</c:v>
                </c:pt>
                <c:pt idx="25">
                  <c:v>-3.4593000000000029</c:v>
                </c:pt>
                <c:pt idx="26">
                  <c:v>-1.9500000000000031</c:v>
                </c:pt>
                <c:pt idx="27">
                  <c:v>-0.42120000000000291</c:v>
                </c:pt>
                <c:pt idx="28">
                  <c:v>-2.3712000000000026</c:v>
                </c:pt>
                <c:pt idx="29">
                  <c:v>-0.54015000000000257</c:v>
                </c:pt>
                <c:pt idx="30">
                  <c:v>0.72734999999999728</c:v>
                </c:pt>
                <c:pt idx="31">
                  <c:v>2.4823499999999967</c:v>
                </c:pt>
                <c:pt idx="32">
                  <c:v>4.2373499999999966</c:v>
                </c:pt>
                <c:pt idx="33">
                  <c:v>2.2873499999999964</c:v>
                </c:pt>
                <c:pt idx="34">
                  <c:v>0.33734999999999649</c:v>
                </c:pt>
                <c:pt idx="35">
                  <c:v>1.5190499999999965</c:v>
                </c:pt>
                <c:pt idx="36">
                  <c:v>1.5190499999999965</c:v>
                </c:pt>
                <c:pt idx="37">
                  <c:v>2.7007499999999967</c:v>
                </c:pt>
                <c:pt idx="38">
                  <c:v>3.8824499999999968</c:v>
                </c:pt>
                <c:pt idx="39">
                  <c:v>1.9324499999999969</c:v>
                </c:pt>
                <c:pt idx="40">
                  <c:v>3.1141499999999969</c:v>
                </c:pt>
                <c:pt idx="41">
                  <c:v>10.143149999999995</c:v>
                </c:pt>
                <c:pt idx="42">
                  <c:v>2.3331499999999954</c:v>
                </c:pt>
                <c:pt idx="43">
                  <c:v>9.3621499999999944</c:v>
                </c:pt>
                <c:pt idx="44">
                  <c:v>16.391149999999993</c:v>
                </c:pt>
                <c:pt idx="45">
                  <c:v>21.124009999999991</c:v>
                </c:pt>
                <c:pt idx="46">
                  <c:v>25.85686999999999</c:v>
                </c:pt>
                <c:pt idx="47">
                  <c:v>30.589729999999989</c:v>
                </c:pt>
                <c:pt idx="48">
                  <c:v>33.028729999999989</c:v>
                </c:pt>
                <c:pt idx="49">
                  <c:v>30.318729999999988</c:v>
                </c:pt>
                <c:pt idx="50">
                  <c:v>27.608729999999987</c:v>
                </c:pt>
                <c:pt idx="51">
                  <c:v>29.733369999999987</c:v>
                </c:pt>
                <c:pt idx="52">
                  <c:v>27.023369999999986</c:v>
                </c:pt>
                <c:pt idx="53">
                  <c:v>29.104649999999985</c:v>
                </c:pt>
                <c:pt idx="54">
                  <c:v>26.394649999999984</c:v>
                </c:pt>
                <c:pt idx="55">
                  <c:v>28.833649999999984</c:v>
                </c:pt>
                <c:pt idx="56">
                  <c:v>26.123649999999984</c:v>
                </c:pt>
                <c:pt idx="57">
                  <c:v>27.765909999999984</c:v>
                </c:pt>
                <c:pt idx="58">
                  <c:v>29.419009999999986</c:v>
                </c:pt>
                <c:pt idx="59">
                  <c:v>26.709009999999985</c:v>
                </c:pt>
                <c:pt idx="60">
                  <c:v>28.351269999999985</c:v>
                </c:pt>
                <c:pt idx="61">
                  <c:v>25.641269999999984</c:v>
                </c:pt>
                <c:pt idx="62">
                  <c:v>20.801269999999985</c:v>
                </c:pt>
                <c:pt idx="63">
                  <c:v>24.750709999999984</c:v>
                </c:pt>
                <c:pt idx="64">
                  <c:v>29.590709999999984</c:v>
                </c:pt>
                <c:pt idx="65">
                  <c:v>24.750709999999984</c:v>
                </c:pt>
                <c:pt idx="66">
                  <c:v>19.910709999999984</c:v>
                </c:pt>
                <c:pt idx="67">
                  <c:v>15.070709999999984</c:v>
                </c:pt>
                <c:pt idx="68">
                  <c:v>10.230709999999984</c:v>
                </c:pt>
                <c:pt idx="69">
                  <c:v>5.3907099999999843</c:v>
                </c:pt>
                <c:pt idx="70">
                  <c:v>0.55070999999998449</c:v>
                </c:pt>
                <c:pt idx="71">
                  <c:v>3.2925899999999846</c:v>
                </c:pt>
                <c:pt idx="72">
                  <c:v>5.7045099999999849</c:v>
                </c:pt>
                <c:pt idx="73">
                  <c:v>7.9937899999999846</c:v>
                </c:pt>
                <c:pt idx="74">
                  <c:v>10.283069999999984</c:v>
                </c:pt>
                <c:pt idx="75">
                  <c:v>13.024949999999984</c:v>
                </c:pt>
                <c:pt idx="76">
                  <c:v>10.104949999999985</c:v>
                </c:pt>
                <c:pt idx="77">
                  <c:v>12.732949999999985</c:v>
                </c:pt>
                <c:pt idx="78">
                  <c:v>9.8129499999999847</c:v>
                </c:pt>
                <c:pt idx="79">
                  <c:v>12.143109999999986</c:v>
                </c:pt>
                <c:pt idx="80">
                  <c:v>14.406109999999986</c:v>
                </c:pt>
                <c:pt idx="81">
                  <c:v>16.353749999999984</c:v>
                </c:pt>
                <c:pt idx="82">
                  <c:v>18.397749999999984</c:v>
                </c:pt>
                <c:pt idx="83">
                  <c:v>20.222749999999984</c:v>
                </c:pt>
                <c:pt idx="84">
                  <c:v>22.179149999999982</c:v>
                </c:pt>
                <c:pt idx="85">
                  <c:v>24.18810999999998</c:v>
                </c:pt>
                <c:pt idx="86">
                  <c:v>21.168109999999981</c:v>
                </c:pt>
                <c:pt idx="87">
                  <c:v>23.67470999999998</c:v>
                </c:pt>
                <c:pt idx="88">
                  <c:v>25.994069999999979</c:v>
                </c:pt>
                <c:pt idx="89">
                  <c:v>22.97406999999998</c:v>
                </c:pt>
                <c:pt idx="90">
                  <c:v>19.95406999999998</c:v>
                </c:pt>
                <c:pt idx="91">
                  <c:v>16.934069999999981</c:v>
                </c:pt>
                <c:pt idx="92">
                  <c:v>19.25342999999998</c:v>
                </c:pt>
                <c:pt idx="93">
                  <c:v>16.233429999999981</c:v>
                </c:pt>
                <c:pt idx="94">
                  <c:v>18.063549999999982</c:v>
                </c:pt>
                <c:pt idx="95">
                  <c:v>19.951049999999981</c:v>
                </c:pt>
                <c:pt idx="96">
                  <c:v>16.931049999999981</c:v>
                </c:pt>
                <c:pt idx="97">
                  <c:v>19.07222999999998</c:v>
                </c:pt>
                <c:pt idx="98">
                  <c:v>22.16447999999998</c:v>
                </c:pt>
                <c:pt idx="99">
                  <c:v>18.174479999999981</c:v>
                </c:pt>
                <c:pt idx="100">
                  <c:v>21.302639999999982</c:v>
                </c:pt>
                <c:pt idx="101">
                  <c:v>17.31263999999998</c:v>
                </c:pt>
                <c:pt idx="102">
                  <c:v>13.32263999999998</c:v>
                </c:pt>
                <c:pt idx="103">
                  <c:v>9.3326399999999801</c:v>
                </c:pt>
                <c:pt idx="104">
                  <c:v>11.786489999999979</c:v>
                </c:pt>
                <c:pt idx="105">
                  <c:v>7.796489999999979</c:v>
                </c:pt>
                <c:pt idx="106">
                  <c:v>10.469789999999978</c:v>
                </c:pt>
                <c:pt idx="107">
                  <c:v>6.4797899999999782</c:v>
                </c:pt>
                <c:pt idx="108">
                  <c:v>3.8597899999999781</c:v>
                </c:pt>
                <c:pt idx="109">
                  <c:v>1.239789999999978</c:v>
                </c:pt>
                <c:pt idx="110">
                  <c:v>-1.3802100000000221</c:v>
                </c:pt>
                <c:pt idx="111">
                  <c:v>0.71054999999997825</c:v>
                </c:pt>
                <c:pt idx="112">
                  <c:v>-1.9094500000000219</c:v>
                </c:pt>
                <c:pt idx="113">
                  <c:v>0.18130999999997854</c:v>
                </c:pt>
                <c:pt idx="114">
                  <c:v>-2.4386900000000216</c:v>
                </c:pt>
                <c:pt idx="115">
                  <c:v>-5.0586900000000217</c:v>
                </c:pt>
                <c:pt idx="116">
                  <c:v>-3.4080900000000218</c:v>
                </c:pt>
                <c:pt idx="117">
                  <c:v>-6.0280900000000219</c:v>
                </c:pt>
                <c:pt idx="118">
                  <c:v>-11.808090000000021</c:v>
                </c:pt>
                <c:pt idx="119">
                  <c:v>-6.6060900000000222</c:v>
                </c:pt>
                <c:pt idx="120">
                  <c:v>-1.4040900000000232</c:v>
                </c:pt>
                <c:pt idx="121">
                  <c:v>3.7979099999999759</c:v>
                </c:pt>
                <c:pt idx="122">
                  <c:v>8.999909999999975</c:v>
                </c:pt>
                <c:pt idx="123">
                  <c:v>12.496809999999975</c:v>
                </c:pt>
                <c:pt idx="124">
                  <c:v>15.999489999999977</c:v>
                </c:pt>
                <c:pt idx="125">
                  <c:v>19.502169999999978</c:v>
                </c:pt>
                <c:pt idx="126">
                  <c:v>23.00484999999998</c:v>
                </c:pt>
                <c:pt idx="127">
                  <c:v>19.994849999999978</c:v>
                </c:pt>
                <c:pt idx="128">
                  <c:v>22.703849999999978</c:v>
                </c:pt>
                <c:pt idx="129">
                  <c:v>19.693849999999976</c:v>
                </c:pt>
                <c:pt idx="130">
                  <c:v>22.095829999999978</c:v>
                </c:pt>
                <c:pt idx="131">
                  <c:v>24.503829999999979</c:v>
                </c:pt>
                <c:pt idx="132">
                  <c:v>21.493829999999981</c:v>
                </c:pt>
                <c:pt idx="133">
                  <c:v>18.483829999999983</c:v>
                </c:pt>
                <c:pt idx="134">
                  <c:v>21.192829999999983</c:v>
                </c:pt>
                <c:pt idx="135">
                  <c:v>18.182829999999981</c:v>
                </c:pt>
                <c:pt idx="136">
                  <c:v>15.172829999999982</c:v>
                </c:pt>
                <c:pt idx="137">
                  <c:v>16.996889999999983</c:v>
                </c:pt>
                <c:pt idx="138">
                  <c:v>20.065889999999982</c:v>
                </c:pt>
                <c:pt idx="139">
                  <c:v>23.16898999999998</c:v>
                </c:pt>
                <c:pt idx="140">
                  <c:v>26.237989999999979</c:v>
                </c:pt>
                <c:pt idx="141">
                  <c:v>22.827989999999978</c:v>
                </c:pt>
                <c:pt idx="142">
                  <c:v>25.55598999999998</c:v>
                </c:pt>
                <c:pt idx="143">
                  <c:v>22.14598999999998</c:v>
                </c:pt>
                <c:pt idx="144">
                  <c:v>24.277239999999978</c:v>
                </c:pt>
                <c:pt idx="145">
                  <c:v>20.867239999999978</c:v>
                </c:pt>
                <c:pt idx="146">
                  <c:v>23.254239999999978</c:v>
                </c:pt>
                <c:pt idx="147">
                  <c:v>19.844239999999978</c:v>
                </c:pt>
                <c:pt idx="148">
                  <c:v>16.844239999999978</c:v>
                </c:pt>
                <c:pt idx="149">
                  <c:v>13.844239999999978</c:v>
                </c:pt>
                <c:pt idx="150">
                  <c:v>10.844239999999978</c:v>
                </c:pt>
                <c:pt idx="151">
                  <c:v>7.8442399999999779</c:v>
                </c:pt>
                <c:pt idx="152">
                  <c:v>4.8442399999999779</c:v>
                </c:pt>
                <c:pt idx="153">
                  <c:v>7.5442399999999772</c:v>
                </c:pt>
                <c:pt idx="154">
                  <c:v>10.244239999999976</c:v>
                </c:pt>
                <c:pt idx="155">
                  <c:v>7.2442399999999765</c:v>
                </c:pt>
                <c:pt idx="156">
                  <c:v>4.2442399999999765</c:v>
                </c:pt>
                <c:pt idx="157">
                  <c:v>1.2442399999999765</c:v>
                </c:pt>
                <c:pt idx="158">
                  <c:v>-1.7557600000000235</c:v>
                </c:pt>
                <c:pt idx="159">
                  <c:v>-4.7557600000000235</c:v>
                </c:pt>
                <c:pt idx="160">
                  <c:v>-7.7557600000000235</c:v>
                </c:pt>
                <c:pt idx="161">
                  <c:v>-10.065760000000024</c:v>
                </c:pt>
                <c:pt idx="162">
                  <c:v>-7.9867600000000234</c:v>
                </c:pt>
                <c:pt idx="163">
                  <c:v>-5.9077600000000228</c:v>
                </c:pt>
                <c:pt idx="164">
                  <c:v>-8.2177600000000233</c:v>
                </c:pt>
                <c:pt idx="165">
                  <c:v>-10.527760000000024</c:v>
                </c:pt>
                <c:pt idx="166">
                  <c:v>-12.837760000000024</c:v>
                </c:pt>
                <c:pt idx="167">
                  <c:v>-15.147760000000025</c:v>
                </c:pt>
                <c:pt idx="168">
                  <c:v>-13.359820000000024</c:v>
                </c:pt>
                <c:pt idx="169">
                  <c:v>-11.775160000000024</c:v>
                </c:pt>
                <c:pt idx="170">
                  <c:v>-14.085160000000025</c:v>
                </c:pt>
                <c:pt idx="171">
                  <c:v>-16.395160000000025</c:v>
                </c:pt>
                <c:pt idx="172">
                  <c:v>-18.705160000000024</c:v>
                </c:pt>
                <c:pt idx="173">
                  <c:v>-26.275160000000024</c:v>
                </c:pt>
                <c:pt idx="174">
                  <c:v>-20.234300000000026</c:v>
                </c:pt>
                <c:pt idx="175">
                  <c:v>-27.804300000000026</c:v>
                </c:pt>
                <c:pt idx="176">
                  <c:v>-22.581000000000024</c:v>
                </c:pt>
                <c:pt idx="177">
                  <c:v>-17.176020000000022</c:v>
                </c:pt>
                <c:pt idx="178">
                  <c:v>-19.706020000000024</c:v>
                </c:pt>
                <c:pt idx="179">
                  <c:v>-24.706020000000024</c:v>
                </c:pt>
                <c:pt idx="180">
                  <c:v>-27.236020000000025</c:v>
                </c:pt>
                <c:pt idx="181">
                  <c:v>-25.217080000000024</c:v>
                </c:pt>
                <c:pt idx="182">
                  <c:v>-27.747080000000025</c:v>
                </c:pt>
                <c:pt idx="183">
                  <c:v>-30.277080000000026</c:v>
                </c:pt>
                <c:pt idx="184">
                  <c:v>-28.293560000000028</c:v>
                </c:pt>
                <c:pt idx="185">
                  <c:v>-30.823560000000029</c:v>
                </c:pt>
                <c:pt idx="186">
                  <c:v>-33.35356000000003</c:v>
                </c:pt>
                <c:pt idx="187">
                  <c:v>-35.883560000000031</c:v>
                </c:pt>
                <c:pt idx="188">
                  <c:v>-33.97594000000003</c:v>
                </c:pt>
                <c:pt idx="189">
                  <c:v>-36.505940000000031</c:v>
                </c:pt>
                <c:pt idx="190">
                  <c:v>-34.699520000000028</c:v>
                </c:pt>
                <c:pt idx="191">
                  <c:v>-37.229520000000029</c:v>
                </c:pt>
                <c:pt idx="192">
                  <c:v>-39.75952000000003</c:v>
                </c:pt>
                <c:pt idx="193">
                  <c:v>-38.013820000000031</c:v>
                </c:pt>
                <c:pt idx="194">
                  <c:v>-40.543820000000032</c:v>
                </c:pt>
                <c:pt idx="195">
                  <c:v>-43.073820000000033</c:v>
                </c:pt>
                <c:pt idx="196">
                  <c:v>-41.621120000000033</c:v>
                </c:pt>
                <c:pt idx="197">
                  <c:v>-43.611120000000035</c:v>
                </c:pt>
                <c:pt idx="198">
                  <c:v>-45.601120000000037</c:v>
                </c:pt>
                <c:pt idx="199">
                  <c:v>-47.591120000000039</c:v>
                </c:pt>
                <c:pt idx="200">
                  <c:v>-49.581120000000041</c:v>
                </c:pt>
                <c:pt idx="201">
                  <c:v>-47.993100000000041</c:v>
                </c:pt>
                <c:pt idx="202">
                  <c:v>-46.202100000000044</c:v>
                </c:pt>
                <c:pt idx="203">
                  <c:v>-44.391200000000048</c:v>
                </c:pt>
                <c:pt idx="204">
                  <c:v>-46.381200000000049</c:v>
                </c:pt>
                <c:pt idx="205">
                  <c:v>-48.371200000000051</c:v>
                </c:pt>
                <c:pt idx="206">
                  <c:v>-46.858800000000052</c:v>
                </c:pt>
                <c:pt idx="207">
                  <c:v>-48.848800000000054</c:v>
                </c:pt>
                <c:pt idx="208">
                  <c:v>-47.455800000000053</c:v>
                </c:pt>
                <c:pt idx="209">
                  <c:v>-49.445800000000055</c:v>
                </c:pt>
                <c:pt idx="210">
                  <c:v>-51.435800000000057</c:v>
                </c:pt>
                <c:pt idx="211">
                  <c:v>-49.981110000000058</c:v>
                </c:pt>
                <c:pt idx="212">
                  <c:v>-48.564230000000059</c:v>
                </c:pt>
                <c:pt idx="213">
                  <c:v>-50.554230000000061</c:v>
                </c:pt>
                <c:pt idx="214">
                  <c:v>-48.304930000000063</c:v>
                </c:pt>
                <c:pt idx="215">
                  <c:v>-51.014930000000064</c:v>
                </c:pt>
                <c:pt idx="216">
                  <c:v>-53.724930000000064</c:v>
                </c:pt>
                <c:pt idx="217">
                  <c:v>-56.434930000000065</c:v>
                </c:pt>
                <c:pt idx="218">
                  <c:v>-53.995930000000065</c:v>
                </c:pt>
                <c:pt idx="219">
                  <c:v>-52.017630000000068</c:v>
                </c:pt>
                <c:pt idx="220">
                  <c:v>-49.578630000000068</c:v>
                </c:pt>
                <c:pt idx="221">
                  <c:v>-52.288630000000069</c:v>
                </c:pt>
                <c:pt idx="222">
                  <c:v>-50.429570000000069</c:v>
                </c:pt>
                <c:pt idx="223">
                  <c:v>-53.13957000000007</c:v>
                </c:pt>
                <c:pt idx="224">
                  <c:v>-55.849570000000071</c:v>
                </c:pt>
                <c:pt idx="225">
                  <c:v>-58.559570000000072</c:v>
                </c:pt>
                <c:pt idx="226">
                  <c:v>-56.156570000000073</c:v>
                </c:pt>
                <c:pt idx="227">
                  <c:v>-53.753570000000074</c:v>
                </c:pt>
                <c:pt idx="228">
                  <c:v>-51.350570000000076</c:v>
                </c:pt>
                <c:pt idx="229">
                  <c:v>-54.020570000000077</c:v>
                </c:pt>
                <c:pt idx="230">
                  <c:v>-56.690570000000079</c:v>
                </c:pt>
                <c:pt idx="231">
                  <c:v>-59.360570000000081</c:v>
                </c:pt>
                <c:pt idx="232">
                  <c:v>-56.957570000000082</c:v>
                </c:pt>
                <c:pt idx="233">
                  <c:v>-59.627570000000084</c:v>
                </c:pt>
                <c:pt idx="234">
                  <c:v>-57.726530000000082</c:v>
                </c:pt>
                <c:pt idx="235">
                  <c:v>-55.820150000000083</c:v>
                </c:pt>
                <c:pt idx="236">
                  <c:v>-58.490150000000085</c:v>
                </c:pt>
                <c:pt idx="237">
                  <c:v>-60.870150000000088</c:v>
                </c:pt>
                <c:pt idx="238">
                  <c:v>-58.490150000000085</c:v>
                </c:pt>
                <c:pt idx="239">
                  <c:v>-56.586150000000089</c:v>
                </c:pt>
                <c:pt idx="240">
                  <c:v>-54.420350000000091</c:v>
                </c:pt>
                <c:pt idx="241">
                  <c:v>-52.278350000000088</c:v>
                </c:pt>
                <c:pt idx="242">
                  <c:v>-50.136350000000093</c:v>
                </c:pt>
                <c:pt idx="243">
                  <c:v>-47.994350000000097</c:v>
                </c:pt>
                <c:pt idx="244">
                  <c:v>-50.374350000000099</c:v>
                </c:pt>
                <c:pt idx="245">
                  <c:v>-48.232350000000096</c:v>
                </c:pt>
                <c:pt idx="246">
                  <c:v>-46.0903500000001</c:v>
                </c:pt>
                <c:pt idx="247">
                  <c:v>-43.948350000000104</c:v>
                </c:pt>
                <c:pt idx="248">
                  <c:v>-42.130030000000104</c:v>
                </c:pt>
                <c:pt idx="249">
                  <c:v>-44.510030000000107</c:v>
                </c:pt>
                <c:pt idx="250">
                  <c:v>-46.89003000000011</c:v>
                </c:pt>
                <c:pt idx="251">
                  <c:v>-45.152630000000109</c:v>
                </c:pt>
                <c:pt idx="252">
                  <c:v>-43.453310000000108</c:v>
                </c:pt>
                <c:pt idx="253">
                  <c:v>-45.833310000000111</c:v>
                </c:pt>
                <c:pt idx="254">
                  <c:v>-44.09591000000011</c:v>
                </c:pt>
                <c:pt idx="255">
                  <c:v>-42.401350000000107</c:v>
                </c:pt>
                <c:pt idx="256">
                  <c:v>-40.706790000000105</c:v>
                </c:pt>
                <c:pt idx="257">
                  <c:v>-44.366790000000108</c:v>
                </c:pt>
                <c:pt idx="258">
                  <c:v>-41.446110000000111</c:v>
                </c:pt>
                <c:pt idx="259">
                  <c:v>-38.152110000000114</c:v>
                </c:pt>
                <c:pt idx="260">
                  <c:v>-34.858110000000117</c:v>
                </c:pt>
                <c:pt idx="261">
                  <c:v>-31.904490000000116</c:v>
                </c:pt>
                <c:pt idx="262">
                  <c:v>-35.56449000000012</c:v>
                </c:pt>
                <c:pt idx="263">
                  <c:v>-32.270490000000123</c:v>
                </c:pt>
                <c:pt idx="264">
                  <c:v>-28.833750000000123</c:v>
                </c:pt>
                <c:pt idx="265">
                  <c:v>-25.539750000000122</c:v>
                </c:pt>
                <c:pt idx="266">
                  <c:v>-22.103010000000122</c:v>
                </c:pt>
                <c:pt idx="267">
                  <c:v>-19.182330000000121</c:v>
                </c:pt>
                <c:pt idx="268">
                  <c:v>-22.842330000000121</c:v>
                </c:pt>
                <c:pt idx="269">
                  <c:v>-20.22909000000012</c:v>
                </c:pt>
                <c:pt idx="270">
                  <c:v>-17.623170000000119</c:v>
                </c:pt>
                <c:pt idx="271">
                  <c:v>-15.017250000000118</c:v>
                </c:pt>
                <c:pt idx="272">
                  <c:v>-12.404010000000117</c:v>
                </c:pt>
                <c:pt idx="273">
                  <c:v>-9.7468500000001157</c:v>
                </c:pt>
                <c:pt idx="274">
                  <c:v>-7.7039700000001154</c:v>
                </c:pt>
                <c:pt idx="275">
                  <c:v>-5.3999700000001152</c:v>
                </c:pt>
                <c:pt idx="276">
                  <c:v>-3.0959700000001154</c:v>
                </c:pt>
                <c:pt idx="277">
                  <c:v>-5.6559700000001154</c:v>
                </c:pt>
                <c:pt idx="278">
                  <c:v>-3.4492500000001152</c:v>
                </c:pt>
                <c:pt idx="279">
                  <c:v>-6.0092500000001152</c:v>
                </c:pt>
                <c:pt idx="280">
                  <c:v>-8.5692500000001157</c:v>
                </c:pt>
                <c:pt idx="281">
                  <c:v>-6.362530000000115</c:v>
                </c:pt>
                <c:pt idx="282">
                  <c:v>-8.9225300000001155</c:v>
                </c:pt>
                <c:pt idx="283">
                  <c:v>-11.482530000000116</c:v>
                </c:pt>
                <c:pt idx="284">
                  <c:v>-14.042530000000117</c:v>
                </c:pt>
                <c:pt idx="285">
                  <c:v>-16.602530000000115</c:v>
                </c:pt>
                <c:pt idx="286">
                  <c:v>-14.779810000000115</c:v>
                </c:pt>
                <c:pt idx="287">
                  <c:v>-17.339810000000114</c:v>
                </c:pt>
                <c:pt idx="288">
                  <c:v>-19.899810000000112</c:v>
                </c:pt>
                <c:pt idx="289">
                  <c:v>-22.459810000000111</c:v>
                </c:pt>
                <c:pt idx="290">
                  <c:v>-25.01981000000011</c:v>
                </c:pt>
                <c:pt idx="291">
                  <c:v>-27.579810000000109</c:v>
                </c:pt>
                <c:pt idx="292">
                  <c:v>-32.059810000000112</c:v>
                </c:pt>
                <c:pt idx="293">
                  <c:v>-28.619170000000111</c:v>
                </c:pt>
                <c:pt idx="294">
                  <c:v>-24.587170000000111</c:v>
                </c:pt>
                <c:pt idx="295">
                  <c:v>-29.067170000000111</c:v>
                </c:pt>
                <c:pt idx="296">
                  <c:v>-33.547170000000108</c:v>
                </c:pt>
                <c:pt idx="297">
                  <c:v>-38.027170000000112</c:v>
                </c:pt>
                <c:pt idx="298">
                  <c:v>-33.995170000000115</c:v>
                </c:pt>
                <c:pt idx="299">
                  <c:v>-29.963170000000115</c:v>
                </c:pt>
                <c:pt idx="300">
                  <c:v>-34.443170000000116</c:v>
                </c:pt>
                <c:pt idx="301">
                  <c:v>-31.127970000000115</c:v>
                </c:pt>
                <c:pt idx="302">
                  <c:v>-27.759010000000114</c:v>
                </c:pt>
                <c:pt idx="303">
                  <c:v>-24.425890000000113</c:v>
                </c:pt>
                <c:pt idx="304">
                  <c:v>-21.092770000000112</c:v>
                </c:pt>
                <c:pt idx="305">
                  <c:v>-22.982770000000112</c:v>
                </c:pt>
                <c:pt idx="306">
                  <c:v>-24.872770000000113</c:v>
                </c:pt>
                <c:pt idx="307">
                  <c:v>-23.243590000000111</c:v>
                </c:pt>
                <c:pt idx="308">
                  <c:v>-21.731590000000111</c:v>
                </c:pt>
                <c:pt idx="309">
                  <c:v>-23.621590000000111</c:v>
                </c:pt>
                <c:pt idx="310">
                  <c:v>-25.511590000000112</c:v>
                </c:pt>
                <c:pt idx="311">
                  <c:v>-27.401590000000112</c:v>
                </c:pt>
                <c:pt idx="312">
                  <c:v>-25.700590000000112</c:v>
                </c:pt>
                <c:pt idx="313">
                  <c:v>-23.810590000000111</c:v>
                </c:pt>
                <c:pt idx="314">
                  <c:v>-22.109590000000111</c:v>
                </c:pt>
                <c:pt idx="315">
                  <c:v>-20.40859000000011</c:v>
                </c:pt>
                <c:pt idx="316">
                  <c:v>-18.839890000000111</c:v>
                </c:pt>
                <c:pt idx="317">
                  <c:v>-17.388370000000112</c:v>
                </c:pt>
                <c:pt idx="318">
                  <c:v>-19.278370000000113</c:v>
                </c:pt>
                <c:pt idx="319">
                  <c:v>-21.168370000000113</c:v>
                </c:pt>
                <c:pt idx="320">
                  <c:v>-19.750870000000113</c:v>
                </c:pt>
                <c:pt idx="321">
                  <c:v>-18.359830000000112</c:v>
                </c:pt>
                <c:pt idx="322">
                  <c:v>-16.953670000000113</c:v>
                </c:pt>
                <c:pt idx="323">
                  <c:v>-15.498370000000113</c:v>
                </c:pt>
                <c:pt idx="324">
                  <c:v>-17.388370000000112</c:v>
                </c:pt>
                <c:pt idx="325">
                  <c:v>-19.278370000000113</c:v>
                </c:pt>
                <c:pt idx="326">
                  <c:v>-21.168370000000113</c:v>
                </c:pt>
                <c:pt idx="327">
                  <c:v>-23.058370000000114</c:v>
                </c:pt>
                <c:pt idx="328">
                  <c:v>-26.278370000000113</c:v>
                </c:pt>
                <c:pt idx="329">
                  <c:v>-23.380370000000113</c:v>
                </c:pt>
                <c:pt idx="330">
                  <c:v>-26.600370000000112</c:v>
                </c:pt>
                <c:pt idx="331">
                  <c:v>-23.824730000000113</c:v>
                </c:pt>
                <c:pt idx="332">
                  <c:v>-27.044730000000111</c:v>
                </c:pt>
                <c:pt idx="333">
                  <c:v>-24.146730000000112</c:v>
                </c:pt>
                <c:pt idx="334">
                  <c:v>-21.371090000000112</c:v>
                </c:pt>
                <c:pt idx="335">
                  <c:v>-24.591090000000111</c:v>
                </c:pt>
                <c:pt idx="336">
                  <c:v>-21.693090000000112</c:v>
                </c:pt>
                <c:pt idx="337">
                  <c:v>-24.913090000000111</c:v>
                </c:pt>
                <c:pt idx="338">
                  <c:v>-28.133090000000109</c:v>
                </c:pt>
                <c:pt idx="339">
                  <c:v>-25.23509000000011</c:v>
                </c:pt>
                <c:pt idx="340">
                  <c:v>-28.455090000000109</c:v>
                </c:pt>
                <c:pt idx="341">
                  <c:v>-25.911290000000108</c:v>
                </c:pt>
                <c:pt idx="342">
                  <c:v>-29.131290000000106</c:v>
                </c:pt>
                <c:pt idx="343">
                  <c:v>-26.587490000000106</c:v>
                </c:pt>
                <c:pt idx="344">
                  <c:v>-29.807490000000104</c:v>
                </c:pt>
                <c:pt idx="345">
                  <c:v>-27.263690000000103</c:v>
                </c:pt>
                <c:pt idx="346">
                  <c:v>-30.463690000000103</c:v>
                </c:pt>
                <c:pt idx="347">
                  <c:v>-33.663690000000102</c:v>
                </c:pt>
                <c:pt idx="348">
                  <c:v>-36.863690000000105</c:v>
                </c:pt>
                <c:pt idx="349">
                  <c:v>-40.063690000000108</c:v>
                </c:pt>
                <c:pt idx="350">
                  <c:v>-37.554890000000107</c:v>
                </c:pt>
                <c:pt idx="351">
                  <c:v>-40.75489000000011</c:v>
                </c:pt>
                <c:pt idx="352">
                  <c:v>-38.17249000000011</c:v>
                </c:pt>
                <c:pt idx="353">
                  <c:v>-41.372490000000113</c:v>
                </c:pt>
                <c:pt idx="354">
                  <c:v>-44.572490000000116</c:v>
                </c:pt>
                <c:pt idx="355">
                  <c:v>-47.772490000000118</c:v>
                </c:pt>
                <c:pt idx="356">
                  <c:v>-50.972490000000121</c:v>
                </c:pt>
                <c:pt idx="357">
                  <c:v>-48.431690000000124</c:v>
                </c:pt>
                <c:pt idx="358">
                  <c:v>-51.631690000000127</c:v>
                </c:pt>
                <c:pt idx="359">
                  <c:v>-54.83169000000013</c:v>
                </c:pt>
                <c:pt idx="360">
                  <c:v>-58.031690000000133</c:v>
                </c:pt>
                <c:pt idx="361">
                  <c:v>-65.161690000000135</c:v>
                </c:pt>
                <c:pt idx="362">
                  <c:v>-58.744690000000134</c:v>
                </c:pt>
                <c:pt idx="363">
                  <c:v>-52.256390000000131</c:v>
                </c:pt>
                <c:pt idx="364">
                  <c:v>-59.386390000000134</c:v>
                </c:pt>
                <c:pt idx="365">
                  <c:v>-66.516390000000129</c:v>
                </c:pt>
                <c:pt idx="366">
                  <c:v>-60.598490000000126</c:v>
                </c:pt>
                <c:pt idx="367">
                  <c:v>-67.728490000000122</c:v>
                </c:pt>
                <c:pt idx="368">
                  <c:v>-74.858490000000117</c:v>
                </c:pt>
                <c:pt idx="369">
                  <c:v>-69.154490000000123</c:v>
                </c:pt>
                <c:pt idx="370">
                  <c:v>-79.664490000000129</c:v>
                </c:pt>
                <c:pt idx="371">
                  <c:v>-70.205490000000125</c:v>
                </c:pt>
                <c:pt idx="372">
                  <c:v>-80.715490000000131</c:v>
                </c:pt>
                <c:pt idx="373">
                  <c:v>-91.225490000000136</c:v>
                </c:pt>
                <c:pt idx="374">
                  <c:v>-101.73549000000014</c:v>
                </c:pt>
                <c:pt idx="375">
                  <c:v>-97.244490000000141</c:v>
                </c:pt>
                <c:pt idx="376">
                  <c:v>-92.753490000000141</c:v>
                </c:pt>
                <c:pt idx="377">
                  <c:v>-97.743490000000136</c:v>
                </c:pt>
                <c:pt idx="378">
                  <c:v>-93.252490000000137</c:v>
                </c:pt>
                <c:pt idx="379">
                  <c:v>-89.110790000000137</c:v>
                </c:pt>
                <c:pt idx="380">
                  <c:v>-94.100790000000131</c:v>
                </c:pt>
                <c:pt idx="381">
                  <c:v>-89.984040000000135</c:v>
                </c:pt>
                <c:pt idx="382">
                  <c:v>-94.97404000000013</c:v>
                </c:pt>
                <c:pt idx="383">
                  <c:v>-90.932140000000132</c:v>
                </c:pt>
                <c:pt idx="384">
                  <c:v>-86.860300000000137</c:v>
                </c:pt>
                <c:pt idx="385">
                  <c:v>-84.203100000000134</c:v>
                </c:pt>
                <c:pt idx="386">
                  <c:v>-81.68606000000014</c:v>
                </c:pt>
                <c:pt idx="387">
                  <c:v>-79.169020000000145</c:v>
                </c:pt>
                <c:pt idx="388">
                  <c:v>-76.833020000000147</c:v>
                </c:pt>
                <c:pt idx="389">
                  <c:v>-73.913020000000145</c:v>
                </c:pt>
                <c:pt idx="390">
                  <c:v>-71.489420000000138</c:v>
                </c:pt>
                <c:pt idx="391">
                  <c:v>-74.409420000000139</c:v>
                </c:pt>
                <c:pt idx="392">
                  <c:v>-71.781420000000139</c:v>
                </c:pt>
                <c:pt idx="393">
                  <c:v>-69.153420000000139</c:v>
                </c:pt>
                <c:pt idx="394">
                  <c:v>-66.233420000000137</c:v>
                </c:pt>
                <c:pt idx="395">
                  <c:v>-63.809820000000137</c:v>
                </c:pt>
                <c:pt idx="396">
                  <c:v>-61.181820000000137</c:v>
                </c:pt>
                <c:pt idx="397">
                  <c:v>-58.772820000000138</c:v>
                </c:pt>
                <c:pt idx="398">
                  <c:v>-56.363820000000139</c:v>
                </c:pt>
                <c:pt idx="399">
                  <c:v>-53.864300000000142</c:v>
                </c:pt>
                <c:pt idx="400">
                  <c:v>-56.55430000000014</c:v>
                </c:pt>
                <c:pt idx="401">
                  <c:v>-54.445340000000137</c:v>
                </c:pt>
                <c:pt idx="402">
                  <c:v>-52.360590000000137</c:v>
                </c:pt>
                <c:pt idx="403">
                  <c:v>-55.050590000000135</c:v>
                </c:pt>
                <c:pt idx="404">
                  <c:v>-57.740590000000132</c:v>
                </c:pt>
                <c:pt idx="405">
                  <c:v>-60.43059000000013</c:v>
                </c:pt>
                <c:pt idx="406">
                  <c:v>-58.235550000000131</c:v>
                </c:pt>
                <c:pt idx="407">
                  <c:v>-60.925550000000129</c:v>
                </c:pt>
                <c:pt idx="408">
                  <c:v>-58.58525000000013</c:v>
                </c:pt>
                <c:pt idx="409">
                  <c:v>-56.271850000000128</c:v>
                </c:pt>
                <c:pt idx="410">
                  <c:v>-58.961850000000126</c:v>
                </c:pt>
                <c:pt idx="411">
                  <c:v>-61.651850000000124</c:v>
                </c:pt>
                <c:pt idx="412">
                  <c:v>-59.378800000000126</c:v>
                </c:pt>
                <c:pt idx="413">
                  <c:v>-62.068800000000124</c:v>
                </c:pt>
                <c:pt idx="414">
                  <c:v>-64.758800000000122</c:v>
                </c:pt>
                <c:pt idx="415">
                  <c:v>-67.448800000000119</c:v>
                </c:pt>
                <c:pt idx="416">
                  <c:v>-71.668800000000118</c:v>
                </c:pt>
                <c:pt idx="417">
                  <c:v>-67.870800000000116</c:v>
                </c:pt>
                <c:pt idx="418">
                  <c:v>-64.072800000000115</c:v>
                </c:pt>
                <c:pt idx="419">
                  <c:v>-68.292800000000113</c:v>
                </c:pt>
                <c:pt idx="420">
                  <c:v>-64.494800000000112</c:v>
                </c:pt>
                <c:pt idx="421">
                  <c:v>-60.69680000000011</c:v>
                </c:pt>
                <c:pt idx="422">
                  <c:v>-64.916800000000109</c:v>
                </c:pt>
                <c:pt idx="423">
                  <c:v>-61.435300000000112</c:v>
                </c:pt>
                <c:pt idx="424">
                  <c:v>-57.89050000000011</c:v>
                </c:pt>
                <c:pt idx="425">
                  <c:v>-62.110500000000108</c:v>
                </c:pt>
                <c:pt idx="426">
                  <c:v>-72.740500000000111</c:v>
                </c:pt>
                <c:pt idx="427">
                  <c:v>-64.236500000000106</c:v>
                </c:pt>
                <c:pt idx="428">
                  <c:v>-54.669500000000106</c:v>
                </c:pt>
                <c:pt idx="429">
                  <c:v>-65.299500000000108</c:v>
                </c:pt>
                <c:pt idx="430">
                  <c:v>-75.929500000000104</c:v>
                </c:pt>
                <c:pt idx="431">
                  <c:v>-86.559500000000099</c:v>
                </c:pt>
                <c:pt idx="432">
                  <c:v>-85.1995000000001</c:v>
                </c:pt>
                <c:pt idx="433">
                  <c:v>-86.899500000000103</c:v>
                </c:pt>
                <c:pt idx="434">
                  <c:v>-88.599500000000106</c:v>
                </c:pt>
                <c:pt idx="435">
                  <c:v>-87.069500000000104</c:v>
                </c:pt>
                <c:pt idx="436">
                  <c:v>-88.769500000000107</c:v>
                </c:pt>
                <c:pt idx="437">
                  <c:v>-90.46950000000011</c:v>
                </c:pt>
                <c:pt idx="438">
                  <c:v>-88.769500000000107</c:v>
                </c:pt>
                <c:pt idx="439">
                  <c:v>-87.239500000000106</c:v>
                </c:pt>
                <c:pt idx="440">
                  <c:v>-85.794500000000113</c:v>
                </c:pt>
                <c:pt idx="441">
                  <c:v>-87.494500000000116</c:v>
                </c:pt>
                <c:pt idx="442">
                  <c:v>-89.194500000000119</c:v>
                </c:pt>
                <c:pt idx="443">
                  <c:v>-87.664500000000118</c:v>
                </c:pt>
                <c:pt idx="444">
                  <c:v>-86.134500000000116</c:v>
                </c:pt>
                <c:pt idx="445">
                  <c:v>-87.834500000000119</c:v>
                </c:pt>
                <c:pt idx="446">
                  <c:v>-86.134500000000116</c:v>
                </c:pt>
                <c:pt idx="447">
                  <c:v>-84.706500000000119</c:v>
                </c:pt>
                <c:pt idx="448">
                  <c:v>-83.176500000000118</c:v>
                </c:pt>
                <c:pt idx="449">
                  <c:v>-81.740000000000123</c:v>
                </c:pt>
                <c:pt idx="450">
                  <c:v>-83.440000000000126</c:v>
                </c:pt>
                <c:pt idx="451">
                  <c:v>-85.140000000000128</c:v>
                </c:pt>
                <c:pt idx="452">
                  <c:v>-83.610000000000127</c:v>
                </c:pt>
                <c:pt idx="453">
                  <c:v>-82.080000000000126</c:v>
                </c:pt>
                <c:pt idx="454">
                  <c:v>-83.780000000000129</c:v>
                </c:pt>
                <c:pt idx="455">
                  <c:v>-82.318000000000126</c:v>
                </c:pt>
                <c:pt idx="456">
                  <c:v>-78.610000000000127</c:v>
                </c:pt>
                <c:pt idx="457">
                  <c:v>-75.149200000000121</c:v>
                </c:pt>
                <c:pt idx="458">
                  <c:v>-71.441200000000123</c:v>
                </c:pt>
                <c:pt idx="459">
                  <c:v>-75.561200000000127</c:v>
                </c:pt>
                <c:pt idx="460">
                  <c:v>-79.681200000000132</c:v>
                </c:pt>
                <c:pt idx="461">
                  <c:v>-76.055600000000126</c:v>
                </c:pt>
                <c:pt idx="462">
                  <c:v>-72.347600000000128</c:v>
                </c:pt>
                <c:pt idx="463">
                  <c:v>-68.639600000000129</c:v>
                </c:pt>
                <c:pt idx="464">
                  <c:v>-72.759600000000134</c:v>
                </c:pt>
                <c:pt idx="465">
                  <c:v>-69.257600000000139</c:v>
                </c:pt>
                <c:pt idx="466">
                  <c:v>-71.357600000000133</c:v>
                </c:pt>
                <c:pt idx="467">
                  <c:v>-73.457600000000127</c:v>
                </c:pt>
                <c:pt idx="468">
                  <c:v>-75.557600000000122</c:v>
                </c:pt>
                <c:pt idx="469">
                  <c:v>-73.457600000000127</c:v>
                </c:pt>
                <c:pt idx="470">
                  <c:v>-71.714600000000132</c:v>
                </c:pt>
                <c:pt idx="471">
                  <c:v>-73.814600000000127</c:v>
                </c:pt>
                <c:pt idx="472">
                  <c:v>-71.924600000000126</c:v>
                </c:pt>
                <c:pt idx="473">
                  <c:v>-69.614600000000124</c:v>
                </c:pt>
                <c:pt idx="474">
                  <c:v>-71.714600000000118</c:v>
                </c:pt>
                <c:pt idx="475">
                  <c:v>-69.803600000000117</c:v>
                </c:pt>
                <c:pt idx="476">
                  <c:v>-67.493600000000114</c:v>
                </c:pt>
                <c:pt idx="477">
                  <c:v>-69.593600000000109</c:v>
                </c:pt>
                <c:pt idx="478">
                  <c:v>-71.693600000000103</c:v>
                </c:pt>
                <c:pt idx="479">
                  <c:v>-69.803600000000102</c:v>
                </c:pt>
                <c:pt idx="480">
                  <c:v>-67.934600000000103</c:v>
                </c:pt>
                <c:pt idx="481">
                  <c:v>-66.149600000000106</c:v>
                </c:pt>
                <c:pt idx="482">
                  <c:v>-64.280600000000106</c:v>
                </c:pt>
                <c:pt idx="483">
                  <c:v>-62.49560000000011</c:v>
                </c:pt>
                <c:pt idx="484">
                  <c:v>-64.595600000000104</c:v>
                </c:pt>
                <c:pt idx="485">
                  <c:v>-61.418600000000104</c:v>
                </c:pt>
                <c:pt idx="486">
                  <c:v>-64.948600000000098</c:v>
                </c:pt>
                <c:pt idx="487">
                  <c:v>-68.4786000000001</c:v>
                </c:pt>
                <c:pt idx="488">
                  <c:v>-72.008600000000101</c:v>
                </c:pt>
                <c:pt idx="489">
                  <c:v>-68.4786000000001</c:v>
                </c:pt>
                <c:pt idx="490">
                  <c:v>-72.008600000000101</c:v>
                </c:pt>
                <c:pt idx="491">
                  <c:v>-68.831600000000108</c:v>
                </c:pt>
                <c:pt idx="492">
                  <c:v>-65.516930000000102</c:v>
                </c:pt>
                <c:pt idx="493">
                  <c:v>-60.516930000000102</c:v>
                </c:pt>
                <c:pt idx="494">
                  <c:v>-57.339930000000102</c:v>
                </c:pt>
                <c:pt idx="495">
                  <c:v>-60.869930000000103</c:v>
                </c:pt>
                <c:pt idx="496">
                  <c:v>-64.399930000000097</c:v>
                </c:pt>
                <c:pt idx="497">
                  <c:v>-67.929930000000098</c:v>
                </c:pt>
                <c:pt idx="498">
                  <c:v>-64.858830000000097</c:v>
                </c:pt>
                <c:pt idx="499">
                  <c:v>-59.724830000000097</c:v>
                </c:pt>
                <c:pt idx="500">
                  <c:v>-65.764830000000103</c:v>
                </c:pt>
                <c:pt idx="501">
                  <c:v>-68.784830000000099</c:v>
                </c:pt>
                <c:pt idx="502">
                  <c:v>-71.804830000000095</c:v>
                </c:pt>
                <c:pt idx="503">
                  <c:v>-74.824830000000091</c:v>
                </c:pt>
                <c:pt idx="504">
                  <c:v>-77.844830000000087</c:v>
                </c:pt>
                <c:pt idx="505">
                  <c:v>-75.09663000000009</c:v>
                </c:pt>
                <c:pt idx="506">
                  <c:v>-71.140430000000094</c:v>
                </c:pt>
                <c:pt idx="507">
                  <c:v>-68.5130300000001</c:v>
                </c:pt>
                <c:pt idx="508">
                  <c:v>-71.533030000000096</c:v>
                </c:pt>
                <c:pt idx="509">
                  <c:v>-74.553030000000092</c:v>
                </c:pt>
                <c:pt idx="510">
                  <c:v>-77.573030000000088</c:v>
                </c:pt>
                <c:pt idx="511">
                  <c:v>-80.593030000000084</c:v>
                </c:pt>
                <c:pt idx="512">
                  <c:v>-82.063030000000083</c:v>
                </c:pt>
                <c:pt idx="513">
                  <c:v>-80.795890000000085</c:v>
                </c:pt>
                <c:pt idx="514">
                  <c:v>-79.472890000000092</c:v>
                </c:pt>
                <c:pt idx="515">
                  <c:v>-78.193990000000099</c:v>
                </c:pt>
                <c:pt idx="516">
                  <c:v>-79.663990000000098</c:v>
                </c:pt>
                <c:pt idx="517">
                  <c:v>-81.133990000000097</c:v>
                </c:pt>
                <c:pt idx="518">
                  <c:v>-79.884490000000099</c:v>
                </c:pt>
                <c:pt idx="519">
                  <c:v>-78.561490000000106</c:v>
                </c:pt>
                <c:pt idx="520">
                  <c:v>-80.031490000000105</c:v>
                </c:pt>
                <c:pt idx="521">
                  <c:v>-81.501490000000103</c:v>
                </c:pt>
                <c:pt idx="522">
                  <c:v>-82.971490000000102</c:v>
                </c:pt>
                <c:pt idx="523">
                  <c:v>-80.384290000000107</c:v>
                </c:pt>
                <c:pt idx="524">
                  <c:v>-78.767290000000102</c:v>
                </c:pt>
                <c:pt idx="525">
                  <c:v>-77.370790000000099</c:v>
                </c:pt>
                <c:pt idx="526">
                  <c:v>-75.117280000000093</c:v>
                </c:pt>
                <c:pt idx="527">
                  <c:v>-73.7942800000001</c:v>
                </c:pt>
                <c:pt idx="528">
                  <c:v>-72.471280000000107</c:v>
                </c:pt>
                <c:pt idx="529">
                  <c:v>-73.941280000000106</c:v>
                </c:pt>
                <c:pt idx="530">
                  <c:v>-72.618280000000112</c:v>
                </c:pt>
                <c:pt idx="531">
                  <c:v>-74.088280000000111</c:v>
                </c:pt>
                <c:pt idx="532">
                  <c:v>-75.55828000000011</c:v>
                </c:pt>
                <c:pt idx="533">
                  <c:v>-74.235280000000117</c:v>
                </c:pt>
                <c:pt idx="534">
                  <c:v>-72.912280000000123</c:v>
                </c:pt>
                <c:pt idx="535">
                  <c:v>-71.58928000000013</c:v>
                </c:pt>
                <c:pt idx="536">
                  <c:v>-70.266280000000137</c:v>
                </c:pt>
                <c:pt idx="537">
                  <c:v>-68.943280000000144</c:v>
                </c:pt>
                <c:pt idx="538">
                  <c:v>-65.154280000000142</c:v>
                </c:pt>
                <c:pt idx="539">
                  <c:v>-61.449480000000143</c:v>
                </c:pt>
                <c:pt idx="540">
                  <c:v>-57.786780000000142</c:v>
                </c:pt>
                <c:pt idx="541">
                  <c:v>-53.829380000000143</c:v>
                </c:pt>
                <c:pt idx="542">
                  <c:v>-58.039380000000143</c:v>
                </c:pt>
                <c:pt idx="543">
                  <c:v>-54.081980000000144</c:v>
                </c:pt>
                <c:pt idx="544">
                  <c:v>-58.291980000000144</c:v>
                </c:pt>
                <c:pt idx="545">
                  <c:v>-54.334580000000145</c:v>
                </c:pt>
                <c:pt idx="546">
                  <c:v>-50.377180000000145</c:v>
                </c:pt>
                <c:pt idx="547">
                  <c:v>-54.587180000000146</c:v>
                </c:pt>
                <c:pt idx="548">
                  <c:v>-50.629780000000146</c:v>
                </c:pt>
                <c:pt idx="549">
                  <c:v>-54.839780000000147</c:v>
                </c:pt>
                <c:pt idx="550">
                  <c:v>-52.760480000000143</c:v>
                </c:pt>
                <c:pt idx="551">
                  <c:v>-50.131480000000145</c:v>
                </c:pt>
                <c:pt idx="552">
                  <c:v>-52.521480000000146</c:v>
                </c:pt>
                <c:pt idx="553">
                  <c:v>-54.911480000000147</c:v>
                </c:pt>
                <c:pt idx="554">
                  <c:v>-57.301480000000147</c:v>
                </c:pt>
                <c:pt idx="555">
                  <c:v>-55.241300000000145</c:v>
                </c:pt>
                <c:pt idx="556">
                  <c:v>-52.934950000000143</c:v>
                </c:pt>
                <c:pt idx="557">
                  <c:v>-50.305950000000145</c:v>
                </c:pt>
                <c:pt idx="558">
                  <c:v>-47.999600000000143</c:v>
                </c:pt>
                <c:pt idx="559">
                  <c:v>-50.389600000000144</c:v>
                </c:pt>
                <c:pt idx="560">
                  <c:v>-48.083250000000142</c:v>
                </c:pt>
                <c:pt idx="561">
                  <c:v>-50.473250000000142</c:v>
                </c:pt>
                <c:pt idx="562">
                  <c:v>-48.250550000000139</c:v>
                </c:pt>
                <c:pt idx="563">
                  <c:v>-46.051750000000141</c:v>
                </c:pt>
                <c:pt idx="564">
                  <c:v>-46.051750000000141</c:v>
                </c:pt>
                <c:pt idx="565">
                  <c:v>-48.441750000000141</c:v>
                </c:pt>
                <c:pt idx="566">
                  <c:v>-50.831750000000142</c:v>
                </c:pt>
                <c:pt idx="567">
                  <c:v>-53.241750000000138</c:v>
                </c:pt>
                <c:pt idx="568">
                  <c:v>-51.072750000000141</c:v>
                </c:pt>
                <c:pt idx="569">
                  <c:v>-53.482750000000138</c:v>
                </c:pt>
                <c:pt idx="570">
                  <c:v>-51.289650000000137</c:v>
                </c:pt>
                <c:pt idx="571">
                  <c:v>-53.699650000000133</c:v>
                </c:pt>
                <c:pt idx="572">
                  <c:v>-56.10965000000013</c:v>
                </c:pt>
                <c:pt idx="573">
                  <c:v>-53.72375000000013</c:v>
                </c:pt>
                <c:pt idx="574">
                  <c:v>-56.133750000000134</c:v>
                </c:pt>
                <c:pt idx="575">
                  <c:v>-58.543750000000131</c:v>
                </c:pt>
                <c:pt idx="576">
                  <c:v>-56.278350000000131</c:v>
                </c:pt>
                <c:pt idx="577">
                  <c:v>-58.688350000000128</c:v>
                </c:pt>
                <c:pt idx="578">
                  <c:v>-61.098350000000124</c:v>
                </c:pt>
                <c:pt idx="579">
                  <c:v>-57.903350000000124</c:v>
                </c:pt>
                <c:pt idx="580">
                  <c:v>-61.453350000000121</c:v>
                </c:pt>
                <c:pt idx="581">
                  <c:v>-65.003350000000125</c:v>
                </c:pt>
                <c:pt idx="582">
                  <c:v>-68.553350000000123</c:v>
                </c:pt>
                <c:pt idx="583">
                  <c:v>-56.873850000000118</c:v>
                </c:pt>
                <c:pt idx="584">
                  <c:v>-60.423850000000115</c:v>
                </c:pt>
                <c:pt idx="585">
                  <c:v>-56.944850000000116</c:v>
                </c:pt>
                <c:pt idx="586">
                  <c:v>-53.394850000000119</c:v>
                </c:pt>
                <c:pt idx="587">
                  <c:v>-49.91585000000012</c:v>
                </c:pt>
                <c:pt idx="588">
                  <c:v>-46.436850000000121</c:v>
                </c:pt>
                <c:pt idx="589">
                  <c:v>-49.986850000000118</c:v>
                </c:pt>
                <c:pt idx="590">
                  <c:v>-53.536850000000115</c:v>
                </c:pt>
                <c:pt idx="591">
                  <c:v>-57.086850000000112</c:v>
                </c:pt>
                <c:pt idx="592">
                  <c:v>-60.636850000000109</c:v>
                </c:pt>
                <c:pt idx="593">
                  <c:v>-58.890850000000107</c:v>
                </c:pt>
                <c:pt idx="594">
                  <c:v>-57.144850000000105</c:v>
                </c:pt>
                <c:pt idx="595">
                  <c:v>-55.398850000000103</c:v>
                </c:pt>
                <c:pt idx="596">
                  <c:v>-57.3388500000001</c:v>
                </c:pt>
                <c:pt idx="597">
                  <c:v>-55.573450000000101</c:v>
                </c:pt>
                <c:pt idx="598">
                  <c:v>-57.513450000000098</c:v>
                </c:pt>
                <c:pt idx="599">
                  <c:v>-55.641350000000095</c:v>
                </c:pt>
                <c:pt idx="600">
                  <c:v>-57.581350000000093</c:v>
                </c:pt>
                <c:pt idx="601">
                  <c:v>-55.44347000000009</c:v>
                </c:pt>
                <c:pt idx="602">
                  <c:v>-53.619870000000091</c:v>
                </c:pt>
                <c:pt idx="603">
                  <c:v>-50.818510000000089</c:v>
                </c:pt>
                <c:pt idx="604">
                  <c:v>-52.758510000000086</c:v>
                </c:pt>
                <c:pt idx="605">
                  <c:v>-50.886410000000083</c:v>
                </c:pt>
                <c:pt idx="606">
                  <c:v>-49.024010000000082</c:v>
                </c:pt>
                <c:pt idx="607">
                  <c:v>-50.96401000000008</c:v>
                </c:pt>
                <c:pt idx="608">
                  <c:v>-49.062810000000077</c:v>
                </c:pt>
                <c:pt idx="609">
                  <c:v>-47.161610000000074</c:v>
                </c:pt>
                <c:pt idx="610">
                  <c:v>-45.308910000000076</c:v>
                </c:pt>
                <c:pt idx="611">
                  <c:v>-40.614110000000075</c:v>
                </c:pt>
                <c:pt idx="612">
                  <c:v>-42.554110000000072</c:v>
                </c:pt>
                <c:pt idx="613">
                  <c:v>-40.65291000000007</c:v>
                </c:pt>
                <c:pt idx="614">
                  <c:v>-35.497800000000069</c:v>
                </c:pt>
                <c:pt idx="615">
                  <c:v>-30.72150000000007</c:v>
                </c:pt>
                <c:pt idx="616">
                  <c:v>-36.211500000000072</c:v>
                </c:pt>
                <c:pt idx="617">
                  <c:v>-30.94110000000007</c:v>
                </c:pt>
                <c:pt idx="618">
                  <c:v>-36.431100000000072</c:v>
                </c:pt>
                <c:pt idx="619">
                  <c:v>-41.921100000000074</c:v>
                </c:pt>
                <c:pt idx="620">
                  <c:v>-32.126940000000076</c:v>
                </c:pt>
                <c:pt idx="621">
                  <c:v>-26.774190000000075</c:v>
                </c:pt>
                <c:pt idx="622">
                  <c:v>-21.393990000000073</c:v>
                </c:pt>
                <c:pt idx="623">
                  <c:v>-19.134990000000073</c:v>
                </c:pt>
                <c:pt idx="624">
                  <c:v>-21.644990000000071</c:v>
                </c:pt>
                <c:pt idx="625">
                  <c:v>-19.486390000000071</c:v>
                </c:pt>
                <c:pt idx="626">
                  <c:v>-21.996390000000069</c:v>
                </c:pt>
                <c:pt idx="627">
                  <c:v>-24.506390000000067</c:v>
                </c:pt>
                <c:pt idx="628">
                  <c:v>-19.812690000000067</c:v>
                </c:pt>
                <c:pt idx="629">
                  <c:v>-17.352890000000066</c:v>
                </c:pt>
                <c:pt idx="630">
                  <c:v>-19.862890000000064</c:v>
                </c:pt>
                <c:pt idx="631">
                  <c:v>-17.403090000000063</c:v>
                </c:pt>
                <c:pt idx="632">
                  <c:v>-14.943290000000063</c:v>
                </c:pt>
                <c:pt idx="633">
                  <c:v>-12.483490000000064</c:v>
                </c:pt>
                <c:pt idx="634">
                  <c:v>-10.124090000000063</c:v>
                </c:pt>
                <c:pt idx="635">
                  <c:v>-7.7646900000000629</c:v>
                </c:pt>
                <c:pt idx="636">
                  <c:v>-10.274690000000064</c:v>
                </c:pt>
                <c:pt idx="637">
                  <c:v>-12.784690000000063</c:v>
                </c:pt>
                <c:pt idx="638">
                  <c:v>-2.7086900000000629</c:v>
                </c:pt>
                <c:pt idx="639">
                  <c:v>1.413309999999937</c:v>
                </c:pt>
                <c:pt idx="640">
                  <c:v>-3.1666900000000631</c:v>
                </c:pt>
                <c:pt idx="641">
                  <c:v>-7.7466900000000631</c:v>
                </c:pt>
                <c:pt idx="642">
                  <c:v>-12.326690000000063</c:v>
                </c:pt>
                <c:pt idx="643">
                  <c:v>-16.906690000000062</c:v>
                </c:pt>
                <c:pt idx="644">
                  <c:v>-14.831890000000062</c:v>
                </c:pt>
                <c:pt idx="645">
                  <c:v>-17.111890000000063</c:v>
                </c:pt>
                <c:pt idx="646">
                  <c:v>-19.391890000000064</c:v>
                </c:pt>
                <c:pt idx="647">
                  <c:v>-21.671890000000065</c:v>
                </c:pt>
                <c:pt idx="648">
                  <c:v>-23.951890000000066</c:v>
                </c:pt>
                <c:pt idx="649">
                  <c:v>-23.951890000000066</c:v>
                </c:pt>
                <c:pt idx="650">
                  <c:v>-21.899890000000067</c:v>
                </c:pt>
                <c:pt idx="651">
                  <c:v>-24.179890000000068</c:v>
                </c:pt>
                <c:pt idx="652">
                  <c:v>-21.945490000000067</c:v>
                </c:pt>
                <c:pt idx="653">
                  <c:v>-24.225490000000068</c:v>
                </c:pt>
                <c:pt idx="654">
                  <c:v>-21.945490000000067</c:v>
                </c:pt>
                <c:pt idx="655">
                  <c:v>-24.225490000000068</c:v>
                </c:pt>
                <c:pt idx="656">
                  <c:v>-26.505490000000069</c:v>
                </c:pt>
                <c:pt idx="657">
                  <c:v>-28.78549000000007</c:v>
                </c:pt>
                <c:pt idx="658">
                  <c:v>-31.065490000000072</c:v>
                </c:pt>
                <c:pt idx="659">
                  <c:v>-33.345490000000069</c:v>
                </c:pt>
                <c:pt idx="660">
                  <c:v>-35.62549000000007</c:v>
                </c:pt>
                <c:pt idx="661">
                  <c:v>-37.905490000000071</c:v>
                </c:pt>
                <c:pt idx="662">
                  <c:v>-35.338690000000071</c:v>
                </c:pt>
                <c:pt idx="663">
                  <c:v>-32.854690000000069</c:v>
                </c:pt>
                <c:pt idx="664">
                  <c:v>-30.315490000000068</c:v>
                </c:pt>
                <c:pt idx="665">
                  <c:v>-33.075490000000066</c:v>
                </c:pt>
                <c:pt idx="666">
                  <c:v>-35.835490000000064</c:v>
                </c:pt>
                <c:pt idx="667">
                  <c:v>-35.835490000000064</c:v>
                </c:pt>
                <c:pt idx="668">
                  <c:v>-38.595490000000062</c:v>
                </c:pt>
                <c:pt idx="669">
                  <c:v>-41.35549000000006</c:v>
                </c:pt>
                <c:pt idx="670">
                  <c:v>-44.115490000000058</c:v>
                </c:pt>
                <c:pt idx="671">
                  <c:v>-41.35549000000006</c:v>
                </c:pt>
                <c:pt idx="672">
                  <c:v>-38.692090000000057</c:v>
                </c:pt>
                <c:pt idx="673">
                  <c:v>-35.959690000000059</c:v>
                </c:pt>
                <c:pt idx="674">
                  <c:v>-38.719690000000057</c:v>
                </c:pt>
                <c:pt idx="675">
                  <c:v>-41.479690000000055</c:v>
                </c:pt>
                <c:pt idx="676">
                  <c:v>-44.219690000000057</c:v>
                </c:pt>
                <c:pt idx="677">
                  <c:v>-41.479690000000055</c:v>
                </c:pt>
                <c:pt idx="678">
                  <c:v>-39.013690000000054</c:v>
                </c:pt>
                <c:pt idx="679">
                  <c:v>-41.753690000000056</c:v>
                </c:pt>
                <c:pt idx="680">
                  <c:v>-38.739690000000053</c:v>
                </c:pt>
                <c:pt idx="681">
                  <c:v>-41.479690000000055</c:v>
                </c:pt>
                <c:pt idx="682">
                  <c:v>-38.767090000000053</c:v>
                </c:pt>
                <c:pt idx="683">
                  <c:v>-41.507090000000055</c:v>
                </c:pt>
                <c:pt idx="684">
                  <c:v>-44.247090000000057</c:v>
                </c:pt>
                <c:pt idx="685">
                  <c:v>-46.987090000000059</c:v>
                </c:pt>
                <c:pt idx="686">
                  <c:v>-44.274490000000057</c:v>
                </c:pt>
                <c:pt idx="687">
                  <c:v>-41.589290000000055</c:v>
                </c:pt>
                <c:pt idx="688">
                  <c:v>-38.931490000000053</c:v>
                </c:pt>
                <c:pt idx="689">
                  <c:v>-41.671490000000055</c:v>
                </c:pt>
                <c:pt idx="690">
                  <c:v>-44.411490000000057</c:v>
                </c:pt>
                <c:pt idx="691">
                  <c:v>-47.151490000000059</c:v>
                </c:pt>
                <c:pt idx="692">
                  <c:v>-44.685490000000058</c:v>
                </c:pt>
                <c:pt idx="693">
                  <c:v>-41.315290000000061</c:v>
                </c:pt>
                <c:pt idx="694">
                  <c:v>-44.055290000000063</c:v>
                </c:pt>
                <c:pt idx="695">
                  <c:v>-46.795290000000065</c:v>
                </c:pt>
                <c:pt idx="696">
                  <c:v>-49.535290000000067</c:v>
                </c:pt>
                <c:pt idx="697">
                  <c:v>-52.275290000000069</c:v>
                </c:pt>
                <c:pt idx="698">
                  <c:v>-49.590090000000068</c:v>
                </c:pt>
                <c:pt idx="699">
                  <c:v>-52.330090000000069</c:v>
                </c:pt>
                <c:pt idx="700">
                  <c:v>-55.930090000000071</c:v>
                </c:pt>
                <c:pt idx="701">
                  <c:v>-47.074090000000069</c:v>
                </c:pt>
                <c:pt idx="702">
                  <c:v>-40.468090000000068</c:v>
                </c:pt>
                <c:pt idx="703">
                  <c:v>-44.068090000000069</c:v>
                </c:pt>
                <c:pt idx="704">
                  <c:v>-47.66809000000007</c:v>
                </c:pt>
                <c:pt idx="705">
                  <c:v>-51.268090000000072</c:v>
                </c:pt>
                <c:pt idx="706">
                  <c:v>-54.868090000000073</c:v>
                </c:pt>
                <c:pt idx="707">
                  <c:v>-56.658090000000072</c:v>
                </c:pt>
                <c:pt idx="708">
                  <c:v>-58.448090000000072</c:v>
                </c:pt>
                <c:pt idx="709">
                  <c:v>-56.658090000000072</c:v>
                </c:pt>
                <c:pt idx="710">
                  <c:v>-58.448090000000072</c:v>
                </c:pt>
                <c:pt idx="711">
                  <c:v>-54.107340000000072</c:v>
                </c:pt>
                <c:pt idx="712">
                  <c:v>-55.897340000000071</c:v>
                </c:pt>
                <c:pt idx="713">
                  <c:v>-57.68734000000007</c:v>
                </c:pt>
                <c:pt idx="714">
                  <c:v>-55.718340000000069</c:v>
                </c:pt>
                <c:pt idx="715">
                  <c:v>-53.946240000000067</c:v>
                </c:pt>
                <c:pt idx="716">
                  <c:v>-55.736240000000066</c:v>
                </c:pt>
                <c:pt idx="717">
                  <c:v>-57.526240000000065</c:v>
                </c:pt>
                <c:pt idx="718">
                  <c:v>-56.819190000000063</c:v>
                </c:pt>
                <c:pt idx="719">
                  <c:v>-62.179190000000062</c:v>
                </c:pt>
                <c:pt idx="720">
                  <c:v>-67.539190000000062</c:v>
                </c:pt>
                <c:pt idx="721">
                  <c:v>-59.123990000000063</c:v>
                </c:pt>
                <c:pt idx="722">
                  <c:v>-50.226390000000066</c:v>
                </c:pt>
                <c:pt idx="723">
                  <c:v>-47.511720000000068</c:v>
                </c:pt>
                <c:pt idx="724">
                  <c:v>-45.311340000000072</c:v>
                </c:pt>
                <c:pt idx="725">
                  <c:v>-42.763760000000076</c:v>
                </c:pt>
                <c:pt idx="726">
                  <c:v>-44.933760000000078</c:v>
                </c:pt>
                <c:pt idx="727">
                  <c:v>-47.103760000000079</c:v>
                </c:pt>
                <c:pt idx="728">
                  <c:v>-49.273760000000081</c:v>
                </c:pt>
                <c:pt idx="729">
                  <c:v>-51.443760000000083</c:v>
                </c:pt>
                <c:pt idx="730">
                  <c:v>-53.613760000000084</c:v>
                </c:pt>
                <c:pt idx="731">
                  <c:v>-55.783760000000086</c:v>
                </c:pt>
                <c:pt idx="732">
                  <c:v>-57.953760000000088</c:v>
                </c:pt>
                <c:pt idx="733">
                  <c:v>-60.12376000000009</c:v>
                </c:pt>
                <c:pt idx="734">
                  <c:v>-57.975460000000091</c:v>
                </c:pt>
                <c:pt idx="735">
                  <c:v>-54.048460000000091</c:v>
                </c:pt>
                <c:pt idx="736">
                  <c:v>-57.618460000000091</c:v>
                </c:pt>
                <c:pt idx="737">
                  <c:v>-61.188460000000092</c:v>
                </c:pt>
                <c:pt idx="738">
                  <c:v>-64.758460000000085</c:v>
                </c:pt>
                <c:pt idx="739">
                  <c:v>-68.328460000000078</c:v>
                </c:pt>
                <c:pt idx="740">
                  <c:v>-71.898460000000071</c:v>
                </c:pt>
                <c:pt idx="741">
                  <c:v>-75.468460000000064</c:v>
                </c:pt>
                <c:pt idx="742">
                  <c:v>-79.038460000000057</c:v>
                </c:pt>
                <c:pt idx="743">
                  <c:v>-76.989160000000055</c:v>
                </c:pt>
                <c:pt idx="744">
                  <c:v>-79.059160000000048</c:v>
                </c:pt>
                <c:pt idx="745">
                  <c:v>-76.958110000000048</c:v>
                </c:pt>
                <c:pt idx="746">
                  <c:v>-72.973360000000042</c:v>
                </c:pt>
                <c:pt idx="747">
                  <c:v>-75.043360000000035</c:v>
                </c:pt>
                <c:pt idx="748">
                  <c:v>-77.113360000000029</c:v>
                </c:pt>
                <c:pt idx="749">
                  <c:v>-79.183360000000022</c:v>
                </c:pt>
                <c:pt idx="750">
                  <c:v>-76.130110000000016</c:v>
                </c:pt>
                <c:pt idx="751">
                  <c:v>-78.200110000000009</c:v>
                </c:pt>
                <c:pt idx="752">
                  <c:v>-75.964510000000004</c:v>
                </c:pt>
                <c:pt idx="753">
                  <c:v>-78.034509999999997</c:v>
                </c:pt>
                <c:pt idx="754">
                  <c:v>-68.71951</c:v>
                </c:pt>
                <c:pt idx="755">
                  <c:v>-64.700559999999996</c:v>
                </c:pt>
                <c:pt idx="756">
                  <c:v>-61.260759999999998</c:v>
                </c:pt>
                <c:pt idx="757">
                  <c:v>-45.465759999999996</c:v>
                </c:pt>
                <c:pt idx="758">
                  <c:v>-38.375559999999993</c:v>
                </c:pt>
                <c:pt idx="759">
                  <c:v>-41.885559999999991</c:v>
                </c:pt>
                <c:pt idx="760">
                  <c:v>-31.49595999999999</c:v>
                </c:pt>
                <c:pt idx="761">
                  <c:v>-35.005959999999988</c:v>
                </c:pt>
                <c:pt idx="762">
                  <c:v>-38.175959999999989</c:v>
                </c:pt>
                <c:pt idx="763">
                  <c:v>-34.276859999999992</c:v>
                </c:pt>
                <c:pt idx="764">
                  <c:v>-31.392159999999993</c:v>
                </c:pt>
                <c:pt idx="765">
                  <c:v>-34.562159999999992</c:v>
                </c:pt>
                <c:pt idx="766">
                  <c:v>-31.740859999999991</c:v>
                </c:pt>
                <c:pt idx="767">
                  <c:v>-34.910859999999992</c:v>
                </c:pt>
                <c:pt idx="768">
                  <c:v>-38.080859999999994</c:v>
                </c:pt>
                <c:pt idx="769">
                  <c:v>-41.250859999999996</c:v>
                </c:pt>
                <c:pt idx="770">
                  <c:v>-37.827259999999995</c:v>
                </c:pt>
                <c:pt idx="771">
                  <c:v>-34.752359999999996</c:v>
                </c:pt>
                <c:pt idx="772">
                  <c:v>-22.642959999999995</c:v>
                </c:pt>
                <c:pt idx="773">
                  <c:v>-25.152959999999993</c:v>
                </c:pt>
                <c:pt idx="774">
                  <c:v>-22.843759999999993</c:v>
                </c:pt>
                <c:pt idx="775">
                  <c:v>-25.353759999999994</c:v>
                </c:pt>
                <c:pt idx="776">
                  <c:v>-27.863759999999992</c:v>
                </c:pt>
                <c:pt idx="777">
                  <c:v>-25.629859999999994</c:v>
                </c:pt>
                <c:pt idx="778">
                  <c:v>-23.395959999999995</c:v>
                </c:pt>
                <c:pt idx="779">
                  <c:v>-25.905959999999993</c:v>
                </c:pt>
                <c:pt idx="780">
                  <c:v>-28.415959999999991</c:v>
                </c:pt>
                <c:pt idx="781">
                  <c:v>-30.925959999999989</c:v>
                </c:pt>
                <c:pt idx="782">
                  <c:v>-33.435959999999987</c:v>
                </c:pt>
                <c:pt idx="783">
                  <c:v>-30.105959999999989</c:v>
                </c:pt>
                <c:pt idx="784">
                  <c:v>-33.805959999999992</c:v>
                </c:pt>
                <c:pt idx="785">
                  <c:v>-30.475959999999993</c:v>
                </c:pt>
                <c:pt idx="786">
                  <c:v>-34.175959999999996</c:v>
                </c:pt>
                <c:pt idx="787">
                  <c:v>-37.875959999999999</c:v>
                </c:pt>
                <c:pt idx="788">
                  <c:v>-41.555959999999999</c:v>
                </c:pt>
                <c:pt idx="789">
                  <c:v>-38.243960000000001</c:v>
                </c:pt>
                <c:pt idx="790">
                  <c:v>-33.743960000000001</c:v>
                </c:pt>
                <c:pt idx="791">
                  <c:v>-30.12284</c:v>
                </c:pt>
                <c:pt idx="792">
                  <c:v>-27.965240000000001</c:v>
                </c:pt>
                <c:pt idx="793">
                  <c:v>-25.636520000000001</c:v>
                </c:pt>
                <c:pt idx="794">
                  <c:v>-23.404520000000002</c:v>
                </c:pt>
                <c:pt idx="795">
                  <c:v>-25.884520000000002</c:v>
                </c:pt>
                <c:pt idx="796">
                  <c:v>-23.652520000000003</c:v>
                </c:pt>
                <c:pt idx="797">
                  <c:v>-20.775720000000003</c:v>
                </c:pt>
                <c:pt idx="798">
                  <c:v>-23.255720000000004</c:v>
                </c:pt>
                <c:pt idx="799">
                  <c:v>-25.735720000000004</c:v>
                </c:pt>
                <c:pt idx="800">
                  <c:v>-24.704040000000006</c:v>
                </c:pt>
                <c:pt idx="801">
                  <c:v>-21.806040000000007</c:v>
                </c:pt>
                <c:pt idx="802">
                  <c:v>-25.026040000000005</c:v>
                </c:pt>
                <c:pt idx="803">
                  <c:v>-9.8920400000000033</c:v>
                </c:pt>
                <c:pt idx="804">
                  <c:v>-13.112040000000004</c:v>
                </c:pt>
                <c:pt idx="805">
                  <c:v>-16.332040000000003</c:v>
                </c:pt>
                <c:pt idx="806">
                  <c:v>-13.463240000000003</c:v>
                </c:pt>
                <c:pt idx="807">
                  <c:v>-16.723240000000004</c:v>
                </c:pt>
                <c:pt idx="808">
                  <c:v>-13.789240000000005</c:v>
                </c:pt>
                <c:pt idx="809">
                  <c:v>-17.049240000000005</c:v>
                </c:pt>
                <c:pt idx="810">
                  <c:v>-20.309240000000003</c:v>
                </c:pt>
                <c:pt idx="811">
                  <c:v>-17.847140000000003</c:v>
                </c:pt>
                <c:pt idx="812">
                  <c:v>-20.677140000000001</c:v>
                </c:pt>
                <c:pt idx="813">
                  <c:v>-18.24334</c:v>
                </c:pt>
                <c:pt idx="814">
                  <c:v>-15.78124</c:v>
                </c:pt>
                <c:pt idx="815">
                  <c:v>-10.370280000000001</c:v>
                </c:pt>
                <c:pt idx="816">
                  <c:v>-7.4553800000000017</c:v>
                </c:pt>
                <c:pt idx="817">
                  <c:v>-10.285380000000002</c:v>
                </c:pt>
                <c:pt idx="818">
                  <c:v>-5.1347800000000019</c:v>
                </c:pt>
                <c:pt idx="819">
                  <c:v>-7.964780000000002</c:v>
                </c:pt>
                <c:pt idx="820">
                  <c:v>-10.844780000000002</c:v>
                </c:pt>
                <c:pt idx="821">
                  <c:v>-13.724780000000003</c:v>
                </c:pt>
                <c:pt idx="822">
                  <c:v>-16.604780000000002</c:v>
                </c:pt>
                <c:pt idx="823">
                  <c:v>-14.070380000000002</c:v>
                </c:pt>
                <c:pt idx="824">
                  <c:v>-9.6927800000000026</c:v>
                </c:pt>
                <c:pt idx="825">
                  <c:v>-5.8623800000000026</c:v>
                </c:pt>
                <c:pt idx="826">
                  <c:v>-8.7423800000000025</c:v>
                </c:pt>
                <c:pt idx="827">
                  <c:v>-5.7813800000000031</c:v>
                </c:pt>
                <c:pt idx="828">
                  <c:v>-2.9519800000000025</c:v>
                </c:pt>
                <c:pt idx="829">
                  <c:v>-0.18838000000000221</c:v>
                </c:pt>
                <c:pt idx="830">
                  <c:v>2.647599999999998</c:v>
                </c:pt>
                <c:pt idx="831">
                  <c:v>5.5098999999999982</c:v>
                </c:pt>
                <c:pt idx="832">
                  <c:v>2.2198999999999982</c:v>
                </c:pt>
                <c:pt idx="833">
                  <c:v>5.0821999999999985</c:v>
                </c:pt>
                <c:pt idx="834">
                  <c:v>7.898439999999999</c:v>
                </c:pt>
                <c:pt idx="835">
                  <c:v>10.859439999999999</c:v>
                </c:pt>
                <c:pt idx="836">
                  <c:v>13.820439999999998</c:v>
                </c:pt>
                <c:pt idx="837">
                  <c:v>10.530439999999999</c:v>
                </c:pt>
                <c:pt idx="838">
                  <c:v>7.2404399999999987</c:v>
                </c:pt>
                <c:pt idx="839">
                  <c:v>3.9504399999999986</c:v>
                </c:pt>
                <c:pt idx="840">
                  <c:v>0.66043999999999858</c:v>
                </c:pt>
                <c:pt idx="841">
                  <c:v>-2.2595600000000013</c:v>
                </c:pt>
                <c:pt idx="842">
                  <c:v>0.70143999999999807</c:v>
                </c:pt>
                <c:pt idx="843">
                  <c:v>3.3294399999999982</c:v>
                </c:pt>
                <c:pt idx="844">
                  <c:v>5.9574399999999983</c:v>
                </c:pt>
                <c:pt idx="845">
                  <c:v>8.4978399999999983</c:v>
                </c:pt>
                <c:pt idx="846">
                  <c:v>10.973999999999998</c:v>
                </c:pt>
                <c:pt idx="847">
                  <c:v>13.601999999999999</c:v>
                </c:pt>
                <c:pt idx="848">
                  <c:v>16.101520000000001</c:v>
                </c:pt>
                <c:pt idx="849">
                  <c:v>12.70152</c:v>
                </c:pt>
                <c:pt idx="850">
                  <c:v>9.30152</c:v>
                </c:pt>
                <c:pt idx="851">
                  <c:v>12.07592</c:v>
                </c:pt>
                <c:pt idx="852">
                  <c:v>15.13592</c:v>
                </c:pt>
                <c:pt idx="853">
                  <c:v>17.910320000000002</c:v>
                </c:pt>
                <c:pt idx="854">
                  <c:v>14.510320000000002</c:v>
                </c:pt>
                <c:pt idx="855">
                  <c:v>17.349320000000002</c:v>
                </c:pt>
                <c:pt idx="856">
                  <c:v>13.949320000000002</c:v>
                </c:pt>
                <c:pt idx="857">
                  <c:v>16.832520000000002</c:v>
                </c:pt>
                <c:pt idx="858">
                  <c:v>13.432520000000002</c:v>
                </c:pt>
                <c:pt idx="859">
                  <c:v>10.032520000000002</c:v>
                </c:pt>
                <c:pt idx="860">
                  <c:v>13.225120000000002</c:v>
                </c:pt>
                <c:pt idx="861">
                  <c:v>16.319120000000002</c:v>
                </c:pt>
                <c:pt idx="862">
                  <c:v>19.37912</c:v>
                </c:pt>
                <c:pt idx="863">
                  <c:v>22.18412</c:v>
                </c:pt>
                <c:pt idx="864">
                  <c:v>25.244119999999999</c:v>
                </c:pt>
                <c:pt idx="865">
                  <c:v>28.57612</c:v>
                </c:pt>
                <c:pt idx="866">
                  <c:v>31.46612</c:v>
                </c:pt>
                <c:pt idx="867">
                  <c:v>34.271120000000003</c:v>
                </c:pt>
                <c:pt idx="868">
                  <c:v>30.871120000000005</c:v>
                </c:pt>
                <c:pt idx="869">
                  <c:v>28.161120000000004</c:v>
                </c:pt>
                <c:pt idx="870">
                  <c:v>30.372480000000003</c:v>
                </c:pt>
                <c:pt idx="871">
                  <c:v>32.648880000000005</c:v>
                </c:pt>
                <c:pt idx="872">
                  <c:v>35.087880000000006</c:v>
                </c:pt>
                <c:pt idx="873">
                  <c:v>32.377880000000005</c:v>
                </c:pt>
                <c:pt idx="874">
                  <c:v>34.613630000000001</c:v>
                </c:pt>
                <c:pt idx="875">
                  <c:v>36.82499</c:v>
                </c:pt>
                <c:pt idx="876">
                  <c:v>39.08784</c:v>
                </c:pt>
                <c:pt idx="877">
                  <c:v>36.377839999999999</c:v>
                </c:pt>
                <c:pt idx="878">
                  <c:v>38.816839999999999</c:v>
                </c:pt>
                <c:pt idx="879">
                  <c:v>41.052589999999995</c:v>
                </c:pt>
                <c:pt idx="880">
                  <c:v>38.342589999999994</c:v>
                </c:pt>
                <c:pt idx="881">
                  <c:v>41.567489999999992</c:v>
                </c:pt>
                <c:pt idx="882">
                  <c:v>44.494289999999992</c:v>
                </c:pt>
                <c:pt idx="883">
                  <c:v>41.784289999999991</c:v>
                </c:pt>
                <c:pt idx="884">
                  <c:v>44.336629999999992</c:v>
                </c:pt>
                <c:pt idx="885">
                  <c:v>46.888969999999993</c:v>
                </c:pt>
                <c:pt idx="886">
                  <c:v>49.669969999999992</c:v>
                </c:pt>
                <c:pt idx="887">
                  <c:v>52.191409999999991</c:v>
                </c:pt>
                <c:pt idx="888">
                  <c:v>54.694309999999987</c:v>
                </c:pt>
                <c:pt idx="889">
                  <c:v>51.604309999999984</c:v>
                </c:pt>
                <c:pt idx="890">
                  <c:v>48.514309999999981</c:v>
                </c:pt>
                <c:pt idx="891">
                  <c:v>45.424309999999977</c:v>
                </c:pt>
                <c:pt idx="892">
                  <c:v>42.334309999999974</c:v>
                </c:pt>
                <c:pt idx="893">
                  <c:v>39.584309999999974</c:v>
                </c:pt>
                <c:pt idx="894">
                  <c:v>41.740309999999972</c:v>
                </c:pt>
                <c:pt idx="895">
                  <c:v>43.940309999999975</c:v>
                </c:pt>
                <c:pt idx="896">
                  <c:v>46.159559999999978</c:v>
                </c:pt>
                <c:pt idx="897">
                  <c:v>48.359559999999981</c:v>
                </c:pt>
                <c:pt idx="898">
                  <c:v>50.60355999999998</c:v>
                </c:pt>
                <c:pt idx="899">
                  <c:v>53.243559999999981</c:v>
                </c:pt>
                <c:pt idx="900">
                  <c:v>55.512309999999978</c:v>
                </c:pt>
                <c:pt idx="901">
                  <c:v>52.762309999999978</c:v>
                </c:pt>
                <c:pt idx="902">
                  <c:v>55.374809999999975</c:v>
                </c:pt>
                <c:pt idx="903">
                  <c:v>60.531059999999975</c:v>
                </c:pt>
                <c:pt idx="904">
                  <c:v>57.781059999999975</c:v>
                </c:pt>
                <c:pt idx="905">
                  <c:v>53.571059999999974</c:v>
                </c:pt>
                <c:pt idx="906">
                  <c:v>57.107459999999975</c:v>
                </c:pt>
                <c:pt idx="907">
                  <c:v>60.896459999999976</c:v>
                </c:pt>
                <c:pt idx="908">
                  <c:v>56.686459999999975</c:v>
                </c:pt>
                <c:pt idx="909">
                  <c:v>52.476459999999975</c:v>
                </c:pt>
                <c:pt idx="910">
                  <c:v>56.619099999999975</c:v>
                </c:pt>
                <c:pt idx="911">
                  <c:v>58.985379999999978</c:v>
                </c:pt>
                <c:pt idx="912">
                  <c:v>56.465379999999975</c:v>
                </c:pt>
                <c:pt idx="913">
                  <c:v>53.945379999999972</c:v>
                </c:pt>
                <c:pt idx="914">
                  <c:v>55.956339999999969</c:v>
                </c:pt>
                <c:pt idx="915">
                  <c:v>58.22433999999997</c:v>
                </c:pt>
                <c:pt idx="916">
                  <c:v>60.49233999999997</c:v>
                </c:pt>
                <c:pt idx="917">
                  <c:v>62.785539999999969</c:v>
                </c:pt>
                <c:pt idx="918">
                  <c:v>60.265539999999966</c:v>
                </c:pt>
                <c:pt idx="919">
                  <c:v>62.294139999999963</c:v>
                </c:pt>
                <c:pt idx="920">
                  <c:v>64.35045999999997</c:v>
                </c:pt>
                <c:pt idx="921">
                  <c:v>66.429459999999963</c:v>
                </c:pt>
                <c:pt idx="922">
                  <c:v>68.508459999999957</c:v>
                </c:pt>
                <c:pt idx="923">
                  <c:v>65.988459999999961</c:v>
                </c:pt>
                <c:pt idx="924">
                  <c:v>63.468459999999958</c:v>
                </c:pt>
                <c:pt idx="925">
                  <c:v>60.948459999999955</c:v>
                </c:pt>
                <c:pt idx="926">
                  <c:v>64.04805999999995</c:v>
                </c:pt>
                <c:pt idx="927">
                  <c:v>61.528059999999947</c:v>
                </c:pt>
                <c:pt idx="928">
                  <c:v>66.65250999999995</c:v>
                </c:pt>
                <c:pt idx="929">
                  <c:v>72.748509999999953</c:v>
                </c:pt>
                <c:pt idx="930">
                  <c:v>78.971509999999952</c:v>
                </c:pt>
                <c:pt idx="931">
                  <c:v>76.371509999999958</c:v>
                </c:pt>
                <c:pt idx="932">
                  <c:v>73.771509999999964</c:v>
                </c:pt>
                <c:pt idx="933">
                  <c:v>75.809909999999959</c:v>
                </c:pt>
                <c:pt idx="934">
                  <c:v>73.209909999999965</c:v>
                </c:pt>
                <c:pt idx="935">
                  <c:v>70.609909999999971</c:v>
                </c:pt>
                <c:pt idx="936">
                  <c:v>70.609909999999971</c:v>
                </c:pt>
                <c:pt idx="937">
                  <c:v>72.754909999999967</c:v>
                </c:pt>
                <c:pt idx="938">
                  <c:v>75.302909999999969</c:v>
                </c:pt>
                <c:pt idx="939">
                  <c:v>72.702909999999974</c:v>
                </c:pt>
                <c:pt idx="940">
                  <c:v>76.186909999999969</c:v>
                </c:pt>
                <c:pt idx="941">
                  <c:v>79.473309999999969</c:v>
                </c:pt>
                <c:pt idx="942">
                  <c:v>76.873309999999975</c:v>
                </c:pt>
                <c:pt idx="943">
                  <c:v>73.173309999999972</c:v>
                </c:pt>
                <c:pt idx="944">
                  <c:v>76.540309999999977</c:v>
                </c:pt>
                <c:pt idx="945">
                  <c:v>72.840309999999974</c:v>
                </c:pt>
                <c:pt idx="946">
                  <c:v>69.140309999999971</c:v>
                </c:pt>
                <c:pt idx="947">
                  <c:v>65.440309999999968</c:v>
                </c:pt>
                <c:pt idx="948">
                  <c:v>61.740309999999965</c:v>
                </c:pt>
                <c:pt idx="949">
                  <c:v>68.233809999999963</c:v>
                </c:pt>
                <c:pt idx="950">
                  <c:v>73.857809999999958</c:v>
                </c:pt>
                <c:pt idx="951">
                  <c:v>77.483809999999963</c:v>
                </c:pt>
                <c:pt idx="952">
                  <c:v>73.78380999999996</c:v>
                </c:pt>
                <c:pt idx="953">
                  <c:v>76.714009999999959</c:v>
                </c:pt>
                <c:pt idx="954">
                  <c:v>73.49400999999996</c:v>
                </c:pt>
                <c:pt idx="955">
                  <c:v>76.392009999999956</c:v>
                </c:pt>
                <c:pt idx="956">
                  <c:v>73.172009999999958</c:v>
                </c:pt>
                <c:pt idx="957">
                  <c:v>69.952009999999959</c:v>
                </c:pt>
                <c:pt idx="958">
                  <c:v>66.73200999999996</c:v>
                </c:pt>
                <c:pt idx="959">
                  <c:v>69.388509999999954</c:v>
                </c:pt>
                <c:pt idx="960">
                  <c:v>66.168509999999955</c:v>
                </c:pt>
                <c:pt idx="961">
                  <c:v>62.948509999999956</c:v>
                </c:pt>
                <c:pt idx="962">
                  <c:v>65.621109999999959</c:v>
                </c:pt>
                <c:pt idx="963">
                  <c:v>62.40110999999996</c:v>
                </c:pt>
                <c:pt idx="964">
                  <c:v>65.556709999999967</c:v>
                </c:pt>
                <c:pt idx="965">
                  <c:v>69.42420999999996</c:v>
                </c:pt>
                <c:pt idx="966">
                  <c:v>72.934709999999967</c:v>
                </c:pt>
                <c:pt idx="967">
                  <c:v>68.684709999999967</c:v>
                </c:pt>
                <c:pt idx="968">
                  <c:v>72.297209999999964</c:v>
                </c:pt>
                <c:pt idx="969">
                  <c:v>75.845959999999963</c:v>
                </c:pt>
                <c:pt idx="970">
                  <c:v>79.670959999999965</c:v>
                </c:pt>
                <c:pt idx="971">
                  <c:v>84.005959999999959</c:v>
                </c:pt>
                <c:pt idx="972">
                  <c:v>88.447209999999956</c:v>
                </c:pt>
                <c:pt idx="973">
                  <c:v>84.197209999999956</c:v>
                </c:pt>
                <c:pt idx="974">
                  <c:v>81.587209999999956</c:v>
                </c:pt>
                <c:pt idx="975">
                  <c:v>78.977209999999957</c:v>
                </c:pt>
                <c:pt idx="976">
                  <c:v>81.195709999999963</c:v>
                </c:pt>
                <c:pt idx="977">
                  <c:v>83.544709999999966</c:v>
                </c:pt>
                <c:pt idx="978">
                  <c:v>83.544709999999966</c:v>
                </c:pt>
                <c:pt idx="979">
                  <c:v>86.102509999999967</c:v>
                </c:pt>
                <c:pt idx="980">
                  <c:v>88.660309999999967</c:v>
                </c:pt>
                <c:pt idx="981">
                  <c:v>86.050309999999968</c:v>
                </c:pt>
                <c:pt idx="982">
                  <c:v>88.203559999999968</c:v>
                </c:pt>
                <c:pt idx="983">
                  <c:v>85.593559999999968</c:v>
                </c:pt>
                <c:pt idx="984">
                  <c:v>82.983559999999969</c:v>
                </c:pt>
                <c:pt idx="985">
                  <c:v>85.136809999999969</c:v>
                </c:pt>
                <c:pt idx="986">
                  <c:v>82.526809999999969</c:v>
                </c:pt>
                <c:pt idx="987">
                  <c:v>79.91680999999997</c:v>
                </c:pt>
                <c:pt idx="988">
                  <c:v>77.30680999999997</c:v>
                </c:pt>
                <c:pt idx="989">
                  <c:v>82.594489999999965</c:v>
                </c:pt>
                <c:pt idx="990">
                  <c:v>76.114489999999961</c:v>
                </c:pt>
                <c:pt idx="991">
                  <c:v>81.525289999999956</c:v>
                </c:pt>
                <c:pt idx="992">
                  <c:v>83.865289999999959</c:v>
                </c:pt>
                <c:pt idx="993">
                  <c:v>85.98688999999996</c:v>
                </c:pt>
                <c:pt idx="994">
                  <c:v>83.386889999999966</c:v>
                </c:pt>
                <c:pt idx="995">
                  <c:v>83.386889999999966</c:v>
                </c:pt>
                <c:pt idx="996">
                  <c:v>85.596889999999959</c:v>
                </c:pt>
                <c:pt idx="997">
                  <c:v>87.801689999999965</c:v>
                </c:pt>
                <c:pt idx="998">
                  <c:v>85.201689999999971</c:v>
                </c:pt>
                <c:pt idx="999">
                  <c:v>82.601689999999977</c:v>
                </c:pt>
                <c:pt idx="1000">
                  <c:v>84.806489999999982</c:v>
                </c:pt>
                <c:pt idx="1001">
                  <c:v>86.99048999999998</c:v>
                </c:pt>
                <c:pt idx="1002">
                  <c:v>89.382489999999976</c:v>
                </c:pt>
                <c:pt idx="1003">
                  <c:v>91.930489999999978</c:v>
                </c:pt>
                <c:pt idx="1004">
                  <c:v>95.75248999999998</c:v>
                </c:pt>
                <c:pt idx="1005">
                  <c:v>89.122489999999985</c:v>
                </c:pt>
                <c:pt idx="1006">
                  <c:v>82.492489999999989</c:v>
                </c:pt>
                <c:pt idx="1007">
                  <c:v>75.862489999999994</c:v>
                </c:pt>
                <c:pt idx="1008">
                  <c:v>69.232489999999999</c:v>
                </c:pt>
                <c:pt idx="1009">
                  <c:v>62.602489999999996</c:v>
                </c:pt>
                <c:pt idx="1010">
                  <c:v>64.131289999999993</c:v>
                </c:pt>
                <c:pt idx="1011">
                  <c:v>62.311289999999993</c:v>
                </c:pt>
                <c:pt idx="1012">
                  <c:v>63.949289999999991</c:v>
                </c:pt>
                <c:pt idx="1013">
                  <c:v>62.12928999999999</c:v>
                </c:pt>
                <c:pt idx="1014">
                  <c:v>63.785489999999989</c:v>
                </c:pt>
                <c:pt idx="1015">
                  <c:v>61.965489999999988</c:v>
                </c:pt>
                <c:pt idx="1016">
                  <c:v>63.603489999999987</c:v>
                </c:pt>
                <c:pt idx="1017">
                  <c:v>61.783489999999986</c:v>
                </c:pt>
                <c:pt idx="1018">
                  <c:v>63.421489999999984</c:v>
                </c:pt>
                <c:pt idx="1019">
                  <c:v>65.241489999999985</c:v>
                </c:pt>
                <c:pt idx="1020">
                  <c:v>63.421489999999984</c:v>
                </c:pt>
                <c:pt idx="1021">
                  <c:v>61.601489999999984</c:v>
                </c:pt>
                <c:pt idx="1022">
                  <c:v>63.385089999999984</c:v>
                </c:pt>
                <c:pt idx="1023">
                  <c:v>61.565089999999984</c:v>
                </c:pt>
                <c:pt idx="1024">
                  <c:v>59.745089999999983</c:v>
                </c:pt>
                <c:pt idx="1025">
                  <c:v>57.925089999999983</c:v>
                </c:pt>
                <c:pt idx="1026">
                  <c:v>56.105089999999983</c:v>
                </c:pt>
                <c:pt idx="1027">
                  <c:v>57.642989999999983</c:v>
                </c:pt>
                <c:pt idx="1028">
                  <c:v>55.822989999999983</c:v>
                </c:pt>
                <c:pt idx="1029">
                  <c:v>57.624789999999983</c:v>
                </c:pt>
                <c:pt idx="1030">
                  <c:v>59.335589999999982</c:v>
                </c:pt>
                <c:pt idx="1031">
                  <c:v>61.028189999999981</c:v>
                </c:pt>
                <c:pt idx="1032">
                  <c:v>59.208189999999981</c:v>
                </c:pt>
                <c:pt idx="1033">
                  <c:v>57.38818999999998</c:v>
                </c:pt>
                <c:pt idx="1034">
                  <c:v>48.968189999999979</c:v>
                </c:pt>
                <c:pt idx="1035">
                  <c:v>40.548189999999977</c:v>
                </c:pt>
                <c:pt idx="1036">
                  <c:v>32.128189999999975</c:v>
                </c:pt>
                <c:pt idx="1037">
                  <c:v>40.379789999999971</c:v>
                </c:pt>
                <c:pt idx="1038">
                  <c:v>31.95978999999997</c:v>
                </c:pt>
                <c:pt idx="1039">
                  <c:v>34.058189999999968</c:v>
                </c:pt>
                <c:pt idx="1040">
                  <c:v>36.180989999999966</c:v>
                </c:pt>
                <c:pt idx="1041">
                  <c:v>38.376989999999964</c:v>
                </c:pt>
                <c:pt idx="1042">
                  <c:v>40.572989999999962</c:v>
                </c:pt>
                <c:pt idx="1043">
                  <c:v>38.132989999999964</c:v>
                </c:pt>
                <c:pt idx="1044">
                  <c:v>40.328989999999962</c:v>
                </c:pt>
                <c:pt idx="1045">
                  <c:v>37.888989999999964</c:v>
                </c:pt>
                <c:pt idx="1046">
                  <c:v>35.448989999999966</c:v>
                </c:pt>
                <c:pt idx="1047">
                  <c:v>37.547389999999965</c:v>
                </c:pt>
                <c:pt idx="1048">
                  <c:v>39.609189999999963</c:v>
                </c:pt>
                <c:pt idx="1049">
                  <c:v>41.707589999999961</c:v>
                </c:pt>
                <c:pt idx="1050">
                  <c:v>43.903589999999959</c:v>
                </c:pt>
                <c:pt idx="1051">
                  <c:v>41.463589999999961</c:v>
                </c:pt>
                <c:pt idx="1052">
                  <c:v>39.023589999999963</c:v>
                </c:pt>
                <c:pt idx="1053">
                  <c:v>41.268389999999961</c:v>
                </c:pt>
                <c:pt idx="1054">
                  <c:v>38.828389999999963</c:v>
                </c:pt>
                <c:pt idx="1055">
                  <c:v>41.146389999999961</c:v>
                </c:pt>
                <c:pt idx="1056">
                  <c:v>43.976789999999959</c:v>
                </c:pt>
                <c:pt idx="1057">
                  <c:v>41.536789999999961</c:v>
                </c:pt>
                <c:pt idx="1058">
                  <c:v>39.096789999999963</c:v>
                </c:pt>
                <c:pt idx="1059">
                  <c:v>41.562789999999964</c:v>
                </c:pt>
                <c:pt idx="1060">
                  <c:v>38.822789999999962</c:v>
                </c:pt>
                <c:pt idx="1061">
                  <c:v>41.086029999999965</c:v>
                </c:pt>
                <c:pt idx="1062">
                  <c:v>43.321869999999969</c:v>
                </c:pt>
                <c:pt idx="1063">
                  <c:v>45.533049999999967</c:v>
                </c:pt>
                <c:pt idx="1064">
                  <c:v>42.793049999999965</c:v>
                </c:pt>
                <c:pt idx="1065">
                  <c:v>44.979569999999967</c:v>
                </c:pt>
                <c:pt idx="1066">
                  <c:v>47.445569999999968</c:v>
                </c:pt>
                <c:pt idx="1067">
                  <c:v>44.705569999999966</c:v>
                </c:pt>
                <c:pt idx="1068">
                  <c:v>47.029089999999968</c:v>
                </c:pt>
                <c:pt idx="1069">
                  <c:v>49.374529999999972</c:v>
                </c:pt>
                <c:pt idx="1070">
                  <c:v>51.840529999999973</c:v>
                </c:pt>
                <c:pt idx="1071">
                  <c:v>49.100529999999971</c:v>
                </c:pt>
                <c:pt idx="1072">
                  <c:v>51.730929999999972</c:v>
                </c:pt>
                <c:pt idx="1073">
                  <c:v>55.610769999999974</c:v>
                </c:pt>
                <c:pt idx="1074">
                  <c:v>51.410769999999971</c:v>
                </c:pt>
                <c:pt idx="1075">
                  <c:v>47.210769999999968</c:v>
                </c:pt>
                <c:pt idx="1076">
                  <c:v>43.010769999999965</c:v>
                </c:pt>
                <c:pt idx="1077">
                  <c:v>38.810769999999962</c:v>
                </c:pt>
                <c:pt idx="1078">
                  <c:v>34.61076999999996</c:v>
                </c:pt>
                <c:pt idx="1079">
                  <c:v>30.41076999999996</c:v>
                </c:pt>
                <c:pt idx="1080">
                  <c:v>26.210769999999961</c:v>
                </c:pt>
                <c:pt idx="1081">
                  <c:v>22.010769999999962</c:v>
                </c:pt>
                <c:pt idx="1082">
                  <c:v>27.932769999999962</c:v>
                </c:pt>
                <c:pt idx="1083">
                  <c:v>23.732769999999963</c:v>
                </c:pt>
                <c:pt idx="1084">
                  <c:v>25.725669999999962</c:v>
                </c:pt>
                <c:pt idx="1085">
                  <c:v>27.512709999999963</c:v>
                </c:pt>
                <c:pt idx="1086">
                  <c:v>25.322709999999962</c:v>
                </c:pt>
                <c:pt idx="1087">
                  <c:v>27.379119999999961</c:v>
                </c:pt>
                <c:pt idx="1088">
                  <c:v>29.166159999999962</c:v>
                </c:pt>
                <c:pt idx="1089">
                  <c:v>31.071459999999963</c:v>
                </c:pt>
                <c:pt idx="1090">
                  <c:v>28.881459999999961</c:v>
                </c:pt>
                <c:pt idx="1091">
                  <c:v>30.852459999999962</c:v>
                </c:pt>
                <c:pt idx="1092">
                  <c:v>28.66245999999996</c:v>
                </c:pt>
                <c:pt idx="1093">
                  <c:v>30.513009999999959</c:v>
                </c:pt>
                <c:pt idx="1094">
                  <c:v>32.484009999999955</c:v>
                </c:pt>
                <c:pt idx="1095">
                  <c:v>35.856609999999954</c:v>
                </c:pt>
                <c:pt idx="1096">
                  <c:v>33.666609999999956</c:v>
                </c:pt>
                <c:pt idx="1097">
                  <c:v>35.681409999999957</c:v>
                </c:pt>
                <c:pt idx="1098">
                  <c:v>33.491409999999959</c:v>
                </c:pt>
                <c:pt idx="1099">
                  <c:v>31.301409999999958</c:v>
                </c:pt>
                <c:pt idx="1100">
                  <c:v>29.111409999999957</c:v>
                </c:pt>
                <c:pt idx="1101">
                  <c:v>26.921409999999955</c:v>
                </c:pt>
                <c:pt idx="1102">
                  <c:v>33.789409999999954</c:v>
                </c:pt>
                <c:pt idx="1103">
                  <c:v>40.382689999999954</c:v>
                </c:pt>
                <c:pt idx="1104">
                  <c:v>32.302689999999956</c:v>
                </c:pt>
                <c:pt idx="1105">
                  <c:v>24.222689999999957</c:v>
                </c:pt>
                <c:pt idx="1106">
                  <c:v>32.238049999999959</c:v>
                </c:pt>
                <c:pt idx="1107">
                  <c:v>34.080649999999956</c:v>
                </c:pt>
                <c:pt idx="1108">
                  <c:v>31.860649999999957</c:v>
                </c:pt>
                <c:pt idx="1109">
                  <c:v>33.903049999999958</c:v>
                </c:pt>
                <c:pt idx="1110">
                  <c:v>31.683049999999959</c:v>
                </c:pt>
                <c:pt idx="1111">
                  <c:v>33.592249999999957</c:v>
                </c:pt>
                <c:pt idx="1112">
                  <c:v>35.76784999999996</c:v>
                </c:pt>
                <c:pt idx="1113">
                  <c:v>33.547849999999961</c:v>
                </c:pt>
                <c:pt idx="1114">
                  <c:v>31.327849999999962</c:v>
                </c:pt>
                <c:pt idx="1115">
                  <c:v>33.32584999999996</c:v>
                </c:pt>
                <c:pt idx="1116">
                  <c:v>35.434849999999962</c:v>
                </c:pt>
                <c:pt idx="1117">
                  <c:v>33.214849999999963</c:v>
                </c:pt>
                <c:pt idx="1118">
                  <c:v>30.994849999999964</c:v>
                </c:pt>
                <c:pt idx="1119">
                  <c:v>35.334949999999964</c:v>
                </c:pt>
                <c:pt idx="1120">
                  <c:v>33.114949999999965</c:v>
                </c:pt>
                <c:pt idx="1121">
                  <c:v>29.044949999999965</c:v>
                </c:pt>
                <c:pt idx="1122">
                  <c:v>32.707949999999968</c:v>
                </c:pt>
                <c:pt idx="1123">
                  <c:v>28.637949999999968</c:v>
                </c:pt>
                <c:pt idx="1124">
                  <c:v>31.893949999999968</c:v>
                </c:pt>
                <c:pt idx="1125">
                  <c:v>35.556949999999972</c:v>
                </c:pt>
                <c:pt idx="1126">
                  <c:v>39.219949999999969</c:v>
                </c:pt>
                <c:pt idx="1127">
                  <c:v>35.149949999999968</c:v>
                </c:pt>
                <c:pt idx="1128">
                  <c:v>31.079949999999968</c:v>
                </c:pt>
                <c:pt idx="1129">
                  <c:v>34.742949999999965</c:v>
                </c:pt>
                <c:pt idx="1130">
                  <c:v>30.672949999999965</c:v>
                </c:pt>
                <c:pt idx="1131">
                  <c:v>26.602949999999964</c:v>
                </c:pt>
                <c:pt idx="1132">
                  <c:v>37.184949999999965</c:v>
                </c:pt>
                <c:pt idx="1133">
                  <c:v>34.724949999999964</c:v>
                </c:pt>
                <c:pt idx="1134">
                  <c:v>32.264949999999963</c:v>
                </c:pt>
                <c:pt idx="1135">
                  <c:v>34.23294999999996</c:v>
                </c:pt>
                <c:pt idx="1136">
                  <c:v>36.200949999999963</c:v>
                </c:pt>
                <c:pt idx="1137">
                  <c:v>38.365749999999963</c:v>
                </c:pt>
                <c:pt idx="1138">
                  <c:v>40.530549999999963</c:v>
                </c:pt>
                <c:pt idx="1139">
                  <c:v>38.070549999999962</c:v>
                </c:pt>
                <c:pt idx="1140">
                  <c:v>40.235349999999961</c:v>
                </c:pt>
                <c:pt idx="1141">
                  <c:v>37.77534999999996</c:v>
                </c:pt>
                <c:pt idx="1142">
                  <c:v>35.31534999999996</c:v>
                </c:pt>
                <c:pt idx="1143">
                  <c:v>32.855349999999959</c:v>
                </c:pt>
                <c:pt idx="1144">
                  <c:v>37.172649999999962</c:v>
                </c:pt>
                <c:pt idx="1145">
                  <c:v>34.712649999999961</c:v>
                </c:pt>
                <c:pt idx="1146">
                  <c:v>32.25264999999996</c:v>
                </c:pt>
                <c:pt idx="1147">
                  <c:v>27.372649999999961</c:v>
                </c:pt>
                <c:pt idx="1148">
                  <c:v>22.492649999999962</c:v>
                </c:pt>
                <c:pt idx="1149">
                  <c:v>17.612649999999963</c:v>
                </c:pt>
                <c:pt idx="1150">
                  <c:v>22.053449999999962</c:v>
                </c:pt>
                <c:pt idx="1151">
                  <c:v>17.173449999999963</c:v>
                </c:pt>
                <c:pt idx="1152">
                  <c:v>12.293449999999964</c:v>
                </c:pt>
                <c:pt idx="1153">
                  <c:v>16.539049999999964</c:v>
                </c:pt>
                <c:pt idx="1154">
                  <c:v>11.659049999999965</c:v>
                </c:pt>
                <c:pt idx="1155">
                  <c:v>6.7790499999999652</c:v>
                </c:pt>
                <c:pt idx="1156">
                  <c:v>1.8990499999999653</c:v>
                </c:pt>
                <c:pt idx="1157">
                  <c:v>6.5350499999999654</c:v>
                </c:pt>
                <c:pt idx="1158">
                  <c:v>10.288919999999965</c:v>
                </c:pt>
                <c:pt idx="1159">
                  <c:v>14.179379999999966</c:v>
                </c:pt>
                <c:pt idx="1160">
                  <c:v>18.418379999999967</c:v>
                </c:pt>
                <c:pt idx="1161">
                  <c:v>22.657379999999968</c:v>
                </c:pt>
                <c:pt idx="1162">
                  <c:v>17.947379999999967</c:v>
                </c:pt>
                <c:pt idx="1163">
                  <c:v>22.045079999999967</c:v>
                </c:pt>
                <c:pt idx="1164">
                  <c:v>28.497779999999967</c:v>
                </c:pt>
                <c:pt idx="1165">
                  <c:v>23.787779999999966</c:v>
                </c:pt>
                <c:pt idx="1166">
                  <c:v>19.077779999999965</c:v>
                </c:pt>
                <c:pt idx="1167">
                  <c:v>20.786899999999964</c:v>
                </c:pt>
                <c:pt idx="1168">
                  <c:v>22.496019999999962</c:v>
                </c:pt>
                <c:pt idx="1169">
                  <c:v>20.316019999999963</c:v>
                </c:pt>
                <c:pt idx="1170">
                  <c:v>22.278019999999962</c:v>
                </c:pt>
                <c:pt idx="1171">
                  <c:v>20.098019999999963</c:v>
                </c:pt>
                <c:pt idx="1172">
                  <c:v>17.918019999999963</c:v>
                </c:pt>
                <c:pt idx="1173">
                  <c:v>19.880019999999963</c:v>
                </c:pt>
                <c:pt idx="1174">
                  <c:v>21.711219999999962</c:v>
                </c:pt>
                <c:pt idx="1175">
                  <c:v>23.577299999999962</c:v>
                </c:pt>
                <c:pt idx="1176">
                  <c:v>25.443379999999962</c:v>
                </c:pt>
                <c:pt idx="1177">
                  <c:v>27.339979999999962</c:v>
                </c:pt>
                <c:pt idx="1178">
                  <c:v>29.138479999999962</c:v>
                </c:pt>
                <c:pt idx="1179">
                  <c:v>31.100479999999962</c:v>
                </c:pt>
                <c:pt idx="1180">
                  <c:v>33.062479999999965</c:v>
                </c:pt>
                <c:pt idx="1181">
                  <c:v>35.207599999999964</c:v>
                </c:pt>
                <c:pt idx="1182">
                  <c:v>29.077599999999965</c:v>
                </c:pt>
                <c:pt idx="1183">
                  <c:v>22.947599999999966</c:v>
                </c:pt>
                <c:pt idx="1184">
                  <c:v>16.817599999999967</c:v>
                </c:pt>
                <c:pt idx="1185">
                  <c:v>10.687599999999968</c:v>
                </c:pt>
                <c:pt idx="1186">
                  <c:v>12.654699999999968</c:v>
                </c:pt>
                <c:pt idx="1187">
                  <c:v>10.284699999999969</c:v>
                </c:pt>
                <c:pt idx="1188">
                  <c:v>7.9146999999999688</c:v>
                </c:pt>
                <c:pt idx="1189">
                  <c:v>10.047699999999969</c:v>
                </c:pt>
                <c:pt idx="1190">
                  <c:v>12.109599999999968</c:v>
                </c:pt>
                <c:pt idx="1191">
                  <c:v>14.100399999999969</c:v>
                </c:pt>
                <c:pt idx="1192">
                  <c:v>16.11489999999997</c:v>
                </c:pt>
                <c:pt idx="1193">
                  <c:v>18.117549999999969</c:v>
                </c:pt>
                <c:pt idx="1194">
                  <c:v>20.250549999999969</c:v>
                </c:pt>
                <c:pt idx="1195">
                  <c:v>22.383549999999968</c:v>
                </c:pt>
                <c:pt idx="1196">
                  <c:v>24.421749999999967</c:v>
                </c:pt>
                <c:pt idx="1197">
                  <c:v>26.424399999999967</c:v>
                </c:pt>
                <c:pt idx="1198">
                  <c:v>28.403349999999968</c:v>
                </c:pt>
                <c:pt idx="1199">
                  <c:v>31.271049999999967</c:v>
                </c:pt>
                <c:pt idx="1200">
                  <c:v>28.901049999999966</c:v>
                </c:pt>
                <c:pt idx="1201">
                  <c:v>32.141049999999964</c:v>
                </c:pt>
                <c:pt idx="1202">
                  <c:v>35.316249999999968</c:v>
                </c:pt>
                <c:pt idx="1203">
                  <c:v>31.266249999999967</c:v>
                </c:pt>
                <c:pt idx="1204">
                  <c:v>34.587249999999969</c:v>
                </c:pt>
                <c:pt idx="1205">
                  <c:v>37.98924999999997</c:v>
                </c:pt>
                <c:pt idx="1206">
                  <c:v>33.939249999999973</c:v>
                </c:pt>
                <c:pt idx="1207">
                  <c:v>29.889249999999972</c:v>
                </c:pt>
                <c:pt idx="1208">
                  <c:v>25.839249999999971</c:v>
                </c:pt>
                <c:pt idx="1209">
                  <c:v>21.789249999999971</c:v>
                </c:pt>
                <c:pt idx="1210">
                  <c:v>23.967969999999973</c:v>
                </c:pt>
                <c:pt idx="1211">
                  <c:v>26.184069999999974</c:v>
                </c:pt>
                <c:pt idx="1212">
                  <c:v>23.514069999999975</c:v>
                </c:pt>
                <c:pt idx="1213">
                  <c:v>20.844069999999974</c:v>
                </c:pt>
                <c:pt idx="1214">
                  <c:v>22.974729999999973</c:v>
                </c:pt>
                <c:pt idx="1215">
                  <c:v>25.068009999999973</c:v>
                </c:pt>
                <c:pt idx="1216">
                  <c:v>27.324159999999971</c:v>
                </c:pt>
                <c:pt idx="1217">
                  <c:v>29.540259999999972</c:v>
                </c:pt>
                <c:pt idx="1218">
                  <c:v>26.870259999999973</c:v>
                </c:pt>
                <c:pt idx="1219">
                  <c:v>29.486859999999972</c:v>
                </c:pt>
                <c:pt idx="1220">
                  <c:v>31.689609999999973</c:v>
                </c:pt>
                <c:pt idx="1221">
                  <c:v>33.919059999999973</c:v>
                </c:pt>
                <c:pt idx="1222">
                  <c:v>31.249059999999972</c:v>
                </c:pt>
                <c:pt idx="1223">
                  <c:v>35.147259999999974</c:v>
                </c:pt>
                <c:pt idx="1224">
                  <c:v>37.550259999999973</c:v>
                </c:pt>
                <c:pt idx="1225">
                  <c:v>34.880259999999971</c:v>
                </c:pt>
                <c:pt idx="1226">
                  <c:v>31.380259999999971</c:v>
                </c:pt>
                <c:pt idx="1227">
                  <c:v>27.880259999999971</c:v>
                </c:pt>
                <c:pt idx="1228">
                  <c:v>31.03025999999997</c:v>
                </c:pt>
                <c:pt idx="1229">
                  <c:v>27.53025999999997</c:v>
                </c:pt>
                <c:pt idx="1230">
                  <c:v>24.03025999999997</c:v>
                </c:pt>
                <c:pt idx="1231">
                  <c:v>26.917759999999969</c:v>
                </c:pt>
                <c:pt idx="1232">
                  <c:v>23.417759999999969</c:v>
                </c:pt>
                <c:pt idx="1233">
                  <c:v>19.917759999999969</c:v>
                </c:pt>
                <c:pt idx="1234">
                  <c:v>16.417759999999969</c:v>
                </c:pt>
                <c:pt idx="1235">
                  <c:v>19.805759999999971</c:v>
                </c:pt>
                <c:pt idx="1236">
                  <c:v>16.305759999999971</c:v>
                </c:pt>
                <c:pt idx="1237">
                  <c:v>19.59323999999997</c:v>
                </c:pt>
                <c:pt idx="1238">
                  <c:v>15.613239999999969</c:v>
                </c:pt>
                <c:pt idx="1239">
                  <c:v>18.697739999999968</c:v>
                </c:pt>
                <c:pt idx="1240">
                  <c:v>21.985219999999966</c:v>
                </c:pt>
                <c:pt idx="1241">
                  <c:v>18.005219999999966</c:v>
                </c:pt>
                <c:pt idx="1242">
                  <c:v>14.025219999999965</c:v>
                </c:pt>
                <c:pt idx="1243">
                  <c:v>17.348519999999965</c:v>
                </c:pt>
                <c:pt idx="1244">
                  <c:v>43.616519999999966</c:v>
                </c:pt>
                <c:pt idx="1245">
                  <c:v>39.636519999999969</c:v>
                </c:pt>
                <c:pt idx="1246">
                  <c:v>41.548299999999969</c:v>
                </c:pt>
                <c:pt idx="1247">
                  <c:v>39.07829999999997</c:v>
                </c:pt>
                <c:pt idx="1248">
                  <c:v>36.608299999999971</c:v>
                </c:pt>
                <c:pt idx="1249">
                  <c:v>34.138299999999973</c:v>
                </c:pt>
                <c:pt idx="1250">
                  <c:v>31.668299999999974</c:v>
                </c:pt>
                <c:pt idx="1251">
                  <c:v>29.198299999999975</c:v>
                </c:pt>
                <c:pt idx="1252">
                  <c:v>26.728299999999976</c:v>
                </c:pt>
                <c:pt idx="1253">
                  <c:v>24.258299999999977</c:v>
                </c:pt>
                <c:pt idx="1254">
                  <c:v>26.481299999999976</c:v>
                </c:pt>
                <c:pt idx="1255">
                  <c:v>24.011299999999977</c:v>
                </c:pt>
                <c:pt idx="1256">
                  <c:v>21.541299999999978</c:v>
                </c:pt>
                <c:pt idx="1257">
                  <c:v>23.62844999999998</c:v>
                </c:pt>
                <c:pt idx="1258">
                  <c:v>25.690899999999978</c:v>
                </c:pt>
                <c:pt idx="1259">
                  <c:v>28.141139999999979</c:v>
                </c:pt>
                <c:pt idx="1260">
                  <c:v>31.302739999999979</c:v>
                </c:pt>
                <c:pt idx="1261">
                  <c:v>33.88388999999998</c:v>
                </c:pt>
                <c:pt idx="1262">
                  <c:v>31.413889999999981</c:v>
                </c:pt>
                <c:pt idx="1263">
                  <c:v>34.353189999999984</c:v>
                </c:pt>
                <c:pt idx="1264">
                  <c:v>38.379289999999983</c:v>
                </c:pt>
                <c:pt idx="1265">
                  <c:v>42.34972999999998</c:v>
                </c:pt>
                <c:pt idx="1266">
                  <c:v>37.429729999999978</c:v>
                </c:pt>
                <c:pt idx="1267">
                  <c:v>32.509729999999976</c:v>
                </c:pt>
                <c:pt idx="1268">
                  <c:v>37.921729999999975</c:v>
                </c:pt>
                <c:pt idx="1269">
                  <c:v>43.235329999999976</c:v>
                </c:pt>
                <c:pt idx="1270">
                  <c:v>40.985329999999976</c:v>
                </c:pt>
                <c:pt idx="1271">
                  <c:v>38.735329999999976</c:v>
                </c:pt>
                <c:pt idx="1272">
                  <c:v>36.485329999999976</c:v>
                </c:pt>
                <c:pt idx="1273">
                  <c:v>38.321329999999975</c:v>
                </c:pt>
                <c:pt idx="1274">
                  <c:v>40.211329999999975</c:v>
                </c:pt>
                <c:pt idx="1275">
                  <c:v>42.236329999999974</c:v>
                </c:pt>
                <c:pt idx="1276">
                  <c:v>39.986329999999974</c:v>
                </c:pt>
                <c:pt idx="1277">
                  <c:v>41.943829999999977</c:v>
                </c:pt>
                <c:pt idx="1278">
                  <c:v>43.968829999999976</c:v>
                </c:pt>
                <c:pt idx="1279">
                  <c:v>41.718829999999976</c:v>
                </c:pt>
                <c:pt idx="1280">
                  <c:v>43.608829999999976</c:v>
                </c:pt>
                <c:pt idx="1281">
                  <c:v>41.358829999999976</c:v>
                </c:pt>
                <c:pt idx="1282">
                  <c:v>43.572829999999975</c:v>
                </c:pt>
                <c:pt idx="1283">
                  <c:v>39.442829999999972</c:v>
                </c:pt>
                <c:pt idx="1284">
                  <c:v>35.31282999999997</c:v>
                </c:pt>
                <c:pt idx="1285">
                  <c:v>31.182829999999971</c:v>
                </c:pt>
                <c:pt idx="1286">
                  <c:v>35.370649999999969</c:v>
                </c:pt>
                <c:pt idx="1287">
                  <c:v>31.24064999999997</c:v>
                </c:pt>
                <c:pt idx="1288">
                  <c:v>27.110649999999971</c:v>
                </c:pt>
                <c:pt idx="1289">
                  <c:v>30.662449999999971</c:v>
                </c:pt>
                <c:pt idx="1290">
                  <c:v>26.532449999999972</c:v>
                </c:pt>
                <c:pt idx="1291">
                  <c:v>30.497249999999973</c:v>
                </c:pt>
                <c:pt idx="1292">
                  <c:v>26.367249999999974</c:v>
                </c:pt>
                <c:pt idx="1293">
                  <c:v>31.075449999999975</c:v>
                </c:pt>
                <c:pt idx="1294">
                  <c:v>28.367763148148121</c:v>
                </c:pt>
                <c:pt idx="1295">
                  <c:v>25.660076296296268</c:v>
                </c:pt>
                <c:pt idx="1296">
                  <c:v>27.826225777777751</c:v>
                </c:pt>
                <c:pt idx="1297">
                  <c:v>30.100682733333308</c:v>
                </c:pt>
                <c:pt idx="1298">
                  <c:v>32.348062820370345</c:v>
                </c:pt>
                <c:pt idx="1299">
                  <c:v>29.640375968518491</c:v>
                </c:pt>
                <c:pt idx="1300">
                  <c:v>32.104371003703676</c:v>
                </c:pt>
                <c:pt idx="1301">
                  <c:v>29.396684151851822</c:v>
                </c:pt>
                <c:pt idx="1302">
                  <c:v>26.688997299999969</c:v>
                </c:pt>
                <c:pt idx="1303">
                  <c:v>28.990531124074042</c:v>
                </c:pt>
                <c:pt idx="1304">
                  <c:v>31.308311069259229</c:v>
                </c:pt>
                <c:pt idx="1305">
                  <c:v>33.691075498888857</c:v>
                </c:pt>
                <c:pt idx="1306">
                  <c:v>30.983388647037003</c:v>
                </c:pt>
                <c:pt idx="1307">
                  <c:v>28.275701795185149</c:v>
                </c:pt>
                <c:pt idx="1308">
                  <c:v>25.568014943333296</c:v>
                </c:pt>
                <c:pt idx="1309">
                  <c:v>22.548014943333296</c:v>
                </c:pt>
                <c:pt idx="1310">
                  <c:v>19.528014943333297</c:v>
                </c:pt>
                <c:pt idx="1311">
                  <c:v>16.508014943333297</c:v>
                </c:pt>
                <c:pt idx="1312">
                  <c:v>18.924014943333297</c:v>
                </c:pt>
                <c:pt idx="1313">
                  <c:v>21.430614943333296</c:v>
                </c:pt>
                <c:pt idx="1314">
                  <c:v>23.846614943333297</c:v>
                </c:pt>
                <c:pt idx="1315">
                  <c:v>26.262614943333297</c:v>
                </c:pt>
                <c:pt idx="1316">
                  <c:v>23.242614943333297</c:v>
                </c:pt>
                <c:pt idx="1317">
                  <c:v>25.930414943333297</c:v>
                </c:pt>
                <c:pt idx="1318">
                  <c:v>22.910414943333297</c:v>
                </c:pt>
                <c:pt idx="1319">
                  <c:v>25.537814943333299</c:v>
                </c:pt>
                <c:pt idx="1320">
                  <c:v>22.517814943333299</c:v>
                </c:pt>
                <c:pt idx="1321">
                  <c:v>25.084814943333299</c:v>
                </c:pt>
                <c:pt idx="1322">
                  <c:v>22.0648149433333</c:v>
                </c:pt>
                <c:pt idx="1323">
                  <c:v>19.0448149433333</c:v>
                </c:pt>
                <c:pt idx="1324">
                  <c:v>16.0248149433333</c:v>
                </c:pt>
                <c:pt idx="1325">
                  <c:v>13.004814943333301</c:v>
                </c:pt>
                <c:pt idx="1326">
                  <c:v>9.9848149433333013</c:v>
                </c:pt>
                <c:pt idx="1327">
                  <c:v>12.857814943333302</c:v>
                </c:pt>
                <c:pt idx="1328">
                  <c:v>9.4778149433333034</c:v>
                </c:pt>
                <c:pt idx="1329">
                  <c:v>12.317014943333303</c:v>
                </c:pt>
                <c:pt idx="1330">
                  <c:v>15.156214943333303</c:v>
                </c:pt>
                <c:pt idx="1331">
                  <c:v>11.776214943333304</c:v>
                </c:pt>
                <c:pt idx="1332">
                  <c:v>14.852014943333304</c:v>
                </c:pt>
                <c:pt idx="1333">
                  <c:v>17.826414943333305</c:v>
                </c:pt>
                <c:pt idx="1334">
                  <c:v>20.834614943333303</c:v>
                </c:pt>
                <c:pt idx="1335">
                  <c:v>17.454614943333304</c:v>
                </c:pt>
                <c:pt idx="1336">
                  <c:v>14.074614943333305</c:v>
                </c:pt>
                <c:pt idx="1337">
                  <c:v>16.981414943333306</c:v>
                </c:pt>
                <c:pt idx="1338">
                  <c:v>20.050414943333305</c:v>
                </c:pt>
                <c:pt idx="1339">
                  <c:v>23.119414943333304</c:v>
                </c:pt>
                <c:pt idx="1340">
                  <c:v>19.709414943333304</c:v>
                </c:pt>
                <c:pt idx="1341">
                  <c:v>22.778414943333303</c:v>
                </c:pt>
                <c:pt idx="1342">
                  <c:v>25.642814943333303</c:v>
                </c:pt>
                <c:pt idx="1343">
                  <c:v>22.232814943333302</c:v>
                </c:pt>
                <c:pt idx="1344">
                  <c:v>18.822814943333302</c:v>
                </c:pt>
                <c:pt idx="1345">
                  <c:v>15.412814943333302</c:v>
                </c:pt>
                <c:pt idx="1346">
                  <c:v>18.311314943333301</c:v>
                </c:pt>
                <c:pt idx="1347">
                  <c:v>18.311314943333301</c:v>
                </c:pt>
                <c:pt idx="1348">
                  <c:v>21.2780149433333</c:v>
                </c:pt>
                <c:pt idx="1349">
                  <c:v>26.1065749433333</c:v>
                </c:pt>
                <c:pt idx="1350">
                  <c:v>34.972574943333299</c:v>
                </c:pt>
                <c:pt idx="1351">
                  <c:v>31.562574943333299</c:v>
                </c:pt>
                <c:pt idx="1352">
                  <c:v>28.152574943333299</c:v>
                </c:pt>
                <c:pt idx="1353">
                  <c:v>25.122574943333298</c:v>
                </c:pt>
                <c:pt idx="1354">
                  <c:v>22.092574943333297</c:v>
                </c:pt>
                <c:pt idx="1355">
                  <c:v>19.062574943333296</c:v>
                </c:pt>
                <c:pt idx="1356">
                  <c:v>21.698674943333295</c:v>
                </c:pt>
                <c:pt idx="1357">
                  <c:v>24.292354943333294</c:v>
                </c:pt>
                <c:pt idx="1358">
                  <c:v>21.262354943333293</c:v>
                </c:pt>
                <c:pt idx="1359">
                  <c:v>18.232354943333291</c:v>
                </c:pt>
                <c:pt idx="1360">
                  <c:v>15.202354943333292</c:v>
                </c:pt>
                <c:pt idx="1361">
                  <c:v>17.929354943333291</c:v>
                </c:pt>
                <c:pt idx="1362">
                  <c:v>14.93935494333329</c:v>
                </c:pt>
                <c:pt idx="1363">
                  <c:v>11.94935494333329</c:v>
                </c:pt>
                <c:pt idx="1364">
                  <c:v>8.95935494333329</c:v>
                </c:pt>
                <c:pt idx="1365">
                  <c:v>11.650354943333291</c:v>
                </c:pt>
                <c:pt idx="1366">
                  <c:v>8.6603549433332905</c:v>
                </c:pt>
                <c:pt idx="1367">
                  <c:v>5.6703549433332903</c:v>
                </c:pt>
                <c:pt idx="1368">
                  <c:v>2.6803549433332901</c:v>
                </c:pt>
                <c:pt idx="1369">
                  <c:v>5.3713549433332899</c:v>
                </c:pt>
                <c:pt idx="1370">
                  <c:v>2.3813549433332897</c:v>
                </c:pt>
                <c:pt idx="1371">
                  <c:v>-0.60864505666671054</c:v>
                </c:pt>
                <c:pt idx="1372">
                  <c:v>-3.1986450566667104</c:v>
                </c:pt>
                <c:pt idx="1373">
                  <c:v>-0.60864505666671054</c:v>
                </c:pt>
                <c:pt idx="1374">
                  <c:v>-3.1986450566667104</c:v>
                </c:pt>
                <c:pt idx="1375">
                  <c:v>-5.7886450566667103</c:v>
                </c:pt>
                <c:pt idx="1376">
                  <c:v>-3.4576450566667107</c:v>
                </c:pt>
                <c:pt idx="1377">
                  <c:v>-6.0476450566667106</c:v>
                </c:pt>
                <c:pt idx="1378">
                  <c:v>-8.6376450566667096</c:v>
                </c:pt>
                <c:pt idx="1379">
                  <c:v>-11.227645056666709</c:v>
                </c:pt>
                <c:pt idx="1380">
                  <c:v>-13.817645056666709</c:v>
                </c:pt>
                <c:pt idx="1381">
                  <c:v>-11.59024505666671</c:v>
                </c:pt>
                <c:pt idx="1382">
                  <c:v>-9.3887450566667106</c:v>
                </c:pt>
                <c:pt idx="1383">
                  <c:v>-11.97874505666671</c:v>
                </c:pt>
                <c:pt idx="1384">
                  <c:v>-14.56874505666671</c:v>
                </c:pt>
                <c:pt idx="1385">
                  <c:v>-17.15874505666671</c:v>
                </c:pt>
                <c:pt idx="1386">
                  <c:v>-20.008745056666712</c:v>
                </c:pt>
                <c:pt idx="1387">
                  <c:v>-22.858745056666713</c:v>
                </c:pt>
                <c:pt idx="1388">
                  <c:v>-20.493245056666712</c:v>
                </c:pt>
                <c:pt idx="1389">
                  <c:v>-18.127745056666711</c:v>
                </c:pt>
                <c:pt idx="1390">
                  <c:v>-20.977745056666713</c:v>
                </c:pt>
                <c:pt idx="1391">
                  <c:v>-23.827745056666714</c:v>
                </c:pt>
                <c:pt idx="1392">
                  <c:v>-21.348245056666713</c:v>
                </c:pt>
                <c:pt idx="1393">
                  <c:v>-24.198245056666714</c:v>
                </c:pt>
                <c:pt idx="1394">
                  <c:v>-21.718745056666712</c:v>
                </c:pt>
                <c:pt idx="1395">
                  <c:v>-19.239245056666711</c:v>
                </c:pt>
                <c:pt idx="1396">
                  <c:v>-22.089245056666712</c:v>
                </c:pt>
                <c:pt idx="1397">
                  <c:v>-19.752245056666712</c:v>
                </c:pt>
                <c:pt idx="1398">
                  <c:v>-22.602245056666714</c:v>
                </c:pt>
                <c:pt idx="1399">
                  <c:v>-17.153045056666713</c:v>
                </c:pt>
                <c:pt idx="1400">
                  <c:v>-20.943045056666712</c:v>
                </c:pt>
                <c:pt idx="1401">
                  <c:v>-17.683645056666712</c:v>
                </c:pt>
                <c:pt idx="1402">
                  <c:v>-21.473645056666712</c:v>
                </c:pt>
                <c:pt idx="1403">
                  <c:v>-25.263645056666711</c:v>
                </c:pt>
                <c:pt idx="1404">
                  <c:v>-21.966345056666711</c:v>
                </c:pt>
                <c:pt idx="1405">
                  <c:v>-18.706945056666711</c:v>
                </c:pt>
                <c:pt idx="1406">
                  <c:v>-23.246945056666711</c:v>
                </c:pt>
                <c:pt idx="1407">
                  <c:v>-27.78694505666671</c:v>
                </c:pt>
                <c:pt idx="1408">
                  <c:v>-32.326945056666709</c:v>
                </c:pt>
                <c:pt idx="1409">
                  <c:v>-28.19554505666671</c:v>
                </c:pt>
                <c:pt idx="1410">
                  <c:v>-32.735545056666709</c:v>
                </c:pt>
                <c:pt idx="1411">
                  <c:v>-37.275545056666708</c:v>
                </c:pt>
                <c:pt idx="1412">
                  <c:v>-39.485545056666709</c:v>
                </c:pt>
                <c:pt idx="1413">
                  <c:v>-37.65124505666671</c:v>
                </c:pt>
                <c:pt idx="1414">
                  <c:v>-39.861245056666711</c:v>
                </c:pt>
                <c:pt idx="1415">
                  <c:v>-42.071245056666712</c:v>
                </c:pt>
                <c:pt idx="1416">
                  <c:v>-44.281245056666712</c:v>
                </c:pt>
                <c:pt idx="1417">
                  <c:v>-46.491245056666713</c:v>
                </c:pt>
                <c:pt idx="1418">
                  <c:v>-48.701245056666714</c:v>
                </c:pt>
                <c:pt idx="1419">
                  <c:v>-50.911245056666715</c:v>
                </c:pt>
                <c:pt idx="1420">
                  <c:v>-53.121245056666716</c:v>
                </c:pt>
                <c:pt idx="1421">
                  <c:v>-55.331245056666717</c:v>
                </c:pt>
                <c:pt idx="1422">
                  <c:v>-57.541245056666718</c:v>
                </c:pt>
                <c:pt idx="1423">
                  <c:v>-59.751245056666718</c:v>
                </c:pt>
                <c:pt idx="1424">
                  <c:v>-61.961245056666719</c:v>
                </c:pt>
                <c:pt idx="1425">
                  <c:v>-59.435215056666721</c:v>
                </c:pt>
                <c:pt idx="1426">
                  <c:v>-61.645215056666721</c:v>
                </c:pt>
                <c:pt idx="1427">
                  <c:v>-55.899215056666719</c:v>
                </c:pt>
                <c:pt idx="1428">
                  <c:v>-58.10921505666672</c:v>
                </c:pt>
                <c:pt idx="1429">
                  <c:v>-60.319215056666721</c:v>
                </c:pt>
                <c:pt idx="1430">
                  <c:v>-62.529215056666722</c:v>
                </c:pt>
                <c:pt idx="1431">
                  <c:v>-64.739215056666723</c:v>
                </c:pt>
                <c:pt idx="1432">
                  <c:v>-70.029215056666729</c:v>
                </c:pt>
                <c:pt idx="1433">
                  <c:v>-75.319215056666735</c:v>
                </c:pt>
                <c:pt idx="1434">
                  <c:v>-80.609215056666741</c:v>
                </c:pt>
                <c:pt idx="1435">
                  <c:v>-85.899215056666748</c:v>
                </c:pt>
                <c:pt idx="1436">
                  <c:v>-81.138215056666752</c:v>
                </c:pt>
                <c:pt idx="1437">
                  <c:v>-86.428215056666758</c:v>
                </c:pt>
                <c:pt idx="1438">
                  <c:v>-91.718215056666764</c:v>
                </c:pt>
                <c:pt idx="1439">
                  <c:v>-97.008215056666771</c:v>
                </c:pt>
                <c:pt idx="1440">
                  <c:v>-98.678215056666772</c:v>
                </c:pt>
                <c:pt idx="1441">
                  <c:v>-100.34821505666677</c:v>
                </c:pt>
                <c:pt idx="1442">
                  <c:v>-98.828515056666774</c:v>
                </c:pt>
                <c:pt idx="1443">
                  <c:v>-100.49851505666678</c:v>
                </c:pt>
                <c:pt idx="1444">
                  <c:v>-98.828515056666774</c:v>
                </c:pt>
                <c:pt idx="1445">
                  <c:v>-100.49851505666678</c:v>
                </c:pt>
                <c:pt idx="1446">
                  <c:v>-102.16851505666678</c:v>
                </c:pt>
                <c:pt idx="1447">
                  <c:v>-103.83851505666678</c:v>
                </c:pt>
                <c:pt idx="1448">
                  <c:v>-105.50851505666678</c:v>
                </c:pt>
                <c:pt idx="1449">
                  <c:v>-107.17851505666678</c:v>
                </c:pt>
                <c:pt idx="1450">
                  <c:v>-105.69221505666678</c:v>
                </c:pt>
                <c:pt idx="1451">
                  <c:v>-104.20591505666678</c:v>
                </c:pt>
                <c:pt idx="1452">
                  <c:v>-105.87591505666678</c:v>
                </c:pt>
                <c:pt idx="1453">
                  <c:v>-104.37291505666678</c:v>
                </c:pt>
                <c:pt idx="1454">
                  <c:v>-102.31881505666678</c:v>
                </c:pt>
                <c:pt idx="1455">
                  <c:v>-100.38161505666677</c:v>
                </c:pt>
                <c:pt idx="1456">
                  <c:v>-98.44441505666677</c:v>
                </c:pt>
                <c:pt idx="1457">
                  <c:v>-97.054975056666777</c:v>
                </c:pt>
                <c:pt idx="1458">
                  <c:v>-103.75497505666678</c:v>
                </c:pt>
                <c:pt idx="1459">
                  <c:v>-97.992975056666779</c:v>
                </c:pt>
                <c:pt idx="1460">
                  <c:v>-92.163975056666771</c:v>
                </c:pt>
                <c:pt idx="1461">
                  <c:v>-86.13397505666677</c:v>
                </c:pt>
                <c:pt idx="1462">
                  <c:v>-92.833975056666773</c:v>
                </c:pt>
                <c:pt idx="1463">
                  <c:v>-99.533975056666776</c:v>
                </c:pt>
                <c:pt idx="1464">
                  <c:v>-106.23397505666678</c:v>
                </c:pt>
                <c:pt idx="1465">
                  <c:v>-104.57077505666678</c:v>
                </c:pt>
                <c:pt idx="1466">
                  <c:v>-106.55077505666678</c:v>
                </c:pt>
                <c:pt idx="1467">
                  <c:v>-108.53077505666678</c:v>
                </c:pt>
                <c:pt idx="1468">
                  <c:v>-110.51077505666679</c:v>
                </c:pt>
                <c:pt idx="1469">
                  <c:v>-112.49077505666679</c:v>
                </c:pt>
                <c:pt idx="1470">
                  <c:v>-114.4707750566668</c:v>
                </c:pt>
                <c:pt idx="1471">
                  <c:v>-112.7085750566668</c:v>
                </c:pt>
                <c:pt idx="1472">
                  <c:v>-110.8869750566668</c:v>
                </c:pt>
                <c:pt idx="1473">
                  <c:v>-109.1049750566668</c:v>
                </c:pt>
                <c:pt idx="1474">
                  <c:v>-111.08497505666681</c:v>
                </c:pt>
                <c:pt idx="1475">
                  <c:v>-113.06497505666681</c:v>
                </c:pt>
                <c:pt idx="1476">
                  <c:v>-115.04497505666681</c:v>
                </c:pt>
                <c:pt idx="1477">
                  <c:v>-117.02497505666682</c:v>
                </c:pt>
                <c:pt idx="1478">
                  <c:v>-119.00497505666682</c:v>
                </c:pt>
                <c:pt idx="1479">
                  <c:v>-117.24673505666682</c:v>
                </c:pt>
                <c:pt idx="1480">
                  <c:v>-119.22673505666683</c:v>
                </c:pt>
                <c:pt idx="1481">
                  <c:v>-121.20673505666683</c:v>
                </c:pt>
                <c:pt idx="1482">
                  <c:v>-124.42673505666683</c:v>
                </c:pt>
                <c:pt idx="1483">
                  <c:v>-121.59313505666682</c:v>
                </c:pt>
                <c:pt idx="1484">
                  <c:v>-118.51803505666682</c:v>
                </c:pt>
                <c:pt idx="1485">
                  <c:v>-121.73803505666682</c:v>
                </c:pt>
                <c:pt idx="1486">
                  <c:v>-124.95803505666682</c:v>
                </c:pt>
                <c:pt idx="1487">
                  <c:v>-122.06003505666682</c:v>
                </c:pt>
                <c:pt idx="1488">
                  <c:v>-119.19423505666683</c:v>
                </c:pt>
                <c:pt idx="1489">
                  <c:v>-122.41423505666683</c:v>
                </c:pt>
                <c:pt idx="1490">
                  <c:v>-125.63423505666682</c:v>
                </c:pt>
                <c:pt idx="1491">
                  <c:v>-119.98313505666682</c:v>
                </c:pt>
                <c:pt idx="1492">
                  <c:v>-123.20313505666682</c:v>
                </c:pt>
                <c:pt idx="1493">
                  <c:v>-118.50193505666682</c:v>
                </c:pt>
                <c:pt idx="1494">
                  <c:v>-120.65193505666683</c:v>
                </c:pt>
                <c:pt idx="1495">
                  <c:v>-118.71693505666683</c:v>
                </c:pt>
                <c:pt idx="1496">
                  <c:v>-116.88943505666683</c:v>
                </c:pt>
                <c:pt idx="1497">
                  <c:v>-114.95443505666682</c:v>
                </c:pt>
                <c:pt idx="1498">
                  <c:v>-117.10443505666683</c:v>
                </c:pt>
                <c:pt idx="1499">
                  <c:v>-119.25443505666684</c:v>
                </c:pt>
                <c:pt idx="1500">
                  <c:v>-121.40443505666684</c:v>
                </c:pt>
                <c:pt idx="1501">
                  <c:v>-119.51243505666685</c:v>
                </c:pt>
                <c:pt idx="1502">
                  <c:v>-117.57743505666684</c:v>
                </c:pt>
                <c:pt idx="1503">
                  <c:v>-115.64243505666684</c:v>
                </c:pt>
                <c:pt idx="1504">
                  <c:v>-113.77193505666683</c:v>
                </c:pt>
                <c:pt idx="1505">
                  <c:v>-111.69793505666684</c:v>
                </c:pt>
                <c:pt idx="1506">
                  <c:v>-109.62393505666684</c:v>
                </c:pt>
                <c:pt idx="1507">
                  <c:v>-107.47673505666684</c:v>
                </c:pt>
                <c:pt idx="1508">
                  <c:v>-105.30513505666684</c:v>
                </c:pt>
                <c:pt idx="1509">
                  <c:v>-103.13353505666684</c:v>
                </c:pt>
                <c:pt idx="1510">
                  <c:v>-100.96193505666685</c:v>
                </c:pt>
                <c:pt idx="1511">
                  <c:v>-103.40193505666684</c:v>
                </c:pt>
                <c:pt idx="1512">
                  <c:v>-101.25473505666685</c:v>
                </c:pt>
                <c:pt idx="1513">
                  <c:v>-99.083135056666848</c:v>
                </c:pt>
                <c:pt idx="1514">
                  <c:v>-96.88713505666685</c:v>
                </c:pt>
                <c:pt idx="1515">
                  <c:v>-94.691135056666852</c:v>
                </c:pt>
                <c:pt idx="1516">
                  <c:v>-92.543935056666854</c:v>
                </c:pt>
                <c:pt idx="1517">
                  <c:v>-89.933135056666856</c:v>
                </c:pt>
                <c:pt idx="1518">
                  <c:v>-92.373135056666854</c:v>
                </c:pt>
                <c:pt idx="1519">
                  <c:v>-94.813135056666852</c:v>
                </c:pt>
                <c:pt idx="1520">
                  <c:v>-97.253135056666849</c:v>
                </c:pt>
                <c:pt idx="1521">
                  <c:v>-95.240135056666844</c:v>
                </c:pt>
                <c:pt idx="1522">
                  <c:v>-98.12013505666684</c:v>
                </c:pt>
                <c:pt idx="1523">
                  <c:v>-101.00013505666683</c:v>
                </c:pt>
                <c:pt idx="1524">
                  <c:v>-103.88013505666683</c:v>
                </c:pt>
                <c:pt idx="1525">
                  <c:v>-106.76013505666683</c:v>
                </c:pt>
                <c:pt idx="1526">
                  <c:v>-104.16813505666683</c:v>
                </c:pt>
                <c:pt idx="1527">
                  <c:v>-101.60493505666683</c:v>
                </c:pt>
                <c:pt idx="1528">
                  <c:v>-104.48493505666683</c:v>
                </c:pt>
                <c:pt idx="1529">
                  <c:v>-107.36493505666682</c:v>
                </c:pt>
                <c:pt idx="1530">
                  <c:v>-110.24493505666682</c:v>
                </c:pt>
                <c:pt idx="1531">
                  <c:v>-113.12493505666681</c:v>
                </c:pt>
                <c:pt idx="1532">
                  <c:v>-110.23629505666682</c:v>
                </c:pt>
                <c:pt idx="1533">
                  <c:v>-108.16529505666682</c:v>
                </c:pt>
                <c:pt idx="1534">
                  <c:v>-106.20329505666682</c:v>
                </c:pt>
                <c:pt idx="1535">
                  <c:v>-108.38329505666682</c:v>
                </c:pt>
                <c:pt idx="1536">
                  <c:v>-106.39949505666682</c:v>
                </c:pt>
                <c:pt idx="1537">
                  <c:v>-104.43749505666682</c:v>
                </c:pt>
                <c:pt idx="1538">
                  <c:v>-106.61749505666683</c:v>
                </c:pt>
                <c:pt idx="1539">
                  <c:v>-104.58137505666683</c:v>
                </c:pt>
                <c:pt idx="1540">
                  <c:v>-106.76137505666684</c:v>
                </c:pt>
                <c:pt idx="1541">
                  <c:v>-104.82117505666683</c:v>
                </c:pt>
                <c:pt idx="1542">
                  <c:v>-107.00117505666684</c:v>
                </c:pt>
                <c:pt idx="1543">
                  <c:v>-105.10457505666683</c:v>
                </c:pt>
                <c:pt idx="1544">
                  <c:v>-107.28457505666684</c:v>
                </c:pt>
                <c:pt idx="1545">
                  <c:v>-109.46457505666685</c:v>
                </c:pt>
                <c:pt idx="1546">
                  <c:v>-107.50257505666684</c:v>
                </c:pt>
                <c:pt idx="1547">
                  <c:v>-109.68257505666685</c:v>
                </c:pt>
                <c:pt idx="1548">
                  <c:v>-107.72057505666685</c:v>
                </c:pt>
                <c:pt idx="1549">
                  <c:v>-105.75857505666684</c:v>
                </c:pt>
                <c:pt idx="1550">
                  <c:v>-103.81837505666684</c:v>
                </c:pt>
                <c:pt idx="1551">
                  <c:v>-105.99837505666684</c:v>
                </c:pt>
                <c:pt idx="1552">
                  <c:v>-104.14537505666685</c:v>
                </c:pt>
                <c:pt idx="1553">
                  <c:v>-106.32537505666686</c:v>
                </c:pt>
                <c:pt idx="1554">
                  <c:v>-109.62537505666685</c:v>
                </c:pt>
                <c:pt idx="1555">
                  <c:v>-112.92537505666685</c:v>
                </c:pt>
                <c:pt idx="1556">
                  <c:v>-110.12037505666686</c:v>
                </c:pt>
                <c:pt idx="1557">
                  <c:v>-107.15037505666686</c:v>
                </c:pt>
                <c:pt idx="1558">
                  <c:v>-104.14737505666686</c:v>
                </c:pt>
                <c:pt idx="1559">
                  <c:v>-107.44737505666686</c:v>
                </c:pt>
                <c:pt idx="1560">
                  <c:v>-104.44437505666686</c:v>
                </c:pt>
                <c:pt idx="1561">
                  <c:v>-101.50737505666686</c:v>
                </c:pt>
                <c:pt idx="1562">
                  <c:v>-104.80737505666686</c:v>
                </c:pt>
                <c:pt idx="1563">
                  <c:v>-101.87037505666686</c:v>
                </c:pt>
                <c:pt idx="1564">
                  <c:v>-105.17037505666686</c:v>
                </c:pt>
                <c:pt idx="1565">
                  <c:v>-108.47037505666685</c:v>
                </c:pt>
                <c:pt idx="1566">
                  <c:v>-111.77037505666685</c:v>
                </c:pt>
                <c:pt idx="1567">
                  <c:v>-115.07037505666685</c:v>
                </c:pt>
                <c:pt idx="1568">
                  <c:v>-118.37037505666684</c:v>
                </c:pt>
                <c:pt idx="1569">
                  <c:v>-120.52037505666685</c:v>
                </c:pt>
                <c:pt idx="1570">
                  <c:v>-116.16537505666685</c:v>
                </c:pt>
                <c:pt idx="1571">
                  <c:v>-114.20887505666684</c:v>
                </c:pt>
                <c:pt idx="1572">
                  <c:v>-116.35887505666685</c:v>
                </c:pt>
                <c:pt idx="1573">
                  <c:v>-118.50887505666685</c:v>
                </c:pt>
                <c:pt idx="1574">
                  <c:v>-120.65887505666686</c:v>
                </c:pt>
                <c:pt idx="1575">
                  <c:v>-118.70237505666685</c:v>
                </c:pt>
                <c:pt idx="1576">
                  <c:v>-116.78887505666685</c:v>
                </c:pt>
                <c:pt idx="1577">
                  <c:v>-114.85387505666685</c:v>
                </c:pt>
                <c:pt idx="1578">
                  <c:v>-112.94037505666685</c:v>
                </c:pt>
                <c:pt idx="1579">
                  <c:v>-115.09037505666686</c:v>
                </c:pt>
                <c:pt idx="1580">
                  <c:v>-113.15537505666686</c:v>
                </c:pt>
                <c:pt idx="1581">
                  <c:v>-111.19887505666685</c:v>
                </c:pt>
                <c:pt idx="1582">
                  <c:v>-113.34887505666686</c:v>
                </c:pt>
                <c:pt idx="1583">
                  <c:v>-115.49887505666686</c:v>
                </c:pt>
                <c:pt idx="1584">
                  <c:v>-117.64887505666687</c:v>
                </c:pt>
                <c:pt idx="1585">
                  <c:v>-119.79887505666687</c:v>
                </c:pt>
                <c:pt idx="1586">
                  <c:v>-121.94887505666688</c:v>
                </c:pt>
                <c:pt idx="1587">
                  <c:v>-118.05737505666688</c:v>
                </c:pt>
                <c:pt idx="1588">
                  <c:v>-124.52737505666688</c:v>
                </c:pt>
                <c:pt idx="1589">
                  <c:v>-130.9973750566669</c:v>
                </c:pt>
                <c:pt idx="1590">
                  <c:v>-125.23907505666689</c:v>
                </c:pt>
                <c:pt idx="1591">
                  <c:v>-131.7090750566669</c:v>
                </c:pt>
                <c:pt idx="1592">
                  <c:v>-138.1790750566669</c:v>
                </c:pt>
                <c:pt idx="1593">
                  <c:v>-132.29137505666691</c:v>
                </c:pt>
                <c:pt idx="1594">
                  <c:v>-125.27142505666691</c:v>
                </c:pt>
                <c:pt idx="1595">
                  <c:v>-127.01142505666691</c:v>
                </c:pt>
                <c:pt idx="1596">
                  <c:v>-125.27142505666691</c:v>
                </c:pt>
                <c:pt idx="1597">
                  <c:v>-123.62886505666691</c:v>
                </c:pt>
                <c:pt idx="1598">
                  <c:v>-122.11506505666691</c:v>
                </c:pt>
                <c:pt idx="1599">
                  <c:v>-120.6012650566669</c:v>
                </c:pt>
                <c:pt idx="1600">
                  <c:v>-122.3412650566669</c:v>
                </c:pt>
                <c:pt idx="1601">
                  <c:v>-124.08126505666689</c:v>
                </c:pt>
                <c:pt idx="1602">
                  <c:v>-122.5326650566669</c:v>
                </c:pt>
                <c:pt idx="1603">
                  <c:v>-124.2726650566669</c:v>
                </c:pt>
                <c:pt idx="1604">
                  <c:v>-126.01266505666689</c:v>
                </c:pt>
                <c:pt idx="1605">
                  <c:v>-124.37706505666689</c:v>
                </c:pt>
                <c:pt idx="1606">
                  <c:v>-122.81106505666689</c:v>
                </c:pt>
                <c:pt idx="1607">
                  <c:v>-121.24506505666689</c:v>
                </c:pt>
                <c:pt idx="1608">
                  <c:v>-119.71386505666689</c:v>
                </c:pt>
                <c:pt idx="1609">
                  <c:v>-118.09566505666689</c:v>
                </c:pt>
                <c:pt idx="1610">
                  <c:v>-119.83566505666688</c:v>
                </c:pt>
                <c:pt idx="1611">
                  <c:v>-121.57566505666688</c:v>
                </c:pt>
                <c:pt idx="1612">
                  <c:v>-120.02010505666688</c:v>
                </c:pt>
                <c:pt idx="1613">
                  <c:v>-118.45410505666688</c:v>
                </c:pt>
                <c:pt idx="1614">
                  <c:v>-120.19410505666687</c:v>
                </c:pt>
                <c:pt idx="1615">
                  <c:v>-121.93410505666687</c:v>
                </c:pt>
                <c:pt idx="1616">
                  <c:v>-123.67410505666686</c:v>
                </c:pt>
                <c:pt idx="1617">
                  <c:v>-120.41010505666686</c:v>
                </c:pt>
                <c:pt idx="1618">
                  <c:v>-124.25010505666687</c:v>
                </c:pt>
                <c:pt idx="1619">
                  <c:v>-128.09010505666686</c:v>
                </c:pt>
                <c:pt idx="1620">
                  <c:v>-131.93010505666686</c:v>
                </c:pt>
                <c:pt idx="1621">
                  <c:v>-128.51250505666687</c:v>
                </c:pt>
                <c:pt idx="1622">
                  <c:v>-125.13330505666687</c:v>
                </c:pt>
                <c:pt idx="1623">
                  <c:v>-121.48530505666687</c:v>
                </c:pt>
                <c:pt idx="1624">
                  <c:v>-118.09842505666687</c:v>
                </c:pt>
                <c:pt idx="1625">
                  <c:v>-121.93842505666687</c:v>
                </c:pt>
                <c:pt idx="1626">
                  <c:v>-125.77842505666688</c:v>
                </c:pt>
                <c:pt idx="1627">
                  <c:v>-124.09762505666687</c:v>
                </c:pt>
                <c:pt idx="1628">
                  <c:v>-122.56962505666687</c:v>
                </c:pt>
                <c:pt idx="1629">
                  <c:v>-124.47962505666686</c:v>
                </c:pt>
                <c:pt idx="1630">
                  <c:v>-122.76062505666687</c:v>
                </c:pt>
                <c:pt idx="1631">
                  <c:v>-124.67062505666686</c:v>
                </c:pt>
                <c:pt idx="1632">
                  <c:v>-122.89432505666686</c:v>
                </c:pt>
                <c:pt idx="1633">
                  <c:v>-121.13712505666686</c:v>
                </c:pt>
                <c:pt idx="1634">
                  <c:v>-119.37992505666686</c:v>
                </c:pt>
                <c:pt idx="1635">
                  <c:v>-121.28992505666686</c:v>
                </c:pt>
                <c:pt idx="1636">
                  <c:v>-123.19992505666686</c:v>
                </c:pt>
                <c:pt idx="1637">
                  <c:v>-121.42362505666685</c:v>
                </c:pt>
                <c:pt idx="1638">
                  <c:v>-119.66642505666685</c:v>
                </c:pt>
                <c:pt idx="1639">
                  <c:v>-121.57642505666685</c:v>
                </c:pt>
                <c:pt idx="1640">
                  <c:v>-119.81922505666685</c:v>
                </c:pt>
                <c:pt idx="1641">
                  <c:v>-121.72922505666685</c:v>
                </c:pt>
                <c:pt idx="1642">
                  <c:v>-119.95292505666684</c:v>
                </c:pt>
                <c:pt idx="1643">
                  <c:v>-118.27212505666684</c:v>
                </c:pt>
                <c:pt idx="1644">
                  <c:v>-120.18212505666683</c:v>
                </c:pt>
                <c:pt idx="1645">
                  <c:v>-117.99708505666683</c:v>
                </c:pt>
                <c:pt idx="1646">
                  <c:v>-116.17494505666683</c:v>
                </c:pt>
                <c:pt idx="1647">
                  <c:v>-118.95494505666683</c:v>
                </c:pt>
                <c:pt idx="1648">
                  <c:v>-121.73494505666683</c:v>
                </c:pt>
                <c:pt idx="1649">
                  <c:v>-119.12174505666682</c:v>
                </c:pt>
                <c:pt idx="1650">
                  <c:v>-121.90174505666683</c:v>
                </c:pt>
                <c:pt idx="1651">
                  <c:v>-119.51094505666683</c:v>
                </c:pt>
                <c:pt idx="1652">
                  <c:v>-117.00894505666683</c:v>
                </c:pt>
                <c:pt idx="1653">
                  <c:v>-114.50694505666684</c:v>
                </c:pt>
                <c:pt idx="1654">
                  <c:v>-112.03552505666684</c:v>
                </c:pt>
                <c:pt idx="1655">
                  <c:v>-114.81552505666684</c:v>
                </c:pt>
                <c:pt idx="1656">
                  <c:v>-117.59552505666684</c:v>
                </c:pt>
                <c:pt idx="1657">
                  <c:v>-120.37552505666685</c:v>
                </c:pt>
                <c:pt idx="1658">
                  <c:v>-117.87352505666685</c:v>
                </c:pt>
                <c:pt idx="1659">
                  <c:v>-115.67732505666685</c:v>
                </c:pt>
                <c:pt idx="1660">
                  <c:v>-118.45732505666685</c:v>
                </c:pt>
                <c:pt idx="1661">
                  <c:v>-121.68732505666685</c:v>
                </c:pt>
                <c:pt idx="1662">
                  <c:v>-118.84492505666685</c:v>
                </c:pt>
                <c:pt idx="1663">
                  <c:v>-116.09942505666685</c:v>
                </c:pt>
                <c:pt idx="1664">
                  <c:v>-119.32942505666685</c:v>
                </c:pt>
                <c:pt idx="1665">
                  <c:v>-116.48702505666685</c:v>
                </c:pt>
                <c:pt idx="1666">
                  <c:v>-113.70276505666685</c:v>
                </c:pt>
                <c:pt idx="1667">
                  <c:v>-116.93276505666685</c:v>
                </c:pt>
                <c:pt idx="1668">
                  <c:v>-113.99346505666685</c:v>
                </c:pt>
                <c:pt idx="1669">
                  <c:v>-117.22346505666685</c:v>
                </c:pt>
                <c:pt idx="1670">
                  <c:v>-114.31646505666686</c:v>
                </c:pt>
                <c:pt idx="1671">
                  <c:v>-117.54646505666686</c:v>
                </c:pt>
                <c:pt idx="1672">
                  <c:v>-120.77646505666686</c:v>
                </c:pt>
                <c:pt idx="1673">
                  <c:v>-124.00646505666687</c:v>
                </c:pt>
                <c:pt idx="1674">
                  <c:v>-127.23646505666687</c:v>
                </c:pt>
                <c:pt idx="1675">
                  <c:v>-130.46646505666686</c:v>
                </c:pt>
                <c:pt idx="1676">
                  <c:v>-129.34886505666685</c:v>
                </c:pt>
                <c:pt idx="1677">
                  <c:v>-130.61886505666686</c:v>
                </c:pt>
                <c:pt idx="1678">
                  <c:v>-131.88886505666687</c:v>
                </c:pt>
                <c:pt idx="1679">
                  <c:v>-133.15886505666688</c:v>
                </c:pt>
                <c:pt idx="1680">
                  <c:v>-134.42886505666689</c:v>
                </c:pt>
                <c:pt idx="1681">
                  <c:v>-133.3493650566669</c:v>
                </c:pt>
                <c:pt idx="1682">
                  <c:v>-132.14286505666689</c:v>
                </c:pt>
                <c:pt idx="1683">
                  <c:v>-130.92366505666689</c:v>
                </c:pt>
                <c:pt idx="1684">
                  <c:v>-132.1936650566669</c:v>
                </c:pt>
                <c:pt idx="1685">
                  <c:v>-133.46366505666691</c:v>
                </c:pt>
                <c:pt idx="1686">
                  <c:v>-134.73366505666692</c:v>
                </c:pt>
                <c:pt idx="1687">
                  <c:v>-136.00366505666693</c:v>
                </c:pt>
                <c:pt idx="1688">
                  <c:v>-137.27366505666694</c:v>
                </c:pt>
                <c:pt idx="1689">
                  <c:v>-136.13066505666694</c:v>
                </c:pt>
                <c:pt idx="1690">
                  <c:v>-137.40066505666695</c:v>
                </c:pt>
                <c:pt idx="1691">
                  <c:v>-138.67066505666696</c:v>
                </c:pt>
                <c:pt idx="1692">
                  <c:v>-137.50226505666697</c:v>
                </c:pt>
                <c:pt idx="1693">
                  <c:v>-136.32116505666698</c:v>
                </c:pt>
                <c:pt idx="1694">
                  <c:v>-137.59116505666699</c:v>
                </c:pt>
                <c:pt idx="1695">
                  <c:v>-138.86116505666701</c:v>
                </c:pt>
                <c:pt idx="1696">
                  <c:v>-137.74356505666699</c:v>
                </c:pt>
                <c:pt idx="1697">
                  <c:v>-139.01356505666701</c:v>
                </c:pt>
                <c:pt idx="1698">
                  <c:v>-140.28356505666702</c:v>
                </c:pt>
                <c:pt idx="1699">
                  <c:v>-138.13472505666701</c:v>
                </c:pt>
                <c:pt idx="1700">
                  <c:v>-139.40472505666702</c:v>
                </c:pt>
                <c:pt idx="1701">
                  <c:v>-140.67472505666703</c:v>
                </c:pt>
                <c:pt idx="1702">
                  <c:v>-141.94472505666704</c:v>
                </c:pt>
                <c:pt idx="1703">
                  <c:v>-140.84112505666704</c:v>
                </c:pt>
                <c:pt idx="1704">
                  <c:v>-142.08112505666705</c:v>
                </c:pt>
                <c:pt idx="1705">
                  <c:v>-143.32112505666706</c:v>
                </c:pt>
                <c:pt idx="1706">
                  <c:v>-144.56112505666707</c:v>
                </c:pt>
                <c:pt idx="1707">
                  <c:v>-145.80112505666708</c:v>
                </c:pt>
                <c:pt idx="1708">
                  <c:v>-147.04112505666708</c:v>
                </c:pt>
                <c:pt idx="1709">
                  <c:v>-148.28112505666709</c:v>
                </c:pt>
                <c:pt idx="1710">
                  <c:v>-149.5211250566671</c:v>
                </c:pt>
                <c:pt idx="1711">
                  <c:v>-150.76112505666711</c:v>
                </c:pt>
                <c:pt idx="1712">
                  <c:v>-152.00112505666712</c:v>
                </c:pt>
                <c:pt idx="1713">
                  <c:v>-153.24112505666713</c:v>
                </c:pt>
                <c:pt idx="1714">
                  <c:v>-154.48112505666714</c:v>
                </c:pt>
                <c:pt idx="1715">
                  <c:v>-155.72112505666715</c:v>
                </c:pt>
                <c:pt idx="1716">
                  <c:v>-156.96112505666716</c:v>
                </c:pt>
                <c:pt idx="1717">
                  <c:v>-158.20112505666717</c:v>
                </c:pt>
                <c:pt idx="1718">
                  <c:v>-159.44112505666718</c:v>
                </c:pt>
                <c:pt idx="1719">
                  <c:v>-160.68112505666718</c:v>
                </c:pt>
                <c:pt idx="1720">
                  <c:v>-161.92112505666719</c:v>
                </c:pt>
                <c:pt idx="1721">
                  <c:v>-163.1611250566672</c:v>
                </c:pt>
                <c:pt idx="1722">
                  <c:v>-162.04512505666719</c:v>
                </c:pt>
                <c:pt idx="1723">
                  <c:v>-163.2851250566672</c:v>
                </c:pt>
                <c:pt idx="1724">
                  <c:v>-162.16912505666718</c:v>
                </c:pt>
                <c:pt idx="1725">
                  <c:v>-154.79112505666717</c:v>
                </c:pt>
                <c:pt idx="1726">
                  <c:v>-156.03112505666718</c:v>
                </c:pt>
                <c:pt idx="1727">
                  <c:v>-155.89348505666717</c:v>
                </c:pt>
                <c:pt idx="1728">
                  <c:v>-157.13348505666718</c:v>
                </c:pt>
                <c:pt idx="1729">
                  <c:v>-166.18348505666719</c:v>
                </c:pt>
                <c:pt idx="1730">
                  <c:v>-175.23348505666721</c:v>
                </c:pt>
                <c:pt idx="1731">
                  <c:v>-175.23348505666721</c:v>
                </c:pt>
                <c:pt idx="1732">
                  <c:v>-166.36448505666721</c:v>
                </c:pt>
                <c:pt idx="1733">
                  <c:v>-175.25448505666719</c:v>
                </c:pt>
                <c:pt idx="1734">
                  <c:v>-167.5544850566672</c:v>
                </c:pt>
                <c:pt idx="1735">
                  <c:v>-176.3044850566672</c:v>
                </c:pt>
                <c:pt idx="1736">
                  <c:v>-185.0544850566672</c:v>
                </c:pt>
                <c:pt idx="1737">
                  <c:v>-193.8044850566672</c:v>
                </c:pt>
                <c:pt idx="1738">
                  <c:v>-188.95442505666719</c:v>
                </c:pt>
                <c:pt idx="1739">
                  <c:v>-184.28982505666718</c:v>
                </c:pt>
                <c:pt idx="1740">
                  <c:v>-189.90982505666719</c:v>
                </c:pt>
                <c:pt idx="1741">
                  <c:v>-185.41382505666718</c:v>
                </c:pt>
                <c:pt idx="1742">
                  <c:v>-191.03382505666718</c:v>
                </c:pt>
                <c:pt idx="1743">
                  <c:v>-196.65382505666719</c:v>
                </c:pt>
                <c:pt idx="1744">
                  <c:v>-191.82062505666718</c:v>
                </c:pt>
                <c:pt idx="1745">
                  <c:v>-197.44062505666719</c:v>
                </c:pt>
                <c:pt idx="1746">
                  <c:v>-201.28425434786163</c:v>
                </c:pt>
                <c:pt idx="1747">
                  <c:v>-197.82498798578663</c:v>
                </c:pt>
                <c:pt idx="1748">
                  <c:v>-194.36572162371164</c:v>
                </c:pt>
                <c:pt idx="1749">
                  <c:v>-198.20935091490608</c:v>
                </c:pt>
                <c:pt idx="1750">
                  <c:v>-194.90382972447887</c:v>
                </c:pt>
                <c:pt idx="1751">
                  <c:v>-198.74745901567331</c:v>
                </c:pt>
                <c:pt idx="1752">
                  <c:v>-195.86473704727749</c:v>
                </c:pt>
                <c:pt idx="1753">
                  <c:v>-199.70836633847193</c:v>
                </c:pt>
                <c:pt idx="1754">
                  <c:v>-203.55199562966638</c:v>
                </c:pt>
                <c:pt idx="1755">
                  <c:v>-207.39562492086083</c:v>
                </c:pt>
                <c:pt idx="1756">
                  <c:v>-211.23925421205527</c:v>
                </c:pt>
                <c:pt idx="1757">
                  <c:v>-216.66925421205528</c:v>
                </c:pt>
                <c:pt idx="1758">
                  <c:v>-222.09925421205529</c:v>
                </c:pt>
                <c:pt idx="1759">
                  <c:v>-217.21225421205529</c:v>
                </c:pt>
                <c:pt idx="1760">
                  <c:v>-222.64225421205529</c:v>
                </c:pt>
                <c:pt idx="1761">
                  <c:v>-228.0722542120553</c:v>
                </c:pt>
                <c:pt idx="1762">
                  <c:v>-223.35625421205529</c:v>
                </c:pt>
                <c:pt idx="1763">
                  <c:v>-228.5962542120553</c:v>
                </c:pt>
                <c:pt idx="1764">
                  <c:v>-223.88025421205529</c:v>
                </c:pt>
                <c:pt idx="1765">
                  <c:v>-229.1202542120553</c:v>
                </c:pt>
                <c:pt idx="1766">
                  <c:v>-234.36025421205531</c:v>
                </c:pt>
                <c:pt idx="1767">
                  <c:v>-239.60025421205532</c:v>
                </c:pt>
                <c:pt idx="1768">
                  <c:v>-235.60737421205533</c:v>
                </c:pt>
                <c:pt idx="1769">
                  <c:v>-240.84737421205534</c:v>
                </c:pt>
                <c:pt idx="1770">
                  <c:v>-248.49737421205535</c:v>
                </c:pt>
                <c:pt idx="1771">
                  <c:v>-256.14737421205535</c:v>
                </c:pt>
                <c:pt idx="1772">
                  <c:v>-249.53777421205535</c:v>
                </c:pt>
                <c:pt idx="1773">
                  <c:v>-242.88227421205536</c:v>
                </c:pt>
                <c:pt idx="1774">
                  <c:v>-238.15787421205536</c:v>
                </c:pt>
                <c:pt idx="1775">
                  <c:v>-243.23787421205537</c:v>
                </c:pt>
                <c:pt idx="1776">
                  <c:v>-238.25947421205538</c:v>
                </c:pt>
                <c:pt idx="1777">
                  <c:v>-233.68747421205538</c:v>
                </c:pt>
                <c:pt idx="1778">
                  <c:v>-229.36947421205537</c:v>
                </c:pt>
                <c:pt idx="1779">
                  <c:v>-224.89907421205535</c:v>
                </c:pt>
                <c:pt idx="1780">
                  <c:v>-230.17907421205535</c:v>
                </c:pt>
                <c:pt idx="1781">
                  <c:v>-225.42707421205535</c:v>
                </c:pt>
                <c:pt idx="1782">
                  <c:v>-220.67507421205534</c:v>
                </c:pt>
                <c:pt idx="1783">
                  <c:v>-215.92307421205533</c:v>
                </c:pt>
                <c:pt idx="1784">
                  <c:v>-221.20307421205533</c:v>
                </c:pt>
                <c:pt idx="1785">
                  <c:v>-216.66227421205534</c:v>
                </c:pt>
                <c:pt idx="1786">
                  <c:v>-211.91027421205533</c:v>
                </c:pt>
                <c:pt idx="1787">
                  <c:v>-215.98027421205532</c:v>
                </c:pt>
                <c:pt idx="1788">
                  <c:v>-213.02138421205532</c:v>
                </c:pt>
                <c:pt idx="1789">
                  <c:v>-209.51304421205532</c:v>
                </c:pt>
                <c:pt idx="1790">
                  <c:v>-206.15529421205531</c:v>
                </c:pt>
                <c:pt idx="1791">
                  <c:v>-203.06209421205531</c:v>
                </c:pt>
                <c:pt idx="1792">
                  <c:v>-207.13209421205531</c:v>
                </c:pt>
                <c:pt idx="1793">
                  <c:v>-211.2020942120553</c:v>
                </c:pt>
                <c:pt idx="1794">
                  <c:v>-215.27209421205529</c:v>
                </c:pt>
                <c:pt idx="1795">
                  <c:v>-219.34209421205529</c:v>
                </c:pt>
                <c:pt idx="1796">
                  <c:v>-215.80119421205529</c:v>
                </c:pt>
                <c:pt idx="1797">
                  <c:v>-219.87119421205529</c:v>
                </c:pt>
                <c:pt idx="1798">
                  <c:v>-223.94119421205528</c:v>
                </c:pt>
                <c:pt idx="1799">
                  <c:v>-228.01119421205527</c:v>
                </c:pt>
                <c:pt idx="1800">
                  <c:v>-224.42959421205526</c:v>
                </c:pt>
                <c:pt idx="1801">
                  <c:v>-220.72996421205525</c:v>
                </c:pt>
                <c:pt idx="1802">
                  <c:v>-224.79996421205524</c:v>
                </c:pt>
                <c:pt idx="1803">
                  <c:v>-221.01486421205524</c:v>
                </c:pt>
                <c:pt idx="1804">
                  <c:v>-217.35186421205523</c:v>
                </c:pt>
                <c:pt idx="1805">
                  <c:v>-222.71186421205525</c:v>
                </c:pt>
                <c:pt idx="1806">
                  <c:v>-218.53106421205524</c:v>
                </c:pt>
                <c:pt idx="1807">
                  <c:v>-213.93006421205524</c:v>
                </c:pt>
                <c:pt idx="1808">
                  <c:v>-219.28006421205524</c:v>
                </c:pt>
                <c:pt idx="1809">
                  <c:v>-224.63006421205523</c:v>
                </c:pt>
                <c:pt idx="1810">
                  <c:v>-219.80971421205524</c:v>
                </c:pt>
                <c:pt idx="1811">
                  <c:v>-225.15971421205523</c:v>
                </c:pt>
                <c:pt idx="1812">
                  <c:v>-230.50971421205523</c:v>
                </c:pt>
                <c:pt idx="1813">
                  <c:v>-225.86391421205522</c:v>
                </c:pt>
                <c:pt idx="1814">
                  <c:v>-221.16591421205521</c:v>
                </c:pt>
                <c:pt idx="1815">
                  <c:v>-216.19647421205522</c:v>
                </c:pt>
                <c:pt idx="1816">
                  <c:v>-221.41647421205522</c:v>
                </c:pt>
                <c:pt idx="1817">
                  <c:v>-226.63647421205522</c:v>
                </c:pt>
                <c:pt idx="1818">
                  <c:v>-222.16547421205522</c:v>
                </c:pt>
                <c:pt idx="1819">
                  <c:v>-217.83123421205522</c:v>
                </c:pt>
                <c:pt idx="1820">
                  <c:v>-223.19123421205524</c:v>
                </c:pt>
                <c:pt idx="1821">
                  <c:v>-228.55123421205525</c:v>
                </c:pt>
                <c:pt idx="1822">
                  <c:v>-233.91123421205526</c:v>
                </c:pt>
                <c:pt idx="1823">
                  <c:v>-219.92523421205527</c:v>
                </c:pt>
                <c:pt idx="1824">
                  <c:v>-206.09463421205527</c:v>
                </c:pt>
                <c:pt idx="1825">
                  <c:v>-214.32463421205526</c:v>
                </c:pt>
                <c:pt idx="1826">
                  <c:v>-206.99993421205525</c:v>
                </c:pt>
                <c:pt idx="1827">
                  <c:v>-206.99993421205525</c:v>
                </c:pt>
                <c:pt idx="1828">
                  <c:v>-199.59293421205524</c:v>
                </c:pt>
                <c:pt idx="1829">
                  <c:v>-207.93293421205524</c:v>
                </c:pt>
                <c:pt idx="1830">
                  <c:v>-200.00993421205524</c:v>
                </c:pt>
                <c:pt idx="1831">
                  <c:v>-192.50393421205524</c:v>
                </c:pt>
                <c:pt idx="1832">
                  <c:v>-200.84393421205525</c:v>
                </c:pt>
                <c:pt idx="1833">
                  <c:v>-209.16393421205524</c:v>
                </c:pt>
                <c:pt idx="1834">
                  <c:v>-217.48393421205523</c:v>
                </c:pt>
                <c:pt idx="1835">
                  <c:v>-225.80393421205522</c:v>
                </c:pt>
                <c:pt idx="1836">
                  <c:v>-234.12393421205522</c:v>
                </c:pt>
                <c:pt idx="1837">
                  <c:v>-226.30313421205523</c:v>
                </c:pt>
                <c:pt idx="1838">
                  <c:v>-234.62313421205522</c:v>
                </c:pt>
                <c:pt idx="1839">
                  <c:v>-242.94313421205521</c:v>
                </c:pt>
                <c:pt idx="1840">
                  <c:v>-235.44681421205522</c:v>
                </c:pt>
                <c:pt idx="1841">
                  <c:v>-243.18681421205522</c:v>
                </c:pt>
                <c:pt idx="1842">
                  <c:v>-250.92681421205523</c:v>
                </c:pt>
                <c:pt idx="1843">
                  <c:v>-243.96081421205523</c:v>
                </c:pt>
                <c:pt idx="1844">
                  <c:v>-236.91741421205523</c:v>
                </c:pt>
                <c:pt idx="1845">
                  <c:v>-230.04661421205523</c:v>
                </c:pt>
                <c:pt idx="1846">
                  <c:v>-237.76661421205523</c:v>
                </c:pt>
                <c:pt idx="1847">
                  <c:v>-231.05021421205524</c:v>
                </c:pt>
                <c:pt idx="1848">
                  <c:v>-224.10221421205523</c:v>
                </c:pt>
                <c:pt idx="1849">
                  <c:v>-216.96521421205523</c:v>
                </c:pt>
                <c:pt idx="1850">
                  <c:v>-210.06611421205523</c:v>
                </c:pt>
                <c:pt idx="1851">
                  <c:v>-203.08771421205523</c:v>
                </c:pt>
                <c:pt idx="1852">
                  <c:v>-195.95071421205523</c:v>
                </c:pt>
                <c:pt idx="1853">
                  <c:v>-188.47471421205523</c:v>
                </c:pt>
                <c:pt idx="1854">
                  <c:v>-196.87471421205524</c:v>
                </c:pt>
                <c:pt idx="1855">
                  <c:v>-188.97871421205525</c:v>
                </c:pt>
                <c:pt idx="1856">
                  <c:v>-197.49871421205526</c:v>
                </c:pt>
                <c:pt idx="1857">
                  <c:v>-190.06927421205526</c:v>
                </c:pt>
                <c:pt idx="1858">
                  <c:v>-182.40127421205526</c:v>
                </c:pt>
                <c:pt idx="1859">
                  <c:v>-191.03127421205525</c:v>
                </c:pt>
                <c:pt idx="1860">
                  <c:v>-183.09167421205524</c:v>
                </c:pt>
                <c:pt idx="1861">
                  <c:v>-167.06777421205524</c:v>
                </c:pt>
                <c:pt idx="1862">
                  <c:v>-151.56077421205524</c:v>
                </c:pt>
                <c:pt idx="1863">
                  <c:v>-143.79177421205523</c:v>
                </c:pt>
                <c:pt idx="1864">
                  <c:v>-152.93177421205525</c:v>
                </c:pt>
                <c:pt idx="1865">
                  <c:v>-145.07137421205525</c:v>
                </c:pt>
                <c:pt idx="1866">
                  <c:v>-137.11957421205526</c:v>
                </c:pt>
                <c:pt idx="1867">
                  <c:v>-120.23557421205525</c:v>
                </c:pt>
                <c:pt idx="1868">
                  <c:v>-103.53917421205526</c:v>
                </c:pt>
                <c:pt idx="1869">
                  <c:v>-85.647174212055262</c:v>
                </c:pt>
                <c:pt idx="1870">
                  <c:v>-68.152774212055263</c:v>
                </c:pt>
                <c:pt idx="1871">
                  <c:v>-89.212774212055265</c:v>
                </c:pt>
                <c:pt idx="1872">
                  <c:v>-70.685174212055273</c:v>
                </c:pt>
                <c:pt idx="1873">
                  <c:v>-52.768374212055278</c:v>
                </c:pt>
                <c:pt idx="1874">
                  <c:v>-74.338374212055271</c:v>
                </c:pt>
                <c:pt idx="1875">
                  <c:v>-56.357054212055267</c:v>
                </c:pt>
                <c:pt idx="1876">
                  <c:v>-37.583054212055266</c:v>
                </c:pt>
                <c:pt idx="1877">
                  <c:v>-17.711054212055267</c:v>
                </c:pt>
                <c:pt idx="1878">
                  <c:v>3.9273457879447307</c:v>
                </c:pt>
                <c:pt idx="1879">
                  <c:v>-19.53265421205527</c:v>
                </c:pt>
                <c:pt idx="1880">
                  <c:v>-42.992654212055271</c:v>
                </c:pt>
                <c:pt idx="1881">
                  <c:v>-20.216399558073171</c:v>
                </c:pt>
                <c:pt idx="1882">
                  <c:v>-3.4479995580731675</c:v>
                </c:pt>
                <c:pt idx="1883">
                  <c:v>15.359800441926836</c:v>
                </c:pt>
                <c:pt idx="1884">
                  <c:v>-8.4901995580731651</c:v>
                </c:pt>
                <c:pt idx="1885">
                  <c:v>-32.340199558073166</c:v>
                </c:pt>
                <c:pt idx="1886">
                  <c:v>-12.306199558073164</c:v>
                </c:pt>
                <c:pt idx="1887">
                  <c:v>7.7278004419268385</c:v>
                </c:pt>
              </c:numCache>
            </c:numRef>
          </c:val>
          <c:smooth val="0"/>
          <c:extLst>
            <c:ext xmlns:c16="http://schemas.microsoft.com/office/drawing/2014/chart" uri="{C3380CC4-5D6E-409C-BE32-E72D297353CC}">
              <c16:uniqueId val="{00000000-3FEA-492D-A561-A1012201120E}"/>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7AF5-4594-9B19-E910B1379620}"/>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7AF5-4594-9B19-E910B1379620}"/>
              </c:ext>
            </c:extLst>
          </c:dPt>
          <c:val>
            <c:numRef>
              <c:f>Dashboard!$C$10:$D$10</c:f>
              <c:numCache>
                <c:formatCode>0.00%</c:formatCode>
                <c:ptCount val="2"/>
                <c:pt idx="0">
                  <c:v>0.5</c:v>
                </c:pt>
                <c:pt idx="1">
                  <c:v>0.5</c:v>
                </c:pt>
              </c:numCache>
            </c:numRef>
          </c:val>
          <c:extLst>
            <c:ext xmlns:c16="http://schemas.microsoft.com/office/drawing/2014/chart" uri="{C3380CC4-5D6E-409C-BE32-E72D297353CC}">
              <c16:uniqueId val="{00000000-F61C-4137-AD84-E6160FA4E2B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8CDC-43A3-B671-87D048315E9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CDC-43A3-B671-87D048315E94}"/>
              </c:ext>
            </c:extLst>
          </c:dPt>
          <c:val>
            <c:numRef>
              <c:f>Dashboard!$C$9:$D$9</c:f>
              <c:numCache>
                <c:formatCode>0.00%</c:formatCode>
                <c:ptCount val="2"/>
                <c:pt idx="0">
                  <c:v>0.25</c:v>
                </c:pt>
                <c:pt idx="1">
                  <c:v>0.75</c:v>
                </c:pt>
              </c:numCache>
            </c:numRef>
          </c:val>
          <c:extLst>
            <c:ext xmlns:c16="http://schemas.microsoft.com/office/drawing/2014/chart" uri="{C3380CC4-5D6E-409C-BE32-E72D297353CC}">
              <c16:uniqueId val="{00000000-F403-4327-9225-097C089B20D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7EBF-406F-9B0C-A1D07AB2912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7EBF-406F-9B0C-A1D07AB29121}"/>
              </c:ext>
            </c:extLst>
          </c:dPt>
          <c:val>
            <c:numRef>
              <c:f>Dashboard!$C$8:$D$8</c:f>
              <c:numCache>
                <c:formatCode>0.00%</c:formatCode>
                <c:ptCount val="2"/>
                <c:pt idx="0">
                  <c:v>0.5</c:v>
                </c:pt>
                <c:pt idx="1">
                  <c:v>0.5</c:v>
                </c:pt>
              </c:numCache>
            </c:numRef>
          </c:val>
          <c:extLst>
            <c:ext xmlns:c16="http://schemas.microsoft.com/office/drawing/2014/chart" uri="{C3380CC4-5D6E-409C-BE32-E72D297353CC}">
              <c16:uniqueId val="{00000000-EA2C-41B5-903A-F0CA045563C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V</a:t>
            </a:r>
          </a:p>
        </c:rich>
      </c:tx>
      <c:layout>
        <c:manualLayout>
          <c:xMode val="edge"/>
          <c:yMode val="edge"/>
          <c:x val="0.23872322101692076"/>
          <c:y val="7.2745339912280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14B3-4BDF-B639-016B3745CEE7}"/>
              </c:ext>
            </c:extLst>
          </c:dPt>
          <c:dPt>
            <c:idx val="1"/>
            <c:bubble3D val="0"/>
            <c:spPr>
              <a:solidFill>
                <a:srgbClr val="FF0000"/>
              </a:solidFill>
              <a:ln w="19050">
                <a:solidFill>
                  <a:srgbClr val="FFFFFF"/>
                </a:solidFill>
                <a:prstDash val="solid"/>
              </a:ln>
              <a:effectLst/>
            </c:spPr>
            <c:extLst>
              <c:ext xmlns:c16="http://schemas.microsoft.com/office/drawing/2014/chart" uri="{C3380CC4-5D6E-409C-BE32-E72D297353CC}">
                <c16:uniqueId val="{00000003-14B3-4BDF-B639-016B3745CEE7}"/>
              </c:ext>
            </c:extLst>
          </c:dPt>
          <c:val>
            <c:numRef>
              <c:f>Dashboard!$C$7:$D$7</c:f>
              <c:numCache>
                <c:formatCode>0.00%</c:formatCode>
                <c:ptCount val="2"/>
                <c:pt idx="0">
                  <c:v>0.5</c:v>
                </c:pt>
                <c:pt idx="1">
                  <c:v>0.5</c:v>
                </c:pt>
              </c:numCache>
            </c:numRef>
          </c:val>
          <c:extLst>
            <c:ext xmlns:c16="http://schemas.microsoft.com/office/drawing/2014/chart" uri="{C3380CC4-5D6E-409C-BE32-E72D297353CC}">
              <c16:uniqueId val="{00000000-6722-4361-9C2D-D92450F7298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V</a:t>
            </a:r>
          </a:p>
        </c:rich>
      </c:tx>
      <c:layout>
        <c:manualLayout>
          <c:xMode val="edge"/>
          <c:yMode val="edge"/>
          <c:x val="0.23872322101692076"/>
          <c:y val="7.2745339912280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rgbClr val="92D050"/>
                </a:solidFill>
                <a:prstDash val="solid"/>
              </a:ln>
              <a:effectLst/>
            </c:spPr>
            <c:extLst>
              <c:ext xmlns:c16="http://schemas.microsoft.com/office/drawing/2014/chart" uri="{C3380CC4-5D6E-409C-BE32-E72D297353CC}">
                <c16:uniqueId val="{00000001-A3B0-4FB0-897E-AE881431040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3B0-4FB0-897E-AE8814310404}"/>
              </c:ext>
            </c:extLst>
          </c:dPt>
          <c:val>
            <c:numRef>
              <c:f>Dashboard!$C$15:$D$15</c:f>
              <c:numCache>
                <c:formatCode>0.00%</c:formatCode>
                <c:ptCount val="2"/>
                <c:pt idx="0">
                  <c:v>0.31578947368421051</c:v>
                </c:pt>
                <c:pt idx="1">
                  <c:v>0.68421052631578949</c:v>
                </c:pt>
              </c:numCache>
            </c:numRef>
          </c:val>
          <c:extLst>
            <c:ext xmlns:c16="http://schemas.microsoft.com/office/drawing/2014/chart" uri="{C3380CC4-5D6E-409C-BE32-E72D297353CC}">
              <c16:uniqueId val="{00000004-A3B0-4FB0-897E-AE881431040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3CBA-49AC-AE38-CF1DBC6A8C5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3CBA-49AC-AE38-CF1DBC6A8C55}"/>
              </c:ext>
            </c:extLst>
          </c:dPt>
          <c:val>
            <c:numRef>
              <c:f>Dashboard!$C$16:$D$16</c:f>
              <c:numCache>
                <c:formatCode>0.00%</c:formatCode>
                <c:ptCount val="2"/>
                <c:pt idx="0">
                  <c:v>0.34210526315789475</c:v>
                </c:pt>
                <c:pt idx="1">
                  <c:v>0.65789473684210531</c:v>
                </c:pt>
              </c:numCache>
            </c:numRef>
          </c:val>
          <c:extLst>
            <c:ext xmlns:c16="http://schemas.microsoft.com/office/drawing/2014/chart" uri="{C3380CC4-5D6E-409C-BE32-E72D297353CC}">
              <c16:uniqueId val="{00000004-3CBA-49AC-AE38-CF1DBC6A8C5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8A7F-48E9-B420-7F3B29A0EFF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A7F-48E9-B420-7F3B29A0EFFE}"/>
              </c:ext>
            </c:extLst>
          </c:dPt>
          <c:val>
            <c:numRef>
              <c:f>Dashboard!$C$17:$D$17</c:f>
              <c:numCache>
                <c:formatCode>0.00%</c:formatCode>
                <c:ptCount val="2"/>
                <c:pt idx="0">
                  <c:v>0.26315789473684209</c:v>
                </c:pt>
                <c:pt idx="1">
                  <c:v>0.73684210526315796</c:v>
                </c:pt>
              </c:numCache>
            </c:numRef>
          </c:val>
          <c:extLst>
            <c:ext xmlns:c16="http://schemas.microsoft.com/office/drawing/2014/chart" uri="{C3380CC4-5D6E-409C-BE32-E72D297353CC}">
              <c16:uniqueId val="{00000004-8A7F-48E9-B420-7F3B29A0EFF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9060-4B6D-B981-A4ACBC3A593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060-4B6D-B981-A4ACBC3A5932}"/>
              </c:ext>
            </c:extLst>
          </c:dPt>
          <c:val>
            <c:numRef>
              <c:f>Dashboard!$C$18:$D$18</c:f>
              <c:numCache>
                <c:formatCode>0.00%</c:formatCode>
                <c:ptCount val="2"/>
                <c:pt idx="0">
                  <c:v>0.52631578947368418</c:v>
                </c:pt>
                <c:pt idx="1">
                  <c:v>0.47368421052631582</c:v>
                </c:pt>
              </c:numCache>
            </c:numRef>
          </c:val>
          <c:extLst>
            <c:ext xmlns:c16="http://schemas.microsoft.com/office/drawing/2014/chart" uri="{C3380CC4-5D6E-409C-BE32-E72D297353CC}">
              <c16:uniqueId val="{00000004-9060-4B6D-B981-A4ACBC3A593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'MLB ML Over'!$F$2:$F$157</c:f>
              <c:numCache>
                <c:formatCode>#,##0.00;[Red]#,##0.00</c:formatCode>
                <c:ptCount val="156"/>
                <c:pt idx="0">
                  <c:v>2.04</c:v>
                </c:pt>
                <c:pt idx="1">
                  <c:v>2.9699999999999998</c:v>
                </c:pt>
                <c:pt idx="2">
                  <c:v>3.83</c:v>
                </c:pt>
                <c:pt idx="3">
                  <c:v>4.84</c:v>
                </c:pt>
                <c:pt idx="4">
                  <c:v>3.84</c:v>
                </c:pt>
                <c:pt idx="5">
                  <c:v>2.84</c:v>
                </c:pt>
                <c:pt idx="6">
                  <c:v>1.8399999999999999</c:v>
                </c:pt>
                <c:pt idx="7">
                  <c:v>0.83999999999999986</c:v>
                </c:pt>
                <c:pt idx="8">
                  <c:v>-0.16000000000000014</c:v>
                </c:pt>
                <c:pt idx="9">
                  <c:v>-1.1600000000000001</c:v>
                </c:pt>
                <c:pt idx="10">
                  <c:v>-2.16</c:v>
                </c:pt>
                <c:pt idx="11">
                  <c:v>-1.1900000000000002</c:v>
                </c:pt>
                <c:pt idx="12">
                  <c:v>-2.1900000000000004</c:v>
                </c:pt>
                <c:pt idx="13">
                  <c:v>-3.1900000000000004</c:v>
                </c:pt>
                <c:pt idx="14">
                  <c:v>-4.1900000000000004</c:v>
                </c:pt>
                <c:pt idx="15">
                  <c:v>-3.2900000000000005</c:v>
                </c:pt>
                <c:pt idx="16">
                  <c:v>-2.4100000000000006</c:v>
                </c:pt>
                <c:pt idx="17">
                  <c:v>-3.4100000000000006</c:v>
                </c:pt>
                <c:pt idx="18">
                  <c:v>-4.41</c:v>
                </c:pt>
                <c:pt idx="19">
                  <c:v>-5.41</c:v>
                </c:pt>
                <c:pt idx="20">
                  <c:v>-4.5010000000000003</c:v>
                </c:pt>
                <c:pt idx="21">
                  <c:v>-5.5010000000000003</c:v>
                </c:pt>
                <c:pt idx="22">
                  <c:v>-4.7610000000000001</c:v>
                </c:pt>
                <c:pt idx="23">
                  <c:v>-3.8710000000000004</c:v>
                </c:pt>
                <c:pt idx="24">
                  <c:v>-4.8710000000000004</c:v>
                </c:pt>
                <c:pt idx="25">
                  <c:v>-3.0210000000000004</c:v>
                </c:pt>
                <c:pt idx="26">
                  <c:v>-2.2940000000000005</c:v>
                </c:pt>
                <c:pt idx="27">
                  <c:v>-3.2940000000000005</c:v>
                </c:pt>
                <c:pt idx="28">
                  <c:v>-4.2940000000000005</c:v>
                </c:pt>
                <c:pt idx="29">
                  <c:v>-2.3040000000000003</c:v>
                </c:pt>
                <c:pt idx="30">
                  <c:v>-1.3840000000000003</c:v>
                </c:pt>
                <c:pt idx="31">
                  <c:v>-0.40400000000000036</c:v>
                </c:pt>
                <c:pt idx="32">
                  <c:v>0.35599999999999965</c:v>
                </c:pt>
                <c:pt idx="33">
                  <c:v>-0.64400000000000035</c:v>
                </c:pt>
                <c:pt idx="34">
                  <c:v>0.28599999999999959</c:v>
                </c:pt>
                <c:pt idx="35">
                  <c:v>-0.71400000000000041</c:v>
                </c:pt>
                <c:pt idx="36">
                  <c:v>0.17599999999999949</c:v>
                </c:pt>
                <c:pt idx="37">
                  <c:v>1.0659999999999994</c:v>
                </c:pt>
                <c:pt idx="38">
                  <c:v>2.0859999999999994</c:v>
                </c:pt>
                <c:pt idx="39">
                  <c:v>3.0059999999999993</c:v>
                </c:pt>
                <c:pt idx="40">
                  <c:v>2.0059999999999993</c:v>
                </c:pt>
                <c:pt idx="41">
                  <c:v>1.0059999999999993</c:v>
                </c:pt>
                <c:pt idx="42">
                  <c:v>1.9859999999999993</c:v>
                </c:pt>
                <c:pt idx="43">
                  <c:v>2.8859999999999992</c:v>
                </c:pt>
                <c:pt idx="44">
                  <c:v>1.8859999999999992</c:v>
                </c:pt>
                <c:pt idx="45">
                  <c:v>2.7659999999999991</c:v>
                </c:pt>
                <c:pt idx="46">
                  <c:v>3.7659999999999991</c:v>
                </c:pt>
                <c:pt idx="47">
                  <c:v>4.5759999999999987</c:v>
                </c:pt>
                <c:pt idx="48">
                  <c:v>3.5759999999999987</c:v>
                </c:pt>
                <c:pt idx="49">
                  <c:v>2.5759999999999987</c:v>
                </c:pt>
                <c:pt idx="50">
                  <c:v>3.4159999999999986</c:v>
                </c:pt>
                <c:pt idx="51">
                  <c:v>4.3859999999999983</c:v>
                </c:pt>
                <c:pt idx="52">
                  <c:v>5.2949999999999982</c:v>
                </c:pt>
                <c:pt idx="53">
                  <c:v>6.1549999999999985</c:v>
                </c:pt>
                <c:pt idx="54">
                  <c:v>5.1549999999999985</c:v>
                </c:pt>
                <c:pt idx="55">
                  <c:v>6.1049999999999986</c:v>
                </c:pt>
                <c:pt idx="56">
                  <c:v>7.0849999999999991</c:v>
                </c:pt>
                <c:pt idx="57">
                  <c:v>7.9549999999999992</c:v>
                </c:pt>
                <c:pt idx="58">
                  <c:v>6.9549999999999992</c:v>
                </c:pt>
                <c:pt idx="59">
                  <c:v>9.0949999999999989</c:v>
                </c:pt>
                <c:pt idx="60">
                  <c:v>10.904999999999999</c:v>
                </c:pt>
                <c:pt idx="61">
                  <c:v>11.914999999999999</c:v>
                </c:pt>
                <c:pt idx="62">
                  <c:v>12.785</c:v>
                </c:pt>
                <c:pt idx="63">
                  <c:v>11.785</c:v>
                </c:pt>
                <c:pt idx="64">
                  <c:v>12.715</c:v>
                </c:pt>
                <c:pt idx="65">
                  <c:v>11.715</c:v>
                </c:pt>
                <c:pt idx="66">
                  <c:v>12.585000000000001</c:v>
                </c:pt>
                <c:pt idx="67">
                  <c:v>11.585000000000001</c:v>
                </c:pt>
                <c:pt idx="68">
                  <c:v>12.455000000000002</c:v>
                </c:pt>
                <c:pt idx="69">
                  <c:v>13.355000000000002</c:v>
                </c:pt>
                <c:pt idx="70">
                  <c:v>12.355000000000002</c:v>
                </c:pt>
                <c:pt idx="71">
                  <c:v>11.355000000000002</c:v>
                </c:pt>
                <c:pt idx="72">
                  <c:v>10.355000000000002</c:v>
                </c:pt>
                <c:pt idx="73">
                  <c:v>11.365000000000002</c:v>
                </c:pt>
                <c:pt idx="74">
                  <c:v>11.980000000000002</c:v>
                </c:pt>
                <c:pt idx="75">
                  <c:v>12.900000000000002</c:v>
                </c:pt>
                <c:pt idx="76">
                  <c:v>13.740000000000002</c:v>
                </c:pt>
                <c:pt idx="77">
                  <c:v>14.649000000000003</c:v>
                </c:pt>
                <c:pt idx="78">
                  <c:v>15.629000000000003</c:v>
                </c:pt>
                <c:pt idx="79">
                  <c:v>16.538000000000004</c:v>
                </c:pt>
                <c:pt idx="80">
                  <c:v>17.598000000000003</c:v>
                </c:pt>
                <c:pt idx="81">
                  <c:v>16.598000000000003</c:v>
                </c:pt>
                <c:pt idx="82">
                  <c:v>17.728000000000002</c:v>
                </c:pt>
                <c:pt idx="83">
                  <c:v>18.658000000000001</c:v>
                </c:pt>
                <c:pt idx="84">
                  <c:v>19.538</c:v>
                </c:pt>
                <c:pt idx="85">
                  <c:v>20.408000000000001</c:v>
                </c:pt>
                <c:pt idx="86">
                  <c:v>21.278000000000002</c:v>
                </c:pt>
                <c:pt idx="87">
                  <c:v>20.278000000000002</c:v>
                </c:pt>
                <c:pt idx="88">
                  <c:v>19.278000000000002</c:v>
                </c:pt>
                <c:pt idx="89">
                  <c:v>18.278000000000002</c:v>
                </c:pt>
                <c:pt idx="90">
                  <c:v>19.278000000000002</c:v>
                </c:pt>
                <c:pt idx="91">
                  <c:v>18.278000000000002</c:v>
                </c:pt>
                <c:pt idx="92">
                  <c:v>17.278000000000002</c:v>
                </c:pt>
                <c:pt idx="93">
                  <c:v>16.278000000000002</c:v>
                </c:pt>
                <c:pt idx="94">
                  <c:v>15.278000000000002</c:v>
                </c:pt>
                <c:pt idx="95">
                  <c:v>14.278000000000002</c:v>
                </c:pt>
                <c:pt idx="96">
                  <c:v>15.148000000000003</c:v>
                </c:pt>
                <c:pt idx="97">
                  <c:v>15.788000000000004</c:v>
                </c:pt>
                <c:pt idx="98">
                  <c:v>16.768000000000004</c:v>
                </c:pt>
                <c:pt idx="99">
                  <c:v>18.578000000000003</c:v>
                </c:pt>
                <c:pt idx="100">
                  <c:v>20.428000000000004</c:v>
                </c:pt>
                <c:pt idx="101">
                  <c:v>21.178000000000004</c:v>
                </c:pt>
                <c:pt idx="102">
                  <c:v>20.178000000000004</c:v>
                </c:pt>
                <c:pt idx="103">
                  <c:v>21.128000000000004</c:v>
                </c:pt>
                <c:pt idx="104">
                  <c:v>20.128000000000004</c:v>
                </c:pt>
                <c:pt idx="105">
                  <c:v>19.128000000000004</c:v>
                </c:pt>
                <c:pt idx="106">
                  <c:v>18.128000000000004</c:v>
                </c:pt>
                <c:pt idx="107">
                  <c:v>17.128000000000004</c:v>
                </c:pt>
                <c:pt idx="108">
                  <c:v>17.961000000000002</c:v>
                </c:pt>
                <c:pt idx="109">
                  <c:v>18.961000000000002</c:v>
                </c:pt>
                <c:pt idx="110">
                  <c:v>20.021000000000001</c:v>
                </c:pt>
                <c:pt idx="111">
                  <c:v>19.021000000000001</c:v>
                </c:pt>
                <c:pt idx="112">
                  <c:v>19.901</c:v>
                </c:pt>
                <c:pt idx="113">
                  <c:v>20.701000000000001</c:v>
                </c:pt>
                <c:pt idx="114">
                  <c:v>19.701000000000001</c:v>
                </c:pt>
                <c:pt idx="115">
                  <c:v>20.681000000000001</c:v>
                </c:pt>
                <c:pt idx="116">
                  <c:v>19.681000000000001</c:v>
                </c:pt>
                <c:pt idx="117">
                  <c:v>20.711000000000002</c:v>
                </c:pt>
                <c:pt idx="118">
                  <c:v>19.711000000000002</c:v>
                </c:pt>
                <c:pt idx="119">
                  <c:v>18.711000000000002</c:v>
                </c:pt>
                <c:pt idx="120">
                  <c:v>19.641000000000002</c:v>
                </c:pt>
                <c:pt idx="121">
                  <c:v>20.701000000000001</c:v>
                </c:pt>
                <c:pt idx="122">
                  <c:v>21.571000000000002</c:v>
                </c:pt>
                <c:pt idx="123">
                  <c:v>22.581000000000003</c:v>
                </c:pt>
                <c:pt idx="124">
                  <c:v>23.551000000000002</c:v>
                </c:pt>
                <c:pt idx="125">
                  <c:v>22.551000000000002</c:v>
                </c:pt>
                <c:pt idx="126">
                  <c:v>23.431000000000001</c:v>
                </c:pt>
                <c:pt idx="127">
                  <c:v>24.201000000000001</c:v>
                </c:pt>
                <c:pt idx="128">
                  <c:v>25.201000000000001</c:v>
                </c:pt>
                <c:pt idx="129">
                  <c:v>24.201000000000001</c:v>
                </c:pt>
                <c:pt idx="130">
                  <c:v>25.030999999999999</c:v>
                </c:pt>
                <c:pt idx="131">
                  <c:v>25.991</c:v>
                </c:pt>
                <c:pt idx="132">
                  <c:v>27.050999999999998</c:v>
                </c:pt>
                <c:pt idx="133">
                  <c:v>28.901</c:v>
                </c:pt>
                <c:pt idx="134">
                  <c:v>29.771000000000001</c:v>
                </c:pt>
                <c:pt idx="135">
                  <c:v>28.771000000000001</c:v>
                </c:pt>
                <c:pt idx="136">
                  <c:v>29.581</c:v>
                </c:pt>
                <c:pt idx="137">
                  <c:v>30.451000000000001</c:v>
                </c:pt>
                <c:pt idx="138">
                  <c:v>31.431000000000001</c:v>
                </c:pt>
                <c:pt idx="139">
                  <c:v>32.451000000000001</c:v>
                </c:pt>
                <c:pt idx="140">
                  <c:v>33.451000000000001</c:v>
                </c:pt>
                <c:pt idx="141">
                  <c:v>32.451000000000001</c:v>
                </c:pt>
                <c:pt idx="142">
                  <c:v>31.451000000000001</c:v>
                </c:pt>
                <c:pt idx="143">
                  <c:v>32.521000000000001</c:v>
                </c:pt>
                <c:pt idx="144">
                  <c:v>33.741</c:v>
                </c:pt>
                <c:pt idx="145">
                  <c:v>32.741</c:v>
                </c:pt>
                <c:pt idx="146">
                  <c:v>31.741</c:v>
                </c:pt>
                <c:pt idx="147">
                  <c:v>32.710999999999999</c:v>
                </c:pt>
                <c:pt idx="148">
                  <c:v>31.710999999999999</c:v>
                </c:pt>
                <c:pt idx="149">
                  <c:v>30.710999999999999</c:v>
                </c:pt>
                <c:pt idx="150">
                  <c:v>29.710999999999999</c:v>
                </c:pt>
                <c:pt idx="151">
                  <c:v>30.631</c:v>
                </c:pt>
                <c:pt idx="152">
                  <c:v>29.631</c:v>
                </c:pt>
                <c:pt idx="153">
                  <c:v>30.600999999999999</c:v>
                </c:pt>
                <c:pt idx="154">
                  <c:v>29.600999999999999</c:v>
                </c:pt>
              </c:numCache>
            </c:numRef>
          </c:val>
          <c:smooth val="0"/>
          <c:extLst>
            <c:ext xmlns:c16="http://schemas.microsoft.com/office/drawing/2014/chart" uri="{C3380CC4-5D6E-409C-BE32-E72D297353CC}">
              <c16:uniqueId val="{00000000-CF5B-436F-8FB8-3768E011AF4F}"/>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'MLB ML Over Individual'!$F$2:$F$14</c:f>
              <c:numCache>
                <c:formatCode>#,##0.00;[Red]#,##0.00</c:formatCode>
                <c:ptCount val="13"/>
                <c:pt idx="0">
                  <c:v>2.04</c:v>
                </c:pt>
                <c:pt idx="1">
                  <c:v>1.04</c:v>
                </c:pt>
                <c:pt idx="2">
                  <c:v>4.0000000000000036E-2</c:v>
                </c:pt>
                <c:pt idx="3">
                  <c:v>1.8900000000000001</c:v>
                </c:pt>
                <c:pt idx="4">
                  <c:v>3.8800000000000003</c:v>
                </c:pt>
                <c:pt idx="5">
                  <c:v>6.0200000000000005</c:v>
                </c:pt>
                <c:pt idx="6">
                  <c:v>7.83</c:v>
                </c:pt>
                <c:pt idx="7">
                  <c:v>6.83</c:v>
                </c:pt>
                <c:pt idx="8">
                  <c:v>5.83</c:v>
                </c:pt>
                <c:pt idx="9">
                  <c:v>7.6400000000000006</c:v>
                </c:pt>
                <c:pt idx="10">
                  <c:v>9.49</c:v>
                </c:pt>
                <c:pt idx="11">
                  <c:v>11.34</c:v>
                </c:pt>
              </c:numCache>
            </c:numRef>
          </c:val>
          <c:smooth val="0"/>
          <c:extLst>
            <c:ext xmlns:c16="http://schemas.microsoft.com/office/drawing/2014/chart" uri="{C3380CC4-5D6E-409C-BE32-E72D297353CC}">
              <c16:uniqueId val="{00000000-6D90-4C39-B52B-778D273205EF}"/>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'MLB ML Over Partidos'!$F$2:$F$145</c:f>
              <c:numCache>
                <c:formatCode>#,##0.00;[Red]#,##0.00</c:formatCode>
                <c:ptCount val="144"/>
                <c:pt idx="0">
                  <c:v>0.92999999999999994</c:v>
                </c:pt>
                <c:pt idx="1">
                  <c:v>1.79</c:v>
                </c:pt>
                <c:pt idx="2">
                  <c:v>2.8</c:v>
                </c:pt>
                <c:pt idx="3">
                  <c:v>1.7999999999999998</c:v>
                </c:pt>
                <c:pt idx="4">
                  <c:v>0.79999999999999982</c:v>
                </c:pt>
                <c:pt idx="5">
                  <c:v>-0.20000000000000018</c:v>
                </c:pt>
                <c:pt idx="6">
                  <c:v>-1.2000000000000002</c:v>
                </c:pt>
                <c:pt idx="7">
                  <c:v>-2.2000000000000002</c:v>
                </c:pt>
                <c:pt idx="8">
                  <c:v>-3.2</c:v>
                </c:pt>
                <c:pt idx="9">
                  <c:v>-2.2300000000000004</c:v>
                </c:pt>
                <c:pt idx="10">
                  <c:v>-3.2300000000000004</c:v>
                </c:pt>
                <c:pt idx="11">
                  <c:v>-4.2300000000000004</c:v>
                </c:pt>
                <c:pt idx="12">
                  <c:v>-3.3300000000000005</c:v>
                </c:pt>
                <c:pt idx="13">
                  <c:v>-2.4500000000000006</c:v>
                </c:pt>
                <c:pt idx="14">
                  <c:v>-3.4500000000000006</c:v>
                </c:pt>
                <c:pt idx="15">
                  <c:v>-4.4500000000000011</c:v>
                </c:pt>
                <c:pt idx="16">
                  <c:v>-5.4500000000000011</c:v>
                </c:pt>
                <c:pt idx="17">
                  <c:v>-4.5410000000000013</c:v>
                </c:pt>
                <c:pt idx="18">
                  <c:v>-5.5410000000000013</c:v>
                </c:pt>
                <c:pt idx="19">
                  <c:v>-4.801000000000001</c:v>
                </c:pt>
                <c:pt idx="20">
                  <c:v>-3.9110000000000014</c:v>
                </c:pt>
                <c:pt idx="21">
                  <c:v>-4.9110000000000014</c:v>
                </c:pt>
                <c:pt idx="22">
                  <c:v>-4.1840000000000011</c:v>
                </c:pt>
                <c:pt idx="23">
                  <c:v>-5.1840000000000011</c:v>
                </c:pt>
                <c:pt idx="24">
                  <c:v>-6.1840000000000011</c:v>
                </c:pt>
                <c:pt idx="25">
                  <c:v>-5.2640000000000011</c:v>
                </c:pt>
                <c:pt idx="26">
                  <c:v>-4.2840000000000007</c:v>
                </c:pt>
                <c:pt idx="27">
                  <c:v>-3.5240000000000009</c:v>
                </c:pt>
                <c:pt idx="28">
                  <c:v>-4.5240000000000009</c:v>
                </c:pt>
                <c:pt idx="29">
                  <c:v>-3.5940000000000012</c:v>
                </c:pt>
                <c:pt idx="30">
                  <c:v>-4.5940000000000012</c:v>
                </c:pt>
                <c:pt idx="31">
                  <c:v>-3.7040000000000015</c:v>
                </c:pt>
                <c:pt idx="32">
                  <c:v>-2.8140000000000018</c:v>
                </c:pt>
                <c:pt idx="33">
                  <c:v>-1.7940000000000018</c:v>
                </c:pt>
                <c:pt idx="34">
                  <c:v>-0.87400000000000189</c:v>
                </c:pt>
                <c:pt idx="35">
                  <c:v>-1.8740000000000019</c:v>
                </c:pt>
                <c:pt idx="36">
                  <c:v>-2.8740000000000019</c:v>
                </c:pt>
                <c:pt idx="37">
                  <c:v>-1.8940000000000019</c:v>
                </c:pt>
                <c:pt idx="38">
                  <c:v>-0.99400000000000199</c:v>
                </c:pt>
                <c:pt idx="39">
                  <c:v>-1.994000000000002</c:v>
                </c:pt>
                <c:pt idx="40">
                  <c:v>-1.1140000000000021</c:v>
                </c:pt>
                <c:pt idx="41">
                  <c:v>-0.1140000000000021</c:v>
                </c:pt>
                <c:pt idx="42">
                  <c:v>0.69599999999999795</c:v>
                </c:pt>
                <c:pt idx="43">
                  <c:v>-0.30400000000000205</c:v>
                </c:pt>
                <c:pt idx="44">
                  <c:v>-1.304000000000002</c:v>
                </c:pt>
                <c:pt idx="45">
                  <c:v>-0.46400000000000197</c:v>
                </c:pt>
                <c:pt idx="46">
                  <c:v>0.50599999999999801</c:v>
                </c:pt>
                <c:pt idx="47">
                  <c:v>1.414999999999998</c:v>
                </c:pt>
                <c:pt idx="48">
                  <c:v>2.2749999999999981</c:v>
                </c:pt>
                <c:pt idx="49">
                  <c:v>1.2749999999999981</c:v>
                </c:pt>
                <c:pt idx="50">
                  <c:v>2.2249999999999979</c:v>
                </c:pt>
                <c:pt idx="51">
                  <c:v>3.2049999999999979</c:v>
                </c:pt>
                <c:pt idx="52">
                  <c:v>4.0749999999999975</c:v>
                </c:pt>
                <c:pt idx="53">
                  <c:v>3.0749999999999975</c:v>
                </c:pt>
                <c:pt idx="54">
                  <c:v>4.0849999999999973</c:v>
                </c:pt>
                <c:pt idx="55">
                  <c:v>4.9549999999999974</c:v>
                </c:pt>
                <c:pt idx="56">
                  <c:v>3.9549999999999974</c:v>
                </c:pt>
                <c:pt idx="57">
                  <c:v>4.8849999999999971</c:v>
                </c:pt>
                <c:pt idx="58">
                  <c:v>3.8849999999999971</c:v>
                </c:pt>
                <c:pt idx="59">
                  <c:v>4.7549999999999972</c:v>
                </c:pt>
                <c:pt idx="60">
                  <c:v>3.7549999999999972</c:v>
                </c:pt>
                <c:pt idx="61">
                  <c:v>4.6249999999999973</c:v>
                </c:pt>
                <c:pt idx="62">
                  <c:v>5.5249999999999968</c:v>
                </c:pt>
                <c:pt idx="63">
                  <c:v>4.5249999999999968</c:v>
                </c:pt>
                <c:pt idx="64">
                  <c:v>3.5249999999999968</c:v>
                </c:pt>
                <c:pt idx="65">
                  <c:v>2.5249999999999968</c:v>
                </c:pt>
                <c:pt idx="66">
                  <c:v>3.5349999999999966</c:v>
                </c:pt>
                <c:pt idx="67">
                  <c:v>4.1499999999999968</c:v>
                </c:pt>
                <c:pt idx="68">
                  <c:v>5.0699999999999967</c:v>
                </c:pt>
                <c:pt idx="69">
                  <c:v>5.9099999999999966</c:v>
                </c:pt>
                <c:pt idx="70">
                  <c:v>6.8189999999999964</c:v>
                </c:pt>
                <c:pt idx="71">
                  <c:v>7.7989999999999959</c:v>
                </c:pt>
                <c:pt idx="72">
                  <c:v>8.7079999999999966</c:v>
                </c:pt>
                <c:pt idx="73">
                  <c:v>9.7679999999999971</c:v>
                </c:pt>
                <c:pt idx="74">
                  <c:v>8.7679999999999971</c:v>
                </c:pt>
                <c:pt idx="75">
                  <c:v>9.8979999999999961</c:v>
                </c:pt>
                <c:pt idx="76">
                  <c:v>10.827999999999996</c:v>
                </c:pt>
                <c:pt idx="77">
                  <c:v>11.707999999999995</c:v>
                </c:pt>
                <c:pt idx="78">
                  <c:v>12.577999999999996</c:v>
                </c:pt>
                <c:pt idx="79">
                  <c:v>13.447999999999997</c:v>
                </c:pt>
                <c:pt idx="80">
                  <c:v>12.447999999999997</c:v>
                </c:pt>
                <c:pt idx="81">
                  <c:v>11.447999999999997</c:v>
                </c:pt>
                <c:pt idx="82">
                  <c:v>10.447999999999997</c:v>
                </c:pt>
                <c:pt idx="83">
                  <c:v>11.447999999999997</c:v>
                </c:pt>
                <c:pt idx="84">
                  <c:v>10.447999999999997</c:v>
                </c:pt>
                <c:pt idx="85">
                  <c:v>9.4479999999999968</c:v>
                </c:pt>
                <c:pt idx="86">
                  <c:v>8.4479999999999968</c:v>
                </c:pt>
                <c:pt idx="87">
                  <c:v>9.3179999999999978</c:v>
                </c:pt>
                <c:pt idx="88">
                  <c:v>9.9579999999999984</c:v>
                </c:pt>
                <c:pt idx="89">
                  <c:v>10.937999999999999</c:v>
                </c:pt>
                <c:pt idx="90">
                  <c:v>11.687999999999999</c:v>
                </c:pt>
                <c:pt idx="91">
                  <c:v>10.687999999999999</c:v>
                </c:pt>
                <c:pt idx="92">
                  <c:v>11.637999999999998</c:v>
                </c:pt>
                <c:pt idx="93">
                  <c:v>10.637999999999998</c:v>
                </c:pt>
                <c:pt idx="94">
                  <c:v>9.6379999999999981</c:v>
                </c:pt>
                <c:pt idx="95">
                  <c:v>8.6379999999999981</c:v>
                </c:pt>
                <c:pt idx="96">
                  <c:v>7.6379999999999981</c:v>
                </c:pt>
                <c:pt idx="97">
                  <c:v>8.4709999999999983</c:v>
                </c:pt>
                <c:pt idx="98">
                  <c:v>9.4709999999999983</c:v>
                </c:pt>
                <c:pt idx="99">
                  <c:v>10.530999999999999</c:v>
                </c:pt>
                <c:pt idx="100">
                  <c:v>9.5309999999999988</c:v>
                </c:pt>
                <c:pt idx="101">
                  <c:v>10.410999999999998</c:v>
                </c:pt>
                <c:pt idx="102">
                  <c:v>11.210999999999999</c:v>
                </c:pt>
                <c:pt idx="103">
                  <c:v>10.210999999999999</c:v>
                </c:pt>
                <c:pt idx="104">
                  <c:v>11.190999999999999</c:v>
                </c:pt>
                <c:pt idx="105">
                  <c:v>10.190999999999999</c:v>
                </c:pt>
                <c:pt idx="106">
                  <c:v>11.220999999999998</c:v>
                </c:pt>
                <c:pt idx="107">
                  <c:v>10.220999999999998</c:v>
                </c:pt>
                <c:pt idx="108">
                  <c:v>9.2209999999999983</c:v>
                </c:pt>
                <c:pt idx="109">
                  <c:v>10.150999999999998</c:v>
                </c:pt>
                <c:pt idx="110">
                  <c:v>11.210999999999999</c:v>
                </c:pt>
                <c:pt idx="111">
                  <c:v>12.081</c:v>
                </c:pt>
                <c:pt idx="112">
                  <c:v>13.090999999999999</c:v>
                </c:pt>
                <c:pt idx="113">
                  <c:v>14.061</c:v>
                </c:pt>
                <c:pt idx="114">
                  <c:v>13.061</c:v>
                </c:pt>
                <c:pt idx="115">
                  <c:v>13.940999999999999</c:v>
                </c:pt>
                <c:pt idx="116">
                  <c:v>14.710999999999999</c:v>
                </c:pt>
                <c:pt idx="117">
                  <c:v>15.710999999999999</c:v>
                </c:pt>
                <c:pt idx="118">
                  <c:v>14.710999999999999</c:v>
                </c:pt>
                <c:pt idx="119">
                  <c:v>15.540999999999999</c:v>
                </c:pt>
                <c:pt idx="120">
                  <c:v>16.500999999999998</c:v>
                </c:pt>
                <c:pt idx="121">
                  <c:v>17.560999999999996</c:v>
                </c:pt>
                <c:pt idx="122">
                  <c:v>18.430999999999997</c:v>
                </c:pt>
                <c:pt idx="123">
                  <c:v>17.430999999999997</c:v>
                </c:pt>
                <c:pt idx="124">
                  <c:v>18.240999999999996</c:v>
                </c:pt>
                <c:pt idx="125">
                  <c:v>19.110999999999997</c:v>
                </c:pt>
                <c:pt idx="126">
                  <c:v>20.090999999999998</c:v>
                </c:pt>
                <c:pt idx="127">
                  <c:v>21.110999999999997</c:v>
                </c:pt>
                <c:pt idx="128">
                  <c:v>22.110999999999997</c:v>
                </c:pt>
                <c:pt idx="129">
                  <c:v>21.110999999999997</c:v>
                </c:pt>
                <c:pt idx="130">
                  <c:v>20.110999999999997</c:v>
                </c:pt>
                <c:pt idx="131">
                  <c:v>21.180999999999997</c:v>
                </c:pt>
                <c:pt idx="132">
                  <c:v>22.400999999999996</c:v>
                </c:pt>
                <c:pt idx="133">
                  <c:v>21.400999999999996</c:v>
                </c:pt>
                <c:pt idx="134">
                  <c:v>20.400999999999996</c:v>
                </c:pt>
                <c:pt idx="135">
                  <c:v>21.370999999999995</c:v>
                </c:pt>
                <c:pt idx="136">
                  <c:v>20.370999999999995</c:v>
                </c:pt>
                <c:pt idx="137">
                  <c:v>19.370999999999995</c:v>
                </c:pt>
                <c:pt idx="138">
                  <c:v>18.370999999999995</c:v>
                </c:pt>
                <c:pt idx="139">
                  <c:v>19.290999999999997</c:v>
                </c:pt>
                <c:pt idx="140">
                  <c:v>18.290999999999997</c:v>
                </c:pt>
                <c:pt idx="141">
                  <c:v>19.260999999999996</c:v>
                </c:pt>
                <c:pt idx="142">
                  <c:v>18.260999999999996</c:v>
                </c:pt>
              </c:numCache>
            </c:numRef>
          </c:val>
          <c:smooth val="0"/>
          <c:extLst>
            <c:ext xmlns:c16="http://schemas.microsoft.com/office/drawing/2014/chart" uri="{C3380CC4-5D6E-409C-BE32-E72D297353CC}">
              <c16:uniqueId val="{00000000-EFFA-412A-9DD3-25D57BB57538}"/>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27-496E-A024-A2531953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27-496E-A024-A2531953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40-49B8-9DBF-D6364D8794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40-49B8-9DBF-D6364D879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Torta!$A$4:$A$7</c:f>
              <c:strCache>
                <c:ptCount val="4"/>
                <c:pt idx="0">
                  <c:v>Ysi</c:v>
                </c:pt>
                <c:pt idx="1">
                  <c:v>Roso</c:v>
                </c:pt>
                <c:pt idx="2">
                  <c:v>Sarahi</c:v>
                </c:pt>
                <c:pt idx="3">
                  <c:v>Franklin</c:v>
                </c:pt>
              </c:strCache>
            </c:strRef>
          </c:cat>
          <c:val>
            <c:numRef>
              <c:f>Torta!$D$4:$D$7</c:f>
              <c:numCache>
                <c:formatCode>"$"#,##0.00</c:formatCode>
                <c:ptCount val="4"/>
                <c:pt idx="0">
                  <c:v>0</c:v>
                </c:pt>
                <c:pt idx="1">
                  <c:v>0</c:v>
                </c:pt>
                <c:pt idx="2">
                  <c:v>0</c:v>
                </c:pt>
                <c:pt idx="3">
                  <c:v>0</c:v>
                </c:pt>
              </c:numCache>
            </c:numRef>
          </c:val>
          <c:extLst>
            <c:ext xmlns:c16="http://schemas.microsoft.com/office/drawing/2014/chart" uri="{C3380CC4-5D6E-409C-BE32-E72D297353CC}">
              <c16:uniqueId val="{00000000-462A-4C61-ACF6-C4DCEDC7D07C}"/>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727-496E-A024-A2531953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727-496E-A024-A2531953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3E40-49B8-9DBF-D6364D8794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3E40-49B8-9DBF-D6364D879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Torta!$A$4:$A$7</c:f>
              <c:strCache>
                <c:ptCount val="4"/>
                <c:pt idx="0">
                  <c:v>Ysi</c:v>
                </c:pt>
                <c:pt idx="1">
                  <c:v>Roso</c:v>
                </c:pt>
                <c:pt idx="2">
                  <c:v>Sarahi</c:v>
                </c:pt>
                <c:pt idx="3">
                  <c:v>Franklin</c:v>
                </c:pt>
              </c:strCache>
            </c:strRef>
          </c:cat>
          <c:val>
            <c:numRef>
              <c:f>Torta!$C$4:$C$7</c:f>
              <c:numCache>
                <c:formatCode>0.00%</c:formatCode>
                <c:ptCount val="4"/>
                <c:pt idx="0">
                  <c:v>1.8454449838109805E-2</c:v>
                </c:pt>
                <c:pt idx="1">
                  <c:v>1.9223923382567093E-2</c:v>
                </c:pt>
                <c:pt idx="2">
                  <c:v>0.10067923074015588</c:v>
                </c:pt>
                <c:pt idx="3">
                  <c:v>0.86164239603916715</c:v>
                </c:pt>
              </c:numCache>
            </c:numRef>
          </c:val>
          <c:extLst>
            <c:ext xmlns:c16="http://schemas.microsoft.com/office/drawing/2014/chart" uri="{C3380CC4-5D6E-409C-BE32-E72D297353CC}">
              <c16:uniqueId val="{00000001-462A-4C61-ACF6-C4DCEDC7D07C}"/>
            </c:ext>
          </c:extLst>
        </c:ser>
        <c:ser>
          <c:idx val="2"/>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727-496E-A024-A2531953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727-496E-A024-A2531953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3E40-49B8-9DBF-D6364D8794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3E40-49B8-9DBF-D6364D879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Torta!$A$4:$A$7</c:f>
              <c:strCache>
                <c:ptCount val="4"/>
                <c:pt idx="0">
                  <c:v>Ysi</c:v>
                </c:pt>
                <c:pt idx="1">
                  <c:v>Roso</c:v>
                </c:pt>
                <c:pt idx="2">
                  <c:v>Sarahi</c:v>
                </c:pt>
                <c:pt idx="3">
                  <c:v>Franklin</c:v>
                </c:pt>
              </c:strCache>
            </c:strRef>
          </c:cat>
          <c:val>
            <c:numRef>
              <c:f>Torta!$D$4:$D$7</c:f>
              <c:numCache>
                <c:formatCode>"$"#,##0.00</c:formatCode>
                <c:ptCount val="4"/>
                <c:pt idx="0">
                  <c:v>0</c:v>
                </c:pt>
                <c:pt idx="1">
                  <c:v>0</c:v>
                </c:pt>
                <c:pt idx="2">
                  <c:v>0</c:v>
                </c:pt>
                <c:pt idx="3">
                  <c:v>0</c:v>
                </c:pt>
              </c:numCache>
            </c:numRef>
          </c:val>
          <c:extLst>
            <c:ext xmlns:c16="http://schemas.microsoft.com/office/drawing/2014/chart" uri="{C3380CC4-5D6E-409C-BE32-E72D297353CC}">
              <c16:uniqueId val="{00000002-462A-4C61-ACF6-C4DCEDC7D07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NBA!$G$2:$G$1890</c:f>
              <c:numCache>
                <c:formatCode>#,##0.00;[Red]#,##0.00</c:formatCode>
                <c:ptCount val="1889"/>
                <c:pt idx="0">
                  <c:v>2.2412000000000005</c:v>
                </c:pt>
                <c:pt idx="1">
                  <c:v>4.5811999999999999</c:v>
                </c:pt>
                <c:pt idx="2">
                  <c:v>6.9211999999999989</c:v>
                </c:pt>
                <c:pt idx="3">
                  <c:v>4.3211999999999993</c:v>
                </c:pt>
                <c:pt idx="4">
                  <c:v>1.7211999999999992</c:v>
                </c:pt>
                <c:pt idx="5">
                  <c:v>3.5515999999999988</c:v>
                </c:pt>
                <c:pt idx="6">
                  <c:v>5.6263999999999985</c:v>
                </c:pt>
                <c:pt idx="7">
                  <c:v>3.0263999999999984</c:v>
                </c:pt>
                <c:pt idx="8">
                  <c:v>0.42639999999999834</c:v>
                </c:pt>
                <c:pt idx="9">
                  <c:v>2.0019999999999984</c:v>
                </c:pt>
                <c:pt idx="10">
                  <c:v>3.5775999999999986</c:v>
                </c:pt>
                <c:pt idx="11">
                  <c:v>5.1531999999999982</c:v>
                </c:pt>
                <c:pt idx="12">
                  <c:v>6.7287999999999979</c:v>
                </c:pt>
                <c:pt idx="13">
                  <c:v>4.1287999999999982</c:v>
                </c:pt>
                <c:pt idx="14">
                  <c:v>1.5287999999999982</c:v>
                </c:pt>
                <c:pt idx="15">
                  <c:v>-2.3712000000000018</c:v>
                </c:pt>
                <c:pt idx="16">
                  <c:v>0.92429999999999835</c:v>
                </c:pt>
                <c:pt idx="17">
                  <c:v>-2.9757000000000016</c:v>
                </c:pt>
                <c:pt idx="18">
                  <c:v>-6.8757000000000019</c:v>
                </c:pt>
                <c:pt idx="19">
                  <c:v>-3.8961000000000019</c:v>
                </c:pt>
                <c:pt idx="20">
                  <c:v>-0.38610000000000255</c:v>
                </c:pt>
                <c:pt idx="21">
                  <c:v>-4.2861000000000029</c:v>
                </c:pt>
                <c:pt idx="22">
                  <c:v>-1.922700000000003</c:v>
                </c:pt>
                <c:pt idx="23">
                  <c:v>0.44069999999999698</c:v>
                </c:pt>
                <c:pt idx="24">
                  <c:v>-1.509300000000003</c:v>
                </c:pt>
                <c:pt idx="25">
                  <c:v>-3.4593000000000029</c:v>
                </c:pt>
                <c:pt idx="26">
                  <c:v>-1.9500000000000031</c:v>
                </c:pt>
                <c:pt idx="27">
                  <c:v>-0.42120000000000291</c:v>
                </c:pt>
                <c:pt idx="28">
                  <c:v>-2.3712000000000026</c:v>
                </c:pt>
                <c:pt idx="29">
                  <c:v>-0.54015000000000257</c:v>
                </c:pt>
                <c:pt idx="30">
                  <c:v>0.72734999999999728</c:v>
                </c:pt>
                <c:pt idx="31">
                  <c:v>2.4823499999999967</c:v>
                </c:pt>
                <c:pt idx="32">
                  <c:v>4.2373499999999966</c:v>
                </c:pt>
                <c:pt idx="33">
                  <c:v>2.2873499999999964</c:v>
                </c:pt>
                <c:pt idx="34">
                  <c:v>0.33734999999999649</c:v>
                </c:pt>
                <c:pt idx="35">
                  <c:v>1.5190499999999965</c:v>
                </c:pt>
                <c:pt idx="36">
                  <c:v>1.5190499999999965</c:v>
                </c:pt>
                <c:pt idx="37">
                  <c:v>2.7007499999999967</c:v>
                </c:pt>
                <c:pt idx="38">
                  <c:v>3.8824499999999968</c:v>
                </c:pt>
                <c:pt idx="39">
                  <c:v>1.9324499999999969</c:v>
                </c:pt>
                <c:pt idx="40">
                  <c:v>3.1141499999999969</c:v>
                </c:pt>
                <c:pt idx="41">
                  <c:v>10.143149999999995</c:v>
                </c:pt>
                <c:pt idx="42">
                  <c:v>2.3331499999999954</c:v>
                </c:pt>
                <c:pt idx="43">
                  <c:v>9.3621499999999944</c:v>
                </c:pt>
                <c:pt idx="44">
                  <c:v>16.391149999999993</c:v>
                </c:pt>
                <c:pt idx="45">
                  <c:v>21.124009999999991</c:v>
                </c:pt>
                <c:pt idx="46">
                  <c:v>25.85686999999999</c:v>
                </c:pt>
                <c:pt idx="47">
                  <c:v>30.589729999999989</c:v>
                </c:pt>
                <c:pt idx="48">
                  <c:v>33.028729999999989</c:v>
                </c:pt>
                <c:pt idx="49">
                  <c:v>30.318729999999988</c:v>
                </c:pt>
                <c:pt idx="50">
                  <c:v>27.608729999999987</c:v>
                </c:pt>
                <c:pt idx="51">
                  <c:v>29.733369999999987</c:v>
                </c:pt>
                <c:pt idx="52">
                  <c:v>27.023369999999986</c:v>
                </c:pt>
                <c:pt idx="53">
                  <c:v>29.104649999999985</c:v>
                </c:pt>
                <c:pt idx="54">
                  <c:v>26.394649999999984</c:v>
                </c:pt>
                <c:pt idx="55">
                  <c:v>28.833649999999984</c:v>
                </c:pt>
                <c:pt idx="56">
                  <c:v>26.123649999999984</c:v>
                </c:pt>
                <c:pt idx="57">
                  <c:v>27.765909999999984</c:v>
                </c:pt>
                <c:pt idx="58">
                  <c:v>29.419009999999986</c:v>
                </c:pt>
                <c:pt idx="59">
                  <c:v>26.709009999999985</c:v>
                </c:pt>
                <c:pt idx="60">
                  <c:v>28.351269999999985</c:v>
                </c:pt>
                <c:pt idx="61">
                  <c:v>25.641269999999984</c:v>
                </c:pt>
                <c:pt idx="62">
                  <c:v>20.801269999999985</c:v>
                </c:pt>
                <c:pt idx="63">
                  <c:v>24.750709999999984</c:v>
                </c:pt>
                <c:pt idx="64">
                  <c:v>29.590709999999984</c:v>
                </c:pt>
                <c:pt idx="65">
                  <c:v>24.750709999999984</c:v>
                </c:pt>
                <c:pt idx="66">
                  <c:v>19.910709999999984</c:v>
                </c:pt>
                <c:pt idx="67">
                  <c:v>15.070709999999984</c:v>
                </c:pt>
                <c:pt idx="68">
                  <c:v>10.230709999999984</c:v>
                </c:pt>
                <c:pt idx="69">
                  <c:v>5.3907099999999843</c:v>
                </c:pt>
                <c:pt idx="70">
                  <c:v>0.55070999999998449</c:v>
                </c:pt>
                <c:pt idx="71">
                  <c:v>3.2925899999999846</c:v>
                </c:pt>
                <c:pt idx="72">
                  <c:v>5.7045099999999849</c:v>
                </c:pt>
                <c:pt idx="73">
                  <c:v>7.9937899999999846</c:v>
                </c:pt>
                <c:pt idx="74">
                  <c:v>10.283069999999984</c:v>
                </c:pt>
                <c:pt idx="75">
                  <c:v>13.024949999999984</c:v>
                </c:pt>
                <c:pt idx="76">
                  <c:v>10.104949999999985</c:v>
                </c:pt>
                <c:pt idx="77">
                  <c:v>12.732949999999985</c:v>
                </c:pt>
                <c:pt idx="78">
                  <c:v>9.8129499999999847</c:v>
                </c:pt>
                <c:pt idx="79">
                  <c:v>12.143109999999986</c:v>
                </c:pt>
                <c:pt idx="80">
                  <c:v>14.406109999999986</c:v>
                </c:pt>
                <c:pt idx="81">
                  <c:v>16.353749999999984</c:v>
                </c:pt>
                <c:pt idx="82">
                  <c:v>18.397749999999984</c:v>
                </c:pt>
                <c:pt idx="83">
                  <c:v>20.222749999999984</c:v>
                </c:pt>
                <c:pt idx="84">
                  <c:v>22.179149999999982</c:v>
                </c:pt>
                <c:pt idx="85">
                  <c:v>24.18810999999998</c:v>
                </c:pt>
                <c:pt idx="86">
                  <c:v>21.168109999999981</c:v>
                </c:pt>
                <c:pt idx="87">
                  <c:v>23.67470999999998</c:v>
                </c:pt>
                <c:pt idx="88">
                  <c:v>25.994069999999979</c:v>
                </c:pt>
                <c:pt idx="89">
                  <c:v>22.97406999999998</c:v>
                </c:pt>
                <c:pt idx="90">
                  <c:v>19.95406999999998</c:v>
                </c:pt>
                <c:pt idx="91">
                  <c:v>16.934069999999981</c:v>
                </c:pt>
                <c:pt idx="92">
                  <c:v>19.25342999999998</c:v>
                </c:pt>
                <c:pt idx="93">
                  <c:v>16.233429999999981</c:v>
                </c:pt>
                <c:pt idx="94">
                  <c:v>18.063549999999982</c:v>
                </c:pt>
                <c:pt idx="95">
                  <c:v>19.951049999999981</c:v>
                </c:pt>
                <c:pt idx="96">
                  <c:v>16.931049999999981</c:v>
                </c:pt>
                <c:pt idx="97">
                  <c:v>19.07222999999998</c:v>
                </c:pt>
                <c:pt idx="98">
                  <c:v>22.16447999999998</c:v>
                </c:pt>
                <c:pt idx="99">
                  <c:v>18.174479999999981</c:v>
                </c:pt>
                <c:pt idx="100">
                  <c:v>21.302639999999982</c:v>
                </c:pt>
                <c:pt idx="101">
                  <c:v>17.31263999999998</c:v>
                </c:pt>
                <c:pt idx="102">
                  <c:v>13.32263999999998</c:v>
                </c:pt>
                <c:pt idx="103">
                  <c:v>9.3326399999999801</c:v>
                </c:pt>
                <c:pt idx="104">
                  <c:v>11.786489999999979</c:v>
                </c:pt>
                <c:pt idx="105">
                  <c:v>7.796489999999979</c:v>
                </c:pt>
                <c:pt idx="106">
                  <c:v>10.469789999999978</c:v>
                </c:pt>
                <c:pt idx="107">
                  <c:v>6.4797899999999782</c:v>
                </c:pt>
                <c:pt idx="108">
                  <c:v>3.8597899999999781</c:v>
                </c:pt>
                <c:pt idx="109">
                  <c:v>1.239789999999978</c:v>
                </c:pt>
                <c:pt idx="110">
                  <c:v>-1.3802100000000221</c:v>
                </c:pt>
                <c:pt idx="111">
                  <c:v>0.71054999999997825</c:v>
                </c:pt>
                <c:pt idx="112">
                  <c:v>-1.9094500000000219</c:v>
                </c:pt>
                <c:pt idx="113">
                  <c:v>0.18130999999997854</c:v>
                </c:pt>
                <c:pt idx="114">
                  <c:v>-2.4386900000000216</c:v>
                </c:pt>
                <c:pt idx="115">
                  <c:v>-5.0586900000000217</c:v>
                </c:pt>
                <c:pt idx="116">
                  <c:v>-3.4080900000000218</c:v>
                </c:pt>
                <c:pt idx="117">
                  <c:v>-6.0280900000000219</c:v>
                </c:pt>
                <c:pt idx="118">
                  <c:v>-11.808090000000021</c:v>
                </c:pt>
                <c:pt idx="119">
                  <c:v>-6.6060900000000222</c:v>
                </c:pt>
                <c:pt idx="120">
                  <c:v>-1.4040900000000232</c:v>
                </c:pt>
                <c:pt idx="121">
                  <c:v>3.7979099999999759</c:v>
                </c:pt>
                <c:pt idx="122">
                  <c:v>8.999909999999975</c:v>
                </c:pt>
                <c:pt idx="123">
                  <c:v>12.496809999999975</c:v>
                </c:pt>
                <c:pt idx="124">
                  <c:v>15.999489999999977</c:v>
                </c:pt>
                <c:pt idx="125">
                  <c:v>19.502169999999978</c:v>
                </c:pt>
                <c:pt idx="126">
                  <c:v>23.00484999999998</c:v>
                </c:pt>
                <c:pt idx="127">
                  <c:v>19.994849999999978</c:v>
                </c:pt>
                <c:pt idx="128">
                  <c:v>22.703849999999978</c:v>
                </c:pt>
                <c:pt idx="129">
                  <c:v>19.693849999999976</c:v>
                </c:pt>
                <c:pt idx="130">
                  <c:v>22.095829999999978</c:v>
                </c:pt>
                <c:pt idx="131">
                  <c:v>24.503829999999979</c:v>
                </c:pt>
                <c:pt idx="132">
                  <c:v>21.493829999999981</c:v>
                </c:pt>
                <c:pt idx="133">
                  <c:v>18.483829999999983</c:v>
                </c:pt>
                <c:pt idx="134">
                  <c:v>21.192829999999983</c:v>
                </c:pt>
                <c:pt idx="135">
                  <c:v>18.182829999999981</c:v>
                </c:pt>
                <c:pt idx="136">
                  <c:v>15.172829999999982</c:v>
                </c:pt>
                <c:pt idx="137">
                  <c:v>16.996889999999983</c:v>
                </c:pt>
                <c:pt idx="138">
                  <c:v>20.065889999999982</c:v>
                </c:pt>
                <c:pt idx="139">
                  <c:v>23.16898999999998</c:v>
                </c:pt>
                <c:pt idx="140">
                  <c:v>26.237989999999979</c:v>
                </c:pt>
                <c:pt idx="141">
                  <c:v>22.827989999999978</c:v>
                </c:pt>
                <c:pt idx="142">
                  <c:v>25.55598999999998</c:v>
                </c:pt>
                <c:pt idx="143">
                  <c:v>22.14598999999998</c:v>
                </c:pt>
                <c:pt idx="144">
                  <c:v>24.277239999999978</c:v>
                </c:pt>
                <c:pt idx="145">
                  <c:v>20.867239999999978</c:v>
                </c:pt>
                <c:pt idx="146">
                  <c:v>23.254239999999978</c:v>
                </c:pt>
                <c:pt idx="147">
                  <c:v>19.844239999999978</c:v>
                </c:pt>
                <c:pt idx="148">
                  <c:v>16.844239999999978</c:v>
                </c:pt>
                <c:pt idx="149">
                  <c:v>13.844239999999978</c:v>
                </c:pt>
                <c:pt idx="150">
                  <c:v>10.844239999999978</c:v>
                </c:pt>
                <c:pt idx="151">
                  <c:v>7.8442399999999779</c:v>
                </c:pt>
                <c:pt idx="152">
                  <c:v>4.8442399999999779</c:v>
                </c:pt>
                <c:pt idx="153">
                  <c:v>7.5442399999999772</c:v>
                </c:pt>
                <c:pt idx="154">
                  <c:v>10.244239999999976</c:v>
                </c:pt>
                <c:pt idx="155">
                  <c:v>7.2442399999999765</c:v>
                </c:pt>
                <c:pt idx="156">
                  <c:v>4.2442399999999765</c:v>
                </c:pt>
                <c:pt idx="157">
                  <c:v>1.2442399999999765</c:v>
                </c:pt>
                <c:pt idx="158">
                  <c:v>-1.7557600000000235</c:v>
                </c:pt>
                <c:pt idx="159">
                  <c:v>-4.7557600000000235</c:v>
                </c:pt>
                <c:pt idx="160">
                  <c:v>-7.7557600000000235</c:v>
                </c:pt>
                <c:pt idx="161">
                  <c:v>-10.065760000000024</c:v>
                </c:pt>
                <c:pt idx="162">
                  <c:v>-7.9867600000000234</c:v>
                </c:pt>
                <c:pt idx="163">
                  <c:v>-5.9077600000000228</c:v>
                </c:pt>
                <c:pt idx="164">
                  <c:v>-8.2177600000000233</c:v>
                </c:pt>
                <c:pt idx="165">
                  <c:v>-10.527760000000024</c:v>
                </c:pt>
                <c:pt idx="166">
                  <c:v>-12.837760000000024</c:v>
                </c:pt>
                <c:pt idx="167">
                  <c:v>-15.147760000000025</c:v>
                </c:pt>
                <c:pt idx="168">
                  <c:v>-13.359820000000024</c:v>
                </c:pt>
                <c:pt idx="169">
                  <c:v>-11.775160000000024</c:v>
                </c:pt>
                <c:pt idx="170">
                  <c:v>-14.085160000000025</c:v>
                </c:pt>
                <c:pt idx="171">
                  <c:v>-16.395160000000025</c:v>
                </c:pt>
                <c:pt idx="172">
                  <c:v>-18.705160000000024</c:v>
                </c:pt>
                <c:pt idx="173">
                  <c:v>-26.275160000000024</c:v>
                </c:pt>
                <c:pt idx="174">
                  <c:v>-20.234300000000026</c:v>
                </c:pt>
                <c:pt idx="175">
                  <c:v>-27.804300000000026</c:v>
                </c:pt>
                <c:pt idx="176">
                  <c:v>-22.581000000000024</c:v>
                </c:pt>
                <c:pt idx="177">
                  <c:v>-17.176020000000022</c:v>
                </c:pt>
                <c:pt idx="178">
                  <c:v>-19.706020000000024</c:v>
                </c:pt>
                <c:pt idx="179">
                  <c:v>-24.706020000000024</c:v>
                </c:pt>
                <c:pt idx="180">
                  <c:v>-27.236020000000025</c:v>
                </c:pt>
                <c:pt idx="181">
                  <c:v>-25.217080000000024</c:v>
                </c:pt>
                <c:pt idx="182">
                  <c:v>-27.747080000000025</c:v>
                </c:pt>
                <c:pt idx="183">
                  <c:v>-30.277080000000026</c:v>
                </c:pt>
                <c:pt idx="184">
                  <c:v>-28.293560000000028</c:v>
                </c:pt>
                <c:pt idx="185">
                  <c:v>-30.823560000000029</c:v>
                </c:pt>
                <c:pt idx="186">
                  <c:v>-33.35356000000003</c:v>
                </c:pt>
                <c:pt idx="187">
                  <c:v>-35.883560000000031</c:v>
                </c:pt>
                <c:pt idx="188">
                  <c:v>-33.97594000000003</c:v>
                </c:pt>
                <c:pt idx="189">
                  <c:v>-36.505940000000031</c:v>
                </c:pt>
                <c:pt idx="190">
                  <c:v>-34.699520000000028</c:v>
                </c:pt>
                <c:pt idx="191">
                  <c:v>-37.229520000000029</c:v>
                </c:pt>
                <c:pt idx="192">
                  <c:v>-39.75952000000003</c:v>
                </c:pt>
                <c:pt idx="193">
                  <c:v>-38.013820000000031</c:v>
                </c:pt>
                <c:pt idx="194">
                  <c:v>-40.543820000000032</c:v>
                </c:pt>
                <c:pt idx="195">
                  <c:v>-43.073820000000033</c:v>
                </c:pt>
                <c:pt idx="196">
                  <c:v>-41.621120000000033</c:v>
                </c:pt>
                <c:pt idx="197">
                  <c:v>-43.611120000000035</c:v>
                </c:pt>
                <c:pt idx="198">
                  <c:v>-45.601120000000037</c:v>
                </c:pt>
                <c:pt idx="199">
                  <c:v>-47.591120000000039</c:v>
                </c:pt>
                <c:pt idx="200">
                  <c:v>-49.581120000000041</c:v>
                </c:pt>
                <c:pt idx="201">
                  <c:v>-47.993100000000041</c:v>
                </c:pt>
                <c:pt idx="202">
                  <c:v>-46.202100000000044</c:v>
                </c:pt>
                <c:pt idx="203">
                  <c:v>-44.391200000000048</c:v>
                </c:pt>
                <c:pt idx="204">
                  <c:v>-46.381200000000049</c:v>
                </c:pt>
                <c:pt idx="205">
                  <c:v>-48.371200000000051</c:v>
                </c:pt>
                <c:pt idx="206">
                  <c:v>-46.858800000000052</c:v>
                </c:pt>
                <c:pt idx="207">
                  <c:v>-48.848800000000054</c:v>
                </c:pt>
                <c:pt idx="208">
                  <c:v>-47.455800000000053</c:v>
                </c:pt>
                <c:pt idx="209">
                  <c:v>-49.445800000000055</c:v>
                </c:pt>
                <c:pt idx="210">
                  <c:v>-51.435800000000057</c:v>
                </c:pt>
                <c:pt idx="211">
                  <c:v>-49.981110000000058</c:v>
                </c:pt>
                <c:pt idx="212">
                  <c:v>-48.564230000000059</c:v>
                </c:pt>
                <c:pt idx="213">
                  <c:v>-50.554230000000061</c:v>
                </c:pt>
                <c:pt idx="214">
                  <c:v>-48.304930000000063</c:v>
                </c:pt>
                <c:pt idx="215">
                  <c:v>-51.014930000000064</c:v>
                </c:pt>
                <c:pt idx="216">
                  <c:v>-53.724930000000064</c:v>
                </c:pt>
                <c:pt idx="217">
                  <c:v>-56.434930000000065</c:v>
                </c:pt>
                <c:pt idx="218">
                  <c:v>-53.995930000000065</c:v>
                </c:pt>
                <c:pt idx="219">
                  <c:v>-52.017630000000068</c:v>
                </c:pt>
                <c:pt idx="220">
                  <c:v>-49.578630000000068</c:v>
                </c:pt>
                <c:pt idx="221">
                  <c:v>-52.288630000000069</c:v>
                </c:pt>
                <c:pt idx="222">
                  <c:v>-50.429570000000069</c:v>
                </c:pt>
                <c:pt idx="223">
                  <c:v>-53.13957000000007</c:v>
                </c:pt>
                <c:pt idx="224">
                  <c:v>-55.849570000000071</c:v>
                </c:pt>
                <c:pt idx="225">
                  <c:v>-58.559570000000072</c:v>
                </c:pt>
                <c:pt idx="226">
                  <c:v>-56.156570000000073</c:v>
                </c:pt>
                <c:pt idx="227">
                  <c:v>-53.753570000000074</c:v>
                </c:pt>
                <c:pt idx="228">
                  <c:v>-51.350570000000076</c:v>
                </c:pt>
                <c:pt idx="229">
                  <c:v>-54.020570000000077</c:v>
                </c:pt>
                <c:pt idx="230">
                  <c:v>-56.690570000000079</c:v>
                </c:pt>
                <c:pt idx="231">
                  <c:v>-59.360570000000081</c:v>
                </c:pt>
                <c:pt idx="232">
                  <c:v>-56.957570000000082</c:v>
                </c:pt>
                <c:pt idx="233">
                  <c:v>-59.627570000000084</c:v>
                </c:pt>
                <c:pt idx="234">
                  <c:v>-57.726530000000082</c:v>
                </c:pt>
                <c:pt idx="235">
                  <c:v>-55.820150000000083</c:v>
                </c:pt>
                <c:pt idx="236">
                  <c:v>-58.490150000000085</c:v>
                </c:pt>
                <c:pt idx="237">
                  <c:v>-60.870150000000088</c:v>
                </c:pt>
                <c:pt idx="238">
                  <c:v>-58.490150000000085</c:v>
                </c:pt>
                <c:pt idx="239">
                  <c:v>-56.586150000000089</c:v>
                </c:pt>
                <c:pt idx="240">
                  <c:v>-54.420350000000091</c:v>
                </c:pt>
                <c:pt idx="241">
                  <c:v>-52.278350000000088</c:v>
                </c:pt>
                <c:pt idx="242">
                  <c:v>-50.136350000000093</c:v>
                </c:pt>
                <c:pt idx="243">
                  <c:v>-47.994350000000097</c:v>
                </c:pt>
                <c:pt idx="244">
                  <c:v>-50.374350000000099</c:v>
                </c:pt>
                <c:pt idx="245">
                  <c:v>-48.232350000000096</c:v>
                </c:pt>
                <c:pt idx="246">
                  <c:v>-46.0903500000001</c:v>
                </c:pt>
                <c:pt idx="247">
                  <c:v>-43.948350000000104</c:v>
                </c:pt>
                <c:pt idx="248">
                  <c:v>-42.130030000000104</c:v>
                </c:pt>
                <c:pt idx="249">
                  <c:v>-44.510030000000107</c:v>
                </c:pt>
                <c:pt idx="250">
                  <c:v>-46.89003000000011</c:v>
                </c:pt>
                <c:pt idx="251">
                  <c:v>-45.152630000000109</c:v>
                </c:pt>
                <c:pt idx="252">
                  <c:v>-43.453310000000108</c:v>
                </c:pt>
                <c:pt idx="253">
                  <c:v>-45.833310000000111</c:v>
                </c:pt>
                <c:pt idx="254">
                  <c:v>-44.09591000000011</c:v>
                </c:pt>
                <c:pt idx="255">
                  <c:v>-42.401350000000107</c:v>
                </c:pt>
                <c:pt idx="256">
                  <c:v>-40.706790000000105</c:v>
                </c:pt>
                <c:pt idx="257">
                  <c:v>-44.366790000000108</c:v>
                </c:pt>
                <c:pt idx="258">
                  <c:v>-41.446110000000111</c:v>
                </c:pt>
                <c:pt idx="259">
                  <c:v>-38.152110000000114</c:v>
                </c:pt>
                <c:pt idx="260">
                  <c:v>-34.858110000000117</c:v>
                </c:pt>
                <c:pt idx="261">
                  <c:v>-31.904490000000116</c:v>
                </c:pt>
                <c:pt idx="262">
                  <c:v>-35.56449000000012</c:v>
                </c:pt>
                <c:pt idx="263">
                  <c:v>-32.270490000000123</c:v>
                </c:pt>
                <c:pt idx="264">
                  <c:v>-28.833750000000123</c:v>
                </c:pt>
                <c:pt idx="265">
                  <c:v>-25.539750000000122</c:v>
                </c:pt>
                <c:pt idx="266">
                  <c:v>-22.103010000000122</c:v>
                </c:pt>
                <c:pt idx="267">
                  <c:v>-19.182330000000121</c:v>
                </c:pt>
                <c:pt idx="268">
                  <c:v>-22.842330000000121</c:v>
                </c:pt>
                <c:pt idx="269">
                  <c:v>-20.22909000000012</c:v>
                </c:pt>
                <c:pt idx="270">
                  <c:v>-17.623170000000119</c:v>
                </c:pt>
                <c:pt idx="271">
                  <c:v>-15.017250000000118</c:v>
                </c:pt>
                <c:pt idx="272">
                  <c:v>-12.404010000000117</c:v>
                </c:pt>
                <c:pt idx="273">
                  <c:v>-9.7468500000001157</c:v>
                </c:pt>
                <c:pt idx="274">
                  <c:v>-7.7039700000001154</c:v>
                </c:pt>
                <c:pt idx="275">
                  <c:v>-5.3999700000001152</c:v>
                </c:pt>
                <c:pt idx="276">
                  <c:v>-3.0959700000001154</c:v>
                </c:pt>
                <c:pt idx="277">
                  <c:v>-5.6559700000001154</c:v>
                </c:pt>
                <c:pt idx="278">
                  <c:v>-3.4492500000001152</c:v>
                </c:pt>
                <c:pt idx="279">
                  <c:v>-6.0092500000001152</c:v>
                </c:pt>
                <c:pt idx="280">
                  <c:v>-8.5692500000001157</c:v>
                </c:pt>
                <c:pt idx="281">
                  <c:v>-6.362530000000115</c:v>
                </c:pt>
                <c:pt idx="282">
                  <c:v>-8.9225300000001155</c:v>
                </c:pt>
                <c:pt idx="283">
                  <c:v>-11.482530000000116</c:v>
                </c:pt>
                <c:pt idx="284">
                  <c:v>-14.042530000000117</c:v>
                </c:pt>
                <c:pt idx="285">
                  <c:v>-16.602530000000115</c:v>
                </c:pt>
                <c:pt idx="286">
                  <c:v>-14.779810000000115</c:v>
                </c:pt>
                <c:pt idx="287">
                  <c:v>-17.339810000000114</c:v>
                </c:pt>
                <c:pt idx="288">
                  <c:v>-19.899810000000112</c:v>
                </c:pt>
                <c:pt idx="289">
                  <c:v>-22.459810000000111</c:v>
                </c:pt>
                <c:pt idx="290">
                  <c:v>-25.01981000000011</c:v>
                </c:pt>
                <c:pt idx="291">
                  <c:v>-27.579810000000109</c:v>
                </c:pt>
                <c:pt idx="292">
                  <c:v>-32.059810000000112</c:v>
                </c:pt>
                <c:pt idx="293">
                  <c:v>-28.619170000000111</c:v>
                </c:pt>
                <c:pt idx="294">
                  <c:v>-24.587170000000111</c:v>
                </c:pt>
                <c:pt idx="295">
                  <c:v>-29.067170000000111</c:v>
                </c:pt>
                <c:pt idx="296">
                  <c:v>-33.547170000000108</c:v>
                </c:pt>
                <c:pt idx="297">
                  <c:v>-38.027170000000112</c:v>
                </c:pt>
                <c:pt idx="298">
                  <c:v>-33.995170000000115</c:v>
                </c:pt>
                <c:pt idx="299">
                  <c:v>-29.963170000000115</c:v>
                </c:pt>
                <c:pt idx="300">
                  <c:v>-34.443170000000116</c:v>
                </c:pt>
                <c:pt idx="301">
                  <c:v>-31.127970000000115</c:v>
                </c:pt>
                <c:pt idx="302">
                  <c:v>-27.759010000000114</c:v>
                </c:pt>
                <c:pt idx="303">
                  <c:v>-24.425890000000113</c:v>
                </c:pt>
                <c:pt idx="304">
                  <c:v>-21.092770000000112</c:v>
                </c:pt>
                <c:pt idx="305">
                  <c:v>-22.982770000000112</c:v>
                </c:pt>
                <c:pt idx="306">
                  <c:v>-24.872770000000113</c:v>
                </c:pt>
                <c:pt idx="307">
                  <c:v>-23.243590000000111</c:v>
                </c:pt>
                <c:pt idx="308">
                  <c:v>-21.731590000000111</c:v>
                </c:pt>
                <c:pt idx="309">
                  <c:v>-23.621590000000111</c:v>
                </c:pt>
                <c:pt idx="310">
                  <c:v>-25.511590000000112</c:v>
                </c:pt>
                <c:pt idx="311">
                  <c:v>-27.401590000000112</c:v>
                </c:pt>
                <c:pt idx="312">
                  <c:v>-25.700590000000112</c:v>
                </c:pt>
                <c:pt idx="313">
                  <c:v>-23.810590000000111</c:v>
                </c:pt>
                <c:pt idx="314">
                  <c:v>-22.109590000000111</c:v>
                </c:pt>
                <c:pt idx="315">
                  <c:v>-20.40859000000011</c:v>
                </c:pt>
                <c:pt idx="316">
                  <c:v>-18.839890000000111</c:v>
                </c:pt>
                <c:pt idx="317">
                  <c:v>-17.388370000000112</c:v>
                </c:pt>
                <c:pt idx="318">
                  <c:v>-19.278370000000113</c:v>
                </c:pt>
                <c:pt idx="319">
                  <c:v>-21.168370000000113</c:v>
                </c:pt>
                <c:pt idx="320">
                  <c:v>-19.750870000000113</c:v>
                </c:pt>
                <c:pt idx="321">
                  <c:v>-18.359830000000112</c:v>
                </c:pt>
                <c:pt idx="322">
                  <c:v>-16.953670000000113</c:v>
                </c:pt>
                <c:pt idx="323">
                  <c:v>-15.498370000000113</c:v>
                </c:pt>
                <c:pt idx="324">
                  <c:v>-17.388370000000112</c:v>
                </c:pt>
                <c:pt idx="325">
                  <c:v>-19.278370000000113</c:v>
                </c:pt>
                <c:pt idx="326">
                  <c:v>-21.168370000000113</c:v>
                </c:pt>
                <c:pt idx="327">
                  <c:v>-23.058370000000114</c:v>
                </c:pt>
                <c:pt idx="328">
                  <c:v>-26.278370000000113</c:v>
                </c:pt>
                <c:pt idx="329">
                  <c:v>-23.380370000000113</c:v>
                </c:pt>
                <c:pt idx="330">
                  <c:v>-26.600370000000112</c:v>
                </c:pt>
                <c:pt idx="331">
                  <c:v>-23.824730000000113</c:v>
                </c:pt>
                <c:pt idx="332">
                  <c:v>-27.044730000000111</c:v>
                </c:pt>
                <c:pt idx="333">
                  <c:v>-24.146730000000112</c:v>
                </c:pt>
                <c:pt idx="334">
                  <c:v>-21.371090000000112</c:v>
                </c:pt>
                <c:pt idx="335">
                  <c:v>-24.591090000000111</c:v>
                </c:pt>
                <c:pt idx="336">
                  <c:v>-21.693090000000112</c:v>
                </c:pt>
                <c:pt idx="337">
                  <c:v>-24.913090000000111</c:v>
                </c:pt>
                <c:pt idx="338">
                  <c:v>-28.133090000000109</c:v>
                </c:pt>
                <c:pt idx="339">
                  <c:v>-25.23509000000011</c:v>
                </c:pt>
                <c:pt idx="340">
                  <c:v>-28.455090000000109</c:v>
                </c:pt>
                <c:pt idx="341">
                  <c:v>-25.911290000000108</c:v>
                </c:pt>
                <c:pt idx="342">
                  <c:v>-29.131290000000106</c:v>
                </c:pt>
                <c:pt idx="343">
                  <c:v>-26.587490000000106</c:v>
                </c:pt>
                <c:pt idx="344">
                  <c:v>-29.807490000000104</c:v>
                </c:pt>
                <c:pt idx="345">
                  <c:v>-27.263690000000103</c:v>
                </c:pt>
                <c:pt idx="346">
                  <c:v>-30.463690000000103</c:v>
                </c:pt>
                <c:pt idx="347">
                  <c:v>-33.663690000000102</c:v>
                </c:pt>
                <c:pt idx="348">
                  <c:v>-36.863690000000105</c:v>
                </c:pt>
                <c:pt idx="349">
                  <c:v>-40.063690000000108</c:v>
                </c:pt>
                <c:pt idx="350">
                  <c:v>-37.554890000000107</c:v>
                </c:pt>
                <c:pt idx="351">
                  <c:v>-40.75489000000011</c:v>
                </c:pt>
                <c:pt idx="352">
                  <c:v>-38.17249000000011</c:v>
                </c:pt>
                <c:pt idx="353">
                  <c:v>-41.372490000000113</c:v>
                </c:pt>
                <c:pt idx="354">
                  <c:v>-44.572490000000116</c:v>
                </c:pt>
                <c:pt idx="355">
                  <c:v>-47.772490000000118</c:v>
                </c:pt>
                <c:pt idx="356">
                  <c:v>-50.972490000000121</c:v>
                </c:pt>
                <c:pt idx="357">
                  <c:v>-48.431690000000124</c:v>
                </c:pt>
                <c:pt idx="358">
                  <c:v>-51.631690000000127</c:v>
                </c:pt>
                <c:pt idx="359">
                  <c:v>-54.83169000000013</c:v>
                </c:pt>
                <c:pt idx="360">
                  <c:v>-58.031690000000133</c:v>
                </c:pt>
                <c:pt idx="361">
                  <c:v>-65.161690000000135</c:v>
                </c:pt>
                <c:pt idx="362">
                  <c:v>-58.744690000000134</c:v>
                </c:pt>
                <c:pt idx="363">
                  <c:v>-52.256390000000131</c:v>
                </c:pt>
                <c:pt idx="364">
                  <c:v>-59.386390000000134</c:v>
                </c:pt>
                <c:pt idx="365">
                  <c:v>-66.516390000000129</c:v>
                </c:pt>
                <c:pt idx="366">
                  <c:v>-60.598490000000126</c:v>
                </c:pt>
                <c:pt idx="367">
                  <c:v>-67.728490000000122</c:v>
                </c:pt>
                <c:pt idx="368">
                  <c:v>-74.858490000000117</c:v>
                </c:pt>
                <c:pt idx="369">
                  <c:v>-69.154490000000123</c:v>
                </c:pt>
                <c:pt idx="370">
                  <c:v>-79.664490000000129</c:v>
                </c:pt>
                <c:pt idx="371">
                  <c:v>-70.205490000000125</c:v>
                </c:pt>
                <c:pt idx="372">
                  <c:v>-80.715490000000131</c:v>
                </c:pt>
                <c:pt idx="373">
                  <c:v>-91.225490000000136</c:v>
                </c:pt>
                <c:pt idx="374">
                  <c:v>-101.73549000000014</c:v>
                </c:pt>
                <c:pt idx="375">
                  <c:v>-97.244490000000141</c:v>
                </c:pt>
                <c:pt idx="376">
                  <c:v>-92.753490000000141</c:v>
                </c:pt>
                <c:pt idx="377">
                  <c:v>-97.743490000000136</c:v>
                </c:pt>
                <c:pt idx="378">
                  <c:v>-93.252490000000137</c:v>
                </c:pt>
                <c:pt idx="379">
                  <c:v>-89.110790000000137</c:v>
                </c:pt>
                <c:pt idx="380">
                  <c:v>-94.100790000000131</c:v>
                </c:pt>
                <c:pt idx="381">
                  <c:v>-89.984040000000135</c:v>
                </c:pt>
                <c:pt idx="382">
                  <c:v>-94.97404000000013</c:v>
                </c:pt>
                <c:pt idx="383">
                  <c:v>-90.932140000000132</c:v>
                </c:pt>
                <c:pt idx="384">
                  <c:v>-86.860300000000137</c:v>
                </c:pt>
                <c:pt idx="385">
                  <c:v>-84.203100000000134</c:v>
                </c:pt>
                <c:pt idx="386">
                  <c:v>-81.68606000000014</c:v>
                </c:pt>
                <c:pt idx="387">
                  <c:v>-79.169020000000145</c:v>
                </c:pt>
                <c:pt idx="388">
                  <c:v>-76.833020000000147</c:v>
                </c:pt>
                <c:pt idx="389">
                  <c:v>-73.913020000000145</c:v>
                </c:pt>
                <c:pt idx="390">
                  <c:v>-71.489420000000138</c:v>
                </c:pt>
                <c:pt idx="391">
                  <c:v>-74.409420000000139</c:v>
                </c:pt>
                <c:pt idx="392">
                  <c:v>-71.781420000000139</c:v>
                </c:pt>
                <c:pt idx="393">
                  <c:v>-69.153420000000139</c:v>
                </c:pt>
                <c:pt idx="394">
                  <c:v>-66.233420000000137</c:v>
                </c:pt>
                <c:pt idx="395">
                  <c:v>-63.809820000000137</c:v>
                </c:pt>
                <c:pt idx="396">
                  <c:v>-61.181820000000137</c:v>
                </c:pt>
                <c:pt idx="397">
                  <c:v>-58.772820000000138</c:v>
                </c:pt>
                <c:pt idx="398">
                  <c:v>-56.363820000000139</c:v>
                </c:pt>
                <c:pt idx="399">
                  <c:v>-53.864300000000142</c:v>
                </c:pt>
                <c:pt idx="400">
                  <c:v>-56.55430000000014</c:v>
                </c:pt>
                <c:pt idx="401">
                  <c:v>-54.445340000000137</c:v>
                </c:pt>
                <c:pt idx="402">
                  <c:v>-52.360590000000137</c:v>
                </c:pt>
                <c:pt idx="403">
                  <c:v>-55.050590000000135</c:v>
                </c:pt>
                <c:pt idx="404">
                  <c:v>-57.740590000000132</c:v>
                </c:pt>
                <c:pt idx="405">
                  <c:v>-60.43059000000013</c:v>
                </c:pt>
                <c:pt idx="406">
                  <c:v>-58.235550000000131</c:v>
                </c:pt>
                <c:pt idx="407">
                  <c:v>-60.925550000000129</c:v>
                </c:pt>
                <c:pt idx="408">
                  <c:v>-58.58525000000013</c:v>
                </c:pt>
                <c:pt idx="409">
                  <c:v>-56.271850000000128</c:v>
                </c:pt>
                <c:pt idx="410">
                  <c:v>-58.961850000000126</c:v>
                </c:pt>
                <c:pt idx="411">
                  <c:v>-61.651850000000124</c:v>
                </c:pt>
                <c:pt idx="412">
                  <c:v>-59.378800000000126</c:v>
                </c:pt>
                <c:pt idx="413">
                  <c:v>-62.068800000000124</c:v>
                </c:pt>
                <c:pt idx="414">
                  <c:v>-64.758800000000122</c:v>
                </c:pt>
                <c:pt idx="415">
                  <c:v>-67.448800000000119</c:v>
                </c:pt>
                <c:pt idx="416">
                  <c:v>-71.668800000000118</c:v>
                </c:pt>
                <c:pt idx="417">
                  <c:v>-67.870800000000116</c:v>
                </c:pt>
                <c:pt idx="418">
                  <c:v>-64.072800000000115</c:v>
                </c:pt>
                <c:pt idx="419">
                  <c:v>-68.292800000000113</c:v>
                </c:pt>
                <c:pt idx="420">
                  <c:v>-64.494800000000112</c:v>
                </c:pt>
                <c:pt idx="421">
                  <c:v>-60.69680000000011</c:v>
                </c:pt>
                <c:pt idx="422">
                  <c:v>-64.916800000000109</c:v>
                </c:pt>
                <c:pt idx="423">
                  <c:v>-61.435300000000112</c:v>
                </c:pt>
                <c:pt idx="424">
                  <c:v>-57.89050000000011</c:v>
                </c:pt>
                <c:pt idx="425">
                  <c:v>-62.110500000000108</c:v>
                </c:pt>
                <c:pt idx="426">
                  <c:v>-72.740500000000111</c:v>
                </c:pt>
                <c:pt idx="427">
                  <c:v>-64.236500000000106</c:v>
                </c:pt>
                <c:pt idx="428">
                  <c:v>-54.669500000000106</c:v>
                </c:pt>
                <c:pt idx="429">
                  <c:v>-65.299500000000108</c:v>
                </c:pt>
                <c:pt idx="430">
                  <c:v>-75.929500000000104</c:v>
                </c:pt>
                <c:pt idx="431">
                  <c:v>-86.559500000000099</c:v>
                </c:pt>
                <c:pt idx="432">
                  <c:v>-85.1995000000001</c:v>
                </c:pt>
                <c:pt idx="433">
                  <c:v>-86.899500000000103</c:v>
                </c:pt>
                <c:pt idx="434">
                  <c:v>-88.599500000000106</c:v>
                </c:pt>
                <c:pt idx="435">
                  <c:v>-87.069500000000104</c:v>
                </c:pt>
                <c:pt idx="436">
                  <c:v>-88.769500000000107</c:v>
                </c:pt>
                <c:pt idx="437">
                  <c:v>-90.46950000000011</c:v>
                </c:pt>
                <c:pt idx="438">
                  <c:v>-88.769500000000107</c:v>
                </c:pt>
                <c:pt idx="439">
                  <c:v>-87.239500000000106</c:v>
                </c:pt>
                <c:pt idx="440">
                  <c:v>-85.794500000000113</c:v>
                </c:pt>
                <c:pt idx="441">
                  <c:v>-87.494500000000116</c:v>
                </c:pt>
                <c:pt idx="442">
                  <c:v>-89.194500000000119</c:v>
                </c:pt>
                <c:pt idx="443">
                  <c:v>-87.664500000000118</c:v>
                </c:pt>
                <c:pt idx="444">
                  <c:v>-86.134500000000116</c:v>
                </c:pt>
                <c:pt idx="445">
                  <c:v>-87.834500000000119</c:v>
                </c:pt>
                <c:pt idx="446">
                  <c:v>-86.134500000000116</c:v>
                </c:pt>
                <c:pt idx="447">
                  <c:v>-84.706500000000119</c:v>
                </c:pt>
                <c:pt idx="448">
                  <c:v>-83.176500000000118</c:v>
                </c:pt>
                <c:pt idx="449">
                  <c:v>-81.740000000000123</c:v>
                </c:pt>
                <c:pt idx="450">
                  <c:v>-83.440000000000126</c:v>
                </c:pt>
                <c:pt idx="451">
                  <c:v>-85.140000000000128</c:v>
                </c:pt>
                <c:pt idx="452">
                  <c:v>-83.610000000000127</c:v>
                </c:pt>
                <c:pt idx="453">
                  <c:v>-82.080000000000126</c:v>
                </c:pt>
                <c:pt idx="454">
                  <c:v>-83.780000000000129</c:v>
                </c:pt>
                <c:pt idx="455">
                  <c:v>-82.318000000000126</c:v>
                </c:pt>
                <c:pt idx="456">
                  <c:v>-78.610000000000127</c:v>
                </c:pt>
                <c:pt idx="457">
                  <c:v>-75.149200000000121</c:v>
                </c:pt>
                <c:pt idx="458">
                  <c:v>-71.441200000000123</c:v>
                </c:pt>
                <c:pt idx="459">
                  <c:v>-75.561200000000127</c:v>
                </c:pt>
                <c:pt idx="460">
                  <c:v>-79.681200000000132</c:v>
                </c:pt>
                <c:pt idx="461">
                  <c:v>-76.055600000000126</c:v>
                </c:pt>
                <c:pt idx="462">
                  <c:v>-72.347600000000128</c:v>
                </c:pt>
                <c:pt idx="463">
                  <c:v>-68.639600000000129</c:v>
                </c:pt>
                <c:pt idx="464">
                  <c:v>-72.759600000000134</c:v>
                </c:pt>
                <c:pt idx="465">
                  <c:v>-69.257600000000139</c:v>
                </c:pt>
                <c:pt idx="466">
                  <c:v>-71.357600000000133</c:v>
                </c:pt>
                <c:pt idx="467">
                  <c:v>-73.457600000000127</c:v>
                </c:pt>
                <c:pt idx="468">
                  <c:v>-75.557600000000122</c:v>
                </c:pt>
                <c:pt idx="469">
                  <c:v>-73.457600000000127</c:v>
                </c:pt>
                <c:pt idx="470">
                  <c:v>-71.714600000000132</c:v>
                </c:pt>
                <c:pt idx="471">
                  <c:v>-73.814600000000127</c:v>
                </c:pt>
                <c:pt idx="472">
                  <c:v>-71.924600000000126</c:v>
                </c:pt>
                <c:pt idx="473">
                  <c:v>-69.614600000000124</c:v>
                </c:pt>
                <c:pt idx="474">
                  <c:v>-71.714600000000118</c:v>
                </c:pt>
                <c:pt idx="475">
                  <c:v>-69.803600000000117</c:v>
                </c:pt>
                <c:pt idx="476">
                  <c:v>-67.493600000000114</c:v>
                </c:pt>
                <c:pt idx="477">
                  <c:v>-69.593600000000109</c:v>
                </c:pt>
                <c:pt idx="478">
                  <c:v>-71.693600000000103</c:v>
                </c:pt>
                <c:pt idx="479">
                  <c:v>-69.803600000000102</c:v>
                </c:pt>
                <c:pt idx="480">
                  <c:v>-67.934600000000103</c:v>
                </c:pt>
                <c:pt idx="481">
                  <c:v>-66.149600000000106</c:v>
                </c:pt>
                <c:pt idx="482">
                  <c:v>-64.280600000000106</c:v>
                </c:pt>
                <c:pt idx="483">
                  <c:v>-62.49560000000011</c:v>
                </c:pt>
                <c:pt idx="484">
                  <c:v>-64.595600000000104</c:v>
                </c:pt>
                <c:pt idx="485">
                  <c:v>-61.418600000000104</c:v>
                </c:pt>
                <c:pt idx="486">
                  <c:v>-64.948600000000098</c:v>
                </c:pt>
                <c:pt idx="487">
                  <c:v>-68.4786000000001</c:v>
                </c:pt>
                <c:pt idx="488">
                  <c:v>-72.008600000000101</c:v>
                </c:pt>
                <c:pt idx="489">
                  <c:v>-68.4786000000001</c:v>
                </c:pt>
                <c:pt idx="490">
                  <c:v>-72.008600000000101</c:v>
                </c:pt>
                <c:pt idx="491">
                  <c:v>-68.831600000000108</c:v>
                </c:pt>
                <c:pt idx="492">
                  <c:v>-65.516930000000102</c:v>
                </c:pt>
                <c:pt idx="493">
                  <c:v>-60.516930000000102</c:v>
                </c:pt>
                <c:pt idx="494">
                  <c:v>-57.339930000000102</c:v>
                </c:pt>
                <c:pt idx="495">
                  <c:v>-60.869930000000103</c:v>
                </c:pt>
                <c:pt idx="496">
                  <c:v>-64.399930000000097</c:v>
                </c:pt>
                <c:pt idx="497">
                  <c:v>-67.929930000000098</c:v>
                </c:pt>
                <c:pt idx="498">
                  <c:v>-64.858830000000097</c:v>
                </c:pt>
                <c:pt idx="499">
                  <c:v>-59.724830000000097</c:v>
                </c:pt>
                <c:pt idx="500">
                  <c:v>-65.764830000000103</c:v>
                </c:pt>
                <c:pt idx="501">
                  <c:v>-68.784830000000099</c:v>
                </c:pt>
                <c:pt idx="502">
                  <c:v>-71.804830000000095</c:v>
                </c:pt>
                <c:pt idx="503">
                  <c:v>-74.824830000000091</c:v>
                </c:pt>
                <c:pt idx="504">
                  <c:v>-77.844830000000087</c:v>
                </c:pt>
                <c:pt idx="505">
                  <c:v>-75.09663000000009</c:v>
                </c:pt>
                <c:pt idx="506">
                  <c:v>-71.140430000000094</c:v>
                </c:pt>
                <c:pt idx="507">
                  <c:v>-68.5130300000001</c:v>
                </c:pt>
                <c:pt idx="508">
                  <c:v>-71.533030000000096</c:v>
                </c:pt>
                <c:pt idx="509">
                  <c:v>-74.553030000000092</c:v>
                </c:pt>
                <c:pt idx="510">
                  <c:v>-77.573030000000088</c:v>
                </c:pt>
                <c:pt idx="511">
                  <c:v>-80.593030000000084</c:v>
                </c:pt>
                <c:pt idx="512">
                  <c:v>-82.063030000000083</c:v>
                </c:pt>
                <c:pt idx="513">
                  <c:v>-80.795890000000085</c:v>
                </c:pt>
                <c:pt idx="514">
                  <c:v>-79.472890000000092</c:v>
                </c:pt>
                <c:pt idx="515">
                  <c:v>-78.193990000000099</c:v>
                </c:pt>
                <c:pt idx="516">
                  <c:v>-79.663990000000098</c:v>
                </c:pt>
                <c:pt idx="517">
                  <c:v>-81.133990000000097</c:v>
                </c:pt>
                <c:pt idx="518">
                  <c:v>-79.884490000000099</c:v>
                </c:pt>
                <c:pt idx="519">
                  <c:v>-78.561490000000106</c:v>
                </c:pt>
                <c:pt idx="520">
                  <c:v>-80.031490000000105</c:v>
                </c:pt>
                <c:pt idx="521">
                  <c:v>-81.501490000000103</c:v>
                </c:pt>
                <c:pt idx="522">
                  <c:v>-82.971490000000102</c:v>
                </c:pt>
                <c:pt idx="523">
                  <c:v>-80.384290000000107</c:v>
                </c:pt>
                <c:pt idx="524">
                  <c:v>-78.767290000000102</c:v>
                </c:pt>
                <c:pt idx="525">
                  <c:v>-77.370790000000099</c:v>
                </c:pt>
                <c:pt idx="526">
                  <c:v>-75.117280000000093</c:v>
                </c:pt>
                <c:pt idx="527">
                  <c:v>-73.7942800000001</c:v>
                </c:pt>
                <c:pt idx="528">
                  <c:v>-72.471280000000107</c:v>
                </c:pt>
                <c:pt idx="529">
                  <c:v>-73.941280000000106</c:v>
                </c:pt>
                <c:pt idx="530">
                  <c:v>-72.618280000000112</c:v>
                </c:pt>
                <c:pt idx="531">
                  <c:v>-74.088280000000111</c:v>
                </c:pt>
                <c:pt idx="532">
                  <c:v>-75.55828000000011</c:v>
                </c:pt>
                <c:pt idx="533">
                  <c:v>-74.235280000000117</c:v>
                </c:pt>
                <c:pt idx="534">
                  <c:v>-72.912280000000123</c:v>
                </c:pt>
                <c:pt idx="535">
                  <c:v>-71.58928000000013</c:v>
                </c:pt>
                <c:pt idx="536">
                  <c:v>-70.266280000000137</c:v>
                </c:pt>
                <c:pt idx="537">
                  <c:v>-68.943280000000144</c:v>
                </c:pt>
                <c:pt idx="538">
                  <c:v>-65.154280000000142</c:v>
                </c:pt>
                <c:pt idx="539">
                  <c:v>-61.449480000000143</c:v>
                </c:pt>
                <c:pt idx="540">
                  <c:v>-57.786780000000142</c:v>
                </c:pt>
                <c:pt idx="541">
                  <c:v>-53.829380000000143</c:v>
                </c:pt>
                <c:pt idx="542">
                  <c:v>-58.039380000000143</c:v>
                </c:pt>
                <c:pt idx="543">
                  <c:v>-54.081980000000144</c:v>
                </c:pt>
                <c:pt idx="544">
                  <c:v>-58.291980000000144</c:v>
                </c:pt>
                <c:pt idx="545">
                  <c:v>-54.334580000000145</c:v>
                </c:pt>
                <c:pt idx="546">
                  <c:v>-50.377180000000145</c:v>
                </c:pt>
                <c:pt idx="547">
                  <c:v>-54.587180000000146</c:v>
                </c:pt>
                <c:pt idx="548">
                  <c:v>-50.629780000000146</c:v>
                </c:pt>
                <c:pt idx="549">
                  <c:v>-54.839780000000147</c:v>
                </c:pt>
                <c:pt idx="550">
                  <c:v>-52.760480000000143</c:v>
                </c:pt>
                <c:pt idx="551">
                  <c:v>-50.131480000000145</c:v>
                </c:pt>
                <c:pt idx="552">
                  <c:v>-52.521480000000146</c:v>
                </c:pt>
                <c:pt idx="553">
                  <c:v>-54.911480000000147</c:v>
                </c:pt>
                <c:pt idx="554">
                  <c:v>-57.301480000000147</c:v>
                </c:pt>
                <c:pt idx="555">
                  <c:v>-55.241300000000145</c:v>
                </c:pt>
                <c:pt idx="556">
                  <c:v>-52.934950000000143</c:v>
                </c:pt>
                <c:pt idx="557">
                  <c:v>-50.305950000000145</c:v>
                </c:pt>
                <c:pt idx="558">
                  <c:v>-47.999600000000143</c:v>
                </c:pt>
                <c:pt idx="559">
                  <c:v>-50.389600000000144</c:v>
                </c:pt>
                <c:pt idx="560">
                  <c:v>-48.083250000000142</c:v>
                </c:pt>
                <c:pt idx="561">
                  <c:v>-50.473250000000142</c:v>
                </c:pt>
                <c:pt idx="562">
                  <c:v>-48.250550000000139</c:v>
                </c:pt>
                <c:pt idx="563">
                  <c:v>-46.051750000000141</c:v>
                </c:pt>
                <c:pt idx="564">
                  <c:v>-46.051750000000141</c:v>
                </c:pt>
                <c:pt idx="565">
                  <c:v>-48.441750000000141</c:v>
                </c:pt>
                <c:pt idx="566">
                  <c:v>-50.831750000000142</c:v>
                </c:pt>
                <c:pt idx="567">
                  <c:v>-53.241750000000138</c:v>
                </c:pt>
                <c:pt idx="568">
                  <c:v>-51.072750000000141</c:v>
                </c:pt>
                <c:pt idx="569">
                  <c:v>-53.482750000000138</c:v>
                </c:pt>
                <c:pt idx="570">
                  <c:v>-51.289650000000137</c:v>
                </c:pt>
                <c:pt idx="571">
                  <c:v>-53.699650000000133</c:v>
                </c:pt>
                <c:pt idx="572">
                  <c:v>-56.10965000000013</c:v>
                </c:pt>
                <c:pt idx="573">
                  <c:v>-53.72375000000013</c:v>
                </c:pt>
                <c:pt idx="574">
                  <c:v>-56.133750000000134</c:v>
                </c:pt>
                <c:pt idx="575">
                  <c:v>-58.543750000000131</c:v>
                </c:pt>
                <c:pt idx="576">
                  <c:v>-56.278350000000131</c:v>
                </c:pt>
                <c:pt idx="577">
                  <c:v>-58.688350000000128</c:v>
                </c:pt>
                <c:pt idx="578">
                  <c:v>-61.098350000000124</c:v>
                </c:pt>
                <c:pt idx="579">
                  <c:v>-57.903350000000124</c:v>
                </c:pt>
                <c:pt idx="580">
                  <c:v>-61.453350000000121</c:v>
                </c:pt>
                <c:pt idx="581">
                  <c:v>-65.003350000000125</c:v>
                </c:pt>
                <c:pt idx="582">
                  <c:v>-68.553350000000123</c:v>
                </c:pt>
                <c:pt idx="583">
                  <c:v>-56.873850000000118</c:v>
                </c:pt>
                <c:pt idx="584">
                  <c:v>-60.423850000000115</c:v>
                </c:pt>
                <c:pt idx="585">
                  <c:v>-56.944850000000116</c:v>
                </c:pt>
                <c:pt idx="586">
                  <c:v>-53.394850000000119</c:v>
                </c:pt>
                <c:pt idx="587">
                  <c:v>-49.91585000000012</c:v>
                </c:pt>
                <c:pt idx="588">
                  <c:v>-46.436850000000121</c:v>
                </c:pt>
                <c:pt idx="589">
                  <c:v>-49.986850000000118</c:v>
                </c:pt>
                <c:pt idx="590">
                  <c:v>-53.536850000000115</c:v>
                </c:pt>
                <c:pt idx="591">
                  <c:v>-57.086850000000112</c:v>
                </c:pt>
                <c:pt idx="592">
                  <c:v>-60.636850000000109</c:v>
                </c:pt>
                <c:pt idx="593">
                  <c:v>-58.890850000000107</c:v>
                </c:pt>
                <c:pt idx="594">
                  <c:v>-57.144850000000105</c:v>
                </c:pt>
                <c:pt idx="595">
                  <c:v>-55.398850000000103</c:v>
                </c:pt>
                <c:pt idx="596">
                  <c:v>-57.3388500000001</c:v>
                </c:pt>
                <c:pt idx="597">
                  <c:v>-55.573450000000101</c:v>
                </c:pt>
                <c:pt idx="598">
                  <c:v>-57.513450000000098</c:v>
                </c:pt>
                <c:pt idx="599">
                  <c:v>-55.641350000000095</c:v>
                </c:pt>
                <c:pt idx="600">
                  <c:v>-57.581350000000093</c:v>
                </c:pt>
                <c:pt idx="601">
                  <c:v>-55.44347000000009</c:v>
                </c:pt>
                <c:pt idx="602">
                  <c:v>-53.619870000000091</c:v>
                </c:pt>
                <c:pt idx="603">
                  <c:v>-50.818510000000089</c:v>
                </c:pt>
                <c:pt idx="604">
                  <c:v>-52.758510000000086</c:v>
                </c:pt>
                <c:pt idx="605">
                  <c:v>-50.886410000000083</c:v>
                </c:pt>
                <c:pt idx="606">
                  <c:v>-49.024010000000082</c:v>
                </c:pt>
                <c:pt idx="607">
                  <c:v>-50.96401000000008</c:v>
                </c:pt>
                <c:pt idx="608">
                  <c:v>-49.062810000000077</c:v>
                </c:pt>
                <c:pt idx="609">
                  <c:v>-47.161610000000074</c:v>
                </c:pt>
                <c:pt idx="610">
                  <c:v>-45.308910000000076</c:v>
                </c:pt>
                <c:pt idx="611">
                  <c:v>-40.614110000000075</c:v>
                </c:pt>
                <c:pt idx="612">
                  <c:v>-42.554110000000072</c:v>
                </c:pt>
                <c:pt idx="613">
                  <c:v>-40.65291000000007</c:v>
                </c:pt>
                <c:pt idx="614">
                  <c:v>-35.497800000000069</c:v>
                </c:pt>
                <c:pt idx="615">
                  <c:v>-30.72150000000007</c:v>
                </c:pt>
                <c:pt idx="616">
                  <c:v>-36.211500000000072</c:v>
                </c:pt>
                <c:pt idx="617">
                  <c:v>-30.94110000000007</c:v>
                </c:pt>
                <c:pt idx="618">
                  <c:v>-36.431100000000072</c:v>
                </c:pt>
                <c:pt idx="619">
                  <c:v>-41.921100000000074</c:v>
                </c:pt>
                <c:pt idx="620">
                  <c:v>-32.126940000000076</c:v>
                </c:pt>
                <c:pt idx="621">
                  <c:v>-26.774190000000075</c:v>
                </c:pt>
                <c:pt idx="622">
                  <c:v>-21.393990000000073</c:v>
                </c:pt>
                <c:pt idx="623">
                  <c:v>-19.134990000000073</c:v>
                </c:pt>
                <c:pt idx="624">
                  <c:v>-21.644990000000071</c:v>
                </c:pt>
                <c:pt idx="625">
                  <c:v>-19.486390000000071</c:v>
                </c:pt>
                <c:pt idx="626">
                  <c:v>-21.996390000000069</c:v>
                </c:pt>
                <c:pt idx="627">
                  <c:v>-24.506390000000067</c:v>
                </c:pt>
                <c:pt idx="628">
                  <c:v>-19.812690000000067</c:v>
                </c:pt>
                <c:pt idx="629">
                  <c:v>-17.352890000000066</c:v>
                </c:pt>
                <c:pt idx="630">
                  <c:v>-19.862890000000064</c:v>
                </c:pt>
                <c:pt idx="631">
                  <c:v>-17.403090000000063</c:v>
                </c:pt>
                <c:pt idx="632">
                  <c:v>-14.943290000000063</c:v>
                </c:pt>
                <c:pt idx="633">
                  <c:v>-12.483490000000064</c:v>
                </c:pt>
                <c:pt idx="634">
                  <c:v>-10.124090000000063</c:v>
                </c:pt>
                <c:pt idx="635">
                  <c:v>-7.7646900000000629</c:v>
                </c:pt>
                <c:pt idx="636">
                  <c:v>-10.274690000000064</c:v>
                </c:pt>
                <c:pt idx="637">
                  <c:v>-12.784690000000063</c:v>
                </c:pt>
                <c:pt idx="638">
                  <c:v>-2.7086900000000629</c:v>
                </c:pt>
                <c:pt idx="639">
                  <c:v>1.413309999999937</c:v>
                </c:pt>
                <c:pt idx="640">
                  <c:v>-3.1666900000000631</c:v>
                </c:pt>
                <c:pt idx="641">
                  <c:v>-7.7466900000000631</c:v>
                </c:pt>
                <c:pt idx="642">
                  <c:v>-12.326690000000063</c:v>
                </c:pt>
                <c:pt idx="643">
                  <c:v>-16.906690000000062</c:v>
                </c:pt>
                <c:pt idx="644">
                  <c:v>-14.831890000000062</c:v>
                </c:pt>
                <c:pt idx="645">
                  <c:v>-17.111890000000063</c:v>
                </c:pt>
                <c:pt idx="646">
                  <c:v>-19.391890000000064</c:v>
                </c:pt>
                <c:pt idx="647">
                  <c:v>-21.671890000000065</c:v>
                </c:pt>
                <c:pt idx="648">
                  <c:v>-23.951890000000066</c:v>
                </c:pt>
                <c:pt idx="649">
                  <c:v>-23.951890000000066</c:v>
                </c:pt>
                <c:pt idx="650">
                  <c:v>-21.899890000000067</c:v>
                </c:pt>
                <c:pt idx="651">
                  <c:v>-24.179890000000068</c:v>
                </c:pt>
                <c:pt idx="652">
                  <c:v>-21.945490000000067</c:v>
                </c:pt>
                <c:pt idx="653">
                  <c:v>-24.225490000000068</c:v>
                </c:pt>
                <c:pt idx="654">
                  <c:v>-21.945490000000067</c:v>
                </c:pt>
                <c:pt idx="655">
                  <c:v>-24.225490000000068</c:v>
                </c:pt>
                <c:pt idx="656">
                  <c:v>-26.505490000000069</c:v>
                </c:pt>
                <c:pt idx="657">
                  <c:v>-28.78549000000007</c:v>
                </c:pt>
                <c:pt idx="658">
                  <c:v>-31.065490000000072</c:v>
                </c:pt>
                <c:pt idx="659">
                  <c:v>-33.345490000000069</c:v>
                </c:pt>
                <c:pt idx="660">
                  <c:v>-35.62549000000007</c:v>
                </c:pt>
                <c:pt idx="661">
                  <c:v>-37.905490000000071</c:v>
                </c:pt>
                <c:pt idx="662">
                  <c:v>-35.338690000000071</c:v>
                </c:pt>
                <c:pt idx="663">
                  <c:v>-32.854690000000069</c:v>
                </c:pt>
                <c:pt idx="664">
                  <c:v>-30.315490000000068</c:v>
                </c:pt>
                <c:pt idx="665">
                  <c:v>-33.075490000000066</c:v>
                </c:pt>
                <c:pt idx="666">
                  <c:v>-35.835490000000064</c:v>
                </c:pt>
                <c:pt idx="667">
                  <c:v>-35.835490000000064</c:v>
                </c:pt>
                <c:pt idx="668">
                  <c:v>-38.595490000000062</c:v>
                </c:pt>
                <c:pt idx="669">
                  <c:v>-41.35549000000006</c:v>
                </c:pt>
                <c:pt idx="670">
                  <c:v>-44.115490000000058</c:v>
                </c:pt>
                <c:pt idx="671">
                  <c:v>-41.35549000000006</c:v>
                </c:pt>
                <c:pt idx="672">
                  <c:v>-38.692090000000057</c:v>
                </c:pt>
                <c:pt idx="673">
                  <c:v>-35.959690000000059</c:v>
                </c:pt>
                <c:pt idx="674">
                  <c:v>-38.719690000000057</c:v>
                </c:pt>
                <c:pt idx="675">
                  <c:v>-41.479690000000055</c:v>
                </c:pt>
                <c:pt idx="676">
                  <c:v>-44.219690000000057</c:v>
                </c:pt>
                <c:pt idx="677">
                  <c:v>-41.479690000000055</c:v>
                </c:pt>
                <c:pt idx="678">
                  <c:v>-39.013690000000054</c:v>
                </c:pt>
                <c:pt idx="679">
                  <c:v>-41.753690000000056</c:v>
                </c:pt>
                <c:pt idx="680">
                  <c:v>-38.739690000000053</c:v>
                </c:pt>
                <c:pt idx="681">
                  <c:v>-41.479690000000055</c:v>
                </c:pt>
                <c:pt idx="682">
                  <c:v>-38.767090000000053</c:v>
                </c:pt>
                <c:pt idx="683">
                  <c:v>-41.507090000000055</c:v>
                </c:pt>
                <c:pt idx="684">
                  <c:v>-44.247090000000057</c:v>
                </c:pt>
                <c:pt idx="685">
                  <c:v>-46.987090000000059</c:v>
                </c:pt>
                <c:pt idx="686">
                  <c:v>-44.274490000000057</c:v>
                </c:pt>
                <c:pt idx="687">
                  <c:v>-41.589290000000055</c:v>
                </c:pt>
                <c:pt idx="688">
                  <c:v>-38.931490000000053</c:v>
                </c:pt>
                <c:pt idx="689">
                  <c:v>-41.671490000000055</c:v>
                </c:pt>
                <c:pt idx="690">
                  <c:v>-44.411490000000057</c:v>
                </c:pt>
                <c:pt idx="691">
                  <c:v>-47.151490000000059</c:v>
                </c:pt>
                <c:pt idx="692">
                  <c:v>-44.685490000000058</c:v>
                </c:pt>
                <c:pt idx="693">
                  <c:v>-41.315290000000061</c:v>
                </c:pt>
                <c:pt idx="694">
                  <c:v>-44.055290000000063</c:v>
                </c:pt>
                <c:pt idx="695">
                  <c:v>-46.795290000000065</c:v>
                </c:pt>
                <c:pt idx="696">
                  <c:v>-49.535290000000067</c:v>
                </c:pt>
                <c:pt idx="697">
                  <c:v>-52.275290000000069</c:v>
                </c:pt>
                <c:pt idx="698">
                  <c:v>-49.590090000000068</c:v>
                </c:pt>
                <c:pt idx="699">
                  <c:v>-52.330090000000069</c:v>
                </c:pt>
                <c:pt idx="700">
                  <c:v>-55.930090000000071</c:v>
                </c:pt>
                <c:pt idx="701">
                  <c:v>-47.074090000000069</c:v>
                </c:pt>
                <c:pt idx="702">
                  <c:v>-40.468090000000068</c:v>
                </c:pt>
                <c:pt idx="703">
                  <c:v>-44.068090000000069</c:v>
                </c:pt>
                <c:pt idx="704">
                  <c:v>-47.66809000000007</c:v>
                </c:pt>
                <c:pt idx="705">
                  <c:v>-51.268090000000072</c:v>
                </c:pt>
                <c:pt idx="706">
                  <c:v>-54.868090000000073</c:v>
                </c:pt>
                <c:pt idx="707">
                  <c:v>-56.658090000000072</c:v>
                </c:pt>
                <c:pt idx="708">
                  <c:v>-58.448090000000072</c:v>
                </c:pt>
                <c:pt idx="709">
                  <c:v>-56.658090000000072</c:v>
                </c:pt>
                <c:pt idx="710">
                  <c:v>-58.448090000000072</c:v>
                </c:pt>
                <c:pt idx="711">
                  <c:v>-54.107340000000072</c:v>
                </c:pt>
                <c:pt idx="712">
                  <c:v>-55.897340000000071</c:v>
                </c:pt>
                <c:pt idx="713">
                  <c:v>-57.68734000000007</c:v>
                </c:pt>
                <c:pt idx="714">
                  <c:v>-55.718340000000069</c:v>
                </c:pt>
                <c:pt idx="715">
                  <c:v>-53.946240000000067</c:v>
                </c:pt>
                <c:pt idx="716">
                  <c:v>-55.736240000000066</c:v>
                </c:pt>
                <c:pt idx="717">
                  <c:v>-57.526240000000065</c:v>
                </c:pt>
                <c:pt idx="718">
                  <c:v>-56.819190000000063</c:v>
                </c:pt>
                <c:pt idx="719">
                  <c:v>-62.179190000000062</c:v>
                </c:pt>
                <c:pt idx="720">
                  <c:v>-67.539190000000062</c:v>
                </c:pt>
                <c:pt idx="721">
                  <c:v>-59.123990000000063</c:v>
                </c:pt>
                <c:pt idx="722">
                  <c:v>-50.226390000000066</c:v>
                </c:pt>
                <c:pt idx="723">
                  <c:v>-47.511720000000068</c:v>
                </c:pt>
                <c:pt idx="724">
                  <c:v>-45.311340000000072</c:v>
                </c:pt>
                <c:pt idx="725">
                  <c:v>-42.763760000000076</c:v>
                </c:pt>
                <c:pt idx="726">
                  <c:v>-44.933760000000078</c:v>
                </c:pt>
                <c:pt idx="727">
                  <c:v>-47.103760000000079</c:v>
                </c:pt>
                <c:pt idx="728">
                  <c:v>-49.273760000000081</c:v>
                </c:pt>
                <c:pt idx="729">
                  <c:v>-51.443760000000083</c:v>
                </c:pt>
                <c:pt idx="730">
                  <c:v>-53.613760000000084</c:v>
                </c:pt>
                <c:pt idx="731">
                  <c:v>-55.783760000000086</c:v>
                </c:pt>
                <c:pt idx="732">
                  <c:v>-57.953760000000088</c:v>
                </c:pt>
                <c:pt idx="733">
                  <c:v>-60.12376000000009</c:v>
                </c:pt>
                <c:pt idx="734">
                  <c:v>-57.975460000000091</c:v>
                </c:pt>
                <c:pt idx="735">
                  <c:v>-54.048460000000091</c:v>
                </c:pt>
                <c:pt idx="736">
                  <c:v>-57.618460000000091</c:v>
                </c:pt>
                <c:pt idx="737">
                  <c:v>-61.188460000000092</c:v>
                </c:pt>
                <c:pt idx="738">
                  <c:v>-64.758460000000085</c:v>
                </c:pt>
                <c:pt idx="739">
                  <c:v>-68.328460000000078</c:v>
                </c:pt>
                <c:pt idx="740">
                  <c:v>-71.898460000000071</c:v>
                </c:pt>
                <c:pt idx="741">
                  <c:v>-75.468460000000064</c:v>
                </c:pt>
                <c:pt idx="742">
                  <c:v>-79.038460000000057</c:v>
                </c:pt>
                <c:pt idx="743">
                  <c:v>-76.989160000000055</c:v>
                </c:pt>
                <c:pt idx="744">
                  <c:v>-79.059160000000048</c:v>
                </c:pt>
                <c:pt idx="745">
                  <c:v>-76.958110000000048</c:v>
                </c:pt>
                <c:pt idx="746">
                  <c:v>-72.973360000000042</c:v>
                </c:pt>
                <c:pt idx="747">
                  <c:v>-75.043360000000035</c:v>
                </c:pt>
                <c:pt idx="748">
                  <c:v>-77.113360000000029</c:v>
                </c:pt>
                <c:pt idx="749">
                  <c:v>-79.183360000000022</c:v>
                </c:pt>
                <c:pt idx="750">
                  <c:v>-76.130110000000016</c:v>
                </c:pt>
                <c:pt idx="751">
                  <c:v>-78.200110000000009</c:v>
                </c:pt>
                <c:pt idx="752">
                  <c:v>-75.964510000000004</c:v>
                </c:pt>
                <c:pt idx="753">
                  <c:v>-78.034509999999997</c:v>
                </c:pt>
                <c:pt idx="754">
                  <c:v>-68.71951</c:v>
                </c:pt>
                <c:pt idx="755">
                  <c:v>-64.700559999999996</c:v>
                </c:pt>
                <c:pt idx="756">
                  <c:v>-61.260759999999998</c:v>
                </c:pt>
                <c:pt idx="757">
                  <c:v>-45.465759999999996</c:v>
                </c:pt>
                <c:pt idx="758">
                  <c:v>-38.375559999999993</c:v>
                </c:pt>
                <c:pt idx="759">
                  <c:v>-41.885559999999991</c:v>
                </c:pt>
                <c:pt idx="760">
                  <c:v>-31.49595999999999</c:v>
                </c:pt>
                <c:pt idx="761">
                  <c:v>-35.005959999999988</c:v>
                </c:pt>
                <c:pt idx="762">
                  <c:v>-38.175959999999989</c:v>
                </c:pt>
                <c:pt idx="763">
                  <c:v>-34.276859999999992</c:v>
                </c:pt>
                <c:pt idx="764">
                  <c:v>-31.392159999999993</c:v>
                </c:pt>
                <c:pt idx="765">
                  <c:v>-34.562159999999992</c:v>
                </c:pt>
                <c:pt idx="766">
                  <c:v>-31.740859999999991</c:v>
                </c:pt>
                <c:pt idx="767">
                  <c:v>-34.910859999999992</c:v>
                </c:pt>
                <c:pt idx="768">
                  <c:v>-38.080859999999994</c:v>
                </c:pt>
                <c:pt idx="769">
                  <c:v>-41.250859999999996</c:v>
                </c:pt>
                <c:pt idx="770">
                  <c:v>-37.827259999999995</c:v>
                </c:pt>
                <c:pt idx="771">
                  <c:v>-34.752359999999996</c:v>
                </c:pt>
                <c:pt idx="772">
                  <c:v>-22.642959999999995</c:v>
                </c:pt>
                <c:pt idx="773">
                  <c:v>-25.152959999999993</c:v>
                </c:pt>
                <c:pt idx="774">
                  <c:v>-22.843759999999993</c:v>
                </c:pt>
                <c:pt idx="775">
                  <c:v>-25.353759999999994</c:v>
                </c:pt>
                <c:pt idx="776">
                  <c:v>-27.863759999999992</c:v>
                </c:pt>
                <c:pt idx="777">
                  <c:v>-25.629859999999994</c:v>
                </c:pt>
                <c:pt idx="778">
                  <c:v>-23.395959999999995</c:v>
                </c:pt>
                <c:pt idx="779">
                  <c:v>-25.905959999999993</c:v>
                </c:pt>
                <c:pt idx="780">
                  <c:v>-28.415959999999991</c:v>
                </c:pt>
                <c:pt idx="781">
                  <c:v>-30.925959999999989</c:v>
                </c:pt>
                <c:pt idx="782">
                  <c:v>-33.435959999999987</c:v>
                </c:pt>
                <c:pt idx="783">
                  <c:v>-30.105959999999989</c:v>
                </c:pt>
                <c:pt idx="784">
                  <c:v>-33.805959999999992</c:v>
                </c:pt>
                <c:pt idx="785">
                  <c:v>-30.475959999999993</c:v>
                </c:pt>
                <c:pt idx="786">
                  <c:v>-34.175959999999996</c:v>
                </c:pt>
                <c:pt idx="787">
                  <c:v>-37.875959999999999</c:v>
                </c:pt>
                <c:pt idx="788">
                  <c:v>-41.555959999999999</c:v>
                </c:pt>
                <c:pt idx="789">
                  <c:v>-38.243960000000001</c:v>
                </c:pt>
                <c:pt idx="790">
                  <c:v>-33.743960000000001</c:v>
                </c:pt>
                <c:pt idx="791">
                  <c:v>-30.12284</c:v>
                </c:pt>
                <c:pt idx="792">
                  <c:v>-27.965240000000001</c:v>
                </c:pt>
                <c:pt idx="793">
                  <c:v>-25.636520000000001</c:v>
                </c:pt>
                <c:pt idx="794">
                  <c:v>-23.404520000000002</c:v>
                </c:pt>
                <c:pt idx="795">
                  <c:v>-25.884520000000002</c:v>
                </c:pt>
                <c:pt idx="796">
                  <c:v>-23.652520000000003</c:v>
                </c:pt>
                <c:pt idx="797">
                  <c:v>-20.775720000000003</c:v>
                </c:pt>
                <c:pt idx="798">
                  <c:v>-23.255720000000004</c:v>
                </c:pt>
                <c:pt idx="799">
                  <c:v>-25.735720000000004</c:v>
                </c:pt>
                <c:pt idx="800">
                  <c:v>-24.704040000000006</c:v>
                </c:pt>
                <c:pt idx="801">
                  <c:v>-21.806040000000007</c:v>
                </c:pt>
                <c:pt idx="802">
                  <c:v>-25.026040000000005</c:v>
                </c:pt>
                <c:pt idx="803">
                  <c:v>-9.8920400000000033</c:v>
                </c:pt>
                <c:pt idx="804">
                  <c:v>-13.112040000000004</c:v>
                </c:pt>
                <c:pt idx="805">
                  <c:v>-16.332040000000003</c:v>
                </c:pt>
                <c:pt idx="806">
                  <c:v>-13.463240000000003</c:v>
                </c:pt>
                <c:pt idx="807">
                  <c:v>-16.723240000000004</c:v>
                </c:pt>
                <c:pt idx="808">
                  <c:v>-13.789240000000005</c:v>
                </c:pt>
                <c:pt idx="809">
                  <c:v>-17.049240000000005</c:v>
                </c:pt>
                <c:pt idx="810">
                  <c:v>-20.309240000000003</c:v>
                </c:pt>
                <c:pt idx="811">
                  <c:v>-17.847140000000003</c:v>
                </c:pt>
                <c:pt idx="812">
                  <c:v>-20.677140000000001</c:v>
                </c:pt>
                <c:pt idx="813">
                  <c:v>-18.24334</c:v>
                </c:pt>
                <c:pt idx="814">
                  <c:v>-15.78124</c:v>
                </c:pt>
                <c:pt idx="815">
                  <c:v>-10.370280000000001</c:v>
                </c:pt>
                <c:pt idx="816">
                  <c:v>-7.4553800000000017</c:v>
                </c:pt>
                <c:pt idx="817">
                  <c:v>-10.285380000000002</c:v>
                </c:pt>
                <c:pt idx="818">
                  <c:v>-5.1347800000000019</c:v>
                </c:pt>
                <c:pt idx="819">
                  <c:v>-7.964780000000002</c:v>
                </c:pt>
                <c:pt idx="820">
                  <c:v>-10.844780000000002</c:v>
                </c:pt>
                <c:pt idx="821">
                  <c:v>-13.724780000000003</c:v>
                </c:pt>
                <c:pt idx="822">
                  <c:v>-16.604780000000002</c:v>
                </c:pt>
                <c:pt idx="823">
                  <c:v>-14.070380000000002</c:v>
                </c:pt>
                <c:pt idx="824">
                  <c:v>-9.6927800000000026</c:v>
                </c:pt>
                <c:pt idx="825">
                  <c:v>-5.8623800000000026</c:v>
                </c:pt>
                <c:pt idx="826">
                  <c:v>-8.7423800000000025</c:v>
                </c:pt>
                <c:pt idx="827">
                  <c:v>-5.7813800000000031</c:v>
                </c:pt>
                <c:pt idx="828">
                  <c:v>-2.9519800000000025</c:v>
                </c:pt>
                <c:pt idx="829">
                  <c:v>-0.18838000000000221</c:v>
                </c:pt>
                <c:pt idx="830">
                  <c:v>2.647599999999998</c:v>
                </c:pt>
                <c:pt idx="831">
                  <c:v>5.5098999999999982</c:v>
                </c:pt>
                <c:pt idx="832">
                  <c:v>2.2198999999999982</c:v>
                </c:pt>
                <c:pt idx="833">
                  <c:v>5.0821999999999985</c:v>
                </c:pt>
                <c:pt idx="834">
                  <c:v>7.898439999999999</c:v>
                </c:pt>
                <c:pt idx="835">
                  <c:v>10.859439999999999</c:v>
                </c:pt>
                <c:pt idx="836">
                  <c:v>13.820439999999998</c:v>
                </c:pt>
                <c:pt idx="837">
                  <c:v>10.530439999999999</c:v>
                </c:pt>
                <c:pt idx="838">
                  <c:v>7.2404399999999987</c:v>
                </c:pt>
                <c:pt idx="839">
                  <c:v>3.9504399999999986</c:v>
                </c:pt>
                <c:pt idx="840">
                  <c:v>0.66043999999999858</c:v>
                </c:pt>
                <c:pt idx="841">
                  <c:v>-2.2595600000000013</c:v>
                </c:pt>
                <c:pt idx="842">
                  <c:v>0.70143999999999807</c:v>
                </c:pt>
                <c:pt idx="843">
                  <c:v>3.3294399999999982</c:v>
                </c:pt>
                <c:pt idx="844">
                  <c:v>5.9574399999999983</c:v>
                </c:pt>
                <c:pt idx="845">
                  <c:v>8.4978399999999983</c:v>
                </c:pt>
                <c:pt idx="846">
                  <c:v>10.973999999999998</c:v>
                </c:pt>
                <c:pt idx="847">
                  <c:v>13.601999999999999</c:v>
                </c:pt>
                <c:pt idx="848">
                  <c:v>16.101520000000001</c:v>
                </c:pt>
                <c:pt idx="849">
                  <c:v>12.70152</c:v>
                </c:pt>
                <c:pt idx="850">
                  <c:v>9.30152</c:v>
                </c:pt>
                <c:pt idx="851">
                  <c:v>12.07592</c:v>
                </c:pt>
                <c:pt idx="852">
                  <c:v>15.13592</c:v>
                </c:pt>
                <c:pt idx="853">
                  <c:v>17.910320000000002</c:v>
                </c:pt>
                <c:pt idx="854">
                  <c:v>14.510320000000002</c:v>
                </c:pt>
                <c:pt idx="855">
                  <c:v>17.349320000000002</c:v>
                </c:pt>
                <c:pt idx="856">
                  <c:v>13.949320000000002</c:v>
                </c:pt>
                <c:pt idx="857">
                  <c:v>16.832520000000002</c:v>
                </c:pt>
                <c:pt idx="858">
                  <c:v>13.432520000000002</c:v>
                </c:pt>
                <c:pt idx="859">
                  <c:v>10.032520000000002</c:v>
                </c:pt>
                <c:pt idx="860">
                  <c:v>13.225120000000002</c:v>
                </c:pt>
                <c:pt idx="861">
                  <c:v>16.319120000000002</c:v>
                </c:pt>
                <c:pt idx="862">
                  <c:v>19.37912</c:v>
                </c:pt>
                <c:pt idx="863">
                  <c:v>22.18412</c:v>
                </c:pt>
                <c:pt idx="864">
                  <c:v>25.244119999999999</c:v>
                </c:pt>
                <c:pt idx="865">
                  <c:v>28.57612</c:v>
                </c:pt>
                <c:pt idx="866">
                  <c:v>31.46612</c:v>
                </c:pt>
                <c:pt idx="867">
                  <c:v>34.271120000000003</c:v>
                </c:pt>
                <c:pt idx="868">
                  <c:v>30.871120000000005</c:v>
                </c:pt>
                <c:pt idx="869">
                  <c:v>28.161120000000004</c:v>
                </c:pt>
                <c:pt idx="870">
                  <c:v>30.372480000000003</c:v>
                </c:pt>
                <c:pt idx="871">
                  <c:v>32.648880000000005</c:v>
                </c:pt>
                <c:pt idx="872">
                  <c:v>35.087880000000006</c:v>
                </c:pt>
                <c:pt idx="873">
                  <c:v>32.377880000000005</c:v>
                </c:pt>
                <c:pt idx="874">
                  <c:v>34.613630000000001</c:v>
                </c:pt>
                <c:pt idx="875">
                  <c:v>36.82499</c:v>
                </c:pt>
                <c:pt idx="876">
                  <c:v>39.08784</c:v>
                </c:pt>
                <c:pt idx="877">
                  <c:v>36.377839999999999</c:v>
                </c:pt>
                <c:pt idx="878">
                  <c:v>38.816839999999999</c:v>
                </c:pt>
                <c:pt idx="879">
                  <c:v>41.052589999999995</c:v>
                </c:pt>
                <c:pt idx="880">
                  <c:v>38.342589999999994</c:v>
                </c:pt>
                <c:pt idx="881">
                  <c:v>41.567489999999992</c:v>
                </c:pt>
                <c:pt idx="882">
                  <c:v>44.494289999999992</c:v>
                </c:pt>
                <c:pt idx="883">
                  <c:v>41.784289999999991</c:v>
                </c:pt>
                <c:pt idx="884">
                  <c:v>44.336629999999992</c:v>
                </c:pt>
                <c:pt idx="885">
                  <c:v>46.888969999999993</c:v>
                </c:pt>
                <c:pt idx="886">
                  <c:v>49.669969999999992</c:v>
                </c:pt>
                <c:pt idx="887">
                  <c:v>52.191409999999991</c:v>
                </c:pt>
                <c:pt idx="888">
                  <c:v>54.694309999999987</c:v>
                </c:pt>
                <c:pt idx="889">
                  <c:v>51.604309999999984</c:v>
                </c:pt>
                <c:pt idx="890">
                  <c:v>48.514309999999981</c:v>
                </c:pt>
                <c:pt idx="891">
                  <c:v>45.424309999999977</c:v>
                </c:pt>
                <c:pt idx="892">
                  <c:v>42.334309999999974</c:v>
                </c:pt>
                <c:pt idx="893">
                  <c:v>39.584309999999974</c:v>
                </c:pt>
                <c:pt idx="894">
                  <c:v>41.740309999999972</c:v>
                </c:pt>
                <c:pt idx="895">
                  <c:v>43.940309999999975</c:v>
                </c:pt>
                <c:pt idx="896">
                  <c:v>46.159559999999978</c:v>
                </c:pt>
                <c:pt idx="897">
                  <c:v>48.359559999999981</c:v>
                </c:pt>
                <c:pt idx="898">
                  <c:v>50.60355999999998</c:v>
                </c:pt>
                <c:pt idx="899">
                  <c:v>53.243559999999981</c:v>
                </c:pt>
                <c:pt idx="900">
                  <c:v>55.512309999999978</c:v>
                </c:pt>
                <c:pt idx="901">
                  <c:v>52.762309999999978</c:v>
                </c:pt>
                <c:pt idx="902">
                  <c:v>55.374809999999975</c:v>
                </c:pt>
                <c:pt idx="903">
                  <c:v>60.531059999999975</c:v>
                </c:pt>
                <c:pt idx="904">
                  <c:v>57.781059999999975</c:v>
                </c:pt>
                <c:pt idx="905">
                  <c:v>53.571059999999974</c:v>
                </c:pt>
                <c:pt idx="906">
                  <c:v>57.107459999999975</c:v>
                </c:pt>
                <c:pt idx="907">
                  <c:v>60.896459999999976</c:v>
                </c:pt>
                <c:pt idx="908">
                  <c:v>56.686459999999975</c:v>
                </c:pt>
                <c:pt idx="909">
                  <c:v>52.476459999999975</c:v>
                </c:pt>
                <c:pt idx="910">
                  <c:v>56.619099999999975</c:v>
                </c:pt>
                <c:pt idx="911">
                  <c:v>58.985379999999978</c:v>
                </c:pt>
                <c:pt idx="912">
                  <c:v>56.465379999999975</c:v>
                </c:pt>
                <c:pt idx="913">
                  <c:v>53.945379999999972</c:v>
                </c:pt>
                <c:pt idx="914">
                  <c:v>55.956339999999969</c:v>
                </c:pt>
                <c:pt idx="915">
                  <c:v>58.22433999999997</c:v>
                </c:pt>
                <c:pt idx="916">
                  <c:v>60.49233999999997</c:v>
                </c:pt>
                <c:pt idx="917">
                  <c:v>62.785539999999969</c:v>
                </c:pt>
                <c:pt idx="918">
                  <c:v>60.265539999999966</c:v>
                </c:pt>
                <c:pt idx="919">
                  <c:v>62.294139999999963</c:v>
                </c:pt>
                <c:pt idx="920">
                  <c:v>64.35045999999997</c:v>
                </c:pt>
                <c:pt idx="921">
                  <c:v>66.429459999999963</c:v>
                </c:pt>
                <c:pt idx="922">
                  <c:v>68.508459999999957</c:v>
                </c:pt>
                <c:pt idx="923">
                  <c:v>65.988459999999961</c:v>
                </c:pt>
                <c:pt idx="924">
                  <c:v>63.468459999999958</c:v>
                </c:pt>
                <c:pt idx="925">
                  <c:v>60.948459999999955</c:v>
                </c:pt>
                <c:pt idx="926">
                  <c:v>64.04805999999995</c:v>
                </c:pt>
                <c:pt idx="927">
                  <c:v>61.528059999999947</c:v>
                </c:pt>
                <c:pt idx="928">
                  <c:v>66.65250999999995</c:v>
                </c:pt>
                <c:pt idx="929">
                  <c:v>72.748509999999953</c:v>
                </c:pt>
                <c:pt idx="930">
                  <c:v>78.971509999999952</c:v>
                </c:pt>
                <c:pt idx="931">
                  <c:v>76.371509999999958</c:v>
                </c:pt>
                <c:pt idx="932">
                  <c:v>73.771509999999964</c:v>
                </c:pt>
                <c:pt idx="933">
                  <c:v>75.809909999999959</c:v>
                </c:pt>
                <c:pt idx="934">
                  <c:v>73.209909999999965</c:v>
                </c:pt>
                <c:pt idx="935">
                  <c:v>70.609909999999971</c:v>
                </c:pt>
                <c:pt idx="936">
                  <c:v>70.609909999999971</c:v>
                </c:pt>
                <c:pt idx="937">
                  <c:v>72.754909999999967</c:v>
                </c:pt>
                <c:pt idx="938">
                  <c:v>75.302909999999969</c:v>
                </c:pt>
                <c:pt idx="939">
                  <c:v>72.702909999999974</c:v>
                </c:pt>
                <c:pt idx="940">
                  <c:v>76.186909999999969</c:v>
                </c:pt>
                <c:pt idx="941">
                  <c:v>79.473309999999969</c:v>
                </c:pt>
                <c:pt idx="942">
                  <c:v>76.873309999999975</c:v>
                </c:pt>
                <c:pt idx="943">
                  <c:v>73.173309999999972</c:v>
                </c:pt>
                <c:pt idx="944">
                  <c:v>76.540309999999977</c:v>
                </c:pt>
                <c:pt idx="945">
                  <c:v>72.840309999999974</c:v>
                </c:pt>
                <c:pt idx="946">
                  <c:v>69.140309999999971</c:v>
                </c:pt>
                <c:pt idx="947">
                  <c:v>65.440309999999968</c:v>
                </c:pt>
                <c:pt idx="948">
                  <c:v>61.740309999999965</c:v>
                </c:pt>
                <c:pt idx="949">
                  <c:v>68.233809999999963</c:v>
                </c:pt>
                <c:pt idx="950">
                  <c:v>73.857809999999958</c:v>
                </c:pt>
                <c:pt idx="951">
                  <c:v>77.483809999999963</c:v>
                </c:pt>
                <c:pt idx="952">
                  <c:v>73.78380999999996</c:v>
                </c:pt>
                <c:pt idx="953">
                  <c:v>76.714009999999959</c:v>
                </c:pt>
                <c:pt idx="954">
                  <c:v>73.49400999999996</c:v>
                </c:pt>
                <c:pt idx="955">
                  <c:v>76.392009999999956</c:v>
                </c:pt>
                <c:pt idx="956">
                  <c:v>73.172009999999958</c:v>
                </c:pt>
                <c:pt idx="957">
                  <c:v>69.952009999999959</c:v>
                </c:pt>
                <c:pt idx="958">
                  <c:v>66.73200999999996</c:v>
                </c:pt>
                <c:pt idx="959">
                  <c:v>69.388509999999954</c:v>
                </c:pt>
                <c:pt idx="960">
                  <c:v>66.168509999999955</c:v>
                </c:pt>
                <c:pt idx="961">
                  <c:v>62.948509999999956</c:v>
                </c:pt>
                <c:pt idx="962">
                  <c:v>65.621109999999959</c:v>
                </c:pt>
                <c:pt idx="963">
                  <c:v>62.40110999999996</c:v>
                </c:pt>
                <c:pt idx="964">
                  <c:v>65.556709999999967</c:v>
                </c:pt>
                <c:pt idx="965">
                  <c:v>69.42420999999996</c:v>
                </c:pt>
                <c:pt idx="966">
                  <c:v>72.934709999999967</c:v>
                </c:pt>
                <c:pt idx="967">
                  <c:v>68.684709999999967</c:v>
                </c:pt>
                <c:pt idx="968">
                  <c:v>72.297209999999964</c:v>
                </c:pt>
                <c:pt idx="969">
                  <c:v>75.845959999999963</c:v>
                </c:pt>
                <c:pt idx="970">
                  <c:v>79.670959999999965</c:v>
                </c:pt>
                <c:pt idx="971">
                  <c:v>84.005959999999959</c:v>
                </c:pt>
                <c:pt idx="972">
                  <c:v>88.447209999999956</c:v>
                </c:pt>
                <c:pt idx="973">
                  <c:v>84.197209999999956</c:v>
                </c:pt>
                <c:pt idx="974">
                  <c:v>81.587209999999956</c:v>
                </c:pt>
                <c:pt idx="975">
                  <c:v>78.977209999999957</c:v>
                </c:pt>
                <c:pt idx="976">
                  <c:v>81.195709999999963</c:v>
                </c:pt>
                <c:pt idx="977">
                  <c:v>83.544709999999966</c:v>
                </c:pt>
                <c:pt idx="978">
                  <c:v>83.544709999999966</c:v>
                </c:pt>
                <c:pt idx="979">
                  <c:v>86.102509999999967</c:v>
                </c:pt>
                <c:pt idx="980">
                  <c:v>88.660309999999967</c:v>
                </c:pt>
                <c:pt idx="981">
                  <c:v>86.050309999999968</c:v>
                </c:pt>
                <c:pt idx="982">
                  <c:v>88.203559999999968</c:v>
                </c:pt>
                <c:pt idx="983">
                  <c:v>85.593559999999968</c:v>
                </c:pt>
                <c:pt idx="984">
                  <c:v>82.983559999999969</c:v>
                </c:pt>
                <c:pt idx="985">
                  <c:v>85.136809999999969</c:v>
                </c:pt>
                <c:pt idx="986">
                  <c:v>82.526809999999969</c:v>
                </c:pt>
                <c:pt idx="987">
                  <c:v>79.91680999999997</c:v>
                </c:pt>
                <c:pt idx="988">
                  <c:v>77.30680999999997</c:v>
                </c:pt>
                <c:pt idx="989">
                  <c:v>82.594489999999965</c:v>
                </c:pt>
                <c:pt idx="990">
                  <c:v>76.114489999999961</c:v>
                </c:pt>
                <c:pt idx="991">
                  <c:v>81.525289999999956</c:v>
                </c:pt>
                <c:pt idx="992">
                  <c:v>83.865289999999959</c:v>
                </c:pt>
                <c:pt idx="993">
                  <c:v>85.98688999999996</c:v>
                </c:pt>
                <c:pt idx="994">
                  <c:v>83.386889999999966</c:v>
                </c:pt>
                <c:pt idx="995">
                  <c:v>83.386889999999966</c:v>
                </c:pt>
                <c:pt idx="996">
                  <c:v>85.596889999999959</c:v>
                </c:pt>
                <c:pt idx="997">
                  <c:v>87.801689999999965</c:v>
                </c:pt>
                <c:pt idx="998">
                  <c:v>85.201689999999971</c:v>
                </c:pt>
                <c:pt idx="999">
                  <c:v>82.601689999999977</c:v>
                </c:pt>
                <c:pt idx="1000">
                  <c:v>84.806489999999982</c:v>
                </c:pt>
                <c:pt idx="1001">
                  <c:v>86.99048999999998</c:v>
                </c:pt>
                <c:pt idx="1002">
                  <c:v>89.382489999999976</c:v>
                </c:pt>
                <c:pt idx="1003">
                  <c:v>91.930489999999978</c:v>
                </c:pt>
                <c:pt idx="1004">
                  <c:v>95.75248999999998</c:v>
                </c:pt>
                <c:pt idx="1005">
                  <c:v>89.122489999999985</c:v>
                </c:pt>
                <c:pt idx="1006">
                  <c:v>82.492489999999989</c:v>
                </c:pt>
                <c:pt idx="1007">
                  <c:v>75.862489999999994</c:v>
                </c:pt>
                <c:pt idx="1008">
                  <c:v>69.232489999999999</c:v>
                </c:pt>
                <c:pt idx="1009">
                  <c:v>62.602489999999996</c:v>
                </c:pt>
                <c:pt idx="1010">
                  <c:v>64.131289999999993</c:v>
                </c:pt>
                <c:pt idx="1011">
                  <c:v>62.311289999999993</c:v>
                </c:pt>
                <c:pt idx="1012">
                  <c:v>63.949289999999991</c:v>
                </c:pt>
                <c:pt idx="1013">
                  <c:v>62.12928999999999</c:v>
                </c:pt>
                <c:pt idx="1014">
                  <c:v>63.785489999999989</c:v>
                </c:pt>
                <c:pt idx="1015">
                  <c:v>61.965489999999988</c:v>
                </c:pt>
                <c:pt idx="1016">
                  <c:v>63.603489999999987</c:v>
                </c:pt>
                <c:pt idx="1017">
                  <c:v>61.783489999999986</c:v>
                </c:pt>
                <c:pt idx="1018">
                  <c:v>63.421489999999984</c:v>
                </c:pt>
                <c:pt idx="1019">
                  <c:v>65.241489999999985</c:v>
                </c:pt>
                <c:pt idx="1020">
                  <c:v>63.421489999999984</c:v>
                </c:pt>
                <c:pt idx="1021">
                  <c:v>61.601489999999984</c:v>
                </c:pt>
                <c:pt idx="1022">
                  <c:v>63.385089999999984</c:v>
                </c:pt>
                <c:pt idx="1023">
                  <c:v>61.565089999999984</c:v>
                </c:pt>
                <c:pt idx="1024">
                  <c:v>59.745089999999983</c:v>
                </c:pt>
                <c:pt idx="1025">
                  <c:v>57.925089999999983</c:v>
                </c:pt>
                <c:pt idx="1026">
                  <c:v>56.105089999999983</c:v>
                </c:pt>
                <c:pt idx="1027">
                  <c:v>57.642989999999983</c:v>
                </c:pt>
                <c:pt idx="1028">
                  <c:v>55.822989999999983</c:v>
                </c:pt>
                <c:pt idx="1029">
                  <c:v>57.624789999999983</c:v>
                </c:pt>
                <c:pt idx="1030">
                  <c:v>59.335589999999982</c:v>
                </c:pt>
                <c:pt idx="1031">
                  <c:v>61.028189999999981</c:v>
                </c:pt>
                <c:pt idx="1032">
                  <c:v>59.208189999999981</c:v>
                </c:pt>
                <c:pt idx="1033">
                  <c:v>57.38818999999998</c:v>
                </c:pt>
                <c:pt idx="1034">
                  <c:v>48.968189999999979</c:v>
                </c:pt>
                <c:pt idx="1035">
                  <c:v>40.548189999999977</c:v>
                </c:pt>
                <c:pt idx="1036">
                  <c:v>32.128189999999975</c:v>
                </c:pt>
                <c:pt idx="1037">
                  <c:v>40.379789999999971</c:v>
                </c:pt>
                <c:pt idx="1038">
                  <c:v>31.95978999999997</c:v>
                </c:pt>
                <c:pt idx="1039">
                  <c:v>34.058189999999968</c:v>
                </c:pt>
                <c:pt idx="1040">
                  <c:v>36.180989999999966</c:v>
                </c:pt>
                <c:pt idx="1041">
                  <c:v>38.376989999999964</c:v>
                </c:pt>
                <c:pt idx="1042">
                  <c:v>40.572989999999962</c:v>
                </c:pt>
                <c:pt idx="1043">
                  <c:v>38.132989999999964</c:v>
                </c:pt>
                <c:pt idx="1044">
                  <c:v>40.328989999999962</c:v>
                </c:pt>
                <c:pt idx="1045">
                  <c:v>37.888989999999964</c:v>
                </c:pt>
                <c:pt idx="1046">
                  <c:v>35.448989999999966</c:v>
                </c:pt>
                <c:pt idx="1047">
                  <c:v>37.547389999999965</c:v>
                </c:pt>
                <c:pt idx="1048">
                  <c:v>39.609189999999963</c:v>
                </c:pt>
                <c:pt idx="1049">
                  <c:v>41.707589999999961</c:v>
                </c:pt>
                <c:pt idx="1050">
                  <c:v>43.903589999999959</c:v>
                </c:pt>
                <c:pt idx="1051">
                  <c:v>41.463589999999961</c:v>
                </c:pt>
                <c:pt idx="1052">
                  <c:v>39.023589999999963</c:v>
                </c:pt>
                <c:pt idx="1053">
                  <c:v>41.268389999999961</c:v>
                </c:pt>
                <c:pt idx="1054">
                  <c:v>38.828389999999963</c:v>
                </c:pt>
                <c:pt idx="1055">
                  <c:v>41.146389999999961</c:v>
                </c:pt>
                <c:pt idx="1056">
                  <c:v>43.976789999999959</c:v>
                </c:pt>
                <c:pt idx="1057">
                  <c:v>41.536789999999961</c:v>
                </c:pt>
                <c:pt idx="1058">
                  <c:v>39.096789999999963</c:v>
                </c:pt>
                <c:pt idx="1059">
                  <c:v>41.562789999999964</c:v>
                </c:pt>
                <c:pt idx="1060">
                  <c:v>38.822789999999962</c:v>
                </c:pt>
                <c:pt idx="1061">
                  <c:v>41.086029999999965</c:v>
                </c:pt>
                <c:pt idx="1062">
                  <c:v>43.321869999999969</c:v>
                </c:pt>
                <c:pt idx="1063">
                  <c:v>45.533049999999967</c:v>
                </c:pt>
                <c:pt idx="1064">
                  <c:v>42.793049999999965</c:v>
                </c:pt>
                <c:pt idx="1065">
                  <c:v>44.979569999999967</c:v>
                </c:pt>
                <c:pt idx="1066">
                  <c:v>47.445569999999968</c:v>
                </c:pt>
                <c:pt idx="1067">
                  <c:v>44.705569999999966</c:v>
                </c:pt>
                <c:pt idx="1068">
                  <c:v>47.029089999999968</c:v>
                </c:pt>
                <c:pt idx="1069">
                  <c:v>49.374529999999972</c:v>
                </c:pt>
                <c:pt idx="1070">
                  <c:v>51.840529999999973</c:v>
                </c:pt>
                <c:pt idx="1071">
                  <c:v>49.100529999999971</c:v>
                </c:pt>
                <c:pt idx="1072">
                  <c:v>51.730929999999972</c:v>
                </c:pt>
                <c:pt idx="1073">
                  <c:v>55.610769999999974</c:v>
                </c:pt>
                <c:pt idx="1074">
                  <c:v>51.410769999999971</c:v>
                </c:pt>
                <c:pt idx="1075">
                  <c:v>47.210769999999968</c:v>
                </c:pt>
                <c:pt idx="1076">
                  <c:v>43.010769999999965</c:v>
                </c:pt>
                <c:pt idx="1077">
                  <c:v>38.810769999999962</c:v>
                </c:pt>
                <c:pt idx="1078">
                  <c:v>34.61076999999996</c:v>
                </c:pt>
                <c:pt idx="1079">
                  <c:v>30.41076999999996</c:v>
                </c:pt>
                <c:pt idx="1080">
                  <c:v>26.210769999999961</c:v>
                </c:pt>
                <c:pt idx="1081">
                  <c:v>22.010769999999962</c:v>
                </c:pt>
                <c:pt idx="1082">
                  <c:v>27.932769999999962</c:v>
                </c:pt>
                <c:pt idx="1083">
                  <c:v>23.732769999999963</c:v>
                </c:pt>
                <c:pt idx="1084">
                  <c:v>25.725669999999962</c:v>
                </c:pt>
                <c:pt idx="1085">
                  <c:v>27.512709999999963</c:v>
                </c:pt>
                <c:pt idx="1086">
                  <c:v>25.322709999999962</c:v>
                </c:pt>
                <c:pt idx="1087">
                  <c:v>27.379119999999961</c:v>
                </c:pt>
                <c:pt idx="1088">
                  <c:v>29.166159999999962</c:v>
                </c:pt>
                <c:pt idx="1089">
                  <c:v>31.071459999999963</c:v>
                </c:pt>
                <c:pt idx="1090">
                  <c:v>28.881459999999961</c:v>
                </c:pt>
                <c:pt idx="1091">
                  <c:v>30.852459999999962</c:v>
                </c:pt>
                <c:pt idx="1092">
                  <c:v>28.66245999999996</c:v>
                </c:pt>
                <c:pt idx="1093">
                  <c:v>30.513009999999959</c:v>
                </c:pt>
                <c:pt idx="1094">
                  <c:v>32.484009999999955</c:v>
                </c:pt>
                <c:pt idx="1095">
                  <c:v>35.856609999999954</c:v>
                </c:pt>
                <c:pt idx="1096">
                  <c:v>33.666609999999956</c:v>
                </c:pt>
                <c:pt idx="1097">
                  <c:v>35.681409999999957</c:v>
                </c:pt>
                <c:pt idx="1098">
                  <c:v>33.491409999999959</c:v>
                </c:pt>
                <c:pt idx="1099">
                  <c:v>31.301409999999958</c:v>
                </c:pt>
                <c:pt idx="1100">
                  <c:v>29.111409999999957</c:v>
                </c:pt>
                <c:pt idx="1101">
                  <c:v>26.921409999999955</c:v>
                </c:pt>
                <c:pt idx="1102">
                  <c:v>33.789409999999954</c:v>
                </c:pt>
                <c:pt idx="1103">
                  <c:v>40.382689999999954</c:v>
                </c:pt>
                <c:pt idx="1104">
                  <c:v>32.302689999999956</c:v>
                </c:pt>
                <c:pt idx="1105">
                  <c:v>24.222689999999957</c:v>
                </c:pt>
                <c:pt idx="1106">
                  <c:v>32.238049999999959</c:v>
                </c:pt>
                <c:pt idx="1107">
                  <c:v>34.080649999999956</c:v>
                </c:pt>
                <c:pt idx="1108">
                  <c:v>31.860649999999957</c:v>
                </c:pt>
                <c:pt idx="1109">
                  <c:v>33.903049999999958</c:v>
                </c:pt>
                <c:pt idx="1110">
                  <c:v>31.683049999999959</c:v>
                </c:pt>
                <c:pt idx="1111">
                  <c:v>33.592249999999957</c:v>
                </c:pt>
                <c:pt idx="1112">
                  <c:v>35.76784999999996</c:v>
                </c:pt>
                <c:pt idx="1113">
                  <c:v>33.547849999999961</c:v>
                </c:pt>
                <c:pt idx="1114">
                  <c:v>31.327849999999962</c:v>
                </c:pt>
                <c:pt idx="1115">
                  <c:v>33.32584999999996</c:v>
                </c:pt>
                <c:pt idx="1116">
                  <c:v>35.434849999999962</c:v>
                </c:pt>
                <c:pt idx="1117">
                  <c:v>33.214849999999963</c:v>
                </c:pt>
                <c:pt idx="1118">
                  <c:v>30.994849999999964</c:v>
                </c:pt>
                <c:pt idx="1119">
                  <c:v>35.334949999999964</c:v>
                </c:pt>
                <c:pt idx="1120">
                  <c:v>33.114949999999965</c:v>
                </c:pt>
                <c:pt idx="1121">
                  <c:v>29.044949999999965</c:v>
                </c:pt>
                <c:pt idx="1122">
                  <c:v>32.707949999999968</c:v>
                </c:pt>
                <c:pt idx="1123">
                  <c:v>28.637949999999968</c:v>
                </c:pt>
                <c:pt idx="1124">
                  <c:v>31.893949999999968</c:v>
                </c:pt>
                <c:pt idx="1125">
                  <c:v>35.556949999999972</c:v>
                </c:pt>
                <c:pt idx="1126">
                  <c:v>39.219949999999969</c:v>
                </c:pt>
                <c:pt idx="1127">
                  <c:v>35.149949999999968</c:v>
                </c:pt>
                <c:pt idx="1128">
                  <c:v>31.079949999999968</c:v>
                </c:pt>
                <c:pt idx="1129">
                  <c:v>34.742949999999965</c:v>
                </c:pt>
                <c:pt idx="1130">
                  <c:v>30.672949999999965</c:v>
                </c:pt>
                <c:pt idx="1131">
                  <c:v>26.602949999999964</c:v>
                </c:pt>
                <c:pt idx="1132">
                  <c:v>37.184949999999965</c:v>
                </c:pt>
                <c:pt idx="1133">
                  <c:v>34.724949999999964</c:v>
                </c:pt>
                <c:pt idx="1134">
                  <c:v>32.264949999999963</c:v>
                </c:pt>
                <c:pt idx="1135">
                  <c:v>34.23294999999996</c:v>
                </c:pt>
                <c:pt idx="1136">
                  <c:v>36.200949999999963</c:v>
                </c:pt>
                <c:pt idx="1137">
                  <c:v>38.365749999999963</c:v>
                </c:pt>
                <c:pt idx="1138">
                  <c:v>40.530549999999963</c:v>
                </c:pt>
                <c:pt idx="1139">
                  <c:v>38.070549999999962</c:v>
                </c:pt>
                <c:pt idx="1140">
                  <c:v>40.235349999999961</c:v>
                </c:pt>
                <c:pt idx="1141">
                  <c:v>37.77534999999996</c:v>
                </c:pt>
                <c:pt idx="1142">
                  <c:v>35.31534999999996</c:v>
                </c:pt>
                <c:pt idx="1143">
                  <c:v>32.855349999999959</c:v>
                </c:pt>
                <c:pt idx="1144">
                  <c:v>37.172649999999962</c:v>
                </c:pt>
                <c:pt idx="1145">
                  <c:v>34.712649999999961</c:v>
                </c:pt>
                <c:pt idx="1146">
                  <c:v>32.25264999999996</c:v>
                </c:pt>
                <c:pt idx="1147">
                  <c:v>27.372649999999961</c:v>
                </c:pt>
                <c:pt idx="1148">
                  <c:v>22.492649999999962</c:v>
                </c:pt>
                <c:pt idx="1149">
                  <c:v>17.612649999999963</c:v>
                </c:pt>
                <c:pt idx="1150">
                  <c:v>22.053449999999962</c:v>
                </c:pt>
                <c:pt idx="1151">
                  <c:v>17.173449999999963</c:v>
                </c:pt>
                <c:pt idx="1152">
                  <c:v>12.293449999999964</c:v>
                </c:pt>
                <c:pt idx="1153">
                  <c:v>16.539049999999964</c:v>
                </c:pt>
                <c:pt idx="1154">
                  <c:v>11.659049999999965</c:v>
                </c:pt>
                <c:pt idx="1155">
                  <c:v>6.7790499999999652</c:v>
                </c:pt>
                <c:pt idx="1156">
                  <c:v>1.8990499999999653</c:v>
                </c:pt>
                <c:pt idx="1157">
                  <c:v>6.5350499999999654</c:v>
                </c:pt>
                <c:pt idx="1158">
                  <c:v>10.288919999999965</c:v>
                </c:pt>
                <c:pt idx="1159">
                  <c:v>14.179379999999966</c:v>
                </c:pt>
                <c:pt idx="1160">
                  <c:v>18.418379999999967</c:v>
                </c:pt>
                <c:pt idx="1161">
                  <c:v>22.657379999999968</c:v>
                </c:pt>
                <c:pt idx="1162">
                  <c:v>17.947379999999967</c:v>
                </c:pt>
                <c:pt idx="1163">
                  <c:v>22.045079999999967</c:v>
                </c:pt>
                <c:pt idx="1164">
                  <c:v>28.497779999999967</c:v>
                </c:pt>
                <c:pt idx="1165">
                  <c:v>23.787779999999966</c:v>
                </c:pt>
                <c:pt idx="1166">
                  <c:v>19.077779999999965</c:v>
                </c:pt>
                <c:pt idx="1167">
                  <c:v>20.786899999999964</c:v>
                </c:pt>
                <c:pt idx="1168">
                  <c:v>22.496019999999962</c:v>
                </c:pt>
                <c:pt idx="1169">
                  <c:v>20.316019999999963</c:v>
                </c:pt>
                <c:pt idx="1170">
                  <c:v>22.278019999999962</c:v>
                </c:pt>
                <c:pt idx="1171">
                  <c:v>20.098019999999963</c:v>
                </c:pt>
                <c:pt idx="1172">
                  <c:v>17.918019999999963</c:v>
                </c:pt>
                <c:pt idx="1173">
                  <c:v>19.880019999999963</c:v>
                </c:pt>
                <c:pt idx="1174">
                  <c:v>21.711219999999962</c:v>
                </c:pt>
                <c:pt idx="1175">
                  <c:v>23.577299999999962</c:v>
                </c:pt>
                <c:pt idx="1176">
                  <c:v>25.443379999999962</c:v>
                </c:pt>
                <c:pt idx="1177">
                  <c:v>27.339979999999962</c:v>
                </c:pt>
                <c:pt idx="1178">
                  <c:v>29.138479999999962</c:v>
                </c:pt>
                <c:pt idx="1179">
                  <c:v>31.100479999999962</c:v>
                </c:pt>
                <c:pt idx="1180">
                  <c:v>33.062479999999965</c:v>
                </c:pt>
                <c:pt idx="1181">
                  <c:v>35.207599999999964</c:v>
                </c:pt>
                <c:pt idx="1182">
                  <c:v>29.077599999999965</c:v>
                </c:pt>
                <c:pt idx="1183">
                  <c:v>22.947599999999966</c:v>
                </c:pt>
                <c:pt idx="1184">
                  <c:v>16.817599999999967</c:v>
                </c:pt>
                <c:pt idx="1185">
                  <c:v>10.687599999999968</c:v>
                </c:pt>
                <c:pt idx="1186">
                  <c:v>12.654699999999968</c:v>
                </c:pt>
                <c:pt idx="1187">
                  <c:v>10.284699999999969</c:v>
                </c:pt>
                <c:pt idx="1188">
                  <c:v>7.9146999999999688</c:v>
                </c:pt>
                <c:pt idx="1189">
                  <c:v>10.047699999999969</c:v>
                </c:pt>
                <c:pt idx="1190">
                  <c:v>12.109599999999968</c:v>
                </c:pt>
                <c:pt idx="1191">
                  <c:v>14.100399999999969</c:v>
                </c:pt>
                <c:pt idx="1192">
                  <c:v>16.11489999999997</c:v>
                </c:pt>
                <c:pt idx="1193">
                  <c:v>18.117549999999969</c:v>
                </c:pt>
                <c:pt idx="1194">
                  <c:v>20.250549999999969</c:v>
                </c:pt>
                <c:pt idx="1195">
                  <c:v>22.383549999999968</c:v>
                </c:pt>
                <c:pt idx="1196">
                  <c:v>24.421749999999967</c:v>
                </c:pt>
                <c:pt idx="1197">
                  <c:v>26.424399999999967</c:v>
                </c:pt>
                <c:pt idx="1198">
                  <c:v>28.403349999999968</c:v>
                </c:pt>
                <c:pt idx="1199">
                  <c:v>31.271049999999967</c:v>
                </c:pt>
                <c:pt idx="1200">
                  <c:v>28.901049999999966</c:v>
                </c:pt>
                <c:pt idx="1201">
                  <c:v>32.141049999999964</c:v>
                </c:pt>
                <c:pt idx="1202">
                  <c:v>35.316249999999968</c:v>
                </c:pt>
                <c:pt idx="1203">
                  <c:v>31.266249999999967</c:v>
                </c:pt>
                <c:pt idx="1204">
                  <c:v>34.587249999999969</c:v>
                </c:pt>
                <c:pt idx="1205">
                  <c:v>37.98924999999997</c:v>
                </c:pt>
                <c:pt idx="1206">
                  <c:v>33.939249999999973</c:v>
                </c:pt>
                <c:pt idx="1207">
                  <c:v>29.889249999999972</c:v>
                </c:pt>
                <c:pt idx="1208">
                  <c:v>25.839249999999971</c:v>
                </c:pt>
                <c:pt idx="1209">
                  <c:v>21.789249999999971</c:v>
                </c:pt>
                <c:pt idx="1210">
                  <c:v>23.967969999999973</c:v>
                </c:pt>
                <c:pt idx="1211">
                  <c:v>26.184069999999974</c:v>
                </c:pt>
                <c:pt idx="1212">
                  <c:v>23.514069999999975</c:v>
                </c:pt>
                <c:pt idx="1213">
                  <c:v>20.844069999999974</c:v>
                </c:pt>
                <c:pt idx="1214">
                  <c:v>22.974729999999973</c:v>
                </c:pt>
                <c:pt idx="1215">
                  <c:v>25.068009999999973</c:v>
                </c:pt>
                <c:pt idx="1216">
                  <c:v>27.324159999999971</c:v>
                </c:pt>
                <c:pt idx="1217">
                  <c:v>29.540259999999972</c:v>
                </c:pt>
                <c:pt idx="1218">
                  <c:v>26.870259999999973</c:v>
                </c:pt>
                <c:pt idx="1219">
                  <c:v>29.486859999999972</c:v>
                </c:pt>
                <c:pt idx="1220">
                  <c:v>31.689609999999973</c:v>
                </c:pt>
                <c:pt idx="1221">
                  <c:v>33.919059999999973</c:v>
                </c:pt>
                <c:pt idx="1222">
                  <c:v>31.249059999999972</c:v>
                </c:pt>
                <c:pt idx="1223">
                  <c:v>35.147259999999974</c:v>
                </c:pt>
                <c:pt idx="1224">
                  <c:v>37.550259999999973</c:v>
                </c:pt>
                <c:pt idx="1225">
                  <c:v>34.880259999999971</c:v>
                </c:pt>
                <c:pt idx="1226">
                  <c:v>31.380259999999971</c:v>
                </c:pt>
                <c:pt idx="1227">
                  <c:v>27.880259999999971</c:v>
                </c:pt>
                <c:pt idx="1228">
                  <c:v>31.03025999999997</c:v>
                </c:pt>
                <c:pt idx="1229">
                  <c:v>27.53025999999997</c:v>
                </c:pt>
                <c:pt idx="1230">
                  <c:v>24.03025999999997</c:v>
                </c:pt>
                <c:pt idx="1231">
                  <c:v>26.917759999999969</c:v>
                </c:pt>
                <c:pt idx="1232">
                  <c:v>23.417759999999969</c:v>
                </c:pt>
                <c:pt idx="1233">
                  <c:v>19.917759999999969</c:v>
                </c:pt>
                <c:pt idx="1234">
                  <c:v>16.417759999999969</c:v>
                </c:pt>
                <c:pt idx="1235">
                  <c:v>19.805759999999971</c:v>
                </c:pt>
                <c:pt idx="1236">
                  <c:v>16.305759999999971</c:v>
                </c:pt>
                <c:pt idx="1237">
                  <c:v>19.59323999999997</c:v>
                </c:pt>
                <c:pt idx="1238">
                  <c:v>15.613239999999969</c:v>
                </c:pt>
                <c:pt idx="1239">
                  <c:v>18.697739999999968</c:v>
                </c:pt>
                <c:pt idx="1240">
                  <c:v>21.985219999999966</c:v>
                </c:pt>
                <c:pt idx="1241">
                  <c:v>18.005219999999966</c:v>
                </c:pt>
                <c:pt idx="1242">
                  <c:v>14.025219999999965</c:v>
                </c:pt>
                <c:pt idx="1243">
                  <c:v>17.348519999999965</c:v>
                </c:pt>
                <c:pt idx="1244">
                  <c:v>43.616519999999966</c:v>
                </c:pt>
                <c:pt idx="1245">
                  <c:v>39.636519999999969</c:v>
                </c:pt>
                <c:pt idx="1246">
                  <c:v>41.548299999999969</c:v>
                </c:pt>
                <c:pt idx="1247">
                  <c:v>39.07829999999997</c:v>
                </c:pt>
                <c:pt idx="1248">
                  <c:v>36.608299999999971</c:v>
                </c:pt>
                <c:pt idx="1249">
                  <c:v>34.138299999999973</c:v>
                </c:pt>
                <c:pt idx="1250">
                  <c:v>31.668299999999974</c:v>
                </c:pt>
                <c:pt idx="1251">
                  <c:v>29.198299999999975</c:v>
                </c:pt>
                <c:pt idx="1252">
                  <c:v>26.728299999999976</c:v>
                </c:pt>
                <c:pt idx="1253">
                  <c:v>24.258299999999977</c:v>
                </c:pt>
                <c:pt idx="1254">
                  <c:v>26.481299999999976</c:v>
                </c:pt>
                <c:pt idx="1255">
                  <c:v>24.011299999999977</c:v>
                </c:pt>
                <c:pt idx="1256">
                  <c:v>21.541299999999978</c:v>
                </c:pt>
                <c:pt idx="1257">
                  <c:v>23.62844999999998</c:v>
                </c:pt>
                <c:pt idx="1258">
                  <c:v>25.690899999999978</c:v>
                </c:pt>
                <c:pt idx="1259">
                  <c:v>28.141139999999979</c:v>
                </c:pt>
                <c:pt idx="1260">
                  <c:v>31.302739999999979</c:v>
                </c:pt>
                <c:pt idx="1261">
                  <c:v>33.88388999999998</c:v>
                </c:pt>
                <c:pt idx="1262">
                  <c:v>31.413889999999981</c:v>
                </c:pt>
                <c:pt idx="1263">
                  <c:v>34.353189999999984</c:v>
                </c:pt>
                <c:pt idx="1264">
                  <c:v>38.379289999999983</c:v>
                </c:pt>
                <c:pt idx="1265">
                  <c:v>42.34972999999998</c:v>
                </c:pt>
                <c:pt idx="1266">
                  <c:v>37.429729999999978</c:v>
                </c:pt>
                <c:pt idx="1267">
                  <c:v>32.509729999999976</c:v>
                </c:pt>
                <c:pt idx="1268">
                  <c:v>37.921729999999975</c:v>
                </c:pt>
                <c:pt idx="1269">
                  <c:v>43.235329999999976</c:v>
                </c:pt>
                <c:pt idx="1270">
                  <c:v>40.985329999999976</c:v>
                </c:pt>
                <c:pt idx="1271">
                  <c:v>38.735329999999976</c:v>
                </c:pt>
                <c:pt idx="1272">
                  <c:v>36.485329999999976</c:v>
                </c:pt>
                <c:pt idx="1273">
                  <c:v>38.321329999999975</c:v>
                </c:pt>
                <c:pt idx="1274">
                  <c:v>40.211329999999975</c:v>
                </c:pt>
                <c:pt idx="1275">
                  <c:v>42.236329999999974</c:v>
                </c:pt>
                <c:pt idx="1276">
                  <c:v>39.986329999999974</c:v>
                </c:pt>
                <c:pt idx="1277">
                  <c:v>41.943829999999977</c:v>
                </c:pt>
                <c:pt idx="1278">
                  <c:v>43.968829999999976</c:v>
                </c:pt>
                <c:pt idx="1279">
                  <c:v>41.718829999999976</c:v>
                </c:pt>
                <c:pt idx="1280">
                  <c:v>43.608829999999976</c:v>
                </c:pt>
                <c:pt idx="1281">
                  <c:v>41.358829999999976</c:v>
                </c:pt>
                <c:pt idx="1282">
                  <c:v>43.572829999999975</c:v>
                </c:pt>
                <c:pt idx="1283">
                  <c:v>39.442829999999972</c:v>
                </c:pt>
                <c:pt idx="1284">
                  <c:v>35.31282999999997</c:v>
                </c:pt>
                <c:pt idx="1285">
                  <c:v>31.182829999999971</c:v>
                </c:pt>
                <c:pt idx="1286">
                  <c:v>35.370649999999969</c:v>
                </c:pt>
                <c:pt idx="1287">
                  <c:v>31.24064999999997</c:v>
                </c:pt>
                <c:pt idx="1288">
                  <c:v>27.110649999999971</c:v>
                </c:pt>
                <c:pt idx="1289">
                  <c:v>30.662449999999971</c:v>
                </c:pt>
                <c:pt idx="1290">
                  <c:v>26.532449999999972</c:v>
                </c:pt>
                <c:pt idx="1291">
                  <c:v>30.497249999999973</c:v>
                </c:pt>
                <c:pt idx="1292">
                  <c:v>26.367249999999974</c:v>
                </c:pt>
                <c:pt idx="1293">
                  <c:v>31.075449999999975</c:v>
                </c:pt>
                <c:pt idx="1294">
                  <c:v>28.367763148148121</c:v>
                </c:pt>
                <c:pt idx="1295">
                  <c:v>25.660076296296268</c:v>
                </c:pt>
                <c:pt idx="1296">
                  <c:v>27.826225777777751</c:v>
                </c:pt>
                <c:pt idx="1297">
                  <c:v>30.100682733333308</c:v>
                </c:pt>
                <c:pt idx="1298">
                  <c:v>32.348062820370345</c:v>
                </c:pt>
                <c:pt idx="1299">
                  <c:v>29.640375968518491</c:v>
                </c:pt>
                <c:pt idx="1300">
                  <c:v>32.104371003703676</c:v>
                </c:pt>
                <c:pt idx="1301">
                  <c:v>29.396684151851822</c:v>
                </c:pt>
                <c:pt idx="1302">
                  <c:v>26.688997299999969</c:v>
                </c:pt>
                <c:pt idx="1303">
                  <c:v>28.990531124074042</c:v>
                </c:pt>
                <c:pt idx="1304">
                  <c:v>31.308311069259229</c:v>
                </c:pt>
                <c:pt idx="1305">
                  <c:v>33.691075498888857</c:v>
                </c:pt>
                <c:pt idx="1306">
                  <c:v>30.983388647037003</c:v>
                </c:pt>
                <c:pt idx="1307">
                  <c:v>28.275701795185149</c:v>
                </c:pt>
                <c:pt idx="1308">
                  <c:v>25.568014943333296</c:v>
                </c:pt>
                <c:pt idx="1309">
                  <c:v>22.548014943333296</c:v>
                </c:pt>
                <c:pt idx="1310">
                  <c:v>19.528014943333297</c:v>
                </c:pt>
                <c:pt idx="1311">
                  <c:v>16.508014943333297</c:v>
                </c:pt>
                <c:pt idx="1312">
                  <c:v>18.924014943333297</c:v>
                </c:pt>
                <c:pt idx="1313">
                  <c:v>21.430614943333296</c:v>
                </c:pt>
                <c:pt idx="1314">
                  <c:v>23.846614943333297</c:v>
                </c:pt>
                <c:pt idx="1315">
                  <c:v>26.262614943333297</c:v>
                </c:pt>
                <c:pt idx="1316">
                  <c:v>23.242614943333297</c:v>
                </c:pt>
                <c:pt idx="1317">
                  <c:v>25.930414943333297</c:v>
                </c:pt>
                <c:pt idx="1318">
                  <c:v>22.910414943333297</c:v>
                </c:pt>
                <c:pt idx="1319">
                  <c:v>25.537814943333299</c:v>
                </c:pt>
                <c:pt idx="1320">
                  <c:v>22.517814943333299</c:v>
                </c:pt>
                <c:pt idx="1321">
                  <c:v>25.084814943333299</c:v>
                </c:pt>
                <c:pt idx="1322">
                  <c:v>22.0648149433333</c:v>
                </c:pt>
                <c:pt idx="1323">
                  <c:v>19.0448149433333</c:v>
                </c:pt>
                <c:pt idx="1324">
                  <c:v>16.0248149433333</c:v>
                </c:pt>
                <c:pt idx="1325">
                  <c:v>13.004814943333301</c:v>
                </c:pt>
                <c:pt idx="1326">
                  <c:v>9.9848149433333013</c:v>
                </c:pt>
                <c:pt idx="1327">
                  <c:v>12.857814943333302</c:v>
                </c:pt>
                <c:pt idx="1328">
                  <c:v>9.4778149433333034</c:v>
                </c:pt>
                <c:pt idx="1329">
                  <c:v>12.317014943333303</c:v>
                </c:pt>
                <c:pt idx="1330">
                  <c:v>15.156214943333303</c:v>
                </c:pt>
                <c:pt idx="1331">
                  <c:v>11.776214943333304</c:v>
                </c:pt>
                <c:pt idx="1332">
                  <c:v>14.852014943333304</c:v>
                </c:pt>
                <c:pt idx="1333">
                  <c:v>17.826414943333305</c:v>
                </c:pt>
                <c:pt idx="1334">
                  <c:v>20.834614943333303</c:v>
                </c:pt>
                <c:pt idx="1335">
                  <c:v>17.454614943333304</c:v>
                </c:pt>
                <c:pt idx="1336">
                  <c:v>14.074614943333305</c:v>
                </c:pt>
                <c:pt idx="1337">
                  <c:v>16.981414943333306</c:v>
                </c:pt>
                <c:pt idx="1338">
                  <c:v>20.050414943333305</c:v>
                </c:pt>
                <c:pt idx="1339">
                  <c:v>23.119414943333304</c:v>
                </c:pt>
                <c:pt idx="1340">
                  <c:v>19.709414943333304</c:v>
                </c:pt>
                <c:pt idx="1341">
                  <c:v>22.778414943333303</c:v>
                </c:pt>
                <c:pt idx="1342">
                  <c:v>25.642814943333303</c:v>
                </c:pt>
                <c:pt idx="1343">
                  <c:v>22.232814943333302</c:v>
                </c:pt>
                <c:pt idx="1344">
                  <c:v>18.822814943333302</c:v>
                </c:pt>
                <c:pt idx="1345">
                  <c:v>15.412814943333302</c:v>
                </c:pt>
                <c:pt idx="1346">
                  <c:v>18.311314943333301</c:v>
                </c:pt>
                <c:pt idx="1347">
                  <c:v>18.311314943333301</c:v>
                </c:pt>
                <c:pt idx="1348">
                  <c:v>21.2780149433333</c:v>
                </c:pt>
                <c:pt idx="1349">
                  <c:v>26.1065749433333</c:v>
                </c:pt>
                <c:pt idx="1350">
                  <c:v>34.972574943333299</c:v>
                </c:pt>
                <c:pt idx="1351">
                  <c:v>31.562574943333299</c:v>
                </c:pt>
                <c:pt idx="1352">
                  <c:v>28.152574943333299</c:v>
                </c:pt>
                <c:pt idx="1353">
                  <c:v>25.122574943333298</c:v>
                </c:pt>
                <c:pt idx="1354">
                  <c:v>22.092574943333297</c:v>
                </c:pt>
                <c:pt idx="1355">
                  <c:v>19.062574943333296</c:v>
                </c:pt>
                <c:pt idx="1356">
                  <c:v>21.698674943333295</c:v>
                </c:pt>
                <c:pt idx="1357">
                  <c:v>24.292354943333294</c:v>
                </c:pt>
                <c:pt idx="1358">
                  <c:v>21.262354943333293</c:v>
                </c:pt>
                <c:pt idx="1359">
                  <c:v>18.232354943333291</c:v>
                </c:pt>
                <c:pt idx="1360">
                  <c:v>15.202354943333292</c:v>
                </c:pt>
                <c:pt idx="1361">
                  <c:v>17.929354943333291</c:v>
                </c:pt>
                <c:pt idx="1362">
                  <c:v>14.93935494333329</c:v>
                </c:pt>
                <c:pt idx="1363">
                  <c:v>11.94935494333329</c:v>
                </c:pt>
                <c:pt idx="1364">
                  <c:v>8.95935494333329</c:v>
                </c:pt>
                <c:pt idx="1365">
                  <c:v>11.650354943333291</c:v>
                </c:pt>
                <c:pt idx="1366">
                  <c:v>8.6603549433332905</c:v>
                </c:pt>
                <c:pt idx="1367">
                  <c:v>5.6703549433332903</c:v>
                </c:pt>
                <c:pt idx="1368">
                  <c:v>2.6803549433332901</c:v>
                </c:pt>
                <c:pt idx="1369">
                  <c:v>5.3713549433332899</c:v>
                </c:pt>
                <c:pt idx="1370">
                  <c:v>2.3813549433332897</c:v>
                </c:pt>
                <c:pt idx="1371">
                  <c:v>-0.60864505666671054</c:v>
                </c:pt>
                <c:pt idx="1372">
                  <c:v>-3.1986450566667104</c:v>
                </c:pt>
                <c:pt idx="1373">
                  <c:v>-0.60864505666671054</c:v>
                </c:pt>
                <c:pt idx="1374">
                  <c:v>-3.1986450566667104</c:v>
                </c:pt>
                <c:pt idx="1375">
                  <c:v>-5.7886450566667103</c:v>
                </c:pt>
                <c:pt idx="1376">
                  <c:v>-3.4576450566667107</c:v>
                </c:pt>
                <c:pt idx="1377">
                  <c:v>-6.0476450566667106</c:v>
                </c:pt>
                <c:pt idx="1378">
                  <c:v>-8.6376450566667096</c:v>
                </c:pt>
                <c:pt idx="1379">
                  <c:v>-11.227645056666709</c:v>
                </c:pt>
                <c:pt idx="1380">
                  <c:v>-13.817645056666709</c:v>
                </c:pt>
                <c:pt idx="1381">
                  <c:v>-11.59024505666671</c:v>
                </c:pt>
                <c:pt idx="1382">
                  <c:v>-9.3887450566667106</c:v>
                </c:pt>
                <c:pt idx="1383">
                  <c:v>-11.97874505666671</c:v>
                </c:pt>
                <c:pt idx="1384">
                  <c:v>-14.56874505666671</c:v>
                </c:pt>
                <c:pt idx="1385">
                  <c:v>-17.15874505666671</c:v>
                </c:pt>
                <c:pt idx="1386">
                  <c:v>-20.008745056666712</c:v>
                </c:pt>
                <c:pt idx="1387">
                  <c:v>-22.858745056666713</c:v>
                </c:pt>
                <c:pt idx="1388">
                  <c:v>-20.493245056666712</c:v>
                </c:pt>
                <c:pt idx="1389">
                  <c:v>-18.127745056666711</c:v>
                </c:pt>
                <c:pt idx="1390">
                  <c:v>-20.977745056666713</c:v>
                </c:pt>
                <c:pt idx="1391">
                  <c:v>-23.827745056666714</c:v>
                </c:pt>
                <c:pt idx="1392">
                  <c:v>-21.348245056666713</c:v>
                </c:pt>
                <c:pt idx="1393">
                  <c:v>-24.198245056666714</c:v>
                </c:pt>
                <c:pt idx="1394">
                  <c:v>-21.718745056666712</c:v>
                </c:pt>
                <c:pt idx="1395">
                  <c:v>-19.239245056666711</c:v>
                </c:pt>
                <c:pt idx="1396">
                  <c:v>-22.089245056666712</c:v>
                </c:pt>
                <c:pt idx="1397">
                  <c:v>-19.752245056666712</c:v>
                </c:pt>
                <c:pt idx="1398">
                  <c:v>-22.602245056666714</c:v>
                </c:pt>
                <c:pt idx="1399">
                  <c:v>-17.153045056666713</c:v>
                </c:pt>
                <c:pt idx="1400">
                  <c:v>-20.943045056666712</c:v>
                </c:pt>
                <c:pt idx="1401">
                  <c:v>-17.683645056666712</c:v>
                </c:pt>
                <c:pt idx="1402">
                  <c:v>-21.473645056666712</c:v>
                </c:pt>
                <c:pt idx="1403">
                  <c:v>-25.263645056666711</c:v>
                </c:pt>
                <c:pt idx="1404">
                  <c:v>-21.966345056666711</c:v>
                </c:pt>
                <c:pt idx="1405">
                  <c:v>-18.706945056666711</c:v>
                </c:pt>
                <c:pt idx="1406">
                  <c:v>-23.246945056666711</c:v>
                </c:pt>
                <c:pt idx="1407">
                  <c:v>-27.78694505666671</c:v>
                </c:pt>
                <c:pt idx="1408">
                  <c:v>-32.326945056666709</c:v>
                </c:pt>
                <c:pt idx="1409">
                  <c:v>-28.19554505666671</c:v>
                </c:pt>
                <c:pt idx="1410">
                  <c:v>-32.735545056666709</c:v>
                </c:pt>
                <c:pt idx="1411">
                  <c:v>-37.275545056666708</c:v>
                </c:pt>
                <c:pt idx="1412">
                  <c:v>-39.485545056666709</c:v>
                </c:pt>
                <c:pt idx="1413">
                  <c:v>-37.65124505666671</c:v>
                </c:pt>
                <c:pt idx="1414">
                  <c:v>-39.861245056666711</c:v>
                </c:pt>
                <c:pt idx="1415">
                  <c:v>-42.071245056666712</c:v>
                </c:pt>
                <c:pt idx="1416">
                  <c:v>-44.281245056666712</c:v>
                </c:pt>
                <c:pt idx="1417">
                  <c:v>-46.491245056666713</c:v>
                </c:pt>
                <c:pt idx="1418">
                  <c:v>-48.701245056666714</c:v>
                </c:pt>
                <c:pt idx="1419">
                  <c:v>-50.911245056666715</c:v>
                </c:pt>
                <c:pt idx="1420">
                  <c:v>-53.121245056666716</c:v>
                </c:pt>
                <c:pt idx="1421">
                  <c:v>-55.331245056666717</c:v>
                </c:pt>
                <c:pt idx="1422">
                  <c:v>-57.541245056666718</c:v>
                </c:pt>
                <c:pt idx="1423">
                  <c:v>-59.751245056666718</c:v>
                </c:pt>
                <c:pt idx="1424">
                  <c:v>-61.961245056666719</c:v>
                </c:pt>
                <c:pt idx="1425">
                  <c:v>-59.435215056666721</c:v>
                </c:pt>
                <c:pt idx="1426">
                  <c:v>-61.645215056666721</c:v>
                </c:pt>
                <c:pt idx="1427">
                  <c:v>-55.899215056666719</c:v>
                </c:pt>
                <c:pt idx="1428">
                  <c:v>-58.10921505666672</c:v>
                </c:pt>
                <c:pt idx="1429">
                  <c:v>-60.319215056666721</c:v>
                </c:pt>
                <c:pt idx="1430">
                  <c:v>-62.529215056666722</c:v>
                </c:pt>
                <c:pt idx="1431">
                  <c:v>-64.739215056666723</c:v>
                </c:pt>
                <c:pt idx="1432">
                  <c:v>-70.029215056666729</c:v>
                </c:pt>
                <c:pt idx="1433">
                  <c:v>-75.319215056666735</c:v>
                </c:pt>
                <c:pt idx="1434">
                  <c:v>-80.609215056666741</c:v>
                </c:pt>
                <c:pt idx="1435">
                  <c:v>-85.899215056666748</c:v>
                </c:pt>
                <c:pt idx="1436">
                  <c:v>-81.138215056666752</c:v>
                </c:pt>
                <c:pt idx="1437">
                  <c:v>-86.428215056666758</c:v>
                </c:pt>
                <c:pt idx="1438">
                  <c:v>-91.718215056666764</c:v>
                </c:pt>
                <c:pt idx="1439">
                  <c:v>-97.008215056666771</c:v>
                </c:pt>
                <c:pt idx="1440">
                  <c:v>-98.678215056666772</c:v>
                </c:pt>
                <c:pt idx="1441">
                  <c:v>-100.34821505666677</c:v>
                </c:pt>
                <c:pt idx="1442">
                  <c:v>-98.828515056666774</c:v>
                </c:pt>
                <c:pt idx="1443">
                  <c:v>-100.49851505666678</c:v>
                </c:pt>
                <c:pt idx="1444">
                  <c:v>-98.828515056666774</c:v>
                </c:pt>
                <c:pt idx="1445">
                  <c:v>-100.49851505666678</c:v>
                </c:pt>
                <c:pt idx="1446">
                  <c:v>-102.16851505666678</c:v>
                </c:pt>
                <c:pt idx="1447">
                  <c:v>-103.83851505666678</c:v>
                </c:pt>
                <c:pt idx="1448">
                  <c:v>-105.50851505666678</c:v>
                </c:pt>
                <c:pt idx="1449">
                  <c:v>-107.17851505666678</c:v>
                </c:pt>
                <c:pt idx="1450">
                  <c:v>-105.69221505666678</c:v>
                </c:pt>
                <c:pt idx="1451">
                  <c:v>-104.20591505666678</c:v>
                </c:pt>
                <c:pt idx="1452">
                  <c:v>-105.87591505666678</c:v>
                </c:pt>
                <c:pt idx="1453">
                  <c:v>-104.37291505666678</c:v>
                </c:pt>
                <c:pt idx="1454">
                  <c:v>-102.31881505666678</c:v>
                </c:pt>
                <c:pt idx="1455">
                  <c:v>-100.38161505666677</c:v>
                </c:pt>
                <c:pt idx="1456">
                  <c:v>-98.44441505666677</c:v>
                </c:pt>
                <c:pt idx="1457">
                  <c:v>-97.054975056666777</c:v>
                </c:pt>
                <c:pt idx="1458">
                  <c:v>-103.75497505666678</c:v>
                </c:pt>
                <c:pt idx="1459">
                  <c:v>-97.992975056666779</c:v>
                </c:pt>
                <c:pt idx="1460">
                  <c:v>-92.163975056666771</c:v>
                </c:pt>
                <c:pt idx="1461">
                  <c:v>-86.13397505666677</c:v>
                </c:pt>
                <c:pt idx="1462">
                  <c:v>-92.833975056666773</c:v>
                </c:pt>
                <c:pt idx="1463">
                  <c:v>-99.533975056666776</c:v>
                </c:pt>
                <c:pt idx="1464">
                  <c:v>-106.23397505666678</c:v>
                </c:pt>
                <c:pt idx="1465">
                  <c:v>-104.57077505666678</c:v>
                </c:pt>
                <c:pt idx="1466">
                  <c:v>-106.55077505666678</c:v>
                </c:pt>
                <c:pt idx="1467">
                  <c:v>-108.53077505666678</c:v>
                </c:pt>
                <c:pt idx="1468">
                  <c:v>-110.51077505666679</c:v>
                </c:pt>
                <c:pt idx="1469">
                  <c:v>-112.49077505666679</c:v>
                </c:pt>
                <c:pt idx="1470">
                  <c:v>-114.4707750566668</c:v>
                </c:pt>
                <c:pt idx="1471">
                  <c:v>-112.7085750566668</c:v>
                </c:pt>
                <c:pt idx="1472">
                  <c:v>-110.8869750566668</c:v>
                </c:pt>
                <c:pt idx="1473">
                  <c:v>-109.1049750566668</c:v>
                </c:pt>
                <c:pt idx="1474">
                  <c:v>-111.08497505666681</c:v>
                </c:pt>
                <c:pt idx="1475">
                  <c:v>-113.06497505666681</c:v>
                </c:pt>
                <c:pt idx="1476">
                  <c:v>-115.04497505666681</c:v>
                </c:pt>
                <c:pt idx="1477">
                  <c:v>-117.02497505666682</c:v>
                </c:pt>
                <c:pt idx="1478">
                  <c:v>-119.00497505666682</c:v>
                </c:pt>
                <c:pt idx="1479">
                  <c:v>-117.24673505666682</c:v>
                </c:pt>
                <c:pt idx="1480">
                  <c:v>-119.22673505666683</c:v>
                </c:pt>
                <c:pt idx="1481">
                  <c:v>-121.20673505666683</c:v>
                </c:pt>
                <c:pt idx="1482">
                  <c:v>-124.42673505666683</c:v>
                </c:pt>
                <c:pt idx="1483">
                  <c:v>-121.59313505666682</c:v>
                </c:pt>
                <c:pt idx="1484">
                  <c:v>-118.51803505666682</c:v>
                </c:pt>
                <c:pt idx="1485">
                  <c:v>-121.73803505666682</c:v>
                </c:pt>
                <c:pt idx="1486">
                  <c:v>-124.95803505666682</c:v>
                </c:pt>
                <c:pt idx="1487">
                  <c:v>-122.06003505666682</c:v>
                </c:pt>
                <c:pt idx="1488">
                  <c:v>-119.19423505666683</c:v>
                </c:pt>
                <c:pt idx="1489">
                  <c:v>-122.41423505666683</c:v>
                </c:pt>
                <c:pt idx="1490">
                  <c:v>-125.63423505666682</c:v>
                </c:pt>
                <c:pt idx="1491">
                  <c:v>-119.98313505666682</c:v>
                </c:pt>
                <c:pt idx="1492">
                  <c:v>-123.20313505666682</c:v>
                </c:pt>
                <c:pt idx="1493">
                  <c:v>-118.50193505666682</c:v>
                </c:pt>
                <c:pt idx="1494">
                  <c:v>-120.65193505666683</c:v>
                </c:pt>
                <c:pt idx="1495">
                  <c:v>-118.71693505666683</c:v>
                </c:pt>
                <c:pt idx="1496">
                  <c:v>-116.88943505666683</c:v>
                </c:pt>
                <c:pt idx="1497">
                  <c:v>-114.95443505666682</c:v>
                </c:pt>
                <c:pt idx="1498">
                  <c:v>-117.10443505666683</c:v>
                </c:pt>
                <c:pt idx="1499">
                  <c:v>-119.25443505666684</c:v>
                </c:pt>
                <c:pt idx="1500">
                  <c:v>-121.40443505666684</c:v>
                </c:pt>
                <c:pt idx="1501">
                  <c:v>-119.51243505666685</c:v>
                </c:pt>
                <c:pt idx="1502">
                  <c:v>-117.57743505666684</c:v>
                </c:pt>
                <c:pt idx="1503">
                  <c:v>-115.64243505666684</c:v>
                </c:pt>
                <c:pt idx="1504">
                  <c:v>-113.77193505666683</c:v>
                </c:pt>
                <c:pt idx="1505">
                  <c:v>-111.69793505666684</c:v>
                </c:pt>
                <c:pt idx="1506">
                  <c:v>-109.62393505666684</c:v>
                </c:pt>
                <c:pt idx="1507">
                  <c:v>-107.47673505666684</c:v>
                </c:pt>
                <c:pt idx="1508">
                  <c:v>-105.30513505666684</c:v>
                </c:pt>
                <c:pt idx="1509">
                  <c:v>-103.13353505666684</c:v>
                </c:pt>
                <c:pt idx="1510">
                  <c:v>-100.96193505666685</c:v>
                </c:pt>
                <c:pt idx="1511">
                  <c:v>-103.40193505666684</c:v>
                </c:pt>
                <c:pt idx="1512">
                  <c:v>-101.25473505666685</c:v>
                </c:pt>
                <c:pt idx="1513">
                  <c:v>-99.083135056666848</c:v>
                </c:pt>
                <c:pt idx="1514">
                  <c:v>-96.88713505666685</c:v>
                </c:pt>
                <c:pt idx="1515">
                  <c:v>-94.691135056666852</c:v>
                </c:pt>
                <c:pt idx="1516">
                  <c:v>-92.543935056666854</c:v>
                </c:pt>
                <c:pt idx="1517">
                  <c:v>-89.933135056666856</c:v>
                </c:pt>
                <c:pt idx="1518">
                  <c:v>-92.373135056666854</c:v>
                </c:pt>
                <c:pt idx="1519">
                  <c:v>-94.813135056666852</c:v>
                </c:pt>
                <c:pt idx="1520">
                  <c:v>-97.253135056666849</c:v>
                </c:pt>
                <c:pt idx="1521">
                  <c:v>-95.240135056666844</c:v>
                </c:pt>
                <c:pt idx="1522">
                  <c:v>-98.12013505666684</c:v>
                </c:pt>
                <c:pt idx="1523">
                  <c:v>-101.00013505666683</c:v>
                </c:pt>
                <c:pt idx="1524">
                  <c:v>-103.88013505666683</c:v>
                </c:pt>
                <c:pt idx="1525">
                  <c:v>-106.76013505666683</c:v>
                </c:pt>
                <c:pt idx="1526">
                  <c:v>-104.16813505666683</c:v>
                </c:pt>
                <c:pt idx="1527">
                  <c:v>-101.60493505666683</c:v>
                </c:pt>
                <c:pt idx="1528">
                  <c:v>-104.48493505666683</c:v>
                </c:pt>
                <c:pt idx="1529">
                  <c:v>-107.36493505666682</c:v>
                </c:pt>
                <c:pt idx="1530">
                  <c:v>-110.24493505666682</c:v>
                </c:pt>
                <c:pt idx="1531">
                  <c:v>-113.12493505666681</c:v>
                </c:pt>
                <c:pt idx="1532">
                  <c:v>-110.23629505666682</c:v>
                </c:pt>
                <c:pt idx="1533">
                  <c:v>-108.16529505666682</c:v>
                </c:pt>
                <c:pt idx="1534">
                  <c:v>-106.20329505666682</c:v>
                </c:pt>
                <c:pt idx="1535">
                  <c:v>-108.38329505666682</c:v>
                </c:pt>
                <c:pt idx="1536">
                  <c:v>-106.39949505666682</c:v>
                </c:pt>
                <c:pt idx="1537">
                  <c:v>-104.43749505666682</c:v>
                </c:pt>
                <c:pt idx="1538">
                  <c:v>-106.61749505666683</c:v>
                </c:pt>
                <c:pt idx="1539">
                  <c:v>-104.58137505666683</c:v>
                </c:pt>
                <c:pt idx="1540">
                  <c:v>-106.76137505666684</c:v>
                </c:pt>
                <c:pt idx="1541">
                  <c:v>-104.82117505666683</c:v>
                </c:pt>
                <c:pt idx="1542">
                  <c:v>-107.00117505666684</c:v>
                </c:pt>
                <c:pt idx="1543">
                  <c:v>-105.10457505666683</c:v>
                </c:pt>
                <c:pt idx="1544">
                  <c:v>-107.28457505666684</c:v>
                </c:pt>
                <c:pt idx="1545">
                  <c:v>-109.46457505666685</c:v>
                </c:pt>
                <c:pt idx="1546">
                  <c:v>-107.50257505666684</c:v>
                </c:pt>
                <c:pt idx="1547">
                  <c:v>-109.68257505666685</c:v>
                </c:pt>
                <c:pt idx="1548">
                  <c:v>-107.72057505666685</c:v>
                </c:pt>
                <c:pt idx="1549">
                  <c:v>-105.75857505666684</c:v>
                </c:pt>
                <c:pt idx="1550">
                  <c:v>-103.81837505666684</c:v>
                </c:pt>
                <c:pt idx="1551">
                  <c:v>-105.99837505666684</c:v>
                </c:pt>
                <c:pt idx="1552">
                  <c:v>-104.14537505666685</c:v>
                </c:pt>
                <c:pt idx="1553">
                  <c:v>-106.32537505666686</c:v>
                </c:pt>
                <c:pt idx="1554">
                  <c:v>-109.62537505666685</c:v>
                </c:pt>
                <c:pt idx="1555">
                  <c:v>-112.92537505666685</c:v>
                </c:pt>
                <c:pt idx="1556">
                  <c:v>-110.12037505666686</c:v>
                </c:pt>
                <c:pt idx="1557">
                  <c:v>-107.15037505666686</c:v>
                </c:pt>
                <c:pt idx="1558">
                  <c:v>-104.14737505666686</c:v>
                </c:pt>
                <c:pt idx="1559">
                  <c:v>-107.44737505666686</c:v>
                </c:pt>
                <c:pt idx="1560">
                  <c:v>-104.44437505666686</c:v>
                </c:pt>
                <c:pt idx="1561">
                  <c:v>-101.50737505666686</c:v>
                </c:pt>
                <c:pt idx="1562">
                  <c:v>-104.80737505666686</c:v>
                </c:pt>
                <c:pt idx="1563">
                  <c:v>-101.87037505666686</c:v>
                </c:pt>
                <c:pt idx="1564">
                  <c:v>-105.17037505666686</c:v>
                </c:pt>
                <c:pt idx="1565">
                  <c:v>-108.47037505666685</c:v>
                </c:pt>
                <c:pt idx="1566">
                  <c:v>-111.77037505666685</c:v>
                </c:pt>
                <c:pt idx="1567">
                  <c:v>-115.07037505666685</c:v>
                </c:pt>
                <c:pt idx="1568">
                  <c:v>-118.37037505666684</c:v>
                </c:pt>
                <c:pt idx="1569">
                  <c:v>-120.52037505666685</c:v>
                </c:pt>
                <c:pt idx="1570">
                  <c:v>-116.16537505666685</c:v>
                </c:pt>
                <c:pt idx="1571">
                  <c:v>-114.20887505666684</c:v>
                </c:pt>
                <c:pt idx="1572">
                  <c:v>-116.35887505666685</c:v>
                </c:pt>
                <c:pt idx="1573">
                  <c:v>-118.50887505666685</c:v>
                </c:pt>
                <c:pt idx="1574">
                  <c:v>-120.65887505666686</c:v>
                </c:pt>
                <c:pt idx="1575">
                  <c:v>-118.70237505666685</c:v>
                </c:pt>
                <c:pt idx="1576">
                  <c:v>-116.78887505666685</c:v>
                </c:pt>
                <c:pt idx="1577">
                  <c:v>-114.85387505666685</c:v>
                </c:pt>
                <c:pt idx="1578">
                  <c:v>-112.94037505666685</c:v>
                </c:pt>
                <c:pt idx="1579">
                  <c:v>-115.09037505666686</c:v>
                </c:pt>
                <c:pt idx="1580">
                  <c:v>-113.15537505666686</c:v>
                </c:pt>
                <c:pt idx="1581">
                  <c:v>-111.19887505666685</c:v>
                </c:pt>
                <c:pt idx="1582">
                  <c:v>-113.34887505666686</c:v>
                </c:pt>
                <c:pt idx="1583">
                  <c:v>-115.49887505666686</c:v>
                </c:pt>
                <c:pt idx="1584">
                  <c:v>-117.64887505666687</c:v>
                </c:pt>
                <c:pt idx="1585">
                  <c:v>-119.79887505666687</c:v>
                </c:pt>
                <c:pt idx="1586">
                  <c:v>-121.94887505666688</c:v>
                </c:pt>
                <c:pt idx="1587">
                  <c:v>-118.05737505666688</c:v>
                </c:pt>
                <c:pt idx="1588">
                  <c:v>-124.52737505666688</c:v>
                </c:pt>
                <c:pt idx="1589">
                  <c:v>-130.9973750566669</c:v>
                </c:pt>
                <c:pt idx="1590">
                  <c:v>-125.23907505666689</c:v>
                </c:pt>
                <c:pt idx="1591">
                  <c:v>-131.7090750566669</c:v>
                </c:pt>
                <c:pt idx="1592">
                  <c:v>-138.1790750566669</c:v>
                </c:pt>
                <c:pt idx="1593">
                  <c:v>-132.29137505666691</c:v>
                </c:pt>
                <c:pt idx="1594">
                  <c:v>-125.27142505666691</c:v>
                </c:pt>
                <c:pt idx="1595">
                  <c:v>-127.01142505666691</c:v>
                </c:pt>
                <c:pt idx="1596">
                  <c:v>-125.27142505666691</c:v>
                </c:pt>
                <c:pt idx="1597">
                  <c:v>-123.62886505666691</c:v>
                </c:pt>
                <c:pt idx="1598">
                  <c:v>-122.11506505666691</c:v>
                </c:pt>
                <c:pt idx="1599">
                  <c:v>-120.6012650566669</c:v>
                </c:pt>
                <c:pt idx="1600">
                  <c:v>-122.3412650566669</c:v>
                </c:pt>
                <c:pt idx="1601">
                  <c:v>-124.08126505666689</c:v>
                </c:pt>
                <c:pt idx="1602">
                  <c:v>-122.5326650566669</c:v>
                </c:pt>
                <c:pt idx="1603">
                  <c:v>-124.2726650566669</c:v>
                </c:pt>
                <c:pt idx="1604">
                  <c:v>-126.01266505666689</c:v>
                </c:pt>
                <c:pt idx="1605">
                  <c:v>-124.37706505666689</c:v>
                </c:pt>
                <c:pt idx="1606">
                  <c:v>-122.81106505666689</c:v>
                </c:pt>
                <c:pt idx="1607">
                  <c:v>-121.24506505666689</c:v>
                </c:pt>
                <c:pt idx="1608">
                  <c:v>-119.71386505666689</c:v>
                </c:pt>
                <c:pt idx="1609">
                  <c:v>-118.09566505666689</c:v>
                </c:pt>
                <c:pt idx="1610">
                  <c:v>-119.83566505666688</c:v>
                </c:pt>
                <c:pt idx="1611">
                  <c:v>-121.57566505666688</c:v>
                </c:pt>
                <c:pt idx="1612">
                  <c:v>-120.02010505666688</c:v>
                </c:pt>
                <c:pt idx="1613">
                  <c:v>-118.45410505666688</c:v>
                </c:pt>
                <c:pt idx="1614">
                  <c:v>-120.19410505666687</c:v>
                </c:pt>
                <c:pt idx="1615">
                  <c:v>-121.93410505666687</c:v>
                </c:pt>
                <c:pt idx="1616">
                  <c:v>-123.67410505666686</c:v>
                </c:pt>
                <c:pt idx="1617">
                  <c:v>-120.41010505666686</c:v>
                </c:pt>
                <c:pt idx="1618">
                  <c:v>-124.25010505666687</c:v>
                </c:pt>
                <c:pt idx="1619">
                  <c:v>-128.09010505666686</c:v>
                </c:pt>
                <c:pt idx="1620">
                  <c:v>-131.93010505666686</c:v>
                </c:pt>
                <c:pt idx="1621">
                  <c:v>-128.51250505666687</c:v>
                </c:pt>
                <c:pt idx="1622">
                  <c:v>-125.13330505666687</c:v>
                </c:pt>
                <c:pt idx="1623">
                  <c:v>-121.48530505666687</c:v>
                </c:pt>
                <c:pt idx="1624">
                  <c:v>-118.09842505666687</c:v>
                </c:pt>
                <c:pt idx="1625">
                  <c:v>-121.93842505666687</c:v>
                </c:pt>
                <c:pt idx="1626">
                  <c:v>-125.77842505666688</c:v>
                </c:pt>
                <c:pt idx="1627">
                  <c:v>-124.09762505666687</c:v>
                </c:pt>
                <c:pt idx="1628">
                  <c:v>-122.56962505666687</c:v>
                </c:pt>
                <c:pt idx="1629">
                  <c:v>-124.47962505666686</c:v>
                </c:pt>
                <c:pt idx="1630">
                  <c:v>-122.76062505666687</c:v>
                </c:pt>
                <c:pt idx="1631">
                  <c:v>-124.67062505666686</c:v>
                </c:pt>
                <c:pt idx="1632">
                  <c:v>-122.89432505666686</c:v>
                </c:pt>
                <c:pt idx="1633">
                  <c:v>-121.13712505666686</c:v>
                </c:pt>
                <c:pt idx="1634">
                  <c:v>-119.37992505666686</c:v>
                </c:pt>
                <c:pt idx="1635">
                  <c:v>-121.28992505666686</c:v>
                </c:pt>
                <c:pt idx="1636">
                  <c:v>-123.19992505666686</c:v>
                </c:pt>
                <c:pt idx="1637">
                  <c:v>-121.42362505666685</c:v>
                </c:pt>
                <c:pt idx="1638">
                  <c:v>-119.66642505666685</c:v>
                </c:pt>
                <c:pt idx="1639">
                  <c:v>-121.57642505666685</c:v>
                </c:pt>
                <c:pt idx="1640">
                  <c:v>-119.81922505666685</c:v>
                </c:pt>
                <c:pt idx="1641">
                  <c:v>-121.72922505666685</c:v>
                </c:pt>
                <c:pt idx="1642">
                  <c:v>-119.95292505666684</c:v>
                </c:pt>
                <c:pt idx="1643">
                  <c:v>-118.27212505666684</c:v>
                </c:pt>
                <c:pt idx="1644">
                  <c:v>-120.18212505666683</c:v>
                </c:pt>
                <c:pt idx="1645">
                  <c:v>-117.99708505666683</c:v>
                </c:pt>
                <c:pt idx="1646">
                  <c:v>-116.17494505666683</c:v>
                </c:pt>
                <c:pt idx="1647">
                  <c:v>-118.95494505666683</c:v>
                </c:pt>
                <c:pt idx="1648">
                  <c:v>-121.73494505666683</c:v>
                </c:pt>
                <c:pt idx="1649">
                  <c:v>-119.12174505666682</c:v>
                </c:pt>
                <c:pt idx="1650">
                  <c:v>-121.90174505666683</c:v>
                </c:pt>
                <c:pt idx="1651">
                  <c:v>-119.51094505666683</c:v>
                </c:pt>
                <c:pt idx="1652">
                  <c:v>-117.00894505666683</c:v>
                </c:pt>
                <c:pt idx="1653">
                  <c:v>-114.50694505666684</c:v>
                </c:pt>
                <c:pt idx="1654">
                  <c:v>-112.03552505666684</c:v>
                </c:pt>
                <c:pt idx="1655">
                  <c:v>-114.81552505666684</c:v>
                </c:pt>
                <c:pt idx="1656">
                  <c:v>-117.59552505666684</c:v>
                </c:pt>
                <c:pt idx="1657">
                  <c:v>-120.37552505666685</c:v>
                </c:pt>
                <c:pt idx="1658">
                  <c:v>-117.87352505666685</c:v>
                </c:pt>
                <c:pt idx="1659">
                  <c:v>-115.67732505666685</c:v>
                </c:pt>
                <c:pt idx="1660">
                  <c:v>-118.45732505666685</c:v>
                </c:pt>
                <c:pt idx="1661">
                  <c:v>-121.68732505666685</c:v>
                </c:pt>
                <c:pt idx="1662">
                  <c:v>-118.84492505666685</c:v>
                </c:pt>
                <c:pt idx="1663">
                  <c:v>-116.09942505666685</c:v>
                </c:pt>
                <c:pt idx="1664">
                  <c:v>-119.32942505666685</c:v>
                </c:pt>
                <c:pt idx="1665">
                  <c:v>-116.48702505666685</c:v>
                </c:pt>
                <c:pt idx="1666">
                  <c:v>-113.70276505666685</c:v>
                </c:pt>
                <c:pt idx="1667">
                  <c:v>-116.93276505666685</c:v>
                </c:pt>
                <c:pt idx="1668">
                  <c:v>-113.99346505666685</c:v>
                </c:pt>
                <c:pt idx="1669">
                  <c:v>-117.22346505666685</c:v>
                </c:pt>
                <c:pt idx="1670">
                  <c:v>-114.31646505666686</c:v>
                </c:pt>
                <c:pt idx="1671">
                  <c:v>-117.54646505666686</c:v>
                </c:pt>
                <c:pt idx="1672">
                  <c:v>-120.77646505666686</c:v>
                </c:pt>
                <c:pt idx="1673">
                  <c:v>-124.00646505666687</c:v>
                </c:pt>
                <c:pt idx="1674">
                  <c:v>-127.23646505666687</c:v>
                </c:pt>
                <c:pt idx="1675">
                  <c:v>-130.46646505666686</c:v>
                </c:pt>
                <c:pt idx="1676">
                  <c:v>-129.34886505666685</c:v>
                </c:pt>
                <c:pt idx="1677">
                  <c:v>-130.61886505666686</c:v>
                </c:pt>
                <c:pt idx="1678">
                  <c:v>-131.88886505666687</c:v>
                </c:pt>
                <c:pt idx="1679">
                  <c:v>-133.15886505666688</c:v>
                </c:pt>
                <c:pt idx="1680">
                  <c:v>-134.42886505666689</c:v>
                </c:pt>
                <c:pt idx="1681">
                  <c:v>-133.3493650566669</c:v>
                </c:pt>
                <c:pt idx="1682">
                  <c:v>-132.14286505666689</c:v>
                </c:pt>
                <c:pt idx="1683">
                  <c:v>-130.92366505666689</c:v>
                </c:pt>
                <c:pt idx="1684">
                  <c:v>-132.1936650566669</c:v>
                </c:pt>
                <c:pt idx="1685">
                  <c:v>-133.46366505666691</c:v>
                </c:pt>
                <c:pt idx="1686">
                  <c:v>-134.73366505666692</c:v>
                </c:pt>
                <c:pt idx="1687">
                  <c:v>-136.00366505666693</c:v>
                </c:pt>
                <c:pt idx="1688">
                  <c:v>-137.27366505666694</c:v>
                </c:pt>
                <c:pt idx="1689">
                  <c:v>-136.13066505666694</c:v>
                </c:pt>
                <c:pt idx="1690">
                  <c:v>-137.40066505666695</c:v>
                </c:pt>
                <c:pt idx="1691">
                  <c:v>-138.67066505666696</c:v>
                </c:pt>
                <c:pt idx="1692">
                  <c:v>-137.50226505666697</c:v>
                </c:pt>
                <c:pt idx="1693">
                  <c:v>-136.32116505666698</c:v>
                </c:pt>
                <c:pt idx="1694">
                  <c:v>-137.59116505666699</c:v>
                </c:pt>
                <c:pt idx="1695">
                  <c:v>-138.86116505666701</c:v>
                </c:pt>
                <c:pt idx="1696">
                  <c:v>-137.74356505666699</c:v>
                </c:pt>
                <c:pt idx="1697">
                  <c:v>-139.01356505666701</c:v>
                </c:pt>
                <c:pt idx="1698">
                  <c:v>-140.28356505666702</c:v>
                </c:pt>
                <c:pt idx="1699">
                  <c:v>-138.13472505666701</c:v>
                </c:pt>
                <c:pt idx="1700">
                  <c:v>-139.40472505666702</c:v>
                </c:pt>
                <c:pt idx="1701">
                  <c:v>-140.67472505666703</c:v>
                </c:pt>
                <c:pt idx="1702">
                  <c:v>-141.94472505666704</c:v>
                </c:pt>
                <c:pt idx="1703">
                  <c:v>-140.84112505666704</c:v>
                </c:pt>
                <c:pt idx="1704">
                  <c:v>-142.08112505666705</c:v>
                </c:pt>
                <c:pt idx="1705">
                  <c:v>-143.32112505666706</c:v>
                </c:pt>
                <c:pt idx="1706">
                  <c:v>-144.56112505666707</c:v>
                </c:pt>
                <c:pt idx="1707">
                  <c:v>-145.80112505666708</c:v>
                </c:pt>
                <c:pt idx="1708">
                  <c:v>-147.04112505666708</c:v>
                </c:pt>
                <c:pt idx="1709">
                  <c:v>-148.28112505666709</c:v>
                </c:pt>
                <c:pt idx="1710">
                  <c:v>-149.5211250566671</c:v>
                </c:pt>
                <c:pt idx="1711">
                  <c:v>-150.76112505666711</c:v>
                </c:pt>
                <c:pt idx="1712">
                  <c:v>-152.00112505666712</c:v>
                </c:pt>
                <c:pt idx="1713">
                  <c:v>-153.24112505666713</c:v>
                </c:pt>
                <c:pt idx="1714">
                  <c:v>-154.48112505666714</c:v>
                </c:pt>
                <c:pt idx="1715">
                  <c:v>-155.72112505666715</c:v>
                </c:pt>
                <c:pt idx="1716">
                  <c:v>-156.96112505666716</c:v>
                </c:pt>
                <c:pt idx="1717">
                  <c:v>-158.20112505666717</c:v>
                </c:pt>
                <c:pt idx="1718">
                  <c:v>-159.44112505666718</c:v>
                </c:pt>
                <c:pt idx="1719">
                  <c:v>-160.68112505666718</c:v>
                </c:pt>
                <c:pt idx="1720">
                  <c:v>-161.92112505666719</c:v>
                </c:pt>
                <c:pt idx="1721">
                  <c:v>-163.1611250566672</c:v>
                </c:pt>
                <c:pt idx="1722">
                  <c:v>-162.04512505666719</c:v>
                </c:pt>
                <c:pt idx="1723">
                  <c:v>-163.2851250566672</c:v>
                </c:pt>
                <c:pt idx="1724">
                  <c:v>-162.16912505666718</c:v>
                </c:pt>
                <c:pt idx="1725">
                  <c:v>-154.79112505666717</c:v>
                </c:pt>
                <c:pt idx="1726">
                  <c:v>-156.03112505666718</c:v>
                </c:pt>
                <c:pt idx="1727">
                  <c:v>-155.89348505666717</c:v>
                </c:pt>
                <c:pt idx="1728">
                  <c:v>-157.13348505666718</c:v>
                </c:pt>
                <c:pt idx="1729">
                  <c:v>-166.18348505666719</c:v>
                </c:pt>
                <c:pt idx="1730">
                  <c:v>-175.23348505666721</c:v>
                </c:pt>
                <c:pt idx="1731">
                  <c:v>-175.23348505666721</c:v>
                </c:pt>
                <c:pt idx="1732">
                  <c:v>-166.36448505666721</c:v>
                </c:pt>
                <c:pt idx="1733">
                  <c:v>-175.25448505666719</c:v>
                </c:pt>
                <c:pt idx="1734">
                  <c:v>-167.5544850566672</c:v>
                </c:pt>
                <c:pt idx="1735">
                  <c:v>-176.3044850566672</c:v>
                </c:pt>
                <c:pt idx="1736">
                  <c:v>-185.0544850566672</c:v>
                </c:pt>
                <c:pt idx="1737">
                  <c:v>-193.8044850566672</c:v>
                </c:pt>
                <c:pt idx="1738">
                  <c:v>-188.95442505666719</c:v>
                </c:pt>
                <c:pt idx="1739">
                  <c:v>-184.28982505666718</c:v>
                </c:pt>
                <c:pt idx="1740">
                  <c:v>-189.90982505666719</c:v>
                </c:pt>
                <c:pt idx="1741">
                  <c:v>-185.41382505666718</c:v>
                </c:pt>
                <c:pt idx="1742">
                  <c:v>-191.03382505666718</c:v>
                </c:pt>
                <c:pt idx="1743">
                  <c:v>-196.65382505666719</c:v>
                </c:pt>
                <c:pt idx="1744">
                  <c:v>-191.82062505666718</c:v>
                </c:pt>
                <c:pt idx="1745">
                  <c:v>-197.44062505666719</c:v>
                </c:pt>
                <c:pt idx="1746">
                  <c:v>-201.28425434786163</c:v>
                </c:pt>
                <c:pt idx="1747">
                  <c:v>-197.82498798578663</c:v>
                </c:pt>
                <c:pt idx="1748">
                  <c:v>-194.36572162371164</c:v>
                </c:pt>
                <c:pt idx="1749">
                  <c:v>-198.20935091490608</c:v>
                </c:pt>
                <c:pt idx="1750">
                  <c:v>-194.90382972447887</c:v>
                </c:pt>
                <c:pt idx="1751">
                  <c:v>-198.74745901567331</c:v>
                </c:pt>
                <c:pt idx="1752">
                  <c:v>-195.86473704727749</c:v>
                </c:pt>
                <c:pt idx="1753">
                  <c:v>-199.70836633847193</c:v>
                </c:pt>
                <c:pt idx="1754">
                  <c:v>-203.55199562966638</c:v>
                </c:pt>
                <c:pt idx="1755">
                  <c:v>-207.39562492086083</c:v>
                </c:pt>
                <c:pt idx="1756">
                  <c:v>-211.23925421205527</c:v>
                </c:pt>
                <c:pt idx="1757">
                  <c:v>-216.66925421205528</c:v>
                </c:pt>
                <c:pt idx="1758">
                  <c:v>-222.09925421205529</c:v>
                </c:pt>
                <c:pt idx="1759">
                  <c:v>-217.21225421205529</c:v>
                </c:pt>
                <c:pt idx="1760">
                  <c:v>-222.64225421205529</c:v>
                </c:pt>
                <c:pt idx="1761">
                  <c:v>-228.0722542120553</c:v>
                </c:pt>
                <c:pt idx="1762">
                  <c:v>-223.35625421205529</c:v>
                </c:pt>
                <c:pt idx="1763">
                  <c:v>-228.5962542120553</c:v>
                </c:pt>
                <c:pt idx="1764">
                  <c:v>-223.88025421205529</c:v>
                </c:pt>
                <c:pt idx="1765">
                  <c:v>-229.1202542120553</c:v>
                </c:pt>
                <c:pt idx="1766">
                  <c:v>-234.36025421205531</c:v>
                </c:pt>
                <c:pt idx="1767">
                  <c:v>-239.60025421205532</c:v>
                </c:pt>
                <c:pt idx="1768">
                  <c:v>-235.60737421205533</c:v>
                </c:pt>
                <c:pt idx="1769">
                  <c:v>-240.84737421205534</c:v>
                </c:pt>
                <c:pt idx="1770">
                  <c:v>-248.49737421205535</c:v>
                </c:pt>
                <c:pt idx="1771">
                  <c:v>-256.14737421205535</c:v>
                </c:pt>
                <c:pt idx="1772">
                  <c:v>-249.53777421205535</c:v>
                </c:pt>
                <c:pt idx="1773">
                  <c:v>-242.88227421205536</c:v>
                </c:pt>
                <c:pt idx="1774">
                  <c:v>-238.15787421205536</c:v>
                </c:pt>
                <c:pt idx="1775">
                  <c:v>-243.23787421205537</c:v>
                </c:pt>
                <c:pt idx="1776">
                  <c:v>-238.25947421205538</c:v>
                </c:pt>
                <c:pt idx="1777">
                  <c:v>-233.68747421205538</c:v>
                </c:pt>
                <c:pt idx="1778">
                  <c:v>-229.36947421205537</c:v>
                </c:pt>
                <c:pt idx="1779">
                  <c:v>-224.89907421205535</c:v>
                </c:pt>
                <c:pt idx="1780">
                  <c:v>-230.17907421205535</c:v>
                </c:pt>
                <c:pt idx="1781">
                  <c:v>-225.42707421205535</c:v>
                </c:pt>
                <c:pt idx="1782">
                  <c:v>-220.67507421205534</c:v>
                </c:pt>
                <c:pt idx="1783">
                  <c:v>-215.92307421205533</c:v>
                </c:pt>
                <c:pt idx="1784">
                  <c:v>-221.20307421205533</c:v>
                </c:pt>
                <c:pt idx="1785">
                  <c:v>-216.66227421205534</c:v>
                </c:pt>
                <c:pt idx="1786">
                  <c:v>-211.91027421205533</c:v>
                </c:pt>
                <c:pt idx="1787">
                  <c:v>-215.98027421205532</c:v>
                </c:pt>
                <c:pt idx="1788">
                  <c:v>-213.02138421205532</c:v>
                </c:pt>
                <c:pt idx="1789">
                  <c:v>-209.51304421205532</c:v>
                </c:pt>
                <c:pt idx="1790">
                  <c:v>-206.15529421205531</c:v>
                </c:pt>
                <c:pt idx="1791">
                  <c:v>-203.06209421205531</c:v>
                </c:pt>
                <c:pt idx="1792">
                  <c:v>-207.13209421205531</c:v>
                </c:pt>
                <c:pt idx="1793">
                  <c:v>-211.2020942120553</c:v>
                </c:pt>
                <c:pt idx="1794">
                  <c:v>-215.27209421205529</c:v>
                </c:pt>
                <c:pt idx="1795">
                  <c:v>-219.34209421205529</c:v>
                </c:pt>
                <c:pt idx="1796">
                  <c:v>-215.80119421205529</c:v>
                </c:pt>
                <c:pt idx="1797">
                  <c:v>-219.87119421205529</c:v>
                </c:pt>
                <c:pt idx="1798">
                  <c:v>-223.94119421205528</c:v>
                </c:pt>
                <c:pt idx="1799">
                  <c:v>-228.01119421205527</c:v>
                </c:pt>
                <c:pt idx="1800">
                  <c:v>-224.42959421205526</c:v>
                </c:pt>
                <c:pt idx="1801">
                  <c:v>-220.72996421205525</c:v>
                </c:pt>
                <c:pt idx="1802">
                  <c:v>-224.79996421205524</c:v>
                </c:pt>
                <c:pt idx="1803">
                  <c:v>-221.01486421205524</c:v>
                </c:pt>
                <c:pt idx="1804">
                  <c:v>-217.35186421205523</c:v>
                </c:pt>
                <c:pt idx="1805">
                  <c:v>-222.71186421205525</c:v>
                </c:pt>
                <c:pt idx="1806">
                  <c:v>-218.53106421205524</c:v>
                </c:pt>
                <c:pt idx="1807">
                  <c:v>-213.93006421205524</c:v>
                </c:pt>
                <c:pt idx="1808">
                  <c:v>-219.28006421205524</c:v>
                </c:pt>
                <c:pt idx="1809">
                  <c:v>-224.63006421205523</c:v>
                </c:pt>
                <c:pt idx="1810">
                  <c:v>-219.80971421205524</c:v>
                </c:pt>
                <c:pt idx="1811">
                  <c:v>-225.15971421205523</c:v>
                </c:pt>
                <c:pt idx="1812">
                  <c:v>-230.50971421205523</c:v>
                </c:pt>
                <c:pt idx="1813">
                  <c:v>-225.86391421205522</c:v>
                </c:pt>
                <c:pt idx="1814">
                  <c:v>-221.16591421205521</c:v>
                </c:pt>
                <c:pt idx="1815">
                  <c:v>-216.19647421205522</c:v>
                </c:pt>
                <c:pt idx="1816">
                  <c:v>-221.41647421205522</c:v>
                </c:pt>
                <c:pt idx="1817">
                  <c:v>-226.63647421205522</c:v>
                </c:pt>
                <c:pt idx="1818">
                  <c:v>-222.16547421205522</c:v>
                </c:pt>
                <c:pt idx="1819">
                  <c:v>-217.83123421205522</c:v>
                </c:pt>
                <c:pt idx="1820">
                  <c:v>-223.19123421205524</c:v>
                </c:pt>
                <c:pt idx="1821">
                  <c:v>-228.55123421205525</c:v>
                </c:pt>
                <c:pt idx="1822">
                  <c:v>-233.91123421205526</c:v>
                </c:pt>
                <c:pt idx="1823">
                  <c:v>-219.92523421205527</c:v>
                </c:pt>
                <c:pt idx="1824">
                  <c:v>-206.09463421205527</c:v>
                </c:pt>
                <c:pt idx="1825">
                  <c:v>-214.32463421205526</c:v>
                </c:pt>
                <c:pt idx="1826">
                  <c:v>-206.99993421205525</c:v>
                </c:pt>
                <c:pt idx="1827">
                  <c:v>-206.99993421205525</c:v>
                </c:pt>
                <c:pt idx="1828">
                  <c:v>-199.59293421205524</c:v>
                </c:pt>
                <c:pt idx="1829">
                  <c:v>-207.93293421205524</c:v>
                </c:pt>
                <c:pt idx="1830">
                  <c:v>-200.00993421205524</c:v>
                </c:pt>
                <c:pt idx="1831">
                  <c:v>-192.50393421205524</c:v>
                </c:pt>
                <c:pt idx="1832">
                  <c:v>-200.84393421205525</c:v>
                </c:pt>
                <c:pt idx="1833">
                  <c:v>-209.16393421205524</c:v>
                </c:pt>
                <c:pt idx="1834">
                  <c:v>-217.48393421205523</c:v>
                </c:pt>
                <c:pt idx="1835">
                  <c:v>-225.80393421205522</c:v>
                </c:pt>
                <c:pt idx="1836">
                  <c:v>-234.12393421205522</c:v>
                </c:pt>
                <c:pt idx="1837">
                  <c:v>-226.30313421205523</c:v>
                </c:pt>
                <c:pt idx="1838">
                  <c:v>-234.62313421205522</c:v>
                </c:pt>
                <c:pt idx="1839">
                  <c:v>-242.94313421205521</c:v>
                </c:pt>
                <c:pt idx="1840">
                  <c:v>-235.44681421205522</c:v>
                </c:pt>
                <c:pt idx="1841">
                  <c:v>-243.18681421205522</c:v>
                </c:pt>
                <c:pt idx="1842">
                  <c:v>-250.92681421205523</c:v>
                </c:pt>
                <c:pt idx="1843">
                  <c:v>-243.96081421205523</c:v>
                </c:pt>
                <c:pt idx="1844">
                  <c:v>-236.91741421205523</c:v>
                </c:pt>
                <c:pt idx="1845">
                  <c:v>-230.04661421205523</c:v>
                </c:pt>
                <c:pt idx="1846">
                  <c:v>-237.76661421205523</c:v>
                </c:pt>
                <c:pt idx="1847">
                  <c:v>-231.05021421205524</c:v>
                </c:pt>
                <c:pt idx="1848">
                  <c:v>-224.10221421205523</c:v>
                </c:pt>
                <c:pt idx="1849">
                  <c:v>-216.96521421205523</c:v>
                </c:pt>
                <c:pt idx="1850">
                  <c:v>-210.06611421205523</c:v>
                </c:pt>
                <c:pt idx="1851">
                  <c:v>-203.08771421205523</c:v>
                </c:pt>
                <c:pt idx="1852">
                  <c:v>-195.95071421205523</c:v>
                </c:pt>
                <c:pt idx="1853">
                  <c:v>-188.47471421205523</c:v>
                </c:pt>
                <c:pt idx="1854">
                  <c:v>-196.87471421205524</c:v>
                </c:pt>
                <c:pt idx="1855">
                  <c:v>-188.97871421205525</c:v>
                </c:pt>
                <c:pt idx="1856">
                  <c:v>-197.49871421205526</c:v>
                </c:pt>
                <c:pt idx="1857">
                  <c:v>-190.06927421205526</c:v>
                </c:pt>
                <c:pt idx="1858">
                  <c:v>-182.40127421205526</c:v>
                </c:pt>
                <c:pt idx="1859">
                  <c:v>-191.03127421205525</c:v>
                </c:pt>
                <c:pt idx="1860">
                  <c:v>-183.09167421205524</c:v>
                </c:pt>
                <c:pt idx="1861">
                  <c:v>-167.06777421205524</c:v>
                </c:pt>
                <c:pt idx="1862">
                  <c:v>-151.56077421205524</c:v>
                </c:pt>
                <c:pt idx="1863">
                  <c:v>-143.79177421205523</c:v>
                </c:pt>
                <c:pt idx="1864">
                  <c:v>-152.93177421205525</c:v>
                </c:pt>
                <c:pt idx="1865">
                  <c:v>-145.07137421205525</c:v>
                </c:pt>
                <c:pt idx="1866">
                  <c:v>-137.11957421205526</c:v>
                </c:pt>
                <c:pt idx="1867">
                  <c:v>-120.23557421205525</c:v>
                </c:pt>
                <c:pt idx="1868">
                  <c:v>-103.53917421205526</c:v>
                </c:pt>
                <c:pt idx="1869">
                  <c:v>-85.647174212055262</c:v>
                </c:pt>
                <c:pt idx="1870">
                  <c:v>-68.152774212055263</c:v>
                </c:pt>
                <c:pt idx="1871">
                  <c:v>-89.212774212055265</c:v>
                </c:pt>
                <c:pt idx="1872">
                  <c:v>-70.685174212055273</c:v>
                </c:pt>
                <c:pt idx="1873">
                  <c:v>-52.768374212055278</c:v>
                </c:pt>
                <c:pt idx="1874">
                  <c:v>-74.338374212055271</c:v>
                </c:pt>
                <c:pt idx="1875">
                  <c:v>-56.357054212055267</c:v>
                </c:pt>
                <c:pt idx="1876">
                  <c:v>-37.583054212055266</c:v>
                </c:pt>
                <c:pt idx="1877">
                  <c:v>-17.711054212055267</c:v>
                </c:pt>
                <c:pt idx="1878">
                  <c:v>3.9273457879447307</c:v>
                </c:pt>
                <c:pt idx="1879">
                  <c:v>-19.53265421205527</c:v>
                </c:pt>
                <c:pt idx="1880">
                  <c:v>-42.992654212055271</c:v>
                </c:pt>
                <c:pt idx="1881">
                  <c:v>-20.216399558073171</c:v>
                </c:pt>
                <c:pt idx="1882">
                  <c:v>-3.4479995580731675</c:v>
                </c:pt>
                <c:pt idx="1883">
                  <c:v>15.359800441926836</c:v>
                </c:pt>
                <c:pt idx="1884">
                  <c:v>-8.4901995580731651</c:v>
                </c:pt>
                <c:pt idx="1885">
                  <c:v>-32.340199558073166</c:v>
                </c:pt>
                <c:pt idx="1886">
                  <c:v>-12.306199558073164</c:v>
                </c:pt>
                <c:pt idx="1887">
                  <c:v>7.7278004419268385</c:v>
                </c:pt>
              </c:numCache>
            </c:numRef>
          </c:val>
          <c:smooth val="0"/>
          <c:extLst>
            <c:ext xmlns:c16="http://schemas.microsoft.com/office/drawing/2014/chart" uri="{C3380CC4-5D6E-409C-BE32-E72D297353CC}">
              <c16:uniqueId val="{00000000-5E4F-4E9A-BD54-E873C07B38AA}"/>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19050</xdr:colOff>
      <xdr:row>1900</xdr:row>
      <xdr:rowOff>0</xdr:rowOff>
    </xdr:from>
    <xdr:to>
      <xdr:col>10</xdr:col>
      <xdr:colOff>28575</xdr:colOff>
      <xdr:row>1914</xdr:row>
      <xdr:rowOff>19050</xdr:rowOff>
    </xdr:to>
    <xdr:graphicFrame macro="">
      <xdr:nvGraphicFramePr>
        <xdr:cNvPr id="5" name="Gráfico 3">
          <a:extLst>
            <a:ext uri="{FF2B5EF4-FFF2-40B4-BE49-F238E27FC236}">
              <a16:creationId xmlns:a16="http://schemas.microsoft.com/office/drawing/2014/main" id="{78A5DCFA-FC1D-4B6D-A39D-6FC42831F828}"/>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561975</xdr:colOff>
      <xdr:row>3</xdr:row>
      <xdr:rowOff>9525</xdr:rowOff>
    </xdr:from>
    <xdr:to>
      <xdr:col>12</xdr:col>
      <xdr:colOff>361950</xdr:colOff>
      <xdr:row>17</xdr:row>
      <xdr:rowOff>171450</xdr:rowOff>
    </xdr:to>
    <xdr:sp macro="" textlink="">
      <xdr:nvSpPr>
        <xdr:cNvPr id="3" name="Rectángulo redondeado 2">
          <a:extLst>
            <a:ext uri="{FF2B5EF4-FFF2-40B4-BE49-F238E27FC236}">
              <a16:creationId xmlns:a16="http://schemas.microsoft.com/office/drawing/2014/main" id="{39C3CD27-0F9C-22BF-DA92-F7106DD27558}"/>
            </a:ext>
            <a:ext uri="{147F2762-F138-4A5C-976F-8EAC2B608ADB}">
              <a16:predDERef xmlns:a16="http://schemas.microsoft.com/office/drawing/2014/main" pred="{C665FA97-8A96-03D2-07BD-98D5D7C2A894}"/>
            </a:ext>
          </a:extLst>
        </xdr:cNvPr>
        <xdr:cNvSpPr/>
      </xdr:nvSpPr>
      <xdr:spPr>
        <a:xfrm>
          <a:off x="4057650" y="666750"/>
          <a:ext cx="6505575" cy="283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9</xdr:col>
      <xdr:colOff>381000</xdr:colOff>
      <xdr:row>4</xdr:row>
      <xdr:rowOff>76200</xdr:rowOff>
    </xdr:from>
    <xdr:to>
      <xdr:col>11</xdr:col>
      <xdr:colOff>581025</xdr:colOff>
      <xdr:row>10</xdr:row>
      <xdr:rowOff>47625</xdr:rowOff>
    </xdr:to>
    <xdr:graphicFrame macro="">
      <xdr:nvGraphicFramePr>
        <xdr:cNvPr id="2" name="Gráfico 1">
          <a:extLst>
            <a:ext uri="{FF2B5EF4-FFF2-40B4-BE49-F238E27FC236}">
              <a16:creationId xmlns:a16="http://schemas.microsoft.com/office/drawing/2014/main" id="{038804EB-E89A-B3CD-E9C3-30FF9DBD38AE}"/>
            </a:ext>
            <a:ext uri="{147F2762-F138-4A5C-976F-8EAC2B608ADB}">
              <a16:predDERef xmlns:a16="http://schemas.microsoft.com/office/drawing/2014/main" pred="{39C3CD27-0F9C-22BF-DA92-F7106DD27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733425</xdr:colOff>
      <xdr:row>4</xdr:row>
      <xdr:rowOff>66675</xdr:rowOff>
    </xdr:from>
    <xdr:to>
      <xdr:col>9</xdr:col>
      <xdr:colOff>304800</xdr:colOff>
      <xdr:row>10</xdr:row>
      <xdr:rowOff>38100</xdr:rowOff>
    </xdr:to>
    <xdr:graphicFrame macro="">
      <xdr:nvGraphicFramePr>
        <xdr:cNvPr id="7" name="Gráfico 6">
          <a:extLst>
            <a:ext uri="{FF2B5EF4-FFF2-40B4-BE49-F238E27FC236}">
              <a16:creationId xmlns:a16="http://schemas.microsoft.com/office/drawing/2014/main" id="{C665FA97-8A96-03D2-07BD-98D5D7C2A894}"/>
            </a:ext>
            <a:ext uri="{147F2762-F138-4A5C-976F-8EAC2B608ADB}">
              <a16:predDERef xmlns:a16="http://schemas.microsoft.com/office/drawing/2014/main" pred="{038804EB-E89A-B3CD-E9C3-30FF9DBD3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371475</xdr:colOff>
      <xdr:row>4</xdr:row>
      <xdr:rowOff>76200</xdr:rowOff>
    </xdr:from>
    <xdr:to>
      <xdr:col>7</xdr:col>
      <xdr:colOff>657225</xdr:colOff>
      <xdr:row>10</xdr:row>
      <xdr:rowOff>38100</xdr:rowOff>
    </xdr:to>
    <xdr:graphicFrame macro="">
      <xdr:nvGraphicFramePr>
        <xdr:cNvPr id="6" name="Gráfico 5">
          <a:extLst>
            <a:ext uri="{FF2B5EF4-FFF2-40B4-BE49-F238E27FC236}">
              <a16:creationId xmlns:a16="http://schemas.microsoft.com/office/drawing/2014/main" id="{A4CDC236-F550-F6E9-4A1B-6102C1F3FBBB}"/>
            </a:ext>
            <a:ext uri="{147F2762-F138-4A5C-976F-8EAC2B608ADB}">
              <a16:predDERef xmlns:a16="http://schemas.microsoft.com/office/drawing/2014/main" pred="{C665FA97-8A96-03D2-07BD-98D5D7C2A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4</xdr:row>
      <xdr:rowOff>76200</xdr:rowOff>
    </xdr:from>
    <xdr:to>
      <xdr:col>6</xdr:col>
      <xdr:colOff>295275</xdr:colOff>
      <xdr:row>10</xdr:row>
      <xdr:rowOff>38100</xdr:rowOff>
    </xdr:to>
    <xdr:graphicFrame macro="">
      <xdr:nvGraphicFramePr>
        <xdr:cNvPr id="5" name="Gráfico 4">
          <a:extLst>
            <a:ext uri="{FF2B5EF4-FFF2-40B4-BE49-F238E27FC236}">
              <a16:creationId xmlns:a16="http://schemas.microsoft.com/office/drawing/2014/main" id="{042ED03C-573C-C065-196E-96AD1DAD93B2}"/>
            </a:ext>
            <a:ext uri="{147F2762-F138-4A5C-976F-8EAC2B608ADB}">
              <a16:predDERef xmlns:a16="http://schemas.microsoft.com/office/drawing/2014/main" pred="{A4CDC236-F550-F6E9-4A1B-6102C1F3F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10</xdr:row>
      <xdr:rowOff>114300</xdr:rowOff>
    </xdr:from>
    <xdr:to>
      <xdr:col>6</xdr:col>
      <xdr:colOff>295275</xdr:colOff>
      <xdr:row>16</xdr:row>
      <xdr:rowOff>76200</xdr:rowOff>
    </xdr:to>
    <xdr:graphicFrame macro="">
      <xdr:nvGraphicFramePr>
        <xdr:cNvPr id="9" name="Gráfico 8">
          <a:extLst>
            <a:ext uri="{FF2B5EF4-FFF2-40B4-BE49-F238E27FC236}">
              <a16:creationId xmlns:a16="http://schemas.microsoft.com/office/drawing/2014/main" id="{3AFC1801-9F1A-4D4D-99C7-C4E89AE81400}"/>
            </a:ext>
            <a:ext uri="{147F2762-F138-4A5C-976F-8EAC2B608ADB}">
              <a16:predDERef xmlns:a16="http://schemas.microsoft.com/office/drawing/2014/main" pred="{042ED03C-573C-C065-196E-96AD1DAD9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361950</xdr:colOff>
      <xdr:row>10</xdr:row>
      <xdr:rowOff>104775</xdr:rowOff>
    </xdr:from>
    <xdr:to>
      <xdr:col>7</xdr:col>
      <xdr:colOff>647700</xdr:colOff>
      <xdr:row>16</xdr:row>
      <xdr:rowOff>66675</xdr:rowOff>
    </xdr:to>
    <xdr:graphicFrame macro="">
      <xdr:nvGraphicFramePr>
        <xdr:cNvPr id="10" name="Gráfico 9">
          <a:extLst>
            <a:ext uri="{FF2B5EF4-FFF2-40B4-BE49-F238E27FC236}">
              <a16:creationId xmlns:a16="http://schemas.microsoft.com/office/drawing/2014/main" id="{3774213A-001E-4A39-8D87-A5EE5956D23D}"/>
            </a:ext>
            <a:ext uri="{147F2762-F138-4A5C-976F-8EAC2B608ADB}">
              <a16:predDERef xmlns:a16="http://schemas.microsoft.com/office/drawing/2014/main" pred="{3AFC1801-9F1A-4D4D-99C7-C4E89AE81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723900</xdr:colOff>
      <xdr:row>10</xdr:row>
      <xdr:rowOff>85725</xdr:rowOff>
    </xdr:from>
    <xdr:to>
      <xdr:col>9</xdr:col>
      <xdr:colOff>295275</xdr:colOff>
      <xdr:row>16</xdr:row>
      <xdr:rowOff>57150</xdr:rowOff>
    </xdr:to>
    <xdr:graphicFrame macro="">
      <xdr:nvGraphicFramePr>
        <xdr:cNvPr id="11" name="Gráfico 10">
          <a:extLst>
            <a:ext uri="{FF2B5EF4-FFF2-40B4-BE49-F238E27FC236}">
              <a16:creationId xmlns:a16="http://schemas.microsoft.com/office/drawing/2014/main" id="{F2678310-1463-49F3-A4A8-2A87E9B08138}"/>
            </a:ext>
            <a:ext uri="{147F2762-F138-4A5C-976F-8EAC2B608ADB}">
              <a16:predDERef xmlns:a16="http://schemas.microsoft.com/office/drawing/2014/main" pred="{3774213A-001E-4A39-8D87-A5EE5956D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371475</xdr:colOff>
      <xdr:row>10</xdr:row>
      <xdr:rowOff>85725</xdr:rowOff>
    </xdr:from>
    <xdr:to>
      <xdr:col>11</xdr:col>
      <xdr:colOff>571500</xdr:colOff>
      <xdr:row>16</xdr:row>
      <xdr:rowOff>57150</xdr:rowOff>
    </xdr:to>
    <xdr:graphicFrame macro="">
      <xdr:nvGraphicFramePr>
        <xdr:cNvPr id="12" name="Gráfico 11">
          <a:extLst>
            <a:ext uri="{FF2B5EF4-FFF2-40B4-BE49-F238E27FC236}">
              <a16:creationId xmlns:a16="http://schemas.microsoft.com/office/drawing/2014/main" id="{98B83C59-FCF5-4862-9DE4-D57A65559E90}"/>
            </a:ext>
            <a:ext uri="{147F2762-F138-4A5C-976F-8EAC2B608ADB}">
              <a16:predDERef xmlns:a16="http://schemas.microsoft.com/office/drawing/2014/main" pred="{F2678310-1463-49F3-A4A8-2A87E9B08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166</xdr:row>
      <xdr:rowOff>34637</xdr:rowOff>
    </xdr:from>
    <xdr:to>
      <xdr:col>13</xdr:col>
      <xdr:colOff>19050</xdr:colOff>
      <xdr:row>207</xdr:row>
      <xdr:rowOff>15587</xdr:rowOff>
    </xdr:to>
    <xdr:graphicFrame macro="">
      <xdr:nvGraphicFramePr>
        <xdr:cNvPr id="2" name="Gráfico 3">
          <a:extLst>
            <a:ext uri="{FF2B5EF4-FFF2-40B4-BE49-F238E27FC236}">
              <a16:creationId xmlns:a16="http://schemas.microsoft.com/office/drawing/2014/main" id="{8D67A392-59AF-4C02-B954-0B0649BBACFD}"/>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22</xdr:row>
      <xdr:rowOff>187037</xdr:rowOff>
    </xdr:from>
    <xdr:to>
      <xdr:col>13</xdr:col>
      <xdr:colOff>9525</xdr:colOff>
      <xdr:row>63</xdr:row>
      <xdr:rowOff>167987</xdr:rowOff>
    </xdr:to>
    <xdr:graphicFrame macro="">
      <xdr:nvGraphicFramePr>
        <xdr:cNvPr id="2" name="Gráfico 3">
          <a:extLst>
            <a:ext uri="{FF2B5EF4-FFF2-40B4-BE49-F238E27FC236}">
              <a16:creationId xmlns:a16="http://schemas.microsoft.com/office/drawing/2014/main" id="{DEAC7BE4-FB38-4819-8A9B-682663F60DA7}"/>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153</xdr:row>
      <xdr:rowOff>187037</xdr:rowOff>
    </xdr:from>
    <xdr:to>
      <xdr:col>13</xdr:col>
      <xdr:colOff>9525</xdr:colOff>
      <xdr:row>194</xdr:row>
      <xdr:rowOff>167987</xdr:rowOff>
    </xdr:to>
    <xdr:graphicFrame macro="">
      <xdr:nvGraphicFramePr>
        <xdr:cNvPr id="2" name="Gráfico 3">
          <a:extLst>
            <a:ext uri="{FF2B5EF4-FFF2-40B4-BE49-F238E27FC236}">
              <a16:creationId xmlns:a16="http://schemas.microsoft.com/office/drawing/2014/main" id="{473692CE-911A-4345-A376-E4EB62C89C4C}"/>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9525</xdr:colOff>
      <xdr:row>0</xdr:row>
      <xdr:rowOff>9525</xdr:rowOff>
    </xdr:from>
    <xdr:to>
      <xdr:col>13</xdr:col>
      <xdr:colOff>9525</xdr:colOff>
      <xdr:row>15</xdr:row>
      <xdr:rowOff>85725</xdr:rowOff>
    </xdr:to>
    <xdr:graphicFrame macro="">
      <xdr:nvGraphicFramePr>
        <xdr:cNvPr id="4" name="Chart 1">
          <a:extLst>
            <a:ext uri="{FF2B5EF4-FFF2-40B4-BE49-F238E27FC236}">
              <a16:creationId xmlns:a16="http://schemas.microsoft.com/office/drawing/2014/main" id="{A2CE3538-7E9C-4426-B83F-46F3A6AB4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266700</xdr:colOff>
      <xdr:row>22</xdr:row>
      <xdr:rowOff>9525</xdr:rowOff>
    </xdr:from>
    <xdr:to>
      <xdr:col>10</xdr:col>
      <xdr:colOff>0</xdr:colOff>
      <xdr:row>36</xdr:row>
      <xdr:rowOff>28575</xdr:rowOff>
    </xdr:to>
    <xdr:graphicFrame macro="">
      <xdr:nvGraphicFramePr>
        <xdr:cNvPr id="2" name="Gráfico 3">
          <a:extLst>
            <a:ext uri="{FF2B5EF4-FFF2-40B4-BE49-F238E27FC236}">
              <a16:creationId xmlns:a16="http://schemas.microsoft.com/office/drawing/2014/main" id="{E380937C-12EF-41CE-8C87-F72D84449063}"/>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73.535651157406" createdVersion="8" refreshedVersion="8" minRefreshableVersion="3" recordCount="1317" xr:uid="{541011C8-9659-47AB-AD39-8BBE2CBA75E3}">
  <cacheSource type="worksheet">
    <worksheetSource name="tblResultadosNBA"/>
  </cacheSource>
  <cacheFields count="18">
    <cacheField name="Fecha" numFmtId="175">
      <sharedItems containsSemiMixedTypes="0" containsNonDate="0" containsDate="1" containsString="0" minDate="2025-10-21T00:00:00" maxDate="2026-05-31T00:00:00" count="207">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2T00:00:00"/>
        <d v="2026-04-14T00:00:00"/>
        <d v="2026-04-15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5T00:00:00"/>
        <d v="2026-05-17T00:00:00"/>
        <d v="2026-05-18T00:00:00"/>
        <d v="2026-05-19T00:00:00"/>
        <d v="2026-05-20T00:00:00"/>
        <d v="2026-05-21T00:00:00"/>
        <d v="2026-05-22T00:00:00"/>
        <d v="2026-05-23T00:00:00"/>
        <d v="2026-05-24T00:00:00"/>
        <d v="2026-05-25T00:00:00"/>
        <d v="2026-05-26T00:00:00"/>
        <d v="2026-05-28T00:00:00"/>
        <d v="2026-05-30T00:00:00"/>
      </sharedItems>
    </cacheField>
    <cacheField name="Partido" numFmtId="0">
      <sharedItems/>
    </cacheField>
    <cacheField name="Visitante" numFmtId="0">
      <sharedItems/>
    </cacheField>
    <cacheField name="Pro" numFmtId="0">
      <sharedItems containsSemiMixedTypes="0" containsString="0" containsNumber="1" containsInteger="1" minValue="90" maxValue="137"/>
    </cacheField>
    <cacheField name="Real" numFmtId="0">
      <sharedItems containsSemiMixedTypes="0" containsString="0" containsNumber="1" containsInteger="1" minValue="66" maxValue="157"/>
    </cacheField>
    <cacheField name="OU_V" numFmtId="0">
      <sharedItems containsSemiMixedTypes="0" containsString="0" containsNumber="1" containsInteger="1" minValue="0" maxValue="1"/>
    </cacheField>
    <cacheField name="Home" numFmtId="0">
      <sharedItems/>
    </cacheField>
    <cacheField name="Pro2" numFmtId="0">
      <sharedItems containsSemiMixedTypes="0" containsString="0" containsNumber="1" containsInteger="1" minValue="93" maxValue="140"/>
    </cacheField>
    <cacheField name="Real3" numFmtId="0">
      <sharedItems containsSemiMixedTypes="0" containsString="0" containsNumber="1" containsInteger="1" minValue="77" maxValue="157"/>
    </cacheField>
    <cacheField name="O/U_H" numFmtId="0">
      <sharedItems containsSemiMixedTypes="0" containsString="0" containsNumber="1" containsInteger="1" minValue="0" maxValue="1"/>
    </cacheField>
    <cacheField name="Tot" numFmtId="0">
      <sharedItems containsSemiMixedTypes="0" containsString="0" containsNumber="1" containsInteger="1" minValue="191" maxValue="273"/>
    </cacheField>
    <cacheField name="Tot R" numFmtId="0">
      <sharedItems containsSemiMixedTypes="0" containsString="0" containsNumber="1" containsInteger="1" minValue="169" maxValue="302"/>
    </cacheField>
    <cacheField name="O/U_T" numFmtId="0">
      <sharedItems containsSemiMixedTypes="0" containsString="0" containsNumber="1" containsInteger="1" minValue="0" maxValue="1"/>
    </cacheField>
    <cacheField name="Dif" numFmtId="176">
      <sharedItems containsSemiMixedTypes="0" containsString="0" containsNumber="1" containsInteger="1" minValue="-25" maxValue="30"/>
    </cacheField>
    <cacheField name="Real4" numFmtId="176">
      <sharedItems containsSemiMixedTypes="0" containsString="0" containsNumber="1" containsInteger="1" minValue="-55" maxValue="54"/>
    </cacheField>
    <cacheField name="W/L" numFmtId="0">
      <sharedItems containsSemiMixedTypes="0" containsString="0" containsNumber="1" containsInteger="1" minValue="0" maxValue="1"/>
    </cacheField>
    <cacheField name="Semana" numFmtId="0">
      <sharedItems containsSemiMixedTypes="0" containsString="0" containsNumber="1" containsInteger="1" minValue="1" maxValue="53"/>
    </cacheField>
    <cacheField name="M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7">
  <r>
    <x v="0"/>
    <s v="Houston Rockets @ Oklahoma City Thunder"/>
    <s v="Houston Rockets"/>
    <n v="101"/>
    <n v="124"/>
    <n v="1"/>
    <s v="Oklahoma City Thunder"/>
    <n v="114"/>
    <n v="125"/>
    <n v="1"/>
    <n v="215"/>
    <n v="249"/>
    <n v="1"/>
    <n v="13"/>
    <n v="1"/>
    <n v="1"/>
    <n v="43"/>
    <s v="oct"/>
  </r>
  <r>
    <x v="0"/>
    <s v="Golden State Warriors @ Los Angeles Lakers"/>
    <s v="Golden State Warriors"/>
    <n v="99"/>
    <n v="119"/>
    <n v="1"/>
    <s v="Los Angeles Lakers"/>
    <n v="119"/>
    <n v="109"/>
    <n v="0"/>
    <n v="218"/>
    <n v="228"/>
    <n v="1"/>
    <n v="20"/>
    <n v="-10"/>
    <n v="0"/>
    <n v="43"/>
    <s v="oct"/>
  </r>
  <r>
    <x v="1"/>
    <s v="Cleveland Cavaliers @ New York Knicks"/>
    <s v="Cleveland Cavaliers"/>
    <n v="94"/>
    <n v="111"/>
    <n v="1"/>
    <s v="New York Knicks"/>
    <n v="117"/>
    <n v="119"/>
    <n v="1"/>
    <n v="211"/>
    <n v="230"/>
    <n v="1"/>
    <n v="23"/>
    <n v="8"/>
    <n v="1"/>
    <n v="43"/>
    <s v="oct"/>
  </r>
  <r>
    <x v="1"/>
    <s v="Brooklyn Nets @ Charlotte Hornets"/>
    <s v="Brooklyn Nets"/>
    <n v="109"/>
    <n v="117"/>
    <n v="1"/>
    <s v="Charlotte Hornets"/>
    <n v="117"/>
    <n v="136"/>
    <n v="1"/>
    <n v="226"/>
    <n v="253"/>
    <n v="1"/>
    <n v="8"/>
    <n v="19"/>
    <n v="1"/>
    <n v="43"/>
    <s v="oct"/>
  </r>
  <r>
    <x v="1"/>
    <s v="Miami Heat @ Orlando Magic"/>
    <s v="Miami Heat"/>
    <n v="108"/>
    <n v="121"/>
    <n v="1"/>
    <s v="Orlando Magic"/>
    <n v="120"/>
    <n v="125"/>
    <n v="1"/>
    <n v="228"/>
    <n v="246"/>
    <n v="1"/>
    <n v="12"/>
    <n v="4"/>
    <n v="1"/>
    <n v="43"/>
    <s v="oct"/>
  </r>
  <r>
    <x v="1"/>
    <s v="Toronto Raptors @ Atlanta Hawks"/>
    <s v="Toronto Raptors"/>
    <n v="104"/>
    <n v="138"/>
    <n v="1"/>
    <s v="Atlanta Hawks"/>
    <n v="119"/>
    <n v="118"/>
    <n v="0"/>
    <n v="223"/>
    <n v="256"/>
    <n v="1"/>
    <n v="15"/>
    <n v="-20"/>
    <n v="0"/>
    <n v="43"/>
    <s v="oct"/>
  </r>
  <r>
    <x v="1"/>
    <s v="Philadelphia 76ers @ Boston Celtics"/>
    <s v="Philadelphia 76ers"/>
    <n v="107"/>
    <n v="117"/>
    <n v="1"/>
    <s v="Boston Celtics"/>
    <n v="128"/>
    <n v="116"/>
    <n v="0"/>
    <n v="235"/>
    <n v="233"/>
    <n v="0"/>
    <n v="21"/>
    <n v="-1"/>
    <n v="0"/>
    <n v="43"/>
    <s v="oct"/>
  </r>
  <r>
    <x v="1"/>
    <s v="Detroit Pistons @ Chicago Bulls"/>
    <s v="Detroit Pistons"/>
    <n v="99"/>
    <n v="111"/>
    <n v="1"/>
    <s v="Chicago Bulls"/>
    <n v="116"/>
    <n v="105"/>
    <n v="0"/>
    <n v="215"/>
    <n v="216"/>
    <n v="1"/>
    <n v="17"/>
    <n v="-6"/>
    <n v="0"/>
    <n v="43"/>
    <s v="oct"/>
  </r>
  <r>
    <x v="1"/>
    <s v="New Orleans Pelicans @ Memphis Grizzlies"/>
    <s v="New Orleans Pelicans"/>
    <n v="109"/>
    <n v="122"/>
    <n v="1"/>
    <s v="Memphis Grizzlies"/>
    <n v="118"/>
    <n v="128"/>
    <n v="1"/>
    <n v="227"/>
    <n v="250"/>
    <n v="1"/>
    <n v="9"/>
    <n v="6"/>
    <n v="1"/>
    <n v="43"/>
    <s v="oct"/>
  </r>
  <r>
    <x v="1"/>
    <s v="Washington Wizards @ Milwaukee Bucks"/>
    <s v="Washington Wizards"/>
    <n v="109"/>
    <n v="120"/>
    <n v="1"/>
    <s v="Milwaukee Bucks"/>
    <n v="114"/>
    <n v="133"/>
    <n v="1"/>
    <n v="223"/>
    <n v="253"/>
    <n v="1"/>
    <n v="5"/>
    <n v="13"/>
    <n v="1"/>
    <n v="43"/>
    <s v="oct"/>
  </r>
  <r>
    <x v="1"/>
    <s v="LA Clippers @ Utah Jazz"/>
    <s v="LA Clippers"/>
    <n v="115"/>
    <n v="108"/>
    <n v="0"/>
    <s v="Utah Jazz"/>
    <n v="118"/>
    <n v="129"/>
    <n v="1"/>
    <n v="233"/>
    <n v="237"/>
    <n v="1"/>
    <n v="3"/>
    <n v="21"/>
    <n v="1"/>
    <n v="43"/>
    <s v="oct"/>
  </r>
  <r>
    <x v="1"/>
    <s v="San Antonio Spurs @ Dallas Mavericks"/>
    <s v="San Antonio Spurs"/>
    <n v="103"/>
    <n v="125"/>
    <n v="1"/>
    <s v="Dallas Mavericks"/>
    <n v="114"/>
    <n v="92"/>
    <n v="0"/>
    <n v="217"/>
    <n v="217"/>
    <n v="0"/>
    <n v="11"/>
    <n v="-33"/>
    <n v="0"/>
    <n v="43"/>
    <s v="oct"/>
  </r>
  <r>
    <x v="1"/>
    <s v="Sacramento Kings @ Phoenix Suns"/>
    <s v="Sacramento Kings"/>
    <n v="106"/>
    <n v="116"/>
    <n v="1"/>
    <s v="Phoenix Suns"/>
    <n v="119"/>
    <n v="120"/>
    <n v="1"/>
    <n v="225"/>
    <n v="236"/>
    <n v="1"/>
    <n v="13"/>
    <n v="4"/>
    <n v="1"/>
    <n v="43"/>
    <s v="oct"/>
  </r>
  <r>
    <x v="1"/>
    <s v="Minnesota Timberwolves @ Portland Trail Blazers"/>
    <s v="Minnesota Timberwolves"/>
    <n v="104"/>
    <n v="118"/>
    <n v="1"/>
    <s v="Portland Trail Blazers"/>
    <n v="115"/>
    <n v="114"/>
    <n v="0"/>
    <n v="219"/>
    <n v="232"/>
    <n v="1"/>
    <n v="11"/>
    <n v="-4"/>
    <n v="0"/>
    <n v="43"/>
    <s v="oct"/>
  </r>
  <r>
    <x v="2"/>
    <s v="Oklahoma City Thunder @ Indiana Pacers"/>
    <s v="Oklahoma City Thunder"/>
    <n v="118"/>
    <n v="141"/>
    <n v="1"/>
    <s v="Indiana Pacers"/>
    <n v="93"/>
    <n v="135"/>
    <n v="1"/>
    <n v="211"/>
    <n v="276"/>
    <n v="1"/>
    <n v="-25"/>
    <n v="-6"/>
    <n v="1"/>
    <n v="43"/>
    <s v="oct"/>
  </r>
  <r>
    <x v="2"/>
    <s v="Denver Nuggets @ Golden State Warriors"/>
    <s v="Denver Nuggets"/>
    <n v="118"/>
    <n v="131"/>
    <n v="1"/>
    <s v="Golden State Warriors"/>
    <n v="121"/>
    <n v="137"/>
    <n v="1"/>
    <n v="239"/>
    <n v="268"/>
    <n v="1"/>
    <n v="3"/>
    <n v="6"/>
    <n v="1"/>
    <n v="43"/>
    <s v="oct"/>
  </r>
  <r>
    <x v="3"/>
    <s v="Milwaukee Bucks @ Toronto Raptors"/>
    <s v="Milwaukee Bucks"/>
    <n v="116"/>
    <n v="122"/>
    <n v="1"/>
    <s v="Toronto Raptors"/>
    <n v="111"/>
    <n v="116"/>
    <n v="1"/>
    <n v="227"/>
    <n v="238"/>
    <n v="1"/>
    <n v="-5"/>
    <n v="-6"/>
    <n v="1"/>
    <n v="43"/>
    <s v="oct"/>
  </r>
  <r>
    <x v="3"/>
    <s v="Atlanta Hawks @ Orlando Magic"/>
    <s v="Atlanta Hawks"/>
    <n v="105"/>
    <n v="111"/>
    <n v="1"/>
    <s v="Orlando Magic"/>
    <n v="116"/>
    <n v="107"/>
    <n v="0"/>
    <n v="221"/>
    <n v="218"/>
    <n v="0"/>
    <n v="11"/>
    <n v="-4"/>
    <n v="0"/>
    <n v="43"/>
    <s v="oct"/>
  </r>
  <r>
    <x v="3"/>
    <s v="Cleveland Cavaliers @ Brooklyn Nets"/>
    <s v="Cleveland Cavaliers"/>
    <n v="107"/>
    <n v="131"/>
    <n v="1"/>
    <s v="Brooklyn Nets"/>
    <n v="117"/>
    <n v="124"/>
    <n v="1"/>
    <n v="224"/>
    <n v="255"/>
    <n v="1"/>
    <n v="10"/>
    <n v="-7"/>
    <n v="0"/>
    <n v="43"/>
    <s v="oct"/>
  </r>
  <r>
    <x v="3"/>
    <s v="Boston Celtics @ New York Knicks"/>
    <s v="Boston Celtics"/>
    <n v="106"/>
    <n v="95"/>
    <n v="0"/>
    <s v="New York Knicks"/>
    <n v="109"/>
    <n v="105"/>
    <n v="0"/>
    <n v="215"/>
    <n v="200"/>
    <n v="0"/>
    <n v="3"/>
    <n v="10"/>
    <n v="1"/>
    <n v="43"/>
    <s v="oct"/>
  </r>
  <r>
    <x v="3"/>
    <s v="Detroit Pistons @ Houston Rockets"/>
    <s v="Detroit Pistons"/>
    <n v="114"/>
    <n v="115"/>
    <n v="1"/>
    <s v="Houston Rockets"/>
    <n v="118"/>
    <n v="111"/>
    <n v="0"/>
    <n v="232"/>
    <n v="226"/>
    <n v="0"/>
    <n v="4"/>
    <n v="-4"/>
    <n v="0"/>
    <n v="43"/>
    <s v="oct"/>
  </r>
  <r>
    <x v="3"/>
    <s v="Miami Heat @ Memphis Grizzlies"/>
    <s v="Miami Heat"/>
    <n v="111"/>
    <n v="146"/>
    <n v="1"/>
    <s v="Memphis Grizzlies"/>
    <n v="120"/>
    <n v="114"/>
    <n v="0"/>
    <n v="231"/>
    <n v="260"/>
    <n v="1"/>
    <n v="9"/>
    <n v="-32"/>
    <n v="0"/>
    <n v="43"/>
    <s v="oct"/>
  </r>
  <r>
    <x v="3"/>
    <s v="San Antonio Spurs @ New Orleans Pelicans"/>
    <s v="San Antonio Spurs"/>
    <n v="114"/>
    <n v="120"/>
    <n v="1"/>
    <s v="New Orleans Pelicans"/>
    <n v="108"/>
    <n v="116"/>
    <n v="1"/>
    <n v="222"/>
    <n v="236"/>
    <n v="1"/>
    <n v="-6"/>
    <n v="-4"/>
    <n v="1"/>
    <n v="43"/>
    <s v="oct"/>
  </r>
  <r>
    <x v="3"/>
    <s v="Washington Wizards @ Dallas Mavericks"/>
    <s v="Washington Wizards"/>
    <n v="109"/>
    <n v="117"/>
    <n v="1"/>
    <s v="Dallas Mavericks"/>
    <n v="105"/>
    <n v="107"/>
    <n v="1"/>
    <n v="214"/>
    <n v="224"/>
    <n v="1"/>
    <n v="-4"/>
    <n v="-10"/>
    <n v="1"/>
    <n v="43"/>
    <s v="oct"/>
  </r>
  <r>
    <x v="3"/>
    <s v="Minnesota Timberwolves @ Los Angeles Lakers"/>
    <s v="Minnesota Timberwolves"/>
    <n v="115"/>
    <n v="110"/>
    <n v="0"/>
    <s v="Los Angeles Lakers"/>
    <n v="119"/>
    <n v="128"/>
    <n v="1"/>
    <n v="234"/>
    <n v="238"/>
    <n v="1"/>
    <n v="4"/>
    <n v="18"/>
    <n v="1"/>
    <n v="43"/>
    <s v="oct"/>
  </r>
  <r>
    <x v="3"/>
    <s v="Golden State Warriors @ Portland Trail Blazers"/>
    <s v="Golden State Warriors"/>
    <n v="108"/>
    <n v="119"/>
    <n v="1"/>
    <s v="Portland Trail Blazers"/>
    <n v="121"/>
    <n v="129"/>
    <n v="1"/>
    <n v="229"/>
    <n v="248"/>
    <n v="1"/>
    <n v="13"/>
    <n v="10"/>
    <n v="1"/>
    <n v="43"/>
    <s v="oct"/>
  </r>
  <r>
    <x v="3"/>
    <s v="Utah Jazz @ Sacramento Kings"/>
    <s v="Utah Jazz"/>
    <n v="109"/>
    <n v="104"/>
    <n v="0"/>
    <s v="Sacramento Kings"/>
    <n v="104"/>
    <n v="105"/>
    <n v="1"/>
    <n v="213"/>
    <n v="209"/>
    <n v="0"/>
    <n v="-5"/>
    <n v="1"/>
    <n v="0"/>
    <n v="43"/>
    <s v="oct"/>
  </r>
  <r>
    <x v="3"/>
    <s v="Phoenix Suns @ LA Clippers'"/>
    <s v="Phoenix Suns"/>
    <n v="111"/>
    <n v="102"/>
    <n v="0"/>
    <s v="LA Clippers'"/>
    <n v="105"/>
    <n v="129"/>
    <n v="1"/>
    <n v="216"/>
    <n v="231"/>
    <n v="1"/>
    <n v="-6"/>
    <n v="27"/>
    <n v="0"/>
    <n v="43"/>
    <s v="oct"/>
  </r>
  <r>
    <x v="4"/>
    <s v="Chicago Bulls @ Orlando Magic"/>
    <s v="Chicago Bulls"/>
    <n v="106"/>
    <n v="110"/>
    <n v="1"/>
    <s v="Orlando Magic"/>
    <n v="119"/>
    <n v="98"/>
    <n v="0"/>
    <n v="225"/>
    <n v="208"/>
    <n v="0"/>
    <n v="13"/>
    <n v="-12"/>
    <n v="0"/>
    <n v="43"/>
    <s v="oct"/>
  </r>
  <r>
    <x v="4"/>
    <s v="Oklahoma City Thunder @ Atlanta Hawks"/>
    <s v="Oklahoma City Thunder"/>
    <n v="110"/>
    <n v="117"/>
    <n v="1"/>
    <s v="Atlanta Hawks"/>
    <n v="119"/>
    <n v="100"/>
    <n v="0"/>
    <n v="229"/>
    <n v="217"/>
    <n v="0"/>
    <n v="9"/>
    <n v="-17"/>
    <n v="0"/>
    <n v="43"/>
    <s v="oct"/>
  </r>
  <r>
    <x v="4"/>
    <s v="Charlotte Hornets @ Philadelphia 76ers"/>
    <s v="Charlotte Hornets"/>
    <n v="116"/>
    <n v="121"/>
    <n v="1"/>
    <s v="Philadelphia 76ers"/>
    <n v="121"/>
    <n v="125"/>
    <n v="1"/>
    <n v="237"/>
    <n v="246"/>
    <n v="1"/>
    <n v="5"/>
    <n v="4"/>
    <n v="1"/>
    <n v="43"/>
    <s v="oct"/>
  </r>
  <r>
    <x v="4"/>
    <s v="Indiana Pacers @ Memphis Grizzlies"/>
    <s v="Indiana Pacers"/>
    <n v="120"/>
    <n v="103"/>
    <n v="0"/>
    <s v="Memphis Grizzlies"/>
    <n v="110"/>
    <n v="128"/>
    <n v="1"/>
    <n v="230"/>
    <n v="231"/>
    <n v="1"/>
    <n v="-10"/>
    <n v="25"/>
    <n v="0"/>
    <n v="43"/>
    <s v="oct"/>
  </r>
  <r>
    <x v="4"/>
    <s v="Phoenix Suns @ Denver Nuggets"/>
    <s v="Phoenix Suns"/>
    <n v="111"/>
    <n v="111"/>
    <n v="0"/>
    <s v="Denver Nuggets"/>
    <n v="120"/>
    <n v="133"/>
    <n v="1"/>
    <n v="231"/>
    <n v="244"/>
    <n v="1"/>
    <n v="9"/>
    <n v="22"/>
    <n v="1"/>
    <n v="43"/>
    <s v="oct"/>
  </r>
  <r>
    <x v="5"/>
    <s v="Brooklyn Nets @ San Antonio Spurs"/>
    <s v="Brooklyn Nets"/>
    <n v="114"/>
    <n v="107"/>
    <n v="0"/>
    <s v="San Antonio Spurs"/>
    <n v="108"/>
    <n v="118"/>
    <n v="1"/>
    <n v="222"/>
    <n v="225"/>
    <n v="1"/>
    <n v="-6"/>
    <n v="11"/>
    <n v="0"/>
    <n v="43"/>
    <s v="oct"/>
  </r>
  <r>
    <x v="5"/>
    <s v="Boston Celtics @ Detroit Pistons"/>
    <s v="Boston Celtics"/>
    <n v="108"/>
    <n v="113"/>
    <n v="1"/>
    <s v="Detroit Pistons"/>
    <n v="102"/>
    <n v="119"/>
    <n v="1"/>
    <n v="210"/>
    <n v="232"/>
    <n v="1"/>
    <n v="-6"/>
    <n v="6"/>
    <n v="0"/>
    <n v="43"/>
    <s v="oct"/>
  </r>
  <r>
    <x v="5"/>
    <s v="Milwaukee Bucks @ Cleveland Cavaliers"/>
    <s v="Milwaukee Bucks"/>
    <n v="103"/>
    <n v="113"/>
    <n v="1"/>
    <s v="Cleveland Cavaliers"/>
    <n v="115"/>
    <n v="118"/>
    <n v="1"/>
    <n v="218"/>
    <n v="231"/>
    <n v="1"/>
    <n v="12"/>
    <n v="5"/>
    <n v="1"/>
    <n v="43"/>
    <s v="oct"/>
  </r>
  <r>
    <x v="5"/>
    <s v="New York Knicks @ Miami Heat"/>
    <s v="New York Knicks"/>
    <n v="119"/>
    <n v="107"/>
    <n v="0"/>
    <s v="Miami Heat"/>
    <n v="104"/>
    <n v="115"/>
    <n v="1"/>
    <n v="223"/>
    <n v="222"/>
    <n v="0"/>
    <n v="-15"/>
    <n v="8"/>
    <n v="0"/>
    <n v="43"/>
    <s v="oct"/>
  </r>
  <r>
    <x v="5"/>
    <s v="Charlotte Hornets @ Washington Wizards"/>
    <s v="Charlotte Hornets"/>
    <n v="106"/>
    <n v="139"/>
    <n v="1"/>
    <s v="Washington Wizards"/>
    <n v="110"/>
    <n v="113"/>
    <n v="1"/>
    <n v="216"/>
    <n v="252"/>
    <n v="1"/>
    <n v="4"/>
    <n v="-26"/>
    <n v="0"/>
    <n v="43"/>
    <s v="oct"/>
  </r>
  <r>
    <x v="5"/>
    <s v="Indiana Pacers @ Minnesota Timberwolves"/>
    <s v="Indiana Pacers"/>
    <n v="112"/>
    <n v="110"/>
    <n v="0"/>
    <s v="Minnesota Timberwolves"/>
    <n v="110"/>
    <n v="114"/>
    <n v="1"/>
    <n v="222"/>
    <n v="224"/>
    <n v="1"/>
    <n v="-2"/>
    <n v="4"/>
    <n v="0"/>
    <n v="43"/>
    <s v="oct"/>
  </r>
  <r>
    <x v="5"/>
    <s v="Toronto Raptors @ Dallas Mavericks"/>
    <s v="Toronto Raptors"/>
    <n v="98"/>
    <n v="129"/>
    <n v="1"/>
    <s v="Dallas Mavericks"/>
    <n v="108"/>
    <n v="139"/>
    <n v="1"/>
    <n v="206"/>
    <n v="268"/>
    <n v="1"/>
    <n v="10"/>
    <n v="10"/>
    <n v="1"/>
    <n v="43"/>
    <s v="oct"/>
  </r>
  <r>
    <x v="5"/>
    <s v="Portland Trail Blazers @ LA Clippers"/>
    <s v="Portland Trail Blazers"/>
    <n v="122"/>
    <n v="107"/>
    <n v="0"/>
    <s v="LA Clippers"/>
    <n v="112"/>
    <n v="114"/>
    <n v="1"/>
    <n v="234"/>
    <n v="221"/>
    <n v="0"/>
    <n v="-10"/>
    <n v="7"/>
    <n v="0"/>
    <n v="43"/>
    <s v="oct"/>
  </r>
  <r>
    <x v="5"/>
    <s v="Los Angeles Lakers @ Sacramento Kings"/>
    <s v="Los Angeles Lakers"/>
    <n v="100"/>
    <n v="127"/>
    <n v="1"/>
    <s v="Sacramento Kings"/>
    <n v="103"/>
    <n v="120"/>
    <n v="1"/>
    <n v="203"/>
    <n v="247"/>
    <n v="1"/>
    <n v="3"/>
    <n v="-7"/>
    <n v="0"/>
    <n v="43"/>
    <s v="oct"/>
  </r>
  <r>
    <x v="6"/>
    <s v="Cleveland Cavaliers @ Detroit Pistons"/>
    <s v="Cleveland Cavaliers"/>
    <n v="101"/>
    <n v="116"/>
    <n v="1"/>
    <s v="Detroit Pistons"/>
    <n v="115"/>
    <n v="95"/>
    <n v="0"/>
    <n v="216"/>
    <n v="211"/>
    <n v="0"/>
    <n v="14"/>
    <n v="-21"/>
    <n v="0"/>
    <n v="44"/>
    <s v="oct"/>
  </r>
  <r>
    <x v="6"/>
    <s v="Orlando Magic @ Philadelphia 76ers"/>
    <s v="Orlando Magic"/>
    <n v="100"/>
    <n v="124"/>
    <n v="1"/>
    <s v="Philadelphia 76ers"/>
    <n v="110"/>
    <n v="136"/>
    <n v="1"/>
    <n v="210"/>
    <n v="260"/>
    <n v="1"/>
    <n v="10"/>
    <n v="12"/>
    <n v="1"/>
    <n v="44"/>
    <s v="oct"/>
  </r>
  <r>
    <x v="6"/>
    <s v="Atlanta Hawks @ Chicago Bulls"/>
    <s v="Atlanta Hawks"/>
    <n v="123"/>
    <n v="123"/>
    <n v="0"/>
    <s v="Chicago Bulls"/>
    <n v="118"/>
    <n v="128"/>
    <n v="1"/>
    <n v="241"/>
    <n v="251"/>
    <n v="1"/>
    <n v="-5"/>
    <n v="5"/>
    <n v="0"/>
    <n v="44"/>
    <s v="oct"/>
  </r>
  <r>
    <x v="6"/>
    <s v="Brooklyn Nets @ Houston Rockets"/>
    <s v="Brooklyn Nets"/>
    <n v="115"/>
    <n v="109"/>
    <n v="0"/>
    <s v="Houston Rockets"/>
    <n v="113"/>
    <n v="137"/>
    <n v="1"/>
    <n v="228"/>
    <n v="246"/>
    <n v="1"/>
    <n v="-2"/>
    <n v="28"/>
    <n v="0"/>
    <n v="44"/>
    <s v="oct"/>
  </r>
  <r>
    <x v="6"/>
    <s v="Boston Celtics @ New Orleans Pelicans"/>
    <s v="Boston Celtics"/>
    <n v="109"/>
    <n v="122"/>
    <n v="1"/>
    <s v="New Orleans Pelicans"/>
    <n v="112"/>
    <n v="90"/>
    <n v="0"/>
    <n v="221"/>
    <n v="212"/>
    <n v="0"/>
    <n v="3"/>
    <n v="-32"/>
    <n v="0"/>
    <n v="44"/>
    <s v="oct"/>
  </r>
  <r>
    <x v="6"/>
    <s v="Toronto Raptors @ San Antonio Spurs"/>
    <s v="Toronto Raptors"/>
    <n v="118"/>
    <n v="103"/>
    <n v="0"/>
    <s v="San Antonio Spurs"/>
    <n v="121"/>
    <n v="121"/>
    <n v="0"/>
    <n v="239"/>
    <n v="224"/>
    <n v="0"/>
    <n v="3"/>
    <n v="18"/>
    <n v="1"/>
    <n v="44"/>
    <s v="oct"/>
  </r>
  <r>
    <x v="6"/>
    <s v="Oklahoma City Thunder @ Dallas Mavericks"/>
    <s v="Oklahoma City Thunder"/>
    <n v="112"/>
    <n v="101"/>
    <n v="0"/>
    <s v="Dallas Mavericks"/>
    <n v="105"/>
    <n v="94"/>
    <n v="0"/>
    <n v="217"/>
    <n v="195"/>
    <n v="0"/>
    <n v="-7"/>
    <n v="-7"/>
    <n v="1"/>
    <n v="44"/>
    <s v="oct"/>
  </r>
  <r>
    <x v="6"/>
    <s v="Phoenix Suns @ Utah Jazz"/>
    <s v="Phoenix Suns"/>
    <n v="111"/>
    <n v="134"/>
    <n v="1"/>
    <s v="Utah Jazz"/>
    <n v="108"/>
    <n v="138"/>
    <n v="1"/>
    <n v="219"/>
    <n v="272"/>
    <n v="1"/>
    <n v="-3"/>
    <n v="4"/>
    <n v="0"/>
    <n v="44"/>
    <s v="oct"/>
  </r>
  <r>
    <x v="6"/>
    <s v="Denver Nuggets @ Minnesota Timberwolves"/>
    <s v="Denver Nuggets"/>
    <n v="117"/>
    <n v="127"/>
    <n v="1"/>
    <s v="Minnesota Timberwolves"/>
    <n v="105"/>
    <n v="114"/>
    <n v="1"/>
    <n v="222"/>
    <n v="241"/>
    <n v="1"/>
    <n v="-12"/>
    <n v="-13"/>
    <n v="1"/>
    <n v="44"/>
    <s v="oct"/>
  </r>
  <r>
    <x v="6"/>
    <s v="Memphis Grizzlies @ Golden State Warriors"/>
    <s v="Memphis Grizzlies"/>
    <n v="110"/>
    <n v="118"/>
    <n v="1"/>
    <s v="Golden State Warriors"/>
    <n v="113"/>
    <n v="131"/>
    <n v="1"/>
    <n v="223"/>
    <n v="249"/>
    <n v="1"/>
    <n v="3"/>
    <n v="13"/>
    <n v="1"/>
    <n v="44"/>
    <s v="oct"/>
  </r>
  <r>
    <x v="6"/>
    <s v="Portland Trail Blazers @ Los Angeles Lakers"/>
    <s v="Portland Trail Blazers"/>
    <n v="97"/>
    <n v="122"/>
    <n v="1"/>
    <s v="Los Angeles Lakers"/>
    <n v="120"/>
    <n v="108"/>
    <n v="0"/>
    <n v="217"/>
    <n v="230"/>
    <n v="1"/>
    <n v="23"/>
    <n v="-14"/>
    <n v="0"/>
    <n v="44"/>
    <s v="oct"/>
  </r>
  <r>
    <x v="7"/>
    <s v="Philadelphia 76ers @ Washington Wizards"/>
    <s v="Philadelphia 76ers"/>
    <n v="108"/>
    <n v="139"/>
    <n v="1"/>
    <s v="Washington Wizards"/>
    <n v="118"/>
    <n v="134"/>
    <n v="1"/>
    <n v="226"/>
    <n v="273"/>
    <n v="1"/>
    <n v="10"/>
    <n v="-5"/>
    <n v="0"/>
    <n v="44"/>
    <s v="oct"/>
  </r>
  <r>
    <x v="7"/>
    <s v="Charlotte Hornets @ Miami Heat"/>
    <s v="Charlotte Hornets"/>
    <n v="111"/>
    <n v="117"/>
    <n v="1"/>
    <s v="Miami Heat"/>
    <n v="114"/>
    <n v="144"/>
    <n v="1"/>
    <n v="225"/>
    <n v="261"/>
    <n v="1"/>
    <n v="3"/>
    <n v="27"/>
    <n v="1"/>
    <n v="44"/>
    <s v="oct"/>
  </r>
  <r>
    <x v="7"/>
    <s v="New York Knicks @ Milwaukee Bucks"/>
    <s v="New York Knicks"/>
    <n v="120"/>
    <n v="111"/>
    <n v="0"/>
    <s v="Milwaukee Bucks"/>
    <n v="110"/>
    <n v="121"/>
    <n v="1"/>
    <n v="230"/>
    <n v="232"/>
    <n v="1"/>
    <n v="-10"/>
    <n v="10"/>
    <n v="0"/>
    <n v="44"/>
    <s v="oct"/>
  </r>
  <r>
    <x v="7"/>
    <s v="Sacramento Kings @ Oklahoma City Thunder"/>
    <s v="Sacramento Kings"/>
    <n v="104"/>
    <n v="101"/>
    <n v="0"/>
    <s v="Oklahoma City Thunder"/>
    <n v="110"/>
    <n v="107"/>
    <n v="0"/>
    <n v="214"/>
    <n v="208"/>
    <n v="0"/>
    <n v="6"/>
    <n v="6"/>
    <n v="1"/>
    <n v="44"/>
    <s v="oct"/>
  </r>
  <r>
    <x v="7"/>
    <s v="LA Clippers @ Golden State Warriors"/>
    <s v="LA Clippers"/>
    <n v="113"/>
    <n v="79"/>
    <n v="0"/>
    <s v="Golden State Warriors"/>
    <n v="117"/>
    <n v="98"/>
    <n v="0"/>
    <n v="230"/>
    <n v="177"/>
    <n v="0"/>
    <n v="4"/>
    <n v="19"/>
    <n v="1"/>
    <n v="44"/>
    <s v="oct"/>
  </r>
  <r>
    <x v="8"/>
    <s v="Houston Rockets @ Toronto Raptors"/>
    <s v="Houston Rockets"/>
    <n v="108"/>
    <n v="139"/>
    <n v="1"/>
    <s v="Toronto Raptors"/>
    <n v="110"/>
    <n v="121"/>
    <n v="1"/>
    <n v="218"/>
    <n v="260"/>
    <n v="1"/>
    <n v="2"/>
    <n v="-18"/>
    <n v="0"/>
    <n v="44"/>
    <s v="oct"/>
  </r>
  <r>
    <x v="8"/>
    <s v="Cleveland Cavaliers @ Boston Celtics"/>
    <s v="Cleveland Cavaliers"/>
    <n v="111"/>
    <n v="105"/>
    <n v="0"/>
    <s v="Boston Celtics"/>
    <n v="108"/>
    <n v="125"/>
    <n v="1"/>
    <n v="219"/>
    <n v="230"/>
    <n v="1"/>
    <n v="-3"/>
    <n v="20"/>
    <n v="0"/>
    <n v="44"/>
    <s v="oct"/>
  </r>
  <r>
    <x v="8"/>
    <s v="Orlando Magic @ Detroit Pistons"/>
    <s v="Orlando Magic"/>
    <n v="112"/>
    <n v="116"/>
    <n v="1"/>
    <s v="Detroit Pistons"/>
    <n v="109"/>
    <n v="135"/>
    <n v="1"/>
    <n v="221"/>
    <n v="251"/>
    <n v="1"/>
    <n v="-3"/>
    <n v="19"/>
    <n v="0"/>
    <n v="44"/>
    <s v="oct"/>
  </r>
  <r>
    <x v="8"/>
    <s v="Atlanta Hawks @ Brooklyn Nets"/>
    <s v="Atlanta Hawks"/>
    <n v="114"/>
    <n v="117"/>
    <n v="1"/>
    <s v="Brooklyn Nets"/>
    <n v="119"/>
    <n v="112"/>
    <n v="0"/>
    <n v="233"/>
    <n v="229"/>
    <n v="0"/>
    <n v="5"/>
    <n v="-5"/>
    <n v="0"/>
    <n v="44"/>
    <s v="oct"/>
  </r>
  <r>
    <x v="8"/>
    <s v="Sacramento Kings @ Chicago Bulls"/>
    <s v="Sacramento Kings"/>
    <n v="125"/>
    <n v="113"/>
    <n v="0"/>
    <s v="Chicago Bulls"/>
    <n v="121"/>
    <n v="126"/>
    <n v="1"/>
    <n v="246"/>
    <n v="239"/>
    <n v="0"/>
    <n v="-4"/>
    <n v="13"/>
    <n v="0"/>
    <n v="44"/>
    <s v="oct"/>
  </r>
  <r>
    <x v="8"/>
    <s v="Indiana Pacers @ Dallas Mavericks"/>
    <s v="Indiana Pacers"/>
    <n v="114"/>
    <n v="105"/>
    <n v="0"/>
    <s v="Dallas Mavericks"/>
    <n v="118"/>
    <n v="107"/>
    <n v="0"/>
    <n v="232"/>
    <n v="212"/>
    <n v="0"/>
    <n v="4"/>
    <n v="2"/>
    <n v="1"/>
    <n v="44"/>
    <s v="oct"/>
  </r>
  <r>
    <x v="8"/>
    <s v="New Orleans Pelicans @ Denver Nuggets"/>
    <s v="New Orleans Pelicans"/>
    <n v="108"/>
    <n v="88"/>
    <n v="0"/>
    <s v="Denver Nuggets"/>
    <n v="111"/>
    <n v="122"/>
    <n v="1"/>
    <n v="219"/>
    <n v="210"/>
    <n v="0"/>
    <n v="3"/>
    <n v="34"/>
    <n v="1"/>
    <n v="44"/>
    <s v="oct"/>
  </r>
  <r>
    <x v="8"/>
    <s v="Portland Trail Blazers @ Utah Jazz"/>
    <s v="Portland Trail Blazers"/>
    <n v="113"/>
    <n v="136"/>
    <n v="1"/>
    <s v="Utah Jazz"/>
    <n v="121"/>
    <n v="134"/>
    <n v="1"/>
    <n v="234"/>
    <n v="270"/>
    <n v="1"/>
    <n v="8"/>
    <n v="-2"/>
    <n v="0"/>
    <n v="44"/>
    <s v="oct"/>
  </r>
  <r>
    <x v="8"/>
    <s v="Los Angeles Lakers @ Minnesota Timberwolves"/>
    <s v="Los Angeles Lakers"/>
    <n v="116"/>
    <n v="116"/>
    <n v="0"/>
    <s v="Minnesota Timberwolves"/>
    <n v="119"/>
    <n v="115"/>
    <n v="0"/>
    <n v="235"/>
    <n v="231"/>
    <n v="0"/>
    <n v="3"/>
    <n v="-1"/>
    <n v="0"/>
    <n v="44"/>
    <s v="oct"/>
  </r>
  <r>
    <x v="8"/>
    <s v="Memphis Grizzlies @ Phoenix Suns"/>
    <s v="Memphis Grizzlies"/>
    <n v="115"/>
    <n v="114"/>
    <n v="0"/>
    <s v="Phoenix Suns"/>
    <n v="112"/>
    <n v="113"/>
    <n v="1"/>
    <n v="227"/>
    <n v="227"/>
    <n v="0"/>
    <n v="-3"/>
    <n v="-1"/>
    <n v="1"/>
    <n v="44"/>
    <s v="oct"/>
  </r>
  <r>
    <x v="9"/>
    <s v="Orlando Magic @ Charlotte Hornets"/>
    <s v="Orlando Magic"/>
    <n v="112"/>
    <n v="123"/>
    <n v="1"/>
    <s v="Charlotte Hornets"/>
    <n v="103"/>
    <n v="107"/>
    <n v="1"/>
    <n v="215"/>
    <n v="230"/>
    <n v="1"/>
    <n v="-9"/>
    <n v="-16"/>
    <n v="1"/>
    <n v="44"/>
    <s v="oct"/>
  </r>
  <r>
    <x v="9"/>
    <s v="Golden State Warriors @ Milwaukee Bucks"/>
    <s v="Golden State Warriors"/>
    <n v="108"/>
    <n v="110"/>
    <n v="1"/>
    <s v="Milwaukee Bucks"/>
    <n v="114"/>
    <n v="120"/>
    <n v="1"/>
    <n v="222"/>
    <n v="230"/>
    <n v="1"/>
    <n v="6"/>
    <n v="10"/>
    <n v="1"/>
    <n v="44"/>
    <s v="oct"/>
  </r>
  <r>
    <x v="9"/>
    <s v="Washington Wizards @ Oklahoma City Thunder"/>
    <s v="Washington Wizards"/>
    <n v="115"/>
    <n v="108"/>
    <n v="0"/>
    <s v="Oklahoma City Thunder"/>
    <n v="121"/>
    <n v="127"/>
    <n v="1"/>
    <n v="236"/>
    <n v="235"/>
    <n v="0"/>
    <n v="6"/>
    <n v="19"/>
    <n v="1"/>
    <n v="44"/>
    <s v="oct"/>
  </r>
  <r>
    <x v="9"/>
    <s v="Miami Heat @ San Antonio Spurs"/>
    <s v="Miami Heat"/>
    <n v="112"/>
    <n v="101"/>
    <n v="0"/>
    <s v="San Antonio Spurs"/>
    <n v="108"/>
    <n v="107"/>
    <n v="0"/>
    <n v="220"/>
    <n v="208"/>
    <n v="0"/>
    <n v="-4"/>
    <n v="6"/>
    <n v="0"/>
    <n v="44"/>
    <s v="oct"/>
  </r>
  <r>
    <x v="10"/>
    <s v="Atlanta Hawks @ Indiana Pacers"/>
    <s v="Atlanta Hawks"/>
    <n v="112"/>
    <n v="128"/>
    <n v="1"/>
    <s v="Indiana Pacers"/>
    <n v="115"/>
    <n v="108"/>
    <n v="0"/>
    <n v="227"/>
    <n v="236"/>
    <n v="1"/>
    <n v="3"/>
    <n v="-20"/>
    <n v="0"/>
    <n v="44"/>
    <s v="oct"/>
  </r>
  <r>
    <x v="10"/>
    <s v="Boston Celtics @ Philadelphia 76ers"/>
    <s v="Boston Celtics"/>
    <n v="105"/>
    <n v="109"/>
    <n v="1"/>
    <s v="Philadelphia 76ers"/>
    <n v="118"/>
    <n v="108"/>
    <n v="0"/>
    <n v="223"/>
    <n v="217"/>
    <n v="0"/>
    <n v="13"/>
    <n v="-1"/>
    <n v="0"/>
    <n v="44"/>
    <s v="oct"/>
  </r>
  <r>
    <x v="10"/>
    <s v="Toronto Raptors @ Cleveland Cavaliers"/>
    <s v="Toronto Raptors"/>
    <n v="115"/>
    <n v="112"/>
    <n v="0"/>
    <s v="Cleveland Cavaliers"/>
    <n v="117"/>
    <n v="101"/>
    <n v="0"/>
    <n v="232"/>
    <n v="213"/>
    <n v="0"/>
    <n v="2"/>
    <n v="-11"/>
    <n v="0"/>
    <n v="44"/>
    <s v="oct"/>
  </r>
  <r>
    <x v="10"/>
    <s v="New York Knicks @ Chicago Bulls"/>
    <s v="New York Knicks"/>
    <n v="117"/>
    <n v="125"/>
    <n v="1"/>
    <s v="Chicago Bulls"/>
    <n v="114"/>
    <n v="135"/>
    <n v="1"/>
    <n v="231"/>
    <n v="260"/>
    <n v="1"/>
    <n v="-3"/>
    <n v="10"/>
    <n v="0"/>
    <n v="44"/>
    <s v="oct"/>
  </r>
  <r>
    <x v="10"/>
    <s v="Los Angeles Lakers @ Memphis Grizzlies"/>
    <s v="Los Angeles Lakers"/>
    <n v="112"/>
    <n v="117"/>
    <n v="1"/>
    <s v="Memphis Grizzlies"/>
    <n v="121"/>
    <n v="112"/>
    <n v="0"/>
    <n v="233"/>
    <n v="229"/>
    <n v="0"/>
    <n v="9"/>
    <n v="-5"/>
    <n v="0"/>
    <n v="44"/>
    <s v="oct"/>
  </r>
  <r>
    <x v="10"/>
    <s v="Utah Jazz @ Phoenix Suns"/>
    <s v="Utah Jazz"/>
    <n v="115"/>
    <n v="96"/>
    <n v="0"/>
    <s v="Phoenix Suns"/>
    <n v="111"/>
    <n v="118"/>
    <n v="1"/>
    <n v="226"/>
    <n v="214"/>
    <n v="0"/>
    <n v="-4"/>
    <n v="22"/>
    <n v="0"/>
    <n v="44"/>
    <s v="oct"/>
  </r>
  <r>
    <x v="10"/>
    <s v="Denver Nuggets @ Portland Trail Blazers"/>
    <s v="Denver Nuggets"/>
    <n v="110"/>
    <n v="107"/>
    <n v="0"/>
    <s v="Portland Trail Blazers"/>
    <n v="117"/>
    <n v="109"/>
    <n v="0"/>
    <n v="227"/>
    <n v="216"/>
    <n v="0"/>
    <n v="7"/>
    <n v="2"/>
    <n v="1"/>
    <n v="44"/>
    <s v="oct"/>
  </r>
  <r>
    <x v="10"/>
    <s v="New Orleans Pelicans @ LA Clippers"/>
    <s v="New Orleans Pelicans"/>
    <n v="108"/>
    <n v="124"/>
    <n v="1"/>
    <s v="LA Clippers"/>
    <n v="115"/>
    <n v="126"/>
    <n v="1"/>
    <n v="223"/>
    <n v="250"/>
    <n v="1"/>
    <n v="7"/>
    <n v="2"/>
    <n v="1"/>
    <n v="44"/>
    <s v="oct"/>
  </r>
  <r>
    <x v="11"/>
    <s v="Sacramento Kings @ Milwaukee Bucks"/>
    <s v="Sacramento Kings"/>
    <n v="112"/>
    <n v="135"/>
    <n v="1"/>
    <s v="Milwaukee Bucks"/>
    <n v="125"/>
    <n v="133"/>
    <n v="1"/>
    <n v="237"/>
    <n v="268"/>
    <n v="1"/>
    <n v="13"/>
    <n v="-2"/>
    <n v="0"/>
    <n v="44"/>
    <s v="nov"/>
  </r>
  <r>
    <x v="11"/>
    <s v="Minnesota Timberwolves @ Charlotte Hornets"/>
    <s v="Minnesota Timberwolves"/>
    <n v="114"/>
    <n v="122"/>
    <n v="1"/>
    <s v="Charlotte Hornets"/>
    <n v="115"/>
    <n v="105"/>
    <n v="0"/>
    <n v="229"/>
    <n v="227"/>
    <n v="0"/>
    <n v="1"/>
    <n v="-17"/>
    <n v="0"/>
    <n v="44"/>
    <s v="nov"/>
  </r>
  <r>
    <x v="11"/>
    <s v="Golden State Warriors @ Indiana Pacers"/>
    <s v="Golden State Warriors"/>
    <n v="116"/>
    <n v="109"/>
    <n v="0"/>
    <s v="Indiana Pacers"/>
    <n v="118"/>
    <n v="114"/>
    <n v="0"/>
    <n v="234"/>
    <n v="223"/>
    <n v="0"/>
    <n v="2"/>
    <n v="5"/>
    <n v="1"/>
    <n v="44"/>
    <s v="nov"/>
  </r>
  <r>
    <x v="11"/>
    <s v="Orlando Magic @ Washington Wizards"/>
    <s v="Orlando Magic"/>
    <n v="107"/>
    <n v="125"/>
    <n v="1"/>
    <s v="Washington Wizards"/>
    <n v="114"/>
    <n v="94"/>
    <n v="0"/>
    <n v="221"/>
    <n v="219"/>
    <n v="0"/>
    <n v="7"/>
    <n v="-31"/>
    <n v="0"/>
    <n v="44"/>
    <s v="nov"/>
  </r>
  <r>
    <x v="11"/>
    <s v="Houston Rockets @ Boston Celtics"/>
    <s v="Houston Rockets"/>
    <n v="105"/>
    <n v="128"/>
    <n v="1"/>
    <s v="Boston Celtics"/>
    <n v="114"/>
    <n v="101"/>
    <n v="0"/>
    <n v="219"/>
    <n v="229"/>
    <n v="1"/>
    <n v="9"/>
    <n v="-27"/>
    <n v="0"/>
    <n v="44"/>
    <s v="nov"/>
  </r>
  <r>
    <x v="11"/>
    <s v="Dallas Mavericks @ Detroit Pistons"/>
    <s v="Dallas Mavericks"/>
    <n v="104"/>
    <n v="110"/>
    <n v="1"/>
    <s v="Detroit Pistons"/>
    <n v="117"/>
    <n v="122"/>
    <n v="1"/>
    <n v="221"/>
    <n v="232"/>
    <n v="1"/>
    <n v="13"/>
    <n v="12"/>
    <n v="1"/>
    <n v="44"/>
    <s v="nov"/>
  </r>
  <r>
    <x v="12"/>
    <s v="New Orleans Pelicans @ Oklahoma City Thunder"/>
    <s v="New Orleans Pelicans"/>
    <n v="121"/>
    <n v="106"/>
    <n v="0"/>
    <s v="Oklahoma City Thunder"/>
    <n v="118"/>
    <n v="137"/>
    <n v="1"/>
    <n v="239"/>
    <n v="243"/>
    <n v="1"/>
    <n v="-3"/>
    <n v="31"/>
    <n v="0"/>
    <n v="44"/>
    <s v="nov"/>
  </r>
  <r>
    <x v="12"/>
    <s v="Philadelphia 76ers @ Brooklyn Nets"/>
    <s v="Philadelphia 76ers"/>
    <n v="113"/>
    <n v="129"/>
    <n v="1"/>
    <s v="Brooklyn Nets"/>
    <n v="108"/>
    <n v="105"/>
    <n v="0"/>
    <n v="221"/>
    <n v="234"/>
    <n v="1"/>
    <n v="-5"/>
    <n v="-24"/>
    <n v="1"/>
    <n v="44"/>
    <s v="nov"/>
  </r>
  <r>
    <x v="12"/>
    <s v="Utah Jazz @ Charlotte Hornets"/>
    <s v="Utah Jazz"/>
    <n v="104"/>
    <n v="103"/>
    <n v="0"/>
    <s v="Charlotte Hornets"/>
    <n v="107"/>
    <n v="126"/>
    <n v="1"/>
    <n v="211"/>
    <n v="229"/>
    <n v="1"/>
    <n v="3"/>
    <n v="23"/>
    <n v="1"/>
    <n v="44"/>
    <s v="nov"/>
  </r>
  <r>
    <x v="12"/>
    <s v="Atlanta Hawks @ Cleveland Cavaliers"/>
    <s v="Atlanta Hawks"/>
    <n v="117"/>
    <n v="109"/>
    <n v="0"/>
    <s v="Cleveland Cavaliers"/>
    <n v="127"/>
    <n v="117"/>
    <n v="0"/>
    <n v="244"/>
    <n v="226"/>
    <n v="0"/>
    <n v="10"/>
    <n v="8"/>
    <n v="1"/>
    <n v="44"/>
    <s v="nov"/>
  </r>
  <r>
    <x v="12"/>
    <s v="Memphis Grizzlies @ Toronto Raptors"/>
    <s v="Memphis Grizzlies"/>
    <n v="116"/>
    <n v="104"/>
    <n v="0"/>
    <s v="Toronto Raptors"/>
    <n v="111"/>
    <n v="117"/>
    <n v="1"/>
    <n v="227"/>
    <n v="221"/>
    <n v="0"/>
    <n v="-5"/>
    <n v="13"/>
    <n v="0"/>
    <n v="44"/>
    <s v="nov"/>
  </r>
  <r>
    <x v="12"/>
    <s v="Chicago Bulls @ New York Knicks"/>
    <s v="Chicago Bulls"/>
    <n v="112"/>
    <n v="116"/>
    <n v="1"/>
    <s v="New York Knicks"/>
    <n v="120"/>
    <n v="128"/>
    <n v="1"/>
    <n v="232"/>
    <n v="244"/>
    <n v="1"/>
    <n v="8"/>
    <n v="12"/>
    <n v="1"/>
    <n v="44"/>
    <s v="nov"/>
  </r>
  <r>
    <x v="12"/>
    <s v="San Antonio Spurs @ Phoenix Suns"/>
    <s v="San Antonio Spurs"/>
    <n v="116"/>
    <n v="118"/>
    <n v="1"/>
    <s v="Phoenix Suns"/>
    <n v="107"/>
    <n v="130"/>
    <n v="1"/>
    <n v="223"/>
    <n v="248"/>
    <n v="1"/>
    <n v="-9"/>
    <n v="12"/>
    <n v="0"/>
    <n v="44"/>
    <s v="nov"/>
  </r>
  <r>
    <x v="12"/>
    <s v="Miami Heat @ Los Angeles Lakers"/>
    <s v="Miami Heat"/>
    <n v="103"/>
    <n v="120"/>
    <n v="1"/>
    <s v="Los Angeles Lakers"/>
    <n v="111"/>
    <n v="130"/>
    <n v="1"/>
    <n v="214"/>
    <n v="250"/>
    <n v="1"/>
    <n v="8"/>
    <n v="10"/>
    <n v="1"/>
    <n v="44"/>
    <s v="nov"/>
  </r>
  <r>
    <x v="13"/>
    <s v="Minnesota Timberwolves @ Brooklyn Nets"/>
    <s v="Minnesota Timberwolves"/>
    <n v="123"/>
    <n v="125"/>
    <n v="1"/>
    <s v="Brooklyn Nets"/>
    <n v="115"/>
    <n v="109"/>
    <n v="0"/>
    <n v="238"/>
    <n v="234"/>
    <n v="0"/>
    <n v="-8"/>
    <n v="-16"/>
    <n v="1"/>
    <n v="45"/>
    <s v="nov"/>
  </r>
  <r>
    <x v="13"/>
    <s v="Milwaukee Bucks @ Indiana Pacers"/>
    <s v="Milwaukee Bucks"/>
    <n v="116"/>
    <n v="117"/>
    <n v="1"/>
    <s v="Indiana Pacers"/>
    <n v="114"/>
    <n v="115"/>
    <n v="1"/>
    <n v="230"/>
    <n v="232"/>
    <n v="1"/>
    <n v="-2"/>
    <n v="-2"/>
    <n v="1"/>
    <n v="45"/>
    <s v="nov"/>
  </r>
  <r>
    <x v="13"/>
    <s v="Utah Jazz @ Boston Celtics"/>
    <s v="Utah Jazz"/>
    <n v="95"/>
    <n v="105"/>
    <n v="1"/>
    <s v="Boston Celtics"/>
    <n v="108"/>
    <n v="103"/>
    <n v="0"/>
    <n v="203"/>
    <n v="208"/>
    <n v="1"/>
    <n v="13"/>
    <n v="-2"/>
    <n v="0"/>
    <n v="45"/>
    <s v="nov"/>
  </r>
  <r>
    <x v="13"/>
    <s v="Washington Wizards @ New York Knicks"/>
    <s v="Washington Wizards"/>
    <n v="115"/>
    <n v="102"/>
    <n v="0"/>
    <s v="New York Knicks"/>
    <n v="119"/>
    <n v="119"/>
    <n v="0"/>
    <n v="234"/>
    <n v="221"/>
    <n v="0"/>
    <n v="4"/>
    <n v="17"/>
    <n v="1"/>
    <n v="45"/>
    <s v="nov"/>
  </r>
  <r>
    <x v="13"/>
    <s v="Dallas Mavericks @ Houston Rockets"/>
    <s v="Dallas Mavericks"/>
    <n v="119"/>
    <n v="102"/>
    <n v="0"/>
    <s v="Houston Rockets"/>
    <n v="109"/>
    <n v="110"/>
    <n v="1"/>
    <n v="228"/>
    <n v="212"/>
    <n v="0"/>
    <n v="-10"/>
    <n v="8"/>
    <n v="0"/>
    <n v="45"/>
    <s v="nov"/>
  </r>
  <r>
    <x v="13"/>
    <s v="Detroit Pistons @ Memphis Grizzlies"/>
    <s v="Detroit Pistons"/>
    <n v="108"/>
    <n v="114"/>
    <n v="1"/>
    <s v="Memphis Grizzlies"/>
    <n v="120"/>
    <n v="106"/>
    <n v="0"/>
    <n v="228"/>
    <n v="220"/>
    <n v="0"/>
    <n v="12"/>
    <n v="-8"/>
    <n v="0"/>
    <n v="45"/>
    <s v="nov"/>
  </r>
  <r>
    <x v="13"/>
    <s v="Sacramento Kings @ Denver Nuggets"/>
    <s v="Sacramento Kings"/>
    <n v="115"/>
    <n v="124"/>
    <n v="1"/>
    <s v="Denver Nuggets"/>
    <n v="110"/>
    <n v="130"/>
    <n v="1"/>
    <n v="225"/>
    <n v="254"/>
    <n v="1"/>
    <n v="-5"/>
    <n v="6"/>
    <n v="0"/>
    <n v="45"/>
    <s v="nov"/>
  </r>
  <r>
    <x v="13"/>
    <s v="Los Angeles Lakers @ Portland Trail Blazers"/>
    <s v="Los Angeles Lakers"/>
    <n v="109"/>
    <n v="123"/>
    <n v="1"/>
    <s v="Portland Trail Blazers"/>
    <n v="114"/>
    <n v="115"/>
    <n v="1"/>
    <n v="223"/>
    <n v="238"/>
    <n v="1"/>
    <n v="5"/>
    <n v="-8"/>
    <n v="0"/>
    <n v="45"/>
    <s v="nov"/>
  </r>
  <r>
    <x v="13"/>
    <s v="Miami Heat @ LA Clippers"/>
    <s v="Miami Heat"/>
    <n v="114"/>
    <n v="120"/>
    <n v="1"/>
    <s v="LA Clippers"/>
    <n v="118"/>
    <n v="119"/>
    <n v="1"/>
    <n v="232"/>
    <n v="239"/>
    <n v="1"/>
    <n v="4"/>
    <n v="-1"/>
    <n v="0"/>
    <n v="45"/>
    <s v="nov"/>
  </r>
  <r>
    <x v="14"/>
    <s v="Milwaukee Bucks @ Toronto Raptors"/>
    <s v="Milwaukee Bucks"/>
    <n v="125"/>
    <n v="100"/>
    <n v="0"/>
    <s v="Toronto Raptors"/>
    <n v="118"/>
    <n v="128"/>
    <n v="1"/>
    <n v="243"/>
    <n v="228"/>
    <n v="0"/>
    <n v="-7"/>
    <n v="28"/>
    <n v="0"/>
    <n v="45"/>
    <s v="nov"/>
  </r>
  <r>
    <x v="14"/>
    <s v="Orlando Magic @ Atlanta Hawks"/>
    <s v="Orlando Magic"/>
    <n v="113"/>
    <n v="112"/>
    <n v="0"/>
    <s v="Atlanta Hawks"/>
    <n v="116"/>
    <n v="127"/>
    <n v="1"/>
    <n v="229"/>
    <n v="239"/>
    <n v="1"/>
    <n v="3"/>
    <n v="15"/>
    <n v="1"/>
    <n v="45"/>
    <s v="nov"/>
  </r>
  <r>
    <x v="14"/>
    <s v="Philadelphia 76ers @ Chicago Bulls"/>
    <s v="Philadelphia 76ers"/>
    <n v="112"/>
    <n v="111"/>
    <n v="0"/>
    <s v="Chicago Bulls"/>
    <n v="109"/>
    <n v="113"/>
    <n v="1"/>
    <n v="221"/>
    <n v="224"/>
    <n v="1"/>
    <n v="-3"/>
    <n v="2"/>
    <n v="0"/>
    <n v="45"/>
    <s v="nov"/>
  </r>
  <r>
    <x v="14"/>
    <s v="Charlotte Hornets @ New Orleans Pelicans"/>
    <s v="Charlotte Hornets"/>
    <n v="113"/>
    <n v="112"/>
    <n v="0"/>
    <s v="New Orleans Pelicans"/>
    <n v="120"/>
    <n v="116"/>
    <n v="0"/>
    <n v="233"/>
    <n v="228"/>
    <n v="0"/>
    <n v="7"/>
    <n v="4"/>
    <n v="1"/>
    <n v="45"/>
    <s v="nov"/>
  </r>
  <r>
    <x v="14"/>
    <s v="Phoenix Suns @ Golden State Warriors"/>
    <s v="Phoenix Suns"/>
    <n v="116"/>
    <n v="107"/>
    <n v="0"/>
    <s v="Golden State Warriors"/>
    <n v="108"/>
    <n v="118"/>
    <n v="1"/>
    <n v="224"/>
    <n v="225"/>
    <n v="1"/>
    <n v="-8"/>
    <n v="11"/>
    <n v="0"/>
    <n v="45"/>
    <s v="nov"/>
  </r>
  <r>
    <x v="14"/>
    <s v="Oklahoma City Thunder @ LA Clippers"/>
    <s v="Oklahoma City Thunder"/>
    <n v="108"/>
    <n v="126"/>
    <n v="1"/>
    <s v="LA Clippers"/>
    <n v="115"/>
    <n v="107"/>
    <n v="0"/>
    <n v="223"/>
    <n v="233"/>
    <n v="1"/>
    <n v="7"/>
    <n v="-19"/>
    <n v="0"/>
    <n v="45"/>
    <s v="nov"/>
  </r>
  <r>
    <x v="15"/>
    <s v="Philadelphia 76ers @ Cleveland Cavaliers"/>
    <s v="Philadelphia 76ers"/>
    <n v="124"/>
    <n v="121"/>
    <n v="0"/>
    <s v="Cleveland Cavaliers"/>
    <n v="118"/>
    <n v="132"/>
    <n v="1"/>
    <n v="242"/>
    <n v="253"/>
    <n v="1"/>
    <n v="-6"/>
    <n v="11"/>
    <n v="0"/>
    <n v="45"/>
    <s v="nov"/>
  </r>
  <r>
    <x v="15"/>
    <s v="Utah Jazz @ Detroit Pistons"/>
    <s v="Utah Jazz"/>
    <n v="115"/>
    <n v="103"/>
    <n v="0"/>
    <s v="Detroit Pistons"/>
    <n v="111"/>
    <n v="114"/>
    <n v="1"/>
    <n v="226"/>
    <n v="217"/>
    <n v="0"/>
    <n v="-4"/>
    <n v="11"/>
    <n v="0"/>
    <n v="45"/>
    <s v="nov"/>
  </r>
  <r>
    <x v="15"/>
    <s v="Brooklyn Nets @ Indiana Pacers"/>
    <s v="Brooklyn Nets"/>
    <n v="100"/>
    <n v="112"/>
    <n v="1"/>
    <s v="Indiana Pacers"/>
    <n v="112"/>
    <n v="103"/>
    <n v="0"/>
    <n v="212"/>
    <n v="215"/>
    <n v="1"/>
    <n v="12"/>
    <n v="-9"/>
    <n v="0"/>
    <n v="45"/>
    <s v="nov"/>
  </r>
  <r>
    <x v="15"/>
    <s v="Washington Wizards @ Boston Celtics"/>
    <s v="Washington Wizards"/>
    <n v="108"/>
    <n v="107"/>
    <n v="0"/>
    <s v="Boston Celtics"/>
    <n v="115"/>
    <n v="136"/>
    <n v="1"/>
    <n v="223"/>
    <n v="243"/>
    <n v="1"/>
    <n v="7"/>
    <n v="29"/>
    <n v="1"/>
    <n v="45"/>
    <s v="nov"/>
  </r>
  <r>
    <x v="15"/>
    <s v="Minnesota Timberwolves @ New York Knicks"/>
    <s v="Minnesota Timberwolves"/>
    <n v="117"/>
    <n v="114"/>
    <n v="0"/>
    <s v="New York Knicks"/>
    <n v="109"/>
    <n v="137"/>
    <n v="1"/>
    <n v="226"/>
    <n v="251"/>
    <n v="1"/>
    <n v="-8"/>
    <n v="23"/>
    <n v="0"/>
    <n v="45"/>
    <s v="nov"/>
  </r>
  <r>
    <x v="15"/>
    <s v="Houston Rockets @ Memphis Grizzlies"/>
    <s v="Houston Rockets"/>
    <n v="109"/>
    <n v="124"/>
    <n v="1"/>
    <s v="Memphis Grizzlies"/>
    <n v="120"/>
    <n v="109"/>
    <n v="0"/>
    <n v="229"/>
    <n v="233"/>
    <n v="1"/>
    <n v="11"/>
    <n v="-15"/>
    <n v="0"/>
    <n v="45"/>
    <s v="nov"/>
  </r>
  <r>
    <x v="15"/>
    <s v="New Orleans Pelicans @ Dallas Mavericks"/>
    <s v="New Orleans Pelicans"/>
    <n v="117"/>
    <n v="101"/>
    <n v="0"/>
    <s v="Dallas Mavericks"/>
    <n v="106"/>
    <n v="99"/>
    <n v="0"/>
    <n v="223"/>
    <n v="200"/>
    <n v="0"/>
    <n v="-11"/>
    <n v="-2"/>
    <n v="1"/>
    <n v="45"/>
    <s v="nov"/>
  </r>
  <r>
    <x v="15"/>
    <s v="Miami Heat @ Denver Nuggets"/>
    <s v="Miami Heat"/>
    <n v="104"/>
    <n v="112"/>
    <n v="1"/>
    <s v="Denver Nuggets"/>
    <n v="112"/>
    <n v="122"/>
    <n v="1"/>
    <n v="216"/>
    <n v="234"/>
    <n v="1"/>
    <n v="8"/>
    <n v="10"/>
    <n v="1"/>
    <n v="45"/>
    <s v="nov"/>
  </r>
  <r>
    <x v="15"/>
    <s v="San Antonio Spurs @ Los Angeles Lakers"/>
    <s v="San Antonio Spurs"/>
    <n v="107"/>
    <n v="116"/>
    <n v="1"/>
    <s v="Los Angeles Lakers"/>
    <n v="113"/>
    <n v="118"/>
    <n v="1"/>
    <n v="220"/>
    <n v="234"/>
    <n v="1"/>
    <n v="6"/>
    <n v="2"/>
    <n v="1"/>
    <n v="45"/>
    <s v="nov"/>
  </r>
  <r>
    <x v="15"/>
    <s v="Oklahoma City Thunder @ Portland Trail Blazers"/>
    <s v="Oklahoma City Thunder"/>
    <n v="114"/>
    <n v="119"/>
    <n v="1"/>
    <s v="Portland Trail Blazers"/>
    <n v="117"/>
    <n v="121"/>
    <n v="1"/>
    <n v="231"/>
    <n v="240"/>
    <n v="1"/>
    <n v="3"/>
    <n v="2"/>
    <n v="1"/>
    <n v="45"/>
    <s v="nov"/>
  </r>
  <r>
    <x v="15"/>
    <s v="Golden State Warriors @ Sacramento Kings"/>
    <s v="Golden State Warriors"/>
    <n v="117"/>
    <n v="116"/>
    <n v="0"/>
    <s v="Sacramento Kings"/>
    <n v="122"/>
    <n v="121"/>
    <n v="0"/>
    <n v="239"/>
    <n v="237"/>
    <n v="0"/>
    <n v="5"/>
    <n v="5"/>
    <n v="1"/>
    <n v="45"/>
    <s v="nov"/>
  </r>
  <r>
    <x v="16"/>
    <s v="LA Clippers @ Phoenix Suns"/>
    <s v="LA Clippers"/>
    <n v="126"/>
    <n v="102"/>
    <n v="0"/>
    <s v="Phoenix Suns"/>
    <n v="114"/>
    <n v="115"/>
    <n v="1"/>
    <n v="240"/>
    <n v="217"/>
    <n v="0"/>
    <n v="-12"/>
    <n v="13"/>
    <n v="0"/>
    <n v="45"/>
    <s v="nov"/>
  </r>
  <r>
    <x v="17"/>
    <s v="Boston Celtics @ Orlando Magic"/>
    <s v="Boston Celtics"/>
    <n v="119"/>
    <n v="110"/>
    <n v="0"/>
    <s v="Orlando Magic"/>
    <n v="107"/>
    <n v="123"/>
    <n v="1"/>
    <n v="226"/>
    <n v="233"/>
    <n v="1"/>
    <n v="-12"/>
    <n v="13"/>
    <n v="0"/>
    <n v="45"/>
    <s v="nov"/>
  </r>
  <r>
    <x v="17"/>
    <s v="Cleveland Cavaliers @ Washington Wizards"/>
    <s v="Cleveland Cavaliers"/>
    <n v="114"/>
    <n v="148"/>
    <n v="1"/>
    <s v="Washington Wizards"/>
    <n v="112"/>
    <n v="114"/>
    <n v="1"/>
    <n v="226"/>
    <n v="262"/>
    <n v="1"/>
    <n v="-2"/>
    <n v="-34"/>
    <n v="1"/>
    <n v="45"/>
    <s v="nov"/>
  </r>
  <r>
    <x v="17"/>
    <s v="Toronto Raptors @ Atlanta Hawks"/>
    <s v="Toronto Raptors"/>
    <n v="109"/>
    <n v="109"/>
    <n v="0"/>
    <s v="Atlanta Hawks"/>
    <n v="117"/>
    <n v="97"/>
    <n v="0"/>
    <n v="226"/>
    <n v="206"/>
    <n v="0"/>
    <n v="8"/>
    <n v="-12"/>
    <n v="0"/>
    <n v="45"/>
    <s v="nov"/>
  </r>
  <r>
    <x v="17"/>
    <s v="Detroit Pistons @ Brooklyn Nets"/>
    <s v="Detroit Pistons"/>
    <n v="116"/>
    <n v="125"/>
    <n v="1"/>
    <s v="Brooklyn Nets"/>
    <n v="121"/>
    <n v="107"/>
    <n v="0"/>
    <n v="237"/>
    <n v="232"/>
    <n v="0"/>
    <n v="5"/>
    <n v="-18"/>
    <n v="0"/>
    <n v="45"/>
    <s v="nov"/>
  </r>
  <r>
    <x v="17"/>
    <s v="Houston Rockets @ San Antonio Spurs"/>
    <s v="Houston Rockets"/>
    <n v="117"/>
    <n v="110"/>
    <n v="0"/>
    <s v="San Antonio Spurs"/>
    <n v="108"/>
    <n v="121"/>
    <n v="1"/>
    <n v="225"/>
    <n v="231"/>
    <n v="1"/>
    <n v="-9"/>
    <n v="11"/>
    <n v="0"/>
    <n v="45"/>
    <s v="nov"/>
  </r>
  <r>
    <x v="17"/>
    <s v="Charlotte Hornets @ Miami Heat"/>
    <s v="Charlotte Hornets"/>
    <n v="107"/>
    <n v="108"/>
    <n v="1"/>
    <s v="Miami Heat"/>
    <n v="113"/>
    <n v="126"/>
    <n v="1"/>
    <n v="220"/>
    <n v="234"/>
    <n v="1"/>
    <n v="6"/>
    <n v="18"/>
    <n v="1"/>
    <n v="45"/>
    <s v="nov"/>
  </r>
  <r>
    <x v="17"/>
    <s v="Dallas Mavericks @ Memphis Grizzlies"/>
    <s v="Dallas Mavericks"/>
    <n v="102"/>
    <n v="104"/>
    <n v="1"/>
    <s v="Memphis Grizzlies"/>
    <n v="106"/>
    <n v="118"/>
    <n v="1"/>
    <n v="208"/>
    <n v="222"/>
    <n v="1"/>
    <n v="4"/>
    <n v="14"/>
    <n v="1"/>
    <n v="45"/>
    <s v="nov"/>
  </r>
  <r>
    <x v="17"/>
    <s v="Chicago Bulls @ Milwaukee Bucks"/>
    <s v="Chicago Bulls"/>
    <n v="113"/>
    <n v="110"/>
    <n v="0"/>
    <s v="Milwaukee Bucks"/>
    <n v="117"/>
    <n v="126"/>
    <n v="1"/>
    <n v="230"/>
    <n v="236"/>
    <n v="1"/>
    <n v="4"/>
    <n v="16"/>
    <n v="1"/>
    <n v="45"/>
    <s v="nov"/>
  </r>
  <r>
    <x v="17"/>
    <s v="Utah Jazz @ Minnesota Timberwolves"/>
    <s v="Utah Jazz"/>
    <n v="116"/>
    <n v="97"/>
    <n v="0"/>
    <s v="Minnesota Timberwolves"/>
    <n v="118"/>
    <n v="137"/>
    <n v="1"/>
    <n v="234"/>
    <n v="234"/>
    <n v="0"/>
    <n v="2"/>
    <n v="40"/>
    <n v="1"/>
    <n v="45"/>
    <s v="nov"/>
  </r>
  <r>
    <x v="17"/>
    <s v="Golden State Warriors @ Denver Nuggets"/>
    <s v="Golden State Warriors"/>
    <n v="107"/>
    <n v="104"/>
    <n v="0"/>
    <s v="Denver Nuggets"/>
    <n v="105"/>
    <n v="129"/>
    <n v="1"/>
    <n v="212"/>
    <n v="233"/>
    <n v="1"/>
    <n v="-2"/>
    <n v="25"/>
    <n v="0"/>
    <n v="45"/>
    <s v="nov"/>
  </r>
  <r>
    <x v="17"/>
    <s v="Oklahoma City Thunder @ Sacramento Kings"/>
    <s v="Oklahoma City Thunder"/>
    <n v="121"/>
    <n v="132"/>
    <n v="1"/>
    <s v="Sacramento Kings"/>
    <n v="106"/>
    <n v="101"/>
    <n v="0"/>
    <n v="227"/>
    <n v="233"/>
    <n v="1"/>
    <n v="-15"/>
    <n v="-31"/>
    <n v="1"/>
    <n v="45"/>
    <s v="nov"/>
  </r>
  <r>
    <x v="18"/>
    <s v="Dallas Mavericks @ Washington Wizards"/>
    <s v="Dallas Mavericks"/>
    <n v="123"/>
    <n v="111"/>
    <n v="0"/>
    <s v="Washington Wizards"/>
    <n v="118"/>
    <n v="105"/>
    <n v="0"/>
    <n v="241"/>
    <n v="216"/>
    <n v="0"/>
    <n v="-5"/>
    <n v="-6"/>
    <n v="1"/>
    <n v="45"/>
    <s v="nov"/>
  </r>
  <r>
    <x v="18"/>
    <s v="Toronto Raptors @ Philadelphia 76ers"/>
    <s v="Toronto Raptors"/>
    <n v="112"/>
    <n v="120"/>
    <n v="1"/>
    <s v="Philadelphia 76ers"/>
    <n v="118"/>
    <n v="130"/>
    <n v="1"/>
    <n v="230"/>
    <n v="250"/>
    <n v="1"/>
    <n v="6"/>
    <n v="10"/>
    <n v="1"/>
    <n v="45"/>
    <s v="nov"/>
  </r>
  <r>
    <x v="18"/>
    <s v="Los Angeles Lakers @ Atlanta Hawks"/>
    <s v="Los Angeles Lakers"/>
    <n v="114"/>
    <n v="102"/>
    <n v="0"/>
    <s v="Atlanta Hawks"/>
    <n v="112"/>
    <n v="122"/>
    <n v="1"/>
    <n v="226"/>
    <n v="224"/>
    <n v="0"/>
    <n v="-2"/>
    <n v="20"/>
    <n v="0"/>
    <n v="45"/>
    <s v="nov"/>
  </r>
  <r>
    <x v="18"/>
    <s v="Chicago Bulls @ Cleveland Cavaliers"/>
    <s v="Chicago Bulls"/>
    <n v="118"/>
    <n v="122"/>
    <n v="1"/>
    <s v="Cleveland Cavaliers"/>
    <n v="125"/>
    <n v="128"/>
    <n v="1"/>
    <n v="243"/>
    <n v="250"/>
    <n v="1"/>
    <n v="7"/>
    <n v="6"/>
    <n v="1"/>
    <n v="45"/>
    <s v="nov"/>
  </r>
  <r>
    <x v="18"/>
    <s v="Portland Trail Blazers @ Miami Heat"/>
    <s v="Portland Trail Blazers"/>
    <n v="114"/>
    <n v="131"/>
    <n v="1"/>
    <s v="Miami Heat"/>
    <n v="110"/>
    <n v="136"/>
    <n v="1"/>
    <n v="224"/>
    <n v="267"/>
    <n v="1"/>
    <n v="-4"/>
    <n v="5"/>
    <n v="0"/>
    <n v="45"/>
    <s v="nov"/>
  </r>
  <r>
    <x v="18"/>
    <s v="New Orleans Pelicans @ San Antonio Spurs"/>
    <s v="New Orleans Pelicans"/>
    <n v="110"/>
    <n v="119"/>
    <n v="1"/>
    <s v="San Antonio Spurs"/>
    <n v="115"/>
    <n v="126"/>
    <n v="1"/>
    <n v="225"/>
    <n v="245"/>
    <n v="1"/>
    <n v="5"/>
    <n v="7"/>
    <n v="1"/>
    <n v="45"/>
    <s v="nov"/>
  </r>
  <r>
    <x v="18"/>
    <s v="Indiana Pacers @ Denver Nuggets"/>
    <s v="Indiana Pacers"/>
    <n v="112"/>
    <n v="100"/>
    <n v="0"/>
    <s v="Denver Nuggets"/>
    <n v="115"/>
    <n v="117"/>
    <n v="1"/>
    <n v="227"/>
    <n v="217"/>
    <n v="0"/>
    <n v="3"/>
    <n v="17"/>
    <n v="1"/>
    <n v="45"/>
    <s v="nov"/>
  </r>
  <r>
    <x v="18"/>
    <s v="Phoenix Suns @ LA Clippers"/>
    <s v="Phoenix Suns"/>
    <n v="103"/>
    <n v="114"/>
    <n v="1"/>
    <s v="LA Clippers"/>
    <n v="112"/>
    <n v="103"/>
    <n v="0"/>
    <n v="215"/>
    <n v="217"/>
    <n v="1"/>
    <n v="9"/>
    <n v="-11"/>
    <n v="0"/>
    <n v="45"/>
    <s v="nov"/>
  </r>
  <r>
    <x v="19"/>
    <s v="Houston Rockets @ Milwaukee Bucks"/>
    <s v="Houston Rockets"/>
    <n v="123"/>
    <n v="122"/>
    <n v="0"/>
    <s v="Milwaukee Bucks"/>
    <n v="117"/>
    <n v="115"/>
    <n v="0"/>
    <n v="240"/>
    <n v="237"/>
    <n v="0"/>
    <n v="-6"/>
    <n v="-7"/>
    <n v="1"/>
    <n v="45"/>
    <s v="nov"/>
  </r>
  <r>
    <x v="19"/>
    <s v="Brooklyn Nets @ New York Knicks"/>
    <s v="Brooklyn Nets"/>
    <n v="105"/>
    <n v="98"/>
    <n v="0"/>
    <s v="New York Knicks"/>
    <n v="115"/>
    <n v="134"/>
    <n v="1"/>
    <n v="220"/>
    <n v="232"/>
    <n v="1"/>
    <n v="10"/>
    <n v="36"/>
    <n v="1"/>
    <n v="45"/>
    <s v="nov"/>
  </r>
  <r>
    <x v="19"/>
    <s v="Boston Celtics @ Orlando Magic"/>
    <s v="Boston Celtics"/>
    <n v="96"/>
    <n v="111"/>
    <n v="1"/>
    <s v="Orlando Magic"/>
    <n v="114"/>
    <n v="107"/>
    <n v="0"/>
    <n v="210"/>
    <n v="218"/>
    <n v="1"/>
    <n v="18"/>
    <n v="-4"/>
    <n v="0"/>
    <n v="45"/>
    <s v="nov"/>
  </r>
  <r>
    <x v="19"/>
    <s v="Oklahoma City Thunder @ Memphis Grizzlies"/>
    <s v="Oklahoma City Thunder"/>
    <n v="117"/>
    <n v="114"/>
    <n v="0"/>
    <s v="Memphis Grizzlies"/>
    <n v="121"/>
    <n v="100"/>
    <n v="0"/>
    <n v="238"/>
    <n v="214"/>
    <n v="0"/>
    <n v="4"/>
    <n v="-14"/>
    <n v="0"/>
    <n v="45"/>
    <s v="nov"/>
  </r>
  <r>
    <x v="19"/>
    <s v="Detroit Pistons @ Philadelphia 76ers"/>
    <s v="Detroit Pistons"/>
    <n v="116"/>
    <n v="111"/>
    <n v="0"/>
    <s v="Philadelphia 76ers"/>
    <n v="110"/>
    <n v="108"/>
    <n v="0"/>
    <n v="226"/>
    <n v="219"/>
    <n v="0"/>
    <n v="-6"/>
    <n v="-3"/>
    <n v="1"/>
    <n v="45"/>
    <s v="nov"/>
  </r>
  <r>
    <x v="19"/>
    <s v="Indiana Pacers @ Golden State Warriors"/>
    <s v="Indiana Pacers"/>
    <n v="108"/>
    <n v="83"/>
    <n v="0"/>
    <s v="Golden State Warriors"/>
    <n v="118"/>
    <n v="114"/>
    <n v="0"/>
    <n v="226"/>
    <n v="197"/>
    <n v="0"/>
    <n v="10"/>
    <n v="31"/>
    <n v="1"/>
    <n v="45"/>
    <s v="nov"/>
  </r>
  <r>
    <x v="19"/>
    <s v="Minnesota Timberwolves @ Sacramento Kings"/>
    <s v="Minnesota Timberwolves"/>
    <n v="117"/>
    <n v="144"/>
    <n v="1"/>
    <s v="Sacramento Kings"/>
    <n v="110"/>
    <n v="117"/>
    <n v="1"/>
    <n v="227"/>
    <n v="261"/>
    <n v="1"/>
    <n v="-7"/>
    <n v="-27"/>
    <n v="1"/>
    <n v="45"/>
    <s v="nov"/>
  </r>
  <r>
    <x v="20"/>
    <s v="Los Angeles Lakers @ Charlotte Hornets"/>
    <s v="Los Angeles Lakers"/>
    <n v="128"/>
    <n v="121"/>
    <n v="0"/>
    <s v="Charlotte Hornets"/>
    <n v="116"/>
    <n v="111"/>
    <n v="0"/>
    <n v="244"/>
    <n v="232"/>
    <n v="0"/>
    <n v="-12"/>
    <n v="-10"/>
    <n v="1"/>
    <n v="46"/>
    <s v="nov"/>
  </r>
  <r>
    <x v="20"/>
    <s v="Washington Wizards @ Detroit Pistons"/>
    <s v="Washington Wizards"/>
    <n v="115"/>
    <n v="135"/>
    <n v="1"/>
    <s v="Detroit Pistons"/>
    <n v="111"/>
    <n v="137"/>
    <n v="1"/>
    <n v="226"/>
    <n v="272"/>
    <n v="1"/>
    <n v="-4"/>
    <n v="2"/>
    <n v="0"/>
    <n v="46"/>
    <s v="nov"/>
  </r>
  <r>
    <x v="20"/>
    <s v="Portland Trail Blazers @ Orlando Magic"/>
    <s v="Portland Trail Blazers"/>
    <n v="97"/>
    <n v="112"/>
    <n v="1"/>
    <s v="Orlando Magic"/>
    <n v="106"/>
    <n v="115"/>
    <n v="1"/>
    <n v="203"/>
    <n v="227"/>
    <n v="1"/>
    <n v="9"/>
    <n v="3"/>
    <n v="1"/>
    <n v="46"/>
    <s v="nov"/>
  </r>
  <r>
    <x v="20"/>
    <s v="Cleveland Cavaliers @ Miami Heat"/>
    <s v="Cleveland Cavaliers"/>
    <n v="113"/>
    <n v="138"/>
    <n v="1"/>
    <s v="Miami Heat"/>
    <n v="119"/>
    <n v="140"/>
    <n v="1"/>
    <n v="232"/>
    <n v="278"/>
    <n v="1"/>
    <n v="6"/>
    <n v="2"/>
    <n v="1"/>
    <n v="46"/>
    <s v="nov"/>
  </r>
  <r>
    <x v="20"/>
    <s v="San Antonio Spurs @ Chicago Bulls"/>
    <s v="San Antonio Spurs"/>
    <n v="121"/>
    <n v="121"/>
    <n v="0"/>
    <s v="Chicago Bulls"/>
    <n v="109"/>
    <n v="117"/>
    <n v="1"/>
    <n v="230"/>
    <n v="238"/>
    <n v="1"/>
    <n v="-12"/>
    <n v="-4"/>
    <n v="1"/>
    <n v="46"/>
    <s v="nov"/>
  </r>
  <r>
    <x v="20"/>
    <s v="Milwaukee Bucks @ Dallas Mavericks"/>
    <s v="Milwaukee Bucks"/>
    <n v="114"/>
    <n v="116"/>
    <n v="1"/>
    <s v="Dallas Mavericks"/>
    <n v="117"/>
    <n v="114"/>
    <n v="0"/>
    <n v="231"/>
    <n v="230"/>
    <n v="0"/>
    <n v="3"/>
    <n v="-2"/>
    <n v="0"/>
    <n v="46"/>
    <s v="nov"/>
  </r>
  <r>
    <x v="20"/>
    <s v="New Orleans Pelicans @ Phoenix Suns"/>
    <s v="New Orleans Pelicans"/>
    <n v="118"/>
    <n v="98"/>
    <n v="0"/>
    <s v="Phoenix Suns"/>
    <n v="108"/>
    <n v="121"/>
    <n v="1"/>
    <n v="226"/>
    <n v="219"/>
    <n v="0"/>
    <n v="-10"/>
    <n v="23"/>
    <n v="0"/>
    <n v="46"/>
    <s v="nov"/>
  </r>
  <r>
    <x v="20"/>
    <s v="Minnesota Timberwolves @ Utah Jazz"/>
    <s v="Minnesota Timberwolves"/>
    <n v="106"/>
    <n v="120"/>
    <n v="1"/>
    <s v="Utah Jazz"/>
    <n v="111"/>
    <n v="113"/>
    <n v="1"/>
    <n v="217"/>
    <n v="233"/>
    <n v="1"/>
    <n v="5"/>
    <n v="-7"/>
    <n v="0"/>
    <n v="46"/>
    <s v="nov"/>
  </r>
  <r>
    <x v="20"/>
    <s v="Atlanta Hawks @ LA Clippers"/>
    <s v="Atlanta Hawks"/>
    <n v="110"/>
    <n v="105"/>
    <n v="0"/>
    <s v="LA Clippers"/>
    <n v="117"/>
    <n v="102"/>
    <n v="0"/>
    <n v="227"/>
    <n v="207"/>
    <n v="0"/>
    <n v="7"/>
    <n v="-3"/>
    <n v="0"/>
    <n v="46"/>
    <s v="nov"/>
  </r>
  <r>
    <x v="21"/>
    <s v="Toronto Raptors @ Brooklyn Nets"/>
    <s v="Toronto Raptors"/>
    <n v="128"/>
    <n v="119"/>
    <n v="0"/>
    <s v="Brooklyn Nets"/>
    <n v="116"/>
    <n v="109"/>
    <n v="0"/>
    <n v="244"/>
    <n v="228"/>
    <n v="0"/>
    <n v="-12"/>
    <n v="-10"/>
    <n v="1"/>
    <n v="46"/>
    <s v="nov"/>
  </r>
  <r>
    <x v="21"/>
    <s v="Memphis Grizzlies @ New York Knicks"/>
    <s v="Memphis Grizzlies"/>
    <n v="112"/>
    <n v="120"/>
    <n v="1"/>
    <s v="New York Knicks"/>
    <n v="120"/>
    <n v="133"/>
    <n v="1"/>
    <n v="232"/>
    <n v="253"/>
    <n v="1"/>
    <n v="8"/>
    <n v="13"/>
    <n v="1"/>
    <n v="46"/>
    <s v="nov"/>
  </r>
  <r>
    <x v="21"/>
    <s v="Boston Celtics @ Philadelphia 76ers"/>
    <s v="Boston Celtics"/>
    <n v="107"/>
    <n v="100"/>
    <n v="0"/>
    <s v="Philadelphia 76ers"/>
    <n v="105"/>
    <n v="102"/>
    <n v="0"/>
    <n v="212"/>
    <n v="202"/>
    <n v="0"/>
    <n v="-2"/>
    <n v="2"/>
    <n v="0"/>
    <n v="46"/>
    <s v="nov"/>
  </r>
  <r>
    <x v="21"/>
    <s v="Golden State Warriors @ Oklahoma City Thunder"/>
    <s v="Golden State Warriors"/>
    <n v="113"/>
    <n v="102"/>
    <n v="0"/>
    <s v="Oklahoma City Thunder"/>
    <n v="121"/>
    <n v="126"/>
    <n v="1"/>
    <n v="234"/>
    <n v="228"/>
    <n v="0"/>
    <n v="8"/>
    <n v="24"/>
    <n v="1"/>
    <n v="46"/>
    <s v="nov"/>
  </r>
  <r>
    <x v="21"/>
    <s v="Indiana Pacers @ Utah Jazz"/>
    <s v="Indiana Pacers"/>
    <n v="115"/>
    <n v="128"/>
    <n v="1"/>
    <s v="Utah Jazz"/>
    <n v="111"/>
    <n v="152"/>
    <n v="1"/>
    <n v="226"/>
    <n v="280"/>
    <n v="1"/>
    <n v="-4"/>
    <n v="24"/>
    <n v="0"/>
    <n v="46"/>
    <s v="nov"/>
  </r>
  <r>
    <x v="21"/>
    <s v="Denver Nuggets @ Sacramento Kings"/>
    <s v="Denver Nuggets"/>
    <n v="112"/>
    <n v="122"/>
    <n v="1"/>
    <s v="Sacramento Kings"/>
    <n v="115"/>
    <n v="108"/>
    <n v="0"/>
    <n v="227"/>
    <n v="230"/>
    <n v="1"/>
    <n v="3"/>
    <n v="-14"/>
    <n v="0"/>
    <n v="46"/>
    <s v="nov"/>
  </r>
  <r>
    <x v="22"/>
    <s v="Milwaukee Bucks @ Charlotte Hornets"/>
    <s v="Milwaukee Bucks"/>
    <n v="130"/>
    <n v="100"/>
    <n v="0"/>
    <s v="Charlotte Hornets"/>
    <n v="116"/>
    <n v="111"/>
    <n v="0"/>
    <n v="246"/>
    <n v="211"/>
    <n v="0"/>
    <n v="-14"/>
    <n v="11"/>
    <n v="0"/>
    <n v="46"/>
    <s v="nov"/>
  </r>
  <r>
    <x v="22"/>
    <s v="Chicago Bulls @ Detroit Pistons"/>
    <s v="Chicago Bulls"/>
    <n v="116"/>
    <n v="113"/>
    <n v="0"/>
    <s v="Detroit Pistons"/>
    <n v="119"/>
    <n v="124"/>
    <n v="1"/>
    <n v="235"/>
    <n v="237"/>
    <n v="1"/>
    <n v="3"/>
    <n v="11"/>
    <n v="1"/>
    <n v="46"/>
    <s v="nov"/>
  </r>
  <r>
    <x v="22"/>
    <s v="Orlando Magic @ New York Knicks"/>
    <s v="Orlando Magic"/>
    <n v="105"/>
    <n v="124"/>
    <n v="1"/>
    <s v="New York Knicks"/>
    <n v="109"/>
    <n v="107"/>
    <n v="0"/>
    <n v="214"/>
    <n v="231"/>
    <n v="1"/>
    <n v="4"/>
    <n v="-17"/>
    <n v="0"/>
    <n v="46"/>
    <s v="nov"/>
  </r>
  <r>
    <x v="22"/>
    <s v="Memphis Grizzlies @ Boston Celtics"/>
    <s v="Memphis Grizzlies"/>
    <n v="110"/>
    <n v="95"/>
    <n v="0"/>
    <s v="Boston Celtics"/>
    <n v="126"/>
    <n v="131"/>
    <n v="1"/>
    <n v="236"/>
    <n v="226"/>
    <n v="0"/>
    <n v="16"/>
    <n v="36"/>
    <n v="1"/>
    <n v="46"/>
    <s v="nov"/>
  </r>
  <r>
    <x v="22"/>
    <s v="Cleveland Cavaliers @ Miami Heat"/>
    <s v="Cleveland Cavaliers"/>
    <n v="105"/>
    <n v="130"/>
    <n v="1"/>
    <s v="Miami Heat"/>
    <n v="111"/>
    <n v="116"/>
    <n v="1"/>
    <n v="216"/>
    <n v="246"/>
    <n v="1"/>
    <n v="6"/>
    <n v="-14"/>
    <n v="0"/>
    <n v="46"/>
    <s v="nov"/>
  </r>
  <r>
    <x v="22"/>
    <s v="Washington Wizards @ Houston Rockets"/>
    <s v="Washington Wizards"/>
    <n v="110"/>
    <n v="112"/>
    <n v="1"/>
    <s v="Houston Rockets"/>
    <n v="113"/>
    <n v="135"/>
    <n v="1"/>
    <n v="223"/>
    <n v="247"/>
    <n v="1"/>
    <n v="3"/>
    <n v="23"/>
    <n v="1"/>
    <n v="46"/>
    <s v="nov"/>
  </r>
  <r>
    <x v="22"/>
    <s v="Portland Trail Blazers @ New Orleans Pelicans"/>
    <s v="Portland Trail Blazers"/>
    <n v="112"/>
    <n v="125"/>
    <n v="1"/>
    <s v="New Orleans Pelicans"/>
    <n v="116"/>
    <n v="117"/>
    <n v="1"/>
    <n v="228"/>
    <n v="242"/>
    <n v="1"/>
    <n v="4"/>
    <n v="-8"/>
    <n v="0"/>
    <n v="46"/>
    <s v="nov"/>
  </r>
  <r>
    <x v="22"/>
    <s v="Golden State Warriors @ San Antonio Spurs"/>
    <s v="Golden State Warriors"/>
    <n v="105"/>
    <n v="125"/>
    <n v="1"/>
    <s v="San Antonio Spurs"/>
    <n v="115"/>
    <n v="120"/>
    <n v="1"/>
    <n v="220"/>
    <n v="245"/>
    <n v="1"/>
    <n v="10"/>
    <n v="-5"/>
    <n v="0"/>
    <n v="46"/>
    <s v="nov"/>
  </r>
  <r>
    <x v="22"/>
    <s v="Phoenix Suns @ Dallas Mavericks"/>
    <s v="Phoenix Suns"/>
    <n v="126"/>
    <n v="123"/>
    <n v="0"/>
    <s v="Dallas Mavericks"/>
    <n v="118"/>
    <n v="114"/>
    <n v="0"/>
    <n v="244"/>
    <n v="237"/>
    <n v="0"/>
    <n v="-8"/>
    <n v="-9"/>
    <n v="1"/>
    <n v="46"/>
    <s v="nov"/>
  </r>
  <r>
    <x v="22"/>
    <s v="Los Angeles Lakers @ Oklahoma City Thunder"/>
    <s v="Los Angeles Lakers"/>
    <n v="110"/>
    <n v="92"/>
    <n v="0"/>
    <s v="Oklahoma City Thunder"/>
    <n v="124"/>
    <n v="121"/>
    <n v="0"/>
    <n v="234"/>
    <n v="213"/>
    <n v="0"/>
    <n v="14"/>
    <n v="29"/>
    <n v="1"/>
    <n v="46"/>
    <s v="nov"/>
  </r>
  <r>
    <x v="22"/>
    <s v="Atlanta Hawks @ Sacramento Kings"/>
    <s v="Atlanta Hawks"/>
    <n v="113"/>
    <n v="133"/>
    <n v="1"/>
    <s v="Sacramento Kings"/>
    <n v="124"/>
    <n v="100"/>
    <n v="0"/>
    <n v="237"/>
    <n v="233"/>
    <n v="0"/>
    <n v="11"/>
    <n v="-33"/>
    <n v="0"/>
    <n v="46"/>
    <s v="nov"/>
  </r>
  <r>
    <x v="22"/>
    <s v="Denver Nuggets @ LA Clippers"/>
    <s v="Denver Nuggets"/>
    <n v="114"/>
    <n v="130"/>
    <n v="1"/>
    <s v="LA Clippers"/>
    <n v="104"/>
    <n v="116"/>
    <n v="1"/>
    <n v="218"/>
    <n v="246"/>
    <n v="1"/>
    <n v="-10"/>
    <n v="-14"/>
    <n v="1"/>
    <n v="46"/>
    <s v="nov"/>
  </r>
  <r>
    <x v="23"/>
    <s v="Toronto Raptors @ Cleveland Cavaliers"/>
    <s v="Toronto Raptors"/>
    <n v="128"/>
    <n v="126"/>
    <n v="0"/>
    <s v="Cleveland Cavaliers"/>
    <n v="123"/>
    <n v="113"/>
    <n v="0"/>
    <n v="251"/>
    <n v="239"/>
    <n v="0"/>
    <n v="-5"/>
    <n v="-13"/>
    <n v="1"/>
    <n v="46"/>
    <s v="nov"/>
  </r>
  <r>
    <x v="23"/>
    <s v="Indiana Pacers @ Phoenix Suns"/>
    <s v="Indiana Pacers"/>
    <n v="112"/>
    <n v="98"/>
    <n v="0"/>
    <s v="Phoenix Suns"/>
    <n v="118"/>
    <n v="133"/>
    <n v="1"/>
    <n v="230"/>
    <n v="231"/>
    <n v="1"/>
    <n v="6"/>
    <n v="35"/>
    <n v="1"/>
    <n v="46"/>
    <s v="nov"/>
  </r>
  <r>
    <x v="23"/>
    <s v="Atlanta Hawks @ Utah Jazz"/>
    <s v="Atlanta Hawks"/>
    <n v="111"/>
    <n v="132"/>
    <n v="1"/>
    <s v="Utah Jazz"/>
    <n v="117"/>
    <n v="122"/>
    <n v="1"/>
    <n v="228"/>
    <n v="254"/>
    <n v="1"/>
    <n v="6"/>
    <n v="-10"/>
    <n v="0"/>
    <n v="46"/>
    <s v="nov"/>
  </r>
  <r>
    <x v="24"/>
    <s v="Miami Heat @ New York Knicks"/>
    <s v="Miami Heat"/>
    <n v="125"/>
    <n v="132"/>
    <n v="1"/>
    <s v="New York Knicks"/>
    <n v="118"/>
    <n v="140"/>
    <n v="1"/>
    <n v="243"/>
    <n v="272"/>
    <n v="1"/>
    <n v="-7"/>
    <n v="8"/>
    <n v="0"/>
    <n v="46"/>
    <s v="nov"/>
  </r>
  <r>
    <x v="24"/>
    <s v="Brooklyn Nets @ Orlando Magic"/>
    <s v="Brooklyn Nets"/>
    <n v="105"/>
    <n v="98"/>
    <n v="0"/>
    <s v="Orlando Magic"/>
    <n v="110"/>
    <n v="105"/>
    <n v="0"/>
    <n v="215"/>
    <n v="203"/>
    <n v="0"/>
    <n v="5"/>
    <n v="7"/>
    <n v="1"/>
    <n v="46"/>
    <s v="nov"/>
  </r>
  <r>
    <x v="24"/>
    <s v="Philadelphia 76ers @ Detroit Pistons"/>
    <s v="Philadelphia 76ers"/>
    <n v="113"/>
    <n v="105"/>
    <n v="0"/>
    <s v="Detroit Pistons"/>
    <n v="109"/>
    <n v="114"/>
    <n v="1"/>
    <n v="222"/>
    <n v="219"/>
    <n v="0"/>
    <n v="-4"/>
    <n v="9"/>
    <n v="0"/>
    <n v="46"/>
    <s v="nov"/>
  </r>
  <r>
    <x v="24"/>
    <s v="Portland Trail Blazers @ Houston Rockets"/>
    <s v="Portland Trail Blazers"/>
    <n v="116"/>
    <n v="116"/>
    <n v="0"/>
    <s v="Houston Rockets"/>
    <n v="122"/>
    <n v="140"/>
    <n v="1"/>
    <n v="238"/>
    <n v="256"/>
    <n v="1"/>
    <n v="6"/>
    <n v="24"/>
    <n v="1"/>
    <n v="46"/>
    <s v="nov"/>
  </r>
  <r>
    <x v="24"/>
    <s v="Charlotte Hornets @ Milwaukee Bucks"/>
    <s v="Charlotte Hornets"/>
    <n v="105"/>
    <n v="134"/>
    <n v="1"/>
    <s v="Milwaukee Bucks"/>
    <n v="117"/>
    <n v="147"/>
    <n v="1"/>
    <n v="222"/>
    <n v="281"/>
    <n v="1"/>
    <n v="12"/>
    <n v="13"/>
    <n v="1"/>
    <n v="46"/>
    <s v="nov"/>
  </r>
  <r>
    <x v="24"/>
    <s v="Sacramento Kings @ Minnesota Timberwolves"/>
    <s v="Sacramento Kings"/>
    <n v="112"/>
    <n v="110"/>
    <n v="0"/>
    <s v="Minnesota Timberwolves"/>
    <n v="117"/>
    <n v="124"/>
    <n v="1"/>
    <n v="229"/>
    <n v="234"/>
    <n v="1"/>
    <n v="5"/>
    <n v="14"/>
    <n v="1"/>
    <n v="46"/>
    <s v="nov"/>
  </r>
  <r>
    <x v="24"/>
    <s v="Los Angeles Lakers @ New Orleans Pelicans"/>
    <s v="Los Angeles Lakers"/>
    <n v="110"/>
    <n v="118"/>
    <n v="1"/>
    <s v="New Orleans Pelicans"/>
    <n v="114"/>
    <n v="104"/>
    <n v="0"/>
    <n v="224"/>
    <n v="222"/>
    <n v="0"/>
    <n v="4"/>
    <n v="-14"/>
    <n v="0"/>
    <n v="46"/>
    <s v="nov"/>
  </r>
  <r>
    <x v="24"/>
    <s v="LA Clippers @ Dallas Mavericks"/>
    <s v="LA Clippers"/>
    <n v="105"/>
    <n v="133"/>
    <n v="1"/>
    <s v="Dallas Mavericks"/>
    <n v="111"/>
    <n v="127"/>
    <n v="1"/>
    <n v="216"/>
    <n v="260"/>
    <n v="1"/>
    <n v="6"/>
    <n v="-6"/>
    <n v="0"/>
    <n v="46"/>
    <s v="nov"/>
  </r>
  <r>
    <x v="24"/>
    <s v="Golden State Warriors @ San Antonio Spurs"/>
    <s v="Golden State Warriors"/>
    <n v="125"/>
    <n v="109"/>
    <n v="0"/>
    <s v="San Antonio Spurs"/>
    <n v="119"/>
    <n v="108"/>
    <n v="0"/>
    <n v="244"/>
    <n v="217"/>
    <n v="0"/>
    <n v="-6"/>
    <n v="-1"/>
    <n v="1"/>
    <n v="46"/>
    <s v="nov"/>
  </r>
  <r>
    <x v="25"/>
    <s v="Memphis Grizzlies @ Cleveland Cavaliers"/>
    <s v="Memphis Grizzlies"/>
    <n v="124"/>
    <n v="100"/>
    <n v="0"/>
    <s v="Cleveland Cavaliers"/>
    <n v="122"/>
    <n v="108"/>
    <n v="0"/>
    <n v="246"/>
    <n v="208"/>
    <n v="0"/>
    <n v="-2"/>
    <n v="8"/>
    <n v="0"/>
    <n v="46"/>
    <s v="nov"/>
  </r>
  <r>
    <x v="25"/>
    <s v="Oklahoma City Thunder @ Charlotte Hornets"/>
    <s v="Oklahoma City Thunder"/>
    <n v="118"/>
    <n v="109"/>
    <n v="0"/>
    <s v="Charlotte Hornets"/>
    <n v="114"/>
    <n v="96"/>
    <n v="0"/>
    <n v="232"/>
    <n v="205"/>
    <n v="0"/>
    <n v="-4"/>
    <n v="-13"/>
    <n v="1"/>
    <n v="46"/>
    <s v="nov"/>
  </r>
  <r>
    <x v="25"/>
    <s v="Toronto Raptors @ Indiana Pacers"/>
    <s v="Toronto Raptors"/>
    <n v="113"/>
    <n v="129"/>
    <n v="1"/>
    <s v="Indiana Pacers"/>
    <n v="113"/>
    <n v="111"/>
    <n v="0"/>
    <n v="226"/>
    <n v="240"/>
    <n v="1"/>
    <n v="0"/>
    <n v="-18"/>
    <n v="0"/>
    <n v="46"/>
    <s v="nov"/>
  </r>
  <r>
    <x v="25"/>
    <s v="Los Angeles Lakers @ Milwaukee Bucks"/>
    <s v="Los Angeles Lakers"/>
    <n v="114"/>
    <n v="119"/>
    <n v="1"/>
    <s v="Milwaukee Bucks"/>
    <n v="124"/>
    <n v="95"/>
    <n v="0"/>
    <n v="238"/>
    <n v="214"/>
    <n v="0"/>
    <n v="10"/>
    <n v="-24"/>
    <n v="0"/>
    <n v="46"/>
    <s v="nov"/>
  </r>
  <r>
    <x v="25"/>
    <s v="Denver Nuggets @ Minnesota Timberwolves"/>
    <s v="Denver Nuggets"/>
    <n v="120"/>
    <n v="123"/>
    <n v="1"/>
    <s v="Minnesota Timberwolves"/>
    <n v="109"/>
    <n v="112"/>
    <n v="1"/>
    <n v="229"/>
    <n v="235"/>
    <n v="1"/>
    <n v="-11"/>
    <n v="-11"/>
    <n v="1"/>
    <n v="46"/>
    <s v="nov"/>
  </r>
  <r>
    <x v="26"/>
    <s v="LA Clippers @ Boston Celtics"/>
    <s v="LA Clippers"/>
    <n v="118"/>
    <n v="118"/>
    <n v="0"/>
    <s v="Boston Celtics"/>
    <n v="113"/>
    <n v="121"/>
    <n v="1"/>
    <n v="231"/>
    <n v="239"/>
    <n v="1"/>
    <n v="-5"/>
    <n v="3"/>
    <n v="0"/>
    <n v="46"/>
    <s v="nov"/>
  </r>
  <r>
    <x v="26"/>
    <s v="Sacramento Kings @ San Antonio Spurs"/>
    <s v="Sacramento Kings"/>
    <n v="111"/>
    <n v="110"/>
    <n v="0"/>
    <s v="San Antonio Spurs"/>
    <n v="120"/>
    <n v="123"/>
    <n v="1"/>
    <n v="231"/>
    <n v="233"/>
    <n v="1"/>
    <n v="9"/>
    <n v="13"/>
    <n v="1"/>
    <n v="46"/>
    <s v="nov"/>
  </r>
  <r>
    <x v="26"/>
    <s v="Brooklyn Nets @ Washington Wizards"/>
    <s v="Brooklyn Nets"/>
    <n v="98"/>
    <n v="129"/>
    <n v="1"/>
    <s v="Washington Wizards"/>
    <n v="123"/>
    <n v="106"/>
    <n v="0"/>
    <n v="221"/>
    <n v="235"/>
    <n v="1"/>
    <n v="25"/>
    <n v="-23"/>
    <n v="0"/>
    <n v="46"/>
    <s v="nov"/>
  </r>
  <r>
    <x v="26"/>
    <s v="Orlando Magic @ Houston Rockets"/>
    <s v="Orlando Magic"/>
    <n v="111"/>
    <n v="113"/>
    <n v="1"/>
    <s v="Houston Rockets"/>
    <n v="119"/>
    <n v="117"/>
    <n v="0"/>
    <n v="230"/>
    <n v="230"/>
    <n v="0"/>
    <n v="8"/>
    <n v="4"/>
    <n v="1"/>
    <n v="46"/>
    <s v="nov"/>
  </r>
  <r>
    <x v="26"/>
    <s v="Golden State Warriors @ New Orleans Pelicans"/>
    <s v="Golden State Warriors"/>
    <n v="117"/>
    <n v="124"/>
    <n v="1"/>
    <s v="New Orleans Pelicans"/>
    <n v="108"/>
    <n v="106"/>
    <n v="0"/>
    <n v="225"/>
    <n v="230"/>
    <n v="1"/>
    <n v="-9"/>
    <n v="-18"/>
    <n v="1"/>
    <n v="46"/>
    <s v="nov"/>
  </r>
  <r>
    <x v="26"/>
    <s v="Portland Trail Blazers @ Dallas Mavericks"/>
    <s v="Portland Trail Blazers"/>
    <n v="115"/>
    <n v="133"/>
    <n v="1"/>
    <s v="Dallas Mavericks"/>
    <n v="117"/>
    <n v="138"/>
    <n v="1"/>
    <n v="232"/>
    <n v="271"/>
    <n v="1"/>
    <n v="2"/>
    <n v="5"/>
    <n v="1"/>
    <n v="46"/>
    <s v="nov"/>
  </r>
  <r>
    <x v="26"/>
    <s v="Atlanta Hawks @ Phoenix Suns"/>
    <s v="Atlanta Hawks"/>
    <n v="120"/>
    <n v="124"/>
    <n v="1"/>
    <s v="Phoenix Suns"/>
    <n v="115"/>
    <n v="122"/>
    <n v="1"/>
    <n v="235"/>
    <n v="246"/>
    <n v="1"/>
    <n v="-5"/>
    <n v="-2"/>
    <n v="1"/>
    <n v="46"/>
    <s v="nov"/>
  </r>
  <r>
    <x v="26"/>
    <s v="Chicago Bulls @ Utah Jazz"/>
    <s v="Chicago Bulls"/>
    <n v="107"/>
    <n v="147"/>
    <n v="1"/>
    <s v="Utah Jazz"/>
    <n v="114"/>
    <n v="150"/>
    <n v="1"/>
    <n v="221"/>
    <n v="297"/>
    <n v="1"/>
    <n v="7"/>
    <n v="3"/>
    <n v="1"/>
    <n v="46"/>
    <s v="nov"/>
  </r>
  <r>
    <x v="27"/>
    <s v="Milwaukee Bucks @ Cleveland Cavaliers"/>
    <s v="Milwaukee Bucks"/>
    <n v="127"/>
    <n v="106"/>
    <n v="0"/>
    <s v="Cleveland Cavaliers"/>
    <n v="120"/>
    <n v="118"/>
    <n v="0"/>
    <n v="247"/>
    <n v="224"/>
    <n v="0"/>
    <n v="-7"/>
    <n v="12"/>
    <n v="0"/>
    <n v="47"/>
    <s v="nov"/>
  </r>
  <r>
    <x v="27"/>
    <s v="Indiana Pacers @ Detroit Pistons"/>
    <s v="Indiana Pacers"/>
    <n v="113"/>
    <n v="112"/>
    <n v="0"/>
    <s v="Detroit Pistons"/>
    <n v="117"/>
    <n v="127"/>
    <n v="1"/>
    <n v="230"/>
    <n v="239"/>
    <n v="1"/>
    <n v="4"/>
    <n v="15"/>
    <n v="1"/>
    <n v="47"/>
    <s v="nov"/>
  </r>
  <r>
    <x v="27"/>
    <s v="LA Clippers @ Philadelphia 76ers"/>
    <s v="LA Clippers"/>
    <n v="108"/>
    <n v="108"/>
    <n v="0"/>
    <s v="Philadelphia 76ers"/>
    <n v="110"/>
    <n v="110"/>
    <n v="0"/>
    <n v="218"/>
    <n v="218"/>
    <n v="0"/>
    <n v="2"/>
    <n v="2"/>
    <n v="1"/>
    <n v="47"/>
    <s v="nov"/>
  </r>
  <r>
    <x v="27"/>
    <s v="New York Knicks @ Miami Heat"/>
    <s v="New York Knicks"/>
    <n v="111"/>
    <n v="113"/>
    <n v="1"/>
    <s v="Miami Heat"/>
    <n v="118"/>
    <n v="115"/>
    <n v="0"/>
    <n v="229"/>
    <n v="228"/>
    <n v="0"/>
    <n v="7"/>
    <n v="2"/>
    <n v="1"/>
    <n v="47"/>
    <s v="nov"/>
  </r>
  <r>
    <x v="27"/>
    <s v="Charlotte Hornets @ Toronto Raptors"/>
    <s v="Charlotte Hornets"/>
    <n v="103"/>
    <n v="108"/>
    <n v="1"/>
    <s v="Toronto Raptors"/>
    <n v="113"/>
    <n v="110"/>
    <n v="0"/>
    <n v="216"/>
    <n v="218"/>
    <n v="1"/>
    <n v="10"/>
    <n v="2"/>
    <n v="1"/>
    <n v="47"/>
    <s v="nov"/>
  </r>
  <r>
    <x v="27"/>
    <s v="Dallas Mavericks @ Minnesota Timberwolves"/>
    <s v="Dallas Mavericks"/>
    <n v="110"/>
    <n v="96"/>
    <n v="0"/>
    <s v="Minnesota Timberwolves"/>
    <n v="116"/>
    <n v="120"/>
    <n v="1"/>
    <n v="226"/>
    <n v="216"/>
    <n v="0"/>
    <n v="6"/>
    <n v="24"/>
    <n v="1"/>
    <n v="47"/>
    <s v="nov"/>
  </r>
  <r>
    <x v="27"/>
    <s v="Oklahoma City Thunder @ New Orleans Pelicans"/>
    <s v="Oklahoma City Thunder"/>
    <n v="112"/>
    <n v="126"/>
    <n v="1"/>
    <s v="New Orleans Pelicans"/>
    <n v="117"/>
    <n v="109"/>
    <n v="0"/>
    <n v="229"/>
    <n v="235"/>
    <n v="1"/>
    <n v="5"/>
    <n v="-17"/>
    <n v="0"/>
    <n v="47"/>
    <s v="nov"/>
  </r>
  <r>
    <x v="27"/>
    <s v="Chicago Bulls @ Denver Nuggets"/>
    <s v="Chicago Bulls"/>
    <n v="106"/>
    <n v="130"/>
    <n v="1"/>
    <s v="Denver Nuggets"/>
    <n v="121"/>
    <n v="127"/>
    <n v="1"/>
    <n v="227"/>
    <n v="257"/>
    <n v="1"/>
    <n v="15"/>
    <n v="-3"/>
    <n v="0"/>
    <n v="47"/>
    <s v="nov"/>
  </r>
  <r>
    <x v="28"/>
    <s v="Golden State Warriors @ Orlando Magic"/>
    <s v="Golden State Warriors"/>
    <n v="119"/>
    <n v="113"/>
    <n v="0"/>
    <s v="Orlando Magic"/>
    <n v="110"/>
    <n v="121"/>
    <n v="1"/>
    <n v="229"/>
    <n v="234"/>
    <n v="1"/>
    <n v="-9"/>
    <n v="8"/>
    <n v="0"/>
    <n v="47"/>
    <s v="nov"/>
  </r>
  <r>
    <x v="28"/>
    <s v="Boston Celtics @ Brooklyn Nets"/>
    <s v="Boston Celtics"/>
    <n v="114"/>
    <n v="113"/>
    <n v="0"/>
    <s v="Brooklyn Nets"/>
    <n v="110"/>
    <n v="99"/>
    <n v="0"/>
    <n v="224"/>
    <n v="212"/>
    <n v="0"/>
    <n v="-4"/>
    <n v="-14"/>
    <n v="1"/>
    <n v="47"/>
    <s v="nov"/>
  </r>
  <r>
    <x v="28"/>
    <s v="Detroit Pistons @ Atlanta Hawks"/>
    <s v="Detroit Pistons"/>
    <n v="112"/>
    <n v="120"/>
    <n v="1"/>
    <s v="Atlanta Hawks"/>
    <n v="115"/>
    <n v="112"/>
    <n v="0"/>
    <n v="227"/>
    <n v="232"/>
    <n v="1"/>
    <n v="3"/>
    <n v="-8"/>
    <n v="0"/>
    <n v="47"/>
    <s v="nov"/>
  </r>
  <r>
    <x v="28"/>
    <s v="Memphis Grizzlies @ San Antonio Spurs"/>
    <s v="Memphis Grizzlies"/>
    <n v="112"/>
    <n v="101"/>
    <n v="0"/>
    <s v="San Antonio Spurs"/>
    <n v="123"/>
    <n v="111"/>
    <n v="0"/>
    <n v="235"/>
    <n v="212"/>
    <n v="0"/>
    <n v="11"/>
    <n v="10"/>
    <n v="1"/>
    <n v="47"/>
    <s v="nov"/>
  </r>
  <r>
    <x v="28"/>
    <s v="Utah Jazz @ Los Angeles Lakers"/>
    <s v="Utah Jazz"/>
    <n v="104"/>
    <n v="126"/>
    <n v="1"/>
    <s v="Los Angeles Lakers"/>
    <n v="112"/>
    <n v="140"/>
    <n v="1"/>
    <n v="216"/>
    <n v="266"/>
    <n v="1"/>
    <n v="8"/>
    <n v="14"/>
    <n v="1"/>
    <n v="47"/>
    <s v="nov"/>
  </r>
  <r>
    <x v="28"/>
    <s v="Phoenix Suns @ Portland Trail Blazers"/>
    <s v="Phoenix Suns"/>
    <n v="112"/>
    <n v="127"/>
    <n v="1"/>
    <s v="Portland Trail Blazers"/>
    <n v="116"/>
    <n v="110"/>
    <n v="0"/>
    <n v="228"/>
    <n v="237"/>
    <n v="1"/>
    <n v="4"/>
    <n v="-17"/>
    <n v="0"/>
    <n v="47"/>
    <s v="nov"/>
  </r>
  <r>
    <x v="29"/>
    <s v="Houston Rockets @ Cleveland Cavaliers"/>
    <s v="Houston Rockets"/>
    <n v="127"/>
    <n v="114"/>
    <n v="0"/>
    <s v="Cleveland Cavaliers"/>
    <n v="118"/>
    <n v="104"/>
    <n v="0"/>
    <n v="245"/>
    <n v="218"/>
    <n v="0"/>
    <n v="-9"/>
    <n v="-10"/>
    <n v="1"/>
    <n v="47"/>
    <s v="nov"/>
  </r>
  <r>
    <x v="29"/>
    <s v="Charlotte Hornets @ Indiana Pacers"/>
    <s v="Charlotte Hornets"/>
    <n v="115"/>
    <n v="118"/>
    <n v="1"/>
    <s v="Indiana Pacers"/>
    <n v="119"/>
    <n v="127"/>
    <n v="1"/>
    <n v="234"/>
    <n v="245"/>
    <n v="1"/>
    <n v="4"/>
    <n v="9"/>
    <n v="1"/>
    <n v="47"/>
    <s v="nov"/>
  </r>
  <r>
    <x v="29"/>
    <s v="Toronto Raptors @ Philadelphia 76ers"/>
    <s v="Toronto Raptors"/>
    <n v="111"/>
    <n v="121"/>
    <n v="1"/>
    <s v="Philadelphia 76ers"/>
    <n v="115"/>
    <n v="112"/>
    <n v="0"/>
    <n v="226"/>
    <n v="233"/>
    <n v="1"/>
    <n v="4"/>
    <n v="-9"/>
    <n v="0"/>
    <n v="47"/>
    <s v="nov"/>
  </r>
  <r>
    <x v="29"/>
    <s v="Golden State Warriors @ Miami Heat"/>
    <s v="Golden State Warriors"/>
    <n v="110"/>
    <n v="96"/>
    <n v="0"/>
    <s v="Miami Heat"/>
    <n v="119"/>
    <n v="110"/>
    <n v="0"/>
    <n v="229"/>
    <n v="206"/>
    <n v="0"/>
    <n v="9"/>
    <n v="14"/>
    <n v="1"/>
    <n v="47"/>
    <s v="nov"/>
  </r>
  <r>
    <x v="29"/>
    <s v="Washington Wizards @ Minnesota Timberwolves"/>
    <s v="Washington Wizards"/>
    <n v="108"/>
    <n v="109"/>
    <n v="1"/>
    <s v="Minnesota Timberwolves"/>
    <n v="114"/>
    <n v="120"/>
    <n v="1"/>
    <n v="222"/>
    <n v="229"/>
    <n v="1"/>
    <n v="6"/>
    <n v="11"/>
    <n v="1"/>
    <n v="47"/>
    <s v="nov"/>
  </r>
  <r>
    <x v="29"/>
    <s v="Denver Nuggets @ New Orleans Pelicans"/>
    <s v="Denver Nuggets"/>
    <n v="110"/>
    <n v="125"/>
    <n v="1"/>
    <s v="New Orleans Pelicans"/>
    <n v="114"/>
    <n v="118"/>
    <n v="1"/>
    <n v="224"/>
    <n v="243"/>
    <n v="1"/>
    <n v="4"/>
    <n v="-7"/>
    <n v="0"/>
    <n v="47"/>
    <s v="nov"/>
  </r>
  <r>
    <x v="29"/>
    <s v="Sacramento Kings @ Oklahoma City Thunder"/>
    <s v="Sacramento Kings"/>
    <n v="114"/>
    <n v="99"/>
    <n v="0"/>
    <s v="Oklahoma City Thunder"/>
    <n v="121"/>
    <n v="113"/>
    <n v="0"/>
    <n v="235"/>
    <n v="212"/>
    <n v="0"/>
    <n v="7"/>
    <n v="14"/>
    <n v="1"/>
    <n v="47"/>
    <s v="nov"/>
  </r>
  <r>
    <x v="29"/>
    <s v="New York Knicks @ Dallas Mavericks"/>
    <s v="New York Knicks"/>
    <n v="107"/>
    <n v="113"/>
    <n v="1"/>
    <s v="Dallas Mavericks"/>
    <n v="111"/>
    <n v="111"/>
    <n v="0"/>
    <n v="218"/>
    <n v="224"/>
    <n v="1"/>
    <n v="4"/>
    <n v="-2"/>
    <n v="0"/>
    <n v="47"/>
    <s v="nov"/>
  </r>
  <r>
    <x v="29"/>
    <s v="Chicago Bulls @ Portland Trail Blazers"/>
    <s v="Chicago Bulls"/>
    <n v="120"/>
    <n v="122"/>
    <n v="1"/>
    <s v="Portland Trail Blazers"/>
    <n v="117"/>
    <n v="121"/>
    <n v="1"/>
    <n v="237"/>
    <n v="243"/>
    <n v="1"/>
    <n v="-3"/>
    <n v="-1"/>
    <n v="1"/>
    <n v="47"/>
    <s v="nov"/>
  </r>
  <r>
    <x v="30"/>
    <s v="LA Clippers @ Orlando Magic"/>
    <s v="LA Clippers"/>
    <n v="121"/>
    <n v="101"/>
    <n v="0"/>
    <s v="Orlando Magic"/>
    <n v="110"/>
    <n v="129"/>
    <n v="1"/>
    <n v="231"/>
    <n v="230"/>
    <n v="0"/>
    <n v="-11"/>
    <n v="28"/>
    <n v="0"/>
    <n v="47"/>
    <s v="nov"/>
  </r>
  <r>
    <x v="30"/>
    <s v="Sacramento Kings @ Memphis Grizzlies"/>
    <s v="Sacramento Kings"/>
    <n v="115"/>
    <n v="96"/>
    <n v="0"/>
    <s v="Memphis Grizzlies"/>
    <n v="120"/>
    <n v="137"/>
    <n v="1"/>
    <n v="235"/>
    <n v="233"/>
    <n v="0"/>
    <n v="5"/>
    <n v="41"/>
    <n v="1"/>
    <n v="47"/>
    <s v="nov"/>
  </r>
  <r>
    <x v="30"/>
    <s v="Philadelphia 76ers @ Milwaukee Bucks"/>
    <s v="Philadelphia 76ers"/>
    <n v="110"/>
    <n v="123"/>
    <n v="1"/>
    <s v="Milwaukee Bucks"/>
    <n v="115"/>
    <n v="114"/>
    <n v="0"/>
    <n v="225"/>
    <n v="237"/>
    <n v="1"/>
    <n v="5"/>
    <n v="-9"/>
    <n v="0"/>
    <n v="47"/>
    <s v="nov"/>
  </r>
  <r>
    <x v="30"/>
    <s v="Atlanta Hawks @ San Antonio Spurs"/>
    <s v="Atlanta Hawks"/>
    <n v="116"/>
    <n v="126"/>
    <n v="1"/>
    <s v="San Antonio Spurs"/>
    <n v="124"/>
    <n v="135"/>
    <n v="1"/>
    <n v="240"/>
    <n v="261"/>
    <n v="1"/>
    <n v="8"/>
    <n v="9"/>
    <n v="1"/>
    <n v="47"/>
    <s v="nov"/>
  </r>
  <r>
    <x v="31"/>
    <s v="Indiana Pacers @ Cleveland Cavaliers"/>
    <s v="Indiana Pacers"/>
    <n v="123"/>
    <n v="109"/>
    <n v="0"/>
    <s v="Cleveland Cavaliers"/>
    <n v="121"/>
    <n v="120"/>
    <n v="0"/>
    <n v="244"/>
    <n v="229"/>
    <n v="0"/>
    <n v="-2"/>
    <n v="11"/>
    <n v="0"/>
    <n v="47"/>
    <s v="nov"/>
  </r>
  <r>
    <x v="31"/>
    <s v="Brooklyn Nets @ Boston Celtics"/>
    <s v="Brooklyn Nets"/>
    <n v="105"/>
    <n v="113"/>
    <n v="1"/>
    <s v="Boston Celtics"/>
    <n v="119"/>
    <n v="105"/>
    <n v="0"/>
    <n v="224"/>
    <n v="218"/>
    <n v="0"/>
    <n v="14"/>
    <n v="-8"/>
    <n v="0"/>
    <n v="47"/>
    <s v="nov"/>
  </r>
  <r>
    <x v="31"/>
    <s v="Washington Wizards @ Toronto Raptors"/>
    <s v="Washington Wizards"/>
    <n v="106"/>
    <n v="110"/>
    <n v="1"/>
    <s v="Toronto Raptors"/>
    <n v="111"/>
    <n v="140"/>
    <n v="1"/>
    <n v="217"/>
    <n v="250"/>
    <n v="1"/>
    <n v="5"/>
    <n v="30"/>
    <n v="1"/>
    <n v="47"/>
    <s v="nov"/>
  </r>
  <r>
    <x v="31"/>
    <s v="Miami Heat @ Chicago Bulls"/>
    <s v="Miami Heat"/>
    <n v="118"/>
    <n v="143"/>
    <n v="1"/>
    <s v="Chicago Bulls"/>
    <n v="123"/>
    <n v="107"/>
    <n v="0"/>
    <n v="241"/>
    <n v="250"/>
    <n v="1"/>
    <n v="5"/>
    <n v="-36"/>
    <n v="0"/>
    <n v="47"/>
    <s v="nov"/>
  </r>
  <r>
    <x v="31"/>
    <s v="New Orleans Pelicans @ Dallas Mavericks"/>
    <s v="New Orleans Pelicans"/>
    <n v="100"/>
    <n v="115"/>
    <n v="1"/>
    <s v="Dallas Mavericks"/>
    <n v="105"/>
    <n v="118"/>
    <n v="1"/>
    <n v="205"/>
    <n v="233"/>
    <n v="1"/>
    <n v="5"/>
    <n v="3"/>
    <n v="1"/>
    <n v="47"/>
    <s v="nov"/>
  </r>
  <r>
    <x v="31"/>
    <s v="Minnesota Timberwolves @ Phoenix Suns"/>
    <s v="Minnesota Timberwolves"/>
    <n v="115"/>
    <n v="113"/>
    <n v="0"/>
    <s v="Phoenix Suns"/>
    <n v="119"/>
    <n v="114"/>
    <n v="0"/>
    <n v="234"/>
    <n v="227"/>
    <n v="0"/>
    <n v="4"/>
    <n v="1"/>
    <n v="1"/>
    <n v="47"/>
    <s v="nov"/>
  </r>
  <r>
    <x v="31"/>
    <s v="Denver Nuggets @ Houston Rockets"/>
    <s v="Denver Nuggets"/>
    <n v="115"/>
    <n v="112"/>
    <n v="0"/>
    <s v="Houston Rockets"/>
    <n v="107"/>
    <n v="109"/>
    <n v="1"/>
    <n v="222"/>
    <n v="221"/>
    <n v="0"/>
    <n v="-8"/>
    <n v="-3"/>
    <n v="1"/>
    <n v="47"/>
    <s v="nov"/>
  </r>
  <r>
    <x v="31"/>
    <s v="Oklahoma City Thunder @ Utah Jazz"/>
    <s v="Oklahoma City Thunder"/>
    <n v="107"/>
    <n v="144"/>
    <n v="1"/>
    <s v="Utah Jazz"/>
    <n v="103"/>
    <n v="112"/>
    <n v="1"/>
    <n v="210"/>
    <n v="256"/>
    <n v="1"/>
    <n v="-4"/>
    <n v="-32"/>
    <n v="1"/>
    <n v="47"/>
    <s v="nov"/>
  </r>
  <r>
    <x v="32"/>
    <s v="Portland Trail Blazers @ Golden State Warriors"/>
    <s v="Portland Trail Blazers"/>
    <n v="118"/>
    <n v="127"/>
    <n v="1"/>
    <s v="Golden State Warriors"/>
    <n v="122"/>
    <n v="123"/>
    <n v="1"/>
    <n v="240"/>
    <n v="250"/>
    <n v="1"/>
    <n v="4"/>
    <n v="-4"/>
    <n v="0"/>
    <n v="47"/>
    <s v="nov"/>
  </r>
  <r>
    <x v="32"/>
    <s v="LA Clippers @ Charlotte Hornets"/>
    <s v="LA Clippers"/>
    <n v="126"/>
    <n v="131"/>
    <n v="1"/>
    <s v="Charlotte Hornets"/>
    <n v="114"/>
    <n v="116"/>
    <n v="1"/>
    <n v="240"/>
    <n v="247"/>
    <n v="1"/>
    <n v="-12"/>
    <n v="-15"/>
    <n v="1"/>
    <n v="47"/>
    <s v="nov"/>
  </r>
  <r>
    <x v="32"/>
    <s v="New York Knicks @ Orlando Magic"/>
    <s v="New York Knicks"/>
    <n v="109"/>
    <n v="121"/>
    <n v="1"/>
    <s v="Orlando Magic"/>
    <n v="113"/>
    <n v="133"/>
    <n v="1"/>
    <n v="222"/>
    <n v="254"/>
    <n v="1"/>
    <n v="4"/>
    <n v="12"/>
    <n v="1"/>
    <n v="47"/>
    <s v="nov"/>
  </r>
  <r>
    <x v="32"/>
    <s v="Atlanta Hawks @ New Orleans Pelicans"/>
    <s v="Atlanta Hawks"/>
    <n v="111"/>
    <n v="115"/>
    <n v="1"/>
    <s v="New Orleans Pelicans"/>
    <n v="117"/>
    <n v="98"/>
    <n v="0"/>
    <n v="228"/>
    <n v="213"/>
    <n v="0"/>
    <n v="6"/>
    <n v="-17"/>
    <n v="0"/>
    <n v="47"/>
    <s v="nov"/>
  </r>
  <r>
    <x v="32"/>
    <s v="Washington Wizards @ Chicago Bulls"/>
    <s v="Washington Wizards"/>
    <n v="117"/>
    <n v="120"/>
    <n v="1"/>
    <s v="Chicago Bulls"/>
    <n v="119"/>
    <n v="121"/>
    <n v="1"/>
    <n v="236"/>
    <n v="241"/>
    <n v="1"/>
    <n v="2"/>
    <n v="1"/>
    <n v="1"/>
    <n v="47"/>
    <s v="nov"/>
  </r>
  <r>
    <x v="32"/>
    <s v="Detroit Pistons @ Milwaukee Bucks"/>
    <s v="Detroit Pistons"/>
    <n v="105"/>
    <n v="129"/>
    <n v="1"/>
    <s v="Milwaukee Bucks"/>
    <n v="117"/>
    <n v="116"/>
    <n v="0"/>
    <n v="222"/>
    <n v="245"/>
    <n v="1"/>
    <n v="12"/>
    <n v="-13"/>
    <n v="0"/>
    <n v="47"/>
    <s v="nov"/>
  </r>
  <r>
    <x v="32"/>
    <s v="Memphis Grizzlies @ Dallas Mavericks"/>
    <s v="Memphis Grizzlies"/>
    <n v="110"/>
    <n v="103"/>
    <n v="0"/>
    <s v="Dallas Mavericks"/>
    <n v="115"/>
    <n v="96"/>
    <n v="0"/>
    <n v="225"/>
    <n v="199"/>
    <n v="0"/>
    <n v="5"/>
    <n v="-7"/>
    <n v="0"/>
    <n v="47"/>
    <s v="nov"/>
  </r>
  <r>
    <x v="32"/>
    <s v="Sacramento Kings @ Denver Nuggets"/>
    <s v="Sacramento Kings"/>
    <n v="110"/>
    <n v="128"/>
    <n v="1"/>
    <s v="Denver Nuggets"/>
    <n v="122"/>
    <n v="123"/>
    <n v="1"/>
    <n v="232"/>
    <n v="251"/>
    <n v="1"/>
    <n v="12"/>
    <n v="-5"/>
    <n v="0"/>
    <n v="47"/>
    <s v="nov"/>
  </r>
  <r>
    <x v="33"/>
    <s v="Miami Heat @ Philadelphia 76ers"/>
    <s v="Miami Heat"/>
    <n v="126"/>
    <n v="127"/>
    <n v="1"/>
    <s v="Philadelphia 76ers"/>
    <n v="119"/>
    <n v="117"/>
    <n v="0"/>
    <n v="245"/>
    <n v="244"/>
    <n v="0"/>
    <n v="-7"/>
    <n v="-10"/>
    <n v="1"/>
    <n v="47"/>
    <s v="nov"/>
  </r>
  <r>
    <x v="33"/>
    <s v="Charlotte Hornets @ Atlanta Hawks"/>
    <s v="Charlotte Hornets"/>
    <n v="116"/>
    <n v="110"/>
    <n v="0"/>
    <s v="Atlanta Hawks"/>
    <n v="121"/>
    <n v="113"/>
    <n v="0"/>
    <n v="237"/>
    <n v="223"/>
    <n v="0"/>
    <n v="5"/>
    <n v="3"/>
    <n v="1"/>
    <n v="47"/>
    <s v="nov"/>
  </r>
  <r>
    <x v="33"/>
    <s v="Orlando Magic @ Boston Celtics"/>
    <s v="Orlando Magic"/>
    <n v="101"/>
    <n v="129"/>
    <n v="1"/>
    <s v="Boston Celtics"/>
    <n v="114"/>
    <n v="138"/>
    <n v="1"/>
    <n v="215"/>
    <n v="267"/>
    <n v="1"/>
    <n v="13"/>
    <n v="9"/>
    <n v="1"/>
    <n v="47"/>
    <s v="nov"/>
  </r>
  <r>
    <x v="33"/>
    <s v="LA Clippers @ Cleveland Cavaliers"/>
    <s v="LA Clippers"/>
    <n v="114"/>
    <n v="105"/>
    <n v="0"/>
    <s v="Cleveland Cavaliers"/>
    <n v="119"/>
    <n v="120"/>
    <n v="1"/>
    <n v="233"/>
    <n v="225"/>
    <n v="0"/>
    <n v="5"/>
    <n v="15"/>
    <n v="1"/>
    <n v="47"/>
    <s v="nov"/>
  </r>
  <r>
    <x v="33"/>
    <s v="Brooklyn Nets @ Toronto Raptors"/>
    <s v="Brooklyn Nets"/>
    <n v="103"/>
    <n v="109"/>
    <n v="1"/>
    <s v="Toronto Raptors"/>
    <n v="112"/>
    <n v="119"/>
    <n v="1"/>
    <n v="215"/>
    <n v="228"/>
    <n v="1"/>
    <n v="9"/>
    <n v="10"/>
    <n v="1"/>
    <n v="47"/>
    <s v="nov"/>
  </r>
  <r>
    <x v="33"/>
    <s v="Portland Trail Blazers @ Oklahoma City Thunder"/>
    <s v="Portland Trail Blazers"/>
    <n v="108"/>
    <n v="95"/>
    <n v="0"/>
    <s v="Oklahoma City Thunder"/>
    <n v="121"/>
    <n v="122"/>
    <n v="1"/>
    <n v="229"/>
    <n v="217"/>
    <n v="0"/>
    <n v="13"/>
    <n v="27"/>
    <n v="1"/>
    <n v="47"/>
    <s v="nov"/>
  </r>
  <r>
    <x v="33"/>
    <s v="San Antonio Spurs @ Phoenix Suns"/>
    <s v="San Antonio Spurs"/>
    <n v="114"/>
    <n v="102"/>
    <n v="0"/>
    <s v="Phoenix Suns"/>
    <n v="119"/>
    <n v="111"/>
    <n v="0"/>
    <n v="233"/>
    <n v="213"/>
    <n v="0"/>
    <n v="5"/>
    <n v="9"/>
    <n v="1"/>
    <n v="47"/>
    <s v="nov"/>
  </r>
  <r>
    <x v="33"/>
    <s v="Los Angeles Lakers @ Utah Jazz"/>
    <s v="Los Angeles Lakers"/>
    <n v="107"/>
    <n v="108"/>
    <n v="1"/>
    <s v="Utah Jazz"/>
    <n v="119"/>
    <n v="106"/>
    <n v="0"/>
    <n v="226"/>
    <n v="214"/>
    <n v="0"/>
    <n v="12"/>
    <n v="-2"/>
    <n v="0"/>
    <n v="47"/>
    <s v="nov"/>
  </r>
  <r>
    <x v="34"/>
    <s v="Detroit Pistons @ Indiana Pacers"/>
    <s v="Detroit Pistons"/>
    <n v="129"/>
    <n v="122"/>
    <n v="0"/>
    <s v="Indiana Pacers"/>
    <n v="119"/>
    <n v="117"/>
    <n v="0"/>
    <n v="248"/>
    <n v="239"/>
    <n v="0"/>
    <n v="-10"/>
    <n v="-5"/>
    <n v="1"/>
    <n v="48"/>
    <s v="nov"/>
  </r>
  <r>
    <x v="34"/>
    <s v="Cleveland Cavaliers @ Toronto Raptors"/>
    <s v="Cleveland Cavaliers"/>
    <n v="112"/>
    <n v="99"/>
    <n v="0"/>
    <s v="Toronto Raptors"/>
    <n v="118"/>
    <n v="110"/>
    <n v="0"/>
    <n v="230"/>
    <n v="209"/>
    <n v="0"/>
    <n v="6"/>
    <n v="11"/>
    <n v="1"/>
    <n v="48"/>
    <s v="nov"/>
  </r>
  <r>
    <x v="34"/>
    <s v="New York Knicks @ Brooklyn Nets"/>
    <s v="New York Knicks"/>
    <n v="110"/>
    <n v="113"/>
    <n v="1"/>
    <s v="Brooklyn Nets"/>
    <n v="108"/>
    <n v="100"/>
    <n v="0"/>
    <n v="218"/>
    <n v="213"/>
    <n v="0"/>
    <n v="-2"/>
    <n v="-13"/>
    <n v="1"/>
    <n v="48"/>
    <s v="nov"/>
  </r>
  <r>
    <x v="34"/>
    <s v="Dallas Mavericks @ Miami Heat"/>
    <s v="Dallas Mavericks"/>
    <n v="111"/>
    <n v="102"/>
    <n v="0"/>
    <s v="Miami Heat"/>
    <n v="121"/>
    <n v="106"/>
    <n v="0"/>
    <n v="232"/>
    <n v="208"/>
    <n v="0"/>
    <n v="10"/>
    <n v="4"/>
    <n v="1"/>
    <n v="48"/>
    <s v="nov"/>
  </r>
  <r>
    <x v="34"/>
    <s v="Denver Nuggets @ Memphis Grizzlies"/>
    <s v="Denver Nuggets"/>
    <n v="111"/>
    <n v="125"/>
    <n v="1"/>
    <s v="Memphis Grizzlies"/>
    <n v="106"/>
    <n v="115"/>
    <n v="1"/>
    <n v="217"/>
    <n v="240"/>
    <n v="1"/>
    <n v="-5"/>
    <n v="-10"/>
    <n v="1"/>
    <n v="48"/>
    <s v="nov"/>
  </r>
  <r>
    <x v="34"/>
    <s v="Portland Trail Blazers @ Milwaukee Bucks"/>
    <s v="Portland Trail Blazers"/>
    <n v="111"/>
    <n v="115"/>
    <n v="1"/>
    <s v="Milwaukee Bucks"/>
    <n v="120"/>
    <n v="103"/>
    <n v="0"/>
    <n v="231"/>
    <n v="218"/>
    <n v="0"/>
    <n v="9"/>
    <n v="-12"/>
    <n v="0"/>
    <n v="48"/>
    <s v="nov"/>
  </r>
  <r>
    <x v="34"/>
    <s v="Chicago Bulls @ New Orleans Pelicans"/>
    <s v="Chicago Bulls"/>
    <n v="117"/>
    <n v="130"/>
    <n v="1"/>
    <s v="New Orleans Pelicans"/>
    <n v="113"/>
    <n v="143"/>
    <n v="1"/>
    <n v="230"/>
    <n v="273"/>
    <n v="1"/>
    <n v="-4"/>
    <n v="13"/>
    <n v="0"/>
    <n v="48"/>
    <s v="nov"/>
  </r>
  <r>
    <x v="34"/>
    <s v="Houston Rockets @ Phoenix Suns"/>
    <s v="Houston Rockets"/>
    <n v="110"/>
    <n v="114"/>
    <n v="1"/>
    <s v="Phoenix Suns"/>
    <n v="113"/>
    <n v="92"/>
    <n v="0"/>
    <n v="223"/>
    <n v="206"/>
    <n v="0"/>
    <n v="3"/>
    <n v="-22"/>
    <n v="0"/>
    <n v="48"/>
    <s v="nov"/>
  </r>
  <r>
    <x v="34"/>
    <s v="Utah Jazz @ Golden State Warriors"/>
    <s v="Utah Jazz"/>
    <n v="115"/>
    <n v="117"/>
    <n v="1"/>
    <s v="Golden State Warriors"/>
    <n v="112"/>
    <n v="134"/>
    <n v="1"/>
    <n v="227"/>
    <n v="251"/>
    <n v="1"/>
    <n v="-3"/>
    <n v="17"/>
    <n v="0"/>
    <n v="48"/>
    <s v="nov"/>
  </r>
  <r>
    <x v="34"/>
    <s v="Minnesota Timberwolves @ Sacramento Kings"/>
    <s v="Minnesota Timberwolves"/>
    <n v="118"/>
    <n v="112"/>
    <n v="0"/>
    <s v="Sacramento Kings"/>
    <n v="121"/>
    <n v="117"/>
    <n v="0"/>
    <n v="239"/>
    <n v="229"/>
    <n v="0"/>
    <n v="3"/>
    <n v="5"/>
    <n v="1"/>
    <n v="48"/>
    <s v="nov"/>
  </r>
  <r>
    <x v="35"/>
    <s v="Atlanta Hawks @ Washington Wizards"/>
    <s v="Atlanta Hawks"/>
    <n v="127"/>
    <n v="113"/>
    <n v="0"/>
    <s v="Washington Wizards"/>
    <n v="122"/>
    <n v="132"/>
    <n v="1"/>
    <n v="249"/>
    <n v="245"/>
    <n v="0"/>
    <n v="-5"/>
    <n v="19"/>
    <n v="0"/>
    <n v="48"/>
    <s v="nov"/>
  </r>
  <r>
    <x v="35"/>
    <s v="Orlando Magic @ Philadelphia 76ers"/>
    <s v="Orlando Magic"/>
    <n v="113"/>
    <n v="144"/>
    <n v="1"/>
    <s v="Philadelphia 76ers"/>
    <n v="120"/>
    <n v="103"/>
    <n v="0"/>
    <n v="233"/>
    <n v="247"/>
    <n v="1"/>
    <n v="7"/>
    <n v="-41"/>
    <n v="0"/>
    <n v="48"/>
    <s v="nov"/>
  </r>
  <r>
    <x v="35"/>
    <s v="LA Clippers @ Los Angeles Lakers"/>
    <s v="LA Clippers"/>
    <n v="107"/>
    <n v="118"/>
    <n v="1"/>
    <s v="Los Angeles Lakers"/>
    <n v="111"/>
    <n v="135"/>
    <n v="1"/>
    <n v="218"/>
    <n v="253"/>
    <n v="1"/>
    <n v="4"/>
    <n v="17"/>
    <n v="1"/>
    <n v="48"/>
    <s v="nov"/>
  </r>
  <r>
    <x v="36"/>
    <s v="Detroit Pistons @ Boston Celtics"/>
    <s v="Detroit Pistons"/>
    <n v="119"/>
    <n v="114"/>
    <n v="0"/>
    <s v="Boston Celtics"/>
    <n v="114"/>
    <n v="117"/>
    <n v="1"/>
    <n v="233"/>
    <n v="231"/>
    <n v="0"/>
    <n v="-5"/>
    <n v="3"/>
    <n v="0"/>
    <n v="48"/>
    <s v="nov"/>
  </r>
  <r>
    <x v="36"/>
    <s v="New York Knicks @ Charlotte Hornets"/>
    <s v="New York Knicks"/>
    <n v="113"/>
    <n v="129"/>
    <n v="1"/>
    <s v="Charlotte Hornets"/>
    <n v="115"/>
    <n v="101"/>
    <n v="0"/>
    <n v="228"/>
    <n v="230"/>
    <n v="1"/>
    <n v="2"/>
    <n v="-28"/>
    <n v="0"/>
    <n v="48"/>
    <s v="nov"/>
  </r>
  <r>
    <x v="36"/>
    <s v="Milwaukee Bucks @ Miami Heat"/>
    <s v="Milwaukee Bucks"/>
    <n v="101"/>
    <n v="103"/>
    <n v="1"/>
    <s v="Miami Heat"/>
    <n v="127"/>
    <n v="106"/>
    <n v="0"/>
    <n v="228"/>
    <n v="209"/>
    <n v="0"/>
    <n v="26"/>
    <n v="3"/>
    <n v="1"/>
    <n v="48"/>
    <s v="nov"/>
  </r>
  <r>
    <x v="36"/>
    <s v="Indiana Pacers @ Toronto Raptors"/>
    <s v="Indiana Pacers"/>
    <n v="114"/>
    <n v="85"/>
    <n v="0"/>
    <s v="Toronto Raptors"/>
    <n v="125"/>
    <n v="97"/>
    <n v="0"/>
    <n v="239"/>
    <n v="182"/>
    <n v="0"/>
    <n v="11"/>
    <n v="12"/>
    <n v="1"/>
    <n v="48"/>
    <s v="nov"/>
  </r>
  <r>
    <x v="36"/>
    <s v="Minnesota Timberwolves @ Oklahoma City Thunder"/>
    <s v="Minnesota Timberwolves"/>
    <n v="116"/>
    <n v="105"/>
    <n v="0"/>
    <s v="Oklahoma City Thunder"/>
    <n v="110"/>
    <n v="113"/>
    <n v="1"/>
    <n v="226"/>
    <n v="218"/>
    <n v="0"/>
    <n v="-6"/>
    <n v="8"/>
    <n v="0"/>
    <n v="48"/>
    <s v="nov"/>
  </r>
  <r>
    <x v="36"/>
    <s v="Memphis Grizzlies @ New Orleans Pelicans"/>
    <s v="Memphis Grizzlies"/>
    <n v="114"/>
    <n v="133"/>
    <n v="1"/>
    <s v="New Orleans Pelicans"/>
    <n v="120"/>
    <n v="128"/>
    <n v="1"/>
    <n v="234"/>
    <n v="261"/>
    <n v="1"/>
    <n v="6"/>
    <n v="-5"/>
    <n v="0"/>
    <n v="48"/>
    <s v="nov"/>
  </r>
  <r>
    <x v="36"/>
    <s v="Houston Rockets @ Golden State Warriors"/>
    <s v="Houston Rockets"/>
    <n v="115"/>
    <n v="104"/>
    <n v="0"/>
    <s v="Golden State Warriors"/>
    <n v="108"/>
    <n v="100"/>
    <n v="0"/>
    <n v="223"/>
    <n v="204"/>
    <n v="0"/>
    <n v="-7"/>
    <n v="-4"/>
    <n v="1"/>
    <n v="48"/>
    <s v="nov"/>
  </r>
  <r>
    <x v="36"/>
    <s v="San Antonio Spurs @ Portland Trail Blazers"/>
    <s v="San Antonio Spurs"/>
    <n v="108"/>
    <n v="115"/>
    <n v="1"/>
    <s v="Portland Trail Blazers"/>
    <n v="104"/>
    <n v="102"/>
    <n v="0"/>
    <n v="212"/>
    <n v="217"/>
    <n v="1"/>
    <n v="-4"/>
    <n v="-13"/>
    <n v="1"/>
    <n v="48"/>
    <s v="nov"/>
  </r>
  <r>
    <x v="36"/>
    <s v="Phoenix Suns @ Sacramento Kings"/>
    <s v="Phoenix Suns"/>
    <n v="121"/>
    <n v="112"/>
    <n v="0"/>
    <s v="Sacramento Kings"/>
    <n v="116"/>
    <n v="100"/>
    <n v="0"/>
    <n v="237"/>
    <n v="212"/>
    <n v="0"/>
    <n v="-5"/>
    <n v="-12"/>
    <n v="1"/>
    <n v="48"/>
    <s v="nov"/>
  </r>
  <r>
    <x v="37"/>
    <s v="Cleveland Cavaliers @ Atlanta Hawks"/>
    <s v="Cleveland Cavaliers"/>
    <n v="131"/>
    <n v="123"/>
    <n v="0"/>
    <s v="Atlanta Hawks"/>
    <n v="119"/>
    <n v="130"/>
    <n v="1"/>
    <n v="250"/>
    <n v="253"/>
    <n v="1"/>
    <n v="-12"/>
    <n v="7"/>
    <n v="0"/>
    <n v="48"/>
    <s v="nov"/>
  </r>
  <r>
    <x v="37"/>
    <s v="Philadelphia 76ers @ Brooklyn Nets"/>
    <s v="Philadelphia 76ers"/>
    <n v="116"/>
    <n v="115"/>
    <n v="0"/>
    <s v="Brooklyn Nets"/>
    <n v="112"/>
    <n v="103"/>
    <n v="0"/>
    <n v="228"/>
    <n v="218"/>
    <n v="0"/>
    <n v="-4"/>
    <n v="-12"/>
    <n v="1"/>
    <n v="48"/>
    <s v="nov"/>
  </r>
  <r>
    <x v="37"/>
    <s v="Chicago Bulls @ Charlotte Hornets"/>
    <s v="Chicago Bulls"/>
    <n v="115"/>
    <n v="116"/>
    <n v="1"/>
    <s v="Charlotte Hornets"/>
    <n v="112"/>
    <n v="123"/>
    <n v="1"/>
    <n v="227"/>
    <n v="239"/>
    <n v="1"/>
    <n v="-3"/>
    <n v="7"/>
    <n v="0"/>
    <n v="48"/>
    <s v="nov"/>
  </r>
  <r>
    <x v="37"/>
    <s v="Orlando Magic @ Detroit Pistons"/>
    <s v="Orlando Magic"/>
    <n v="118"/>
    <n v="112"/>
    <n v="0"/>
    <s v="Detroit Pistons"/>
    <n v="123"/>
    <n v="109"/>
    <n v="0"/>
    <n v="241"/>
    <n v="221"/>
    <n v="0"/>
    <n v="5"/>
    <n v="-3"/>
    <n v="0"/>
    <n v="48"/>
    <s v="nov"/>
  </r>
  <r>
    <x v="37"/>
    <s v="Washington Wizards @ Indiana Pacers"/>
    <s v="Washington Wizards"/>
    <n v="120"/>
    <n v="86"/>
    <n v="0"/>
    <s v="Indiana Pacers"/>
    <n v="108"/>
    <n v="119"/>
    <n v="1"/>
    <n v="228"/>
    <n v="205"/>
    <n v="0"/>
    <n v="-12"/>
    <n v="33"/>
    <n v="0"/>
    <n v="48"/>
    <s v="nov"/>
  </r>
  <r>
    <x v="37"/>
    <s v="Milwaukee Bucks @ New York Knicks"/>
    <s v="Milwaukee Bucks"/>
    <n v="114"/>
    <n v="109"/>
    <n v="0"/>
    <s v="New York Knicks"/>
    <n v="110"/>
    <n v="118"/>
    <n v="1"/>
    <n v="224"/>
    <n v="227"/>
    <n v="1"/>
    <n v="-4"/>
    <n v="9"/>
    <n v="0"/>
    <n v="48"/>
    <s v="nov"/>
  </r>
  <r>
    <x v="37"/>
    <s v="Phoenix Suns @ Oklahoma City Thunder"/>
    <s v="Phoenix Suns"/>
    <n v="102"/>
    <n v="119"/>
    <n v="1"/>
    <s v="Oklahoma City Thunder"/>
    <n v="109"/>
    <n v="123"/>
    <n v="1"/>
    <n v="211"/>
    <n v="242"/>
    <n v="1"/>
    <n v="7"/>
    <n v="4"/>
    <n v="1"/>
    <n v="48"/>
    <s v="nov"/>
  </r>
  <r>
    <x v="37"/>
    <s v="San Antonio Spurs @ Denver Nuggets"/>
    <s v="San Antonio Spurs"/>
    <n v="117"/>
    <n v="139"/>
    <n v="1"/>
    <s v="Denver Nuggets"/>
    <n v="121"/>
    <n v="136"/>
    <n v="1"/>
    <n v="238"/>
    <n v="275"/>
    <n v="1"/>
    <n v="4"/>
    <n v="-3"/>
    <n v="0"/>
    <n v="48"/>
    <s v="nov"/>
  </r>
  <r>
    <x v="37"/>
    <s v="Sacramento Kings @ Utah Jazz"/>
    <s v="Sacramento Kings"/>
    <n v="115"/>
    <n v="119"/>
    <n v="1"/>
    <s v="Utah Jazz"/>
    <n v="120"/>
    <n v="128"/>
    <n v="1"/>
    <n v="235"/>
    <n v="247"/>
    <n v="1"/>
    <n v="5"/>
    <n v="9"/>
    <n v="1"/>
    <n v="48"/>
    <s v="nov"/>
  </r>
  <r>
    <x v="37"/>
    <s v="Dallas Mavericks @ Los Angeles Lakers"/>
    <s v="Dallas Mavericks"/>
    <n v="113"/>
    <n v="119"/>
    <n v="1"/>
    <s v="Los Angeles Lakers"/>
    <n v="115"/>
    <n v="129"/>
    <n v="1"/>
    <n v="228"/>
    <n v="248"/>
    <n v="1"/>
    <n v="2"/>
    <n v="10"/>
    <n v="1"/>
    <n v="48"/>
    <s v="nov"/>
  </r>
  <r>
    <x v="37"/>
    <s v="Memphis Grizzlies @ LA Clippers"/>
    <s v="Memphis Grizzlies"/>
    <n v="122"/>
    <n v="112"/>
    <n v="0"/>
    <s v="LA Clippers"/>
    <n v="119"/>
    <n v="107"/>
    <n v="0"/>
    <n v="241"/>
    <n v="219"/>
    <n v="0"/>
    <n v="-3"/>
    <n v="-5"/>
    <n v="1"/>
    <n v="48"/>
    <s v="nov"/>
  </r>
  <r>
    <x v="38"/>
    <s v="Boston Celtics @ Minnesota Timberwolves"/>
    <s v="Boston Celtics"/>
    <n v="127"/>
    <n v="115"/>
    <n v="0"/>
    <s v="Minnesota Timberwolves"/>
    <n v="116"/>
    <n v="119"/>
    <n v="1"/>
    <n v="243"/>
    <n v="234"/>
    <n v="0"/>
    <n v="-11"/>
    <n v="4"/>
    <n v="0"/>
    <n v="48"/>
    <s v="nov"/>
  </r>
  <r>
    <x v="38"/>
    <s v="Toronto Raptors @ Charlotte Hornets"/>
    <s v="Toronto Raptors"/>
    <n v="120"/>
    <n v="111"/>
    <n v="0"/>
    <s v="Charlotte Hornets"/>
    <n v="117"/>
    <n v="118"/>
    <n v="1"/>
    <n v="237"/>
    <n v="229"/>
    <n v="0"/>
    <n v="-3"/>
    <n v="7"/>
    <n v="0"/>
    <n v="48"/>
    <s v="nov"/>
  </r>
  <r>
    <x v="38"/>
    <s v="Chicago Bulls @ Indiana Pacers"/>
    <s v="Chicago Bulls"/>
    <n v="115"/>
    <n v="101"/>
    <n v="0"/>
    <s v="Indiana Pacers"/>
    <n v="114"/>
    <n v="103"/>
    <n v="0"/>
    <n v="229"/>
    <n v="204"/>
    <n v="0"/>
    <n v="-1"/>
    <n v="2"/>
    <n v="0"/>
    <n v="48"/>
    <s v="nov"/>
  </r>
  <r>
    <x v="38"/>
    <s v="Detroit Pistons @ Miami Heat"/>
    <s v="Detroit Pistons"/>
    <n v="111"/>
    <n v="138"/>
    <n v="1"/>
    <s v="Miami Heat"/>
    <n v="121"/>
    <n v="135"/>
    <n v="1"/>
    <n v="232"/>
    <n v="273"/>
    <n v="1"/>
    <n v="10"/>
    <n v="-3"/>
    <n v="0"/>
    <n v="48"/>
    <s v="nov"/>
  </r>
  <r>
    <x v="38"/>
    <s v="Brooklyn Nets @ Milwaukee Bucks"/>
    <s v="Brooklyn Nets"/>
    <n v="114"/>
    <n v="99"/>
    <n v="0"/>
    <s v="Milwaukee Bucks"/>
    <n v="109"/>
    <n v="116"/>
    <n v="1"/>
    <n v="223"/>
    <n v="215"/>
    <n v="0"/>
    <n v="-5"/>
    <n v="17"/>
    <n v="0"/>
    <n v="48"/>
    <s v="nov"/>
  </r>
  <r>
    <x v="38"/>
    <s v="New Orleans Pelicans @ Golden State Warriors"/>
    <s v="New Orleans Pelicans"/>
    <n v="116"/>
    <n v="96"/>
    <n v="0"/>
    <s v="Golden State Warriors"/>
    <n v="119"/>
    <n v="104"/>
    <n v="0"/>
    <n v="235"/>
    <n v="200"/>
    <n v="0"/>
    <n v="3"/>
    <n v="8"/>
    <n v="1"/>
    <n v="48"/>
    <s v="nov"/>
  </r>
  <r>
    <x v="38"/>
    <s v="Denver Nuggets @ Phoenix Suns"/>
    <s v="Denver Nuggets"/>
    <n v="118"/>
    <n v="130"/>
    <n v="1"/>
    <s v="Phoenix Suns"/>
    <n v="108"/>
    <n v="112"/>
    <n v="1"/>
    <n v="226"/>
    <n v="242"/>
    <n v="1"/>
    <n v="-10"/>
    <n v="-18"/>
    <n v="1"/>
    <n v="48"/>
    <s v="nov"/>
  </r>
  <r>
    <x v="38"/>
    <s v="Dallas Mavericks @ LA Clippers"/>
    <s v="Dallas Mavericks"/>
    <n v="99"/>
    <n v="114"/>
    <n v="1"/>
    <s v="LA Clippers"/>
    <n v="107"/>
    <n v="110"/>
    <n v="1"/>
    <n v="206"/>
    <n v="224"/>
    <n v="1"/>
    <n v="8"/>
    <n v="-4"/>
    <n v="0"/>
    <n v="48"/>
    <s v="nov"/>
  </r>
  <r>
    <x v="39"/>
    <s v="Houston Rockets @ Utah Jazz"/>
    <s v="Houston Rockets"/>
    <n v="126"/>
    <n v="129"/>
    <n v="1"/>
    <s v="Utah Jazz"/>
    <n v="117"/>
    <n v="101"/>
    <n v="0"/>
    <n v="243"/>
    <n v="230"/>
    <n v="0"/>
    <n v="-9"/>
    <n v="-28"/>
    <n v="1"/>
    <n v="48"/>
    <s v="nov"/>
  </r>
  <r>
    <x v="39"/>
    <s v="Boston Celtics @ Cleveland Cavaliers"/>
    <s v="Boston Celtics"/>
    <n v="112"/>
    <n v="117"/>
    <n v="1"/>
    <s v="Cleveland Cavaliers"/>
    <n v="115"/>
    <n v="115"/>
    <n v="0"/>
    <n v="227"/>
    <n v="232"/>
    <n v="1"/>
    <n v="3"/>
    <n v="-2"/>
    <n v="0"/>
    <n v="48"/>
    <s v="nov"/>
  </r>
  <r>
    <x v="39"/>
    <s v="Toronto Raptors @ New York Knicks"/>
    <s v="Toronto Raptors"/>
    <n v="111"/>
    <n v="94"/>
    <n v="0"/>
    <s v="New York Knicks"/>
    <n v="114"/>
    <n v="116"/>
    <n v="1"/>
    <n v="225"/>
    <n v="210"/>
    <n v="0"/>
    <n v="3"/>
    <n v="22"/>
    <n v="1"/>
    <n v="48"/>
    <s v="nov"/>
  </r>
  <r>
    <x v="39"/>
    <s v="Atlanta Hawks @ Philadelphia 76ers"/>
    <s v="Atlanta Hawks"/>
    <n v="117"/>
    <n v="142"/>
    <n v="1"/>
    <s v="Philadelphia 76ers"/>
    <n v="125"/>
    <n v="134"/>
    <n v="1"/>
    <n v="242"/>
    <n v="276"/>
    <n v="1"/>
    <n v="8"/>
    <n v="-8"/>
    <n v="0"/>
    <n v="48"/>
    <s v="nov"/>
  </r>
  <r>
    <x v="39"/>
    <s v="Oklahoma City Thunder @ Portland Trail Blazers"/>
    <s v="Oklahoma City Thunder"/>
    <n v="110"/>
    <n v="123"/>
    <n v="1"/>
    <s v="Portland Trail Blazers"/>
    <n v="107"/>
    <n v="115"/>
    <n v="1"/>
    <n v="217"/>
    <n v="238"/>
    <n v="1"/>
    <n v="-3"/>
    <n v="-8"/>
    <n v="1"/>
    <n v="48"/>
    <s v="nov"/>
  </r>
  <r>
    <x v="39"/>
    <s v="San Antonio Spurs @ Minnesota Timberwolves"/>
    <s v="San Antonio Spurs"/>
    <n v="113"/>
    <n v="112"/>
    <n v="0"/>
    <s v="Minnesota Timberwolves"/>
    <n v="116"/>
    <n v="125"/>
    <n v="1"/>
    <n v="229"/>
    <n v="237"/>
    <n v="1"/>
    <n v="3"/>
    <n v="13"/>
    <n v="1"/>
    <n v="48"/>
    <s v="nov"/>
  </r>
  <r>
    <x v="39"/>
    <s v="Memphis Grizzlies @ Sacramento Kings"/>
    <s v="Memphis Grizzlies"/>
    <n v="120"/>
    <n v="115"/>
    <n v="0"/>
    <s v="Sacramento Kings"/>
    <n v="113"/>
    <n v="107"/>
    <n v="0"/>
    <n v="233"/>
    <n v="222"/>
    <n v="0"/>
    <n v="-7"/>
    <n v="-8"/>
    <n v="1"/>
    <n v="48"/>
    <s v="nov"/>
  </r>
  <r>
    <x v="39"/>
    <s v="New Orleans Pelicans @ Los Angeles Lakers"/>
    <s v="New Orleans Pelicans"/>
    <n v="104"/>
    <n v="121"/>
    <n v="1"/>
    <s v="Los Angeles Lakers"/>
    <n v="113"/>
    <n v="133"/>
    <n v="1"/>
    <n v="217"/>
    <n v="254"/>
    <n v="1"/>
    <n v="9"/>
    <n v="12"/>
    <n v="1"/>
    <n v="48"/>
    <s v="nov"/>
  </r>
  <r>
    <x v="40"/>
    <s v="Atlanta Hawks @ Detroit Pistons"/>
    <s v="Atlanta Hawks"/>
    <n v="132"/>
    <n v="98"/>
    <n v="0"/>
    <s v="Detroit Pistons"/>
    <n v="121"/>
    <n v="99"/>
    <n v="0"/>
    <n v="253"/>
    <n v="197"/>
    <n v="0"/>
    <n v="-11"/>
    <n v="1"/>
    <n v="0"/>
    <n v="49"/>
    <s v="dic"/>
  </r>
  <r>
    <x v="40"/>
    <s v="Cleveland Cavaliers @ Indiana Pacers"/>
    <s v="Cleveland Cavaliers"/>
    <n v="120"/>
    <n v="135"/>
    <n v="1"/>
    <s v="Indiana Pacers"/>
    <n v="116"/>
    <n v="119"/>
    <n v="1"/>
    <n v="236"/>
    <n v="254"/>
    <n v="1"/>
    <n v="-4"/>
    <n v="-16"/>
    <n v="1"/>
    <n v="49"/>
    <s v="dic"/>
  </r>
  <r>
    <x v="40"/>
    <s v="Milwaukee Bucks @ Washington Wizards"/>
    <s v="Milwaukee Bucks"/>
    <n v="116"/>
    <n v="126"/>
    <n v="1"/>
    <s v="Washington Wizards"/>
    <n v="124"/>
    <n v="129"/>
    <n v="1"/>
    <n v="240"/>
    <n v="255"/>
    <n v="1"/>
    <n v="8"/>
    <n v="3"/>
    <n v="1"/>
    <n v="49"/>
    <s v="dic"/>
  </r>
  <r>
    <x v="40"/>
    <s v="Charlotte Hornets @ Brooklyn Nets"/>
    <s v="Charlotte Hornets"/>
    <n v="115"/>
    <n v="103"/>
    <n v="0"/>
    <s v="Brooklyn Nets"/>
    <n v="113"/>
    <n v="116"/>
    <n v="1"/>
    <n v="228"/>
    <n v="219"/>
    <n v="0"/>
    <n v="-2"/>
    <n v="13"/>
    <n v="0"/>
    <n v="49"/>
    <s v="dic"/>
  </r>
  <r>
    <x v="40"/>
    <s v="LA Clippers @ Miami Heat"/>
    <s v="LA Clippers"/>
    <n v="117"/>
    <n v="123"/>
    <n v="1"/>
    <s v="Miami Heat"/>
    <n v="111"/>
    <n v="140"/>
    <n v="1"/>
    <n v="228"/>
    <n v="263"/>
    <n v="1"/>
    <n v="-6"/>
    <n v="17"/>
    <n v="0"/>
    <n v="49"/>
    <s v="dic"/>
  </r>
  <r>
    <x v="40"/>
    <s v="Chicago Bulls @ Orlando Magic"/>
    <s v="Chicago Bulls"/>
    <n v="117"/>
    <n v="120"/>
    <n v="1"/>
    <s v="Orlando Magic"/>
    <n v="122"/>
    <n v="125"/>
    <n v="1"/>
    <n v="239"/>
    <n v="245"/>
    <n v="1"/>
    <n v="5"/>
    <n v="5"/>
    <n v="1"/>
    <n v="49"/>
    <s v="dic"/>
  </r>
  <r>
    <x v="40"/>
    <s v="Dallas Mavericks @ Denver Nuggets"/>
    <s v="Dallas Mavericks"/>
    <n v="112"/>
    <n v="131"/>
    <n v="1"/>
    <s v="Denver Nuggets"/>
    <n v="108"/>
    <n v="121"/>
    <n v="1"/>
    <n v="220"/>
    <n v="252"/>
    <n v="1"/>
    <n v="-4"/>
    <n v="-10"/>
    <n v="1"/>
    <n v="49"/>
    <s v="dic"/>
  </r>
  <r>
    <x v="40"/>
    <s v="Houston Rockets @ Utah Jazz"/>
    <s v="Houston Rockets"/>
    <n v="123"/>
    <n v="125"/>
    <n v="1"/>
    <s v="Utah Jazz"/>
    <n v="124"/>
    <n v="133"/>
    <n v="1"/>
    <n v="247"/>
    <n v="258"/>
    <n v="1"/>
    <n v="1"/>
    <n v="8"/>
    <n v="1"/>
    <n v="49"/>
    <s v="dic"/>
  </r>
  <r>
    <x v="40"/>
    <s v="Phoenix Suns @ Los Angeles Lakers"/>
    <s v="Phoenix Suns"/>
    <n v="119"/>
    <n v="125"/>
    <n v="1"/>
    <s v="Los Angeles Lakers"/>
    <n v="124"/>
    <n v="108"/>
    <n v="0"/>
    <n v="243"/>
    <n v="233"/>
    <n v="0"/>
    <n v="5"/>
    <n v="-17"/>
    <n v="0"/>
    <n v="49"/>
    <s v="dic"/>
  </r>
  <r>
    <x v="41"/>
    <s v="Washington Wizards @ Philadelphia 76ers"/>
    <s v="Washington Wizards"/>
    <n v="126"/>
    <n v="102"/>
    <n v="0"/>
    <s v="Philadelphia 76ers"/>
    <n v="130"/>
    <n v="121"/>
    <n v="0"/>
    <n v="256"/>
    <n v="223"/>
    <n v="0"/>
    <n v="4"/>
    <n v="19"/>
    <n v="1"/>
    <n v="49"/>
    <s v="dic"/>
  </r>
  <r>
    <x v="41"/>
    <s v="Portland Trail Blazers @ Toronto Raptors"/>
    <s v="Portland Trail Blazers"/>
    <n v="113"/>
    <n v="118"/>
    <n v="1"/>
    <s v="Toronto Raptors"/>
    <n v="120"/>
    <n v="121"/>
    <n v="1"/>
    <n v="233"/>
    <n v="239"/>
    <n v="1"/>
    <n v="7"/>
    <n v="3"/>
    <n v="1"/>
    <n v="49"/>
    <s v="dic"/>
  </r>
  <r>
    <x v="41"/>
    <s v="New York Knicks @ Boston Celtics"/>
    <s v="New York Knicks"/>
    <n v="107"/>
    <n v="117"/>
    <n v="1"/>
    <s v="Boston Celtics"/>
    <n v="126"/>
    <n v="123"/>
    <n v="0"/>
    <n v="233"/>
    <n v="240"/>
    <n v="1"/>
    <n v="19"/>
    <n v="6"/>
    <n v="1"/>
    <n v="49"/>
    <s v="dic"/>
  </r>
  <r>
    <x v="41"/>
    <s v="Minnesota Timberwolves @ New Orleans Pelicans"/>
    <s v="Minnesota Timberwolves"/>
    <n v="124"/>
    <n v="149"/>
    <n v="1"/>
    <s v="New Orleans Pelicans"/>
    <n v="135"/>
    <n v="142"/>
    <n v="1"/>
    <n v="259"/>
    <n v="291"/>
    <n v="1"/>
    <n v="11"/>
    <n v="-7"/>
    <n v="0"/>
    <n v="49"/>
    <s v="dic"/>
  </r>
  <r>
    <x v="41"/>
    <s v="Memphis Grizzlies @ San Antonio Spurs"/>
    <s v="Memphis Grizzlies"/>
    <n v="114"/>
    <n v="119"/>
    <n v="1"/>
    <s v="San Antonio Spurs"/>
    <n v="127"/>
    <n v="126"/>
    <n v="0"/>
    <n v="241"/>
    <n v="245"/>
    <n v="1"/>
    <n v="13"/>
    <n v="7"/>
    <n v="1"/>
    <n v="49"/>
    <s v="dic"/>
  </r>
  <r>
    <x v="41"/>
    <s v="Oklahoma City Thunder @ Golden State Warriors"/>
    <s v="Oklahoma City Thunder"/>
    <n v="120"/>
    <n v="124"/>
    <n v="1"/>
    <s v="Golden State Warriors"/>
    <n v="123"/>
    <n v="112"/>
    <n v="0"/>
    <n v="243"/>
    <n v="236"/>
    <n v="0"/>
    <n v="3"/>
    <n v="-12"/>
    <n v="0"/>
    <n v="49"/>
    <s v="dic"/>
  </r>
  <r>
    <x v="42"/>
    <s v="Portland Trail Blazers @ Cleveland Cavaliers"/>
    <s v="Portland Trail Blazers"/>
    <n v="127"/>
    <n v="122"/>
    <n v="0"/>
    <s v="Cleveland Cavaliers"/>
    <n v="120"/>
    <n v="110"/>
    <n v="0"/>
    <n v="247"/>
    <n v="232"/>
    <n v="0"/>
    <n v="-7"/>
    <n v="-12"/>
    <n v="1"/>
    <n v="49"/>
    <s v="dic"/>
  </r>
  <r>
    <x v="42"/>
    <s v="Denver Nuggets @ Indiana Pacers"/>
    <s v="Denver Nuggets"/>
    <n v="120"/>
    <n v="135"/>
    <n v="1"/>
    <s v="Indiana Pacers"/>
    <n v="117"/>
    <n v="120"/>
    <n v="1"/>
    <n v="237"/>
    <n v="255"/>
    <n v="1"/>
    <n v="-3"/>
    <n v="-15"/>
    <n v="1"/>
    <n v="49"/>
    <s v="dic"/>
  </r>
  <r>
    <x v="42"/>
    <s v="San Antonio Spurs @ Orlando Magic"/>
    <s v="San Antonio Spurs"/>
    <n v="114"/>
    <n v="114"/>
    <n v="0"/>
    <s v="Orlando Magic"/>
    <n v="116"/>
    <n v="112"/>
    <n v="0"/>
    <n v="230"/>
    <n v="226"/>
    <n v="0"/>
    <n v="2"/>
    <n v="-2"/>
    <n v="0"/>
    <n v="49"/>
    <s v="dic"/>
  </r>
  <r>
    <x v="42"/>
    <s v="LA Clippers @ Atlanta Hawks"/>
    <s v="LA Clippers"/>
    <n v="117"/>
    <n v="115"/>
    <n v="0"/>
    <s v="Atlanta Hawks"/>
    <n v="123"/>
    <n v="92"/>
    <n v="0"/>
    <n v="240"/>
    <n v="207"/>
    <n v="0"/>
    <n v="6"/>
    <n v="-23"/>
    <n v="0"/>
    <n v="49"/>
    <s v="dic"/>
  </r>
  <r>
    <x v="42"/>
    <s v="Charlotte Hornets @ New York Knicks"/>
    <s v="Charlotte Hornets"/>
    <n v="116"/>
    <n v="104"/>
    <n v="0"/>
    <s v="New York Knicks"/>
    <n v="127"/>
    <n v="119"/>
    <n v="0"/>
    <n v="243"/>
    <n v="223"/>
    <n v="0"/>
    <n v="11"/>
    <n v="15"/>
    <n v="1"/>
    <n v="49"/>
    <s v="dic"/>
  </r>
  <r>
    <x v="42"/>
    <s v="Brooklyn Nets @ Chicago Bulls"/>
    <s v="Brooklyn Nets"/>
    <n v="111"/>
    <n v="113"/>
    <n v="1"/>
    <s v="Chicago Bulls"/>
    <n v="119"/>
    <n v="103"/>
    <n v="0"/>
    <n v="230"/>
    <n v="216"/>
    <n v="0"/>
    <n v="8"/>
    <n v="-10"/>
    <n v="0"/>
    <n v="49"/>
    <s v="dic"/>
  </r>
  <r>
    <x v="42"/>
    <s v="Sacramento Kings @ Houston Rockets"/>
    <s v="Sacramento Kings"/>
    <n v="113"/>
    <n v="95"/>
    <n v="0"/>
    <s v="Houston Rockets"/>
    <n v="119"/>
    <n v="121"/>
    <n v="1"/>
    <n v="232"/>
    <n v="216"/>
    <n v="0"/>
    <n v="6"/>
    <n v="26"/>
    <n v="1"/>
    <n v="49"/>
    <s v="dic"/>
  </r>
  <r>
    <x v="42"/>
    <s v="Detroit Pistons @ Milwaukee Bucks"/>
    <s v="Detroit Pistons"/>
    <n v="104"/>
    <n v="109"/>
    <n v="1"/>
    <s v="Milwaukee Bucks"/>
    <n v="122"/>
    <n v="113"/>
    <n v="0"/>
    <n v="226"/>
    <n v="222"/>
    <n v="0"/>
    <n v="18"/>
    <n v="4"/>
    <n v="1"/>
    <n v="49"/>
    <s v="dic"/>
  </r>
  <r>
    <x v="42"/>
    <s v="Miami Heat @ Dallas Mavericks"/>
    <s v="Miami Heat"/>
    <n v="122"/>
    <n v="108"/>
    <n v="0"/>
    <s v="Dallas Mavericks"/>
    <n v="117"/>
    <n v="118"/>
    <n v="1"/>
    <n v="239"/>
    <n v="226"/>
    <n v="0"/>
    <n v="-5"/>
    <n v="10"/>
    <n v="0"/>
    <n v="49"/>
    <s v="dic"/>
  </r>
  <r>
    <x v="43"/>
    <s v="Golden State Warriors @ Philadelphia 76ers"/>
    <s v="Golden State Warriors"/>
    <n v="126"/>
    <n v="98"/>
    <n v="0"/>
    <s v="Philadelphia 76ers"/>
    <n v="130"/>
    <n v="99"/>
    <n v="0"/>
    <n v="256"/>
    <n v="197"/>
    <n v="0"/>
    <n v="4"/>
    <n v="1"/>
    <n v="1"/>
    <n v="49"/>
    <s v="dic"/>
  </r>
  <r>
    <x v="43"/>
    <s v="Boston Celtics @ Washington Wizards"/>
    <s v="Boston Celtics"/>
    <n v="122"/>
    <n v="146"/>
    <n v="1"/>
    <s v="Washington Wizards"/>
    <n v="124"/>
    <n v="101"/>
    <n v="0"/>
    <n v="246"/>
    <n v="247"/>
    <n v="1"/>
    <n v="2"/>
    <n v="-45"/>
    <n v="0"/>
    <n v="49"/>
    <s v="dic"/>
  </r>
  <r>
    <x v="43"/>
    <s v="Utah Jazz @ Brooklyn Nets"/>
    <s v="Utah Jazz"/>
    <n v="110"/>
    <n v="123"/>
    <n v="1"/>
    <s v="Brooklyn Nets"/>
    <n v="119"/>
    <n v="110"/>
    <n v="0"/>
    <n v="229"/>
    <n v="233"/>
    <n v="1"/>
    <n v="9"/>
    <n v="-13"/>
    <n v="0"/>
    <n v="49"/>
    <s v="dic"/>
  </r>
  <r>
    <x v="43"/>
    <s v="Los Angeles Lakers @ Toronto Raptors"/>
    <s v="Los Angeles Lakers"/>
    <n v="115"/>
    <n v="123"/>
    <n v="1"/>
    <s v="Toronto Raptors"/>
    <n v="121"/>
    <n v="120"/>
    <n v="0"/>
    <n v="236"/>
    <n v="243"/>
    <n v="1"/>
    <n v="6"/>
    <n v="-3"/>
    <n v="0"/>
    <n v="49"/>
    <s v="dic"/>
  </r>
  <r>
    <x v="43"/>
    <s v="Minnesota Timberwolves @ New Orleans Pelicans"/>
    <s v="Minnesota Timberwolves"/>
    <n v="120"/>
    <n v="125"/>
    <n v="1"/>
    <s v="New Orleans Pelicans"/>
    <n v="128"/>
    <n v="116"/>
    <n v="0"/>
    <n v="248"/>
    <n v="241"/>
    <n v="0"/>
    <n v="8"/>
    <n v="-9"/>
    <n v="0"/>
    <n v="49"/>
    <s v="dic"/>
  </r>
  <r>
    <x v="44"/>
    <s v="Los Angeles Lakers @ Boston Celtics"/>
    <s v="Los Angeles Lakers"/>
    <n v="123"/>
    <n v="105"/>
    <n v="0"/>
    <s v="Boston Celtics"/>
    <n v="117"/>
    <n v="126"/>
    <n v="1"/>
    <n v="240"/>
    <n v="231"/>
    <n v="0"/>
    <n v="-6"/>
    <n v="21"/>
    <n v="0"/>
    <n v="49"/>
    <s v="dic"/>
  </r>
  <r>
    <x v="44"/>
    <s v="Miami Heat @ Orlando Magic"/>
    <s v="Miami Heat"/>
    <n v="109"/>
    <n v="105"/>
    <n v="0"/>
    <s v="Orlando Magic"/>
    <n v="115"/>
    <n v="106"/>
    <n v="0"/>
    <n v="224"/>
    <n v="211"/>
    <n v="0"/>
    <n v="6"/>
    <n v="1"/>
    <n v="1"/>
    <n v="49"/>
    <s v="dic"/>
  </r>
  <r>
    <x v="44"/>
    <s v="Denver Nuggets @ Atlanta Hawks"/>
    <s v="Denver Nuggets"/>
    <n v="110"/>
    <n v="134"/>
    <n v="1"/>
    <s v="Atlanta Hawks"/>
    <n v="126"/>
    <n v="133"/>
    <n v="1"/>
    <n v="236"/>
    <n v="267"/>
    <n v="1"/>
    <n v="16"/>
    <n v="-1"/>
    <n v="0"/>
    <n v="49"/>
    <s v="dic"/>
  </r>
  <r>
    <x v="44"/>
    <s v="San Antonio Spurs @ Cleveland Cavaliers"/>
    <s v="San Antonio Spurs"/>
    <n v="119"/>
    <n v="117"/>
    <n v="0"/>
    <s v="Cleveland Cavaliers"/>
    <n v="127"/>
    <n v="130"/>
    <n v="1"/>
    <n v="246"/>
    <n v="247"/>
    <n v="1"/>
    <n v="8"/>
    <n v="13"/>
    <n v="1"/>
    <n v="49"/>
    <s v="dic"/>
  </r>
  <r>
    <x v="44"/>
    <s v="Portland Trail Blazers @ Detroit Pistons"/>
    <s v="Portland Trail Blazers"/>
    <n v="120"/>
    <n v="115"/>
    <n v="0"/>
    <s v="Detroit Pistons"/>
    <n v="110"/>
    <n v="122"/>
    <n v="1"/>
    <n v="230"/>
    <n v="237"/>
    <n v="1"/>
    <n v="-10"/>
    <n v="7"/>
    <n v="0"/>
    <n v="49"/>
    <s v="dic"/>
  </r>
  <r>
    <x v="44"/>
    <s v="Utah Jazz @ New York Knicks"/>
    <s v="Utah Jazz"/>
    <n v="125"/>
    <n v="112"/>
    <n v="0"/>
    <s v="New York Knicks"/>
    <n v="133"/>
    <n v="146"/>
    <n v="1"/>
    <n v="258"/>
    <n v="258"/>
    <n v="0"/>
    <n v="8"/>
    <n v="34"/>
    <n v="1"/>
    <n v="49"/>
    <s v="dic"/>
  </r>
  <r>
    <x v="44"/>
    <s v="Charlotte Hornets @ Toronto Raptors"/>
    <s v="Charlotte Hornets"/>
    <n v="113"/>
    <n v="111"/>
    <n v="0"/>
    <s v="Toronto Raptors"/>
    <n v="116"/>
    <n v="86"/>
    <n v="0"/>
    <n v="229"/>
    <n v="197"/>
    <n v="0"/>
    <n v="3"/>
    <n v="-25"/>
    <n v="0"/>
    <n v="49"/>
    <s v="dic"/>
  </r>
  <r>
    <x v="44"/>
    <s v="Indiana Pacers @ Chicago Bulls"/>
    <s v="Indiana Pacers"/>
    <n v="105"/>
    <n v="120"/>
    <n v="1"/>
    <s v="Chicago Bulls"/>
    <n v="115"/>
    <n v="105"/>
    <n v="0"/>
    <n v="220"/>
    <n v="225"/>
    <n v="1"/>
    <n v="10"/>
    <n v="-15"/>
    <n v="0"/>
    <n v="49"/>
    <s v="dic"/>
  </r>
  <r>
    <x v="44"/>
    <s v="Phoenix Suns @ Houston Rockets"/>
    <s v="Phoenix Suns"/>
    <n v="119"/>
    <n v="98"/>
    <n v="0"/>
    <s v="Houston Rockets"/>
    <n v="121"/>
    <n v="117"/>
    <n v="0"/>
    <n v="240"/>
    <n v="215"/>
    <n v="0"/>
    <n v="2"/>
    <n v="19"/>
    <n v="1"/>
    <n v="49"/>
    <s v="dic"/>
  </r>
  <r>
    <x v="44"/>
    <s v="LA Clippers @ Memphis Grizzlies"/>
    <s v="LA Clippers"/>
    <n v="117"/>
    <n v="98"/>
    <n v="0"/>
    <s v="Memphis Grizzlies"/>
    <n v="119"/>
    <n v="107"/>
    <n v="0"/>
    <n v="236"/>
    <n v="205"/>
    <n v="0"/>
    <n v="2"/>
    <n v="9"/>
    <n v="1"/>
    <n v="49"/>
    <s v="dic"/>
  </r>
  <r>
    <x v="44"/>
    <s v="Philadelphia 76ers @ Milwaukee Bucks"/>
    <s v="Philadelphia 76ers"/>
    <n v="107"/>
    <n v="116"/>
    <n v="1"/>
    <s v="Milwaukee Bucks"/>
    <n v="120"/>
    <n v="101"/>
    <n v="0"/>
    <n v="227"/>
    <n v="217"/>
    <n v="0"/>
    <n v="13"/>
    <n v="-15"/>
    <n v="0"/>
    <n v="49"/>
    <s v="dic"/>
  </r>
  <r>
    <x v="44"/>
    <s v="Dallas Mavericks @ Oklahoma City Thunder"/>
    <s v="Dallas Mavericks"/>
    <n v="107"/>
    <n v="111"/>
    <n v="1"/>
    <s v="Oklahoma City Thunder"/>
    <n v="114"/>
    <n v="132"/>
    <n v="1"/>
    <n v="221"/>
    <n v="243"/>
    <n v="1"/>
    <n v="7"/>
    <n v="21"/>
    <n v="1"/>
    <n v="49"/>
    <s v="dic"/>
  </r>
  <r>
    <x v="45"/>
    <s v="New Orleans Pelicans @ Brooklyn Nets"/>
    <s v="New Orleans Pelicans"/>
    <n v="127"/>
    <n v="101"/>
    <n v="0"/>
    <s v="Brooklyn Nets"/>
    <n v="123"/>
    <n v="119"/>
    <n v="0"/>
    <n v="250"/>
    <n v="220"/>
    <n v="0"/>
    <n v="-4"/>
    <n v="18"/>
    <n v="0"/>
    <n v="49"/>
    <s v="dic"/>
  </r>
  <r>
    <x v="45"/>
    <s v="Atlanta Hawks @ Washington Wizards"/>
    <s v="Atlanta Hawks"/>
    <n v="124"/>
    <n v="131"/>
    <n v="1"/>
    <s v="Washington Wizards"/>
    <n v="132"/>
    <n v="116"/>
    <n v="0"/>
    <n v="256"/>
    <n v="247"/>
    <n v="0"/>
    <n v="8"/>
    <n v="-15"/>
    <n v="0"/>
    <n v="49"/>
    <s v="dic"/>
  </r>
  <r>
    <x v="45"/>
    <s v="Golden State Warriors @ Cleveland Cavaliers"/>
    <s v="Golden State Warriors"/>
    <n v="112"/>
    <n v="99"/>
    <n v="0"/>
    <s v="Cleveland Cavaliers"/>
    <n v="121"/>
    <n v="94"/>
    <n v="0"/>
    <n v="233"/>
    <n v="193"/>
    <n v="0"/>
    <n v="9"/>
    <n v="-5"/>
    <n v="0"/>
    <n v="49"/>
    <s v="dic"/>
  </r>
  <r>
    <x v="45"/>
    <s v="Milwaukee Bucks @ Detroit Pistons"/>
    <s v="Milwaukee Bucks"/>
    <n v="118"/>
    <n v="112"/>
    <n v="0"/>
    <s v="Detroit Pistons"/>
    <n v="121"/>
    <n v="124"/>
    <n v="1"/>
    <n v="239"/>
    <n v="236"/>
    <n v="0"/>
    <n v="3"/>
    <n v="12"/>
    <n v="1"/>
    <n v="49"/>
    <s v="dic"/>
  </r>
  <r>
    <x v="45"/>
    <s v="Sacramento Kings @ Miami Heat"/>
    <s v="Sacramento Kings"/>
    <n v="105"/>
    <n v="127"/>
    <n v="1"/>
    <s v="Miami Heat"/>
    <n v="117"/>
    <n v="111"/>
    <n v="0"/>
    <n v="222"/>
    <n v="238"/>
    <n v="1"/>
    <n v="12"/>
    <n v="-16"/>
    <n v="0"/>
    <n v="49"/>
    <s v="dic"/>
  </r>
  <r>
    <x v="45"/>
    <s v="LA Clippers @ Minnesota Timberwolves"/>
    <s v="LA Clippers"/>
    <n v="115"/>
    <n v="106"/>
    <n v="0"/>
    <s v="Minnesota Timberwolves"/>
    <n v="119"/>
    <n v="109"/>
    <n v="0"/>
    <n v="234"/>
    <n v="215"/>
    <n v="0"/>
    <n v="4"/>
    <n v="3"/>
    <n v="1"/>
    <n v="49"/>
    <s v="dic"/>
  </r>
  <r>
    <x v="45"/>
    <s v="Houston Rockets @ Dallas Mavericks"/>
    <s v="Houston Rockets"/>
    <n v="112"/>
    <n v="109"/>
    <n v="0"/>
    <s v="Dallas Mavericks"/>
    <n v="115"/>
    <n v="122"/>
    <n v="1"/>
    <n v="227"/>
    <n v="231"/>
    <n v="1"/>
    <n v="3"/>
    <n v="13"/>
    <n v="1"/>
    <n v="49"/>
    <s v="dic"/>
  </r>
  <r>
    <x v="46"/>
    <s v="Orlando Magic @ New York Knicks"/>
    <s v="Orlando Magic"/>
    <n v="137"/>
    <n v="100"/>
    <n v="0"/>
    <s v="New York Knicks"/>
    <n v="133"/>
    <n v="106"/>
    <n v="0"/>
    <n v="270"/>
    <n v="206"/>
    <n v="0"/>
    <n v="-4"/>
    <n v="6"/>
    <n v="0"/>
    <n v="49"/>
    <s v="dic"/>
  </r>
  <r>
    <x v="46"/>
    <s v="Boston Celtics @ Toronto Raptors"/>
    <s v="Boston Celtics"/>
    <n v="111"/>
    <n v="121"/>
    <n v="1"/>
    <s v="Toronto Raptors"/>
    <n v="116"/>
    <n v="113"/>
    <n v="0"/>
    <n v="227"/>
    <n v="234"/>
    <n v="1"/>
    <n v="5"/>
    <n v="-8"/>
    <n v="0"/>
    <n v="49"/>
    <s v="dic"/>
  </r>
  <r>
    <x v="46"/>
    <s v="Denver Nuggets @ Charlotte Hornets"/>
    <s v="Denver Nuggets"/>
    <n v="116"/>
    <n v="115"/>
    <n v="0"/>
    <s v="Charlotte Hornets"/>
    <n v="110"/>
    <n v="106"/>
    <n v="0"/>
    <n v="226"/>
    <n v="221"/>
    <n v="0"/>
    <n v="-6"/>
    <n v="-9"/>
    <n v="1"/>
    <n v="49"/>
    <s v="dic"/>
  </r>
  <r>
    <x v="46"/>
    <s v="Portland Trail Blazers @ Memphis Grizzlies"/>
    <s v="Portland Trail Blazers"/>
    <n v="116"/>
    <n v="96"/>
    <n v="0"/>
    <s v="Memphis Grizzlies"/>
    <n v="124"/>
    <n v="119"/>
    <n v="0"/>
    <n v="240"/>
    <n v="215"/>
    <n v="0"/>
    <n v="8"/>
    <n v="23"/>
    <n v="1"/>
    <n v="49"/>
    <s v="dic"/>
  </r>
  <r>
    <x v="46"/>
    <s v="Golden State Warriors @ Chicago Bulls"/>
    <s v="Golden State Warriors"/>
    <n v="110"/>
    <n v="123"/>
    <n v="1"/>
    <s v="Chicago Bulls"/>
    <n v="120"/>
    <n v="91"/>
    <n v="0"/>
    <n v="230"/>
    <n v="214"/>
    <n v="0"/>
    <n v="10"/>
    <n v="-32"/>
    <n v="0"/>
    <n v="49"/>
    <s v="dic"/>
  </r>
  <r>
    <x v="46"/>
    <s v="Los Angeles Lakers @ Philadelphia 76ers"/>
    <s v="Los Angeles Lakers"/>
    <n v="111"/>
    <n v="112"/>
    <n v="1"/>
    <s v="Philadelphia 76ers"/>
    <n v="115"/>
    <n v="108"/>
    <n v="0"/>
    <n v="226"/>
    <n v="220"/>
    <n v="0"/>
    <n v="4"/>
    <n v="-4"/>
    <n v="0"/>
    <n v="49"/>
    <s v="dic"/>
  </r>
  <r>
    <x v="46"/>
    <s v="Oklahoma City Thunder @ Utah Jazz"/>
    <s v="Oklahoma City Thunder"/>
    <n v="121"/>
    <n v="131"/>
    <n v="1"/>
    <s v="Utah Jazz"/>
    <n v="124"/>
    <n v="101"/>
    <n v="0"/>
    <n v="245"/>
    <n v="232"/>
    <n v="0"/>
    <n v="3"/>
    <n v="-30"/>
    <n v="0"/>
    <n v="49"/>
    <s v="dic"/>
  </r>
  <r>
    <x v="47"/>
    <s v="Sacramento Kings @ Indiana Pacers"/>
    <s v="Sacramento Kings"/>
    <n v="129"/>
    <n v="105"/>
    <n v="0"/>
    <s v="Indiana Pacers"/>
    <n v="121"/>
    <n v="116"/>
    <n v="0"/>
    <n v="250"/>
    <n v="221"/>
    <n v="0"/>
    <n v="-8"/>
    <n v="11"/>
    <n v="0"/>
    <n v="50"/>
    <s v="dic"/>
  </r>
  <r>
    <x v="47"/>
    <s v="Phoenix Suns @ Minnesota Timberwolves"/>
    <s v="Phoenix Suns"/>
    <n v="117"/>
    <n v="108"/>
    <n v="0"/>
    <s v="Minnesota Timberwolves"/>
    <n v="122"/>
    <n v="105"/>
    <n v="0"/>
    <n v="239"/>
    <n v="213"/>
    <n v="0"/>
    <n v="5"/>
    <n v="-3"/>
    <n v="0"/>
    <n v="50"/>
    <s v="dic"/>
  </r>
  <r>
    <x v="47"/>
    <s v="San Antonio Spurs @ New Orleans Pelicans"/>
    <s v="San Antonio Spurs"/>
    <n v="124"/>
    <n v="135"/>
    <n v="1"/>
    <s v="New Orleans Pelicans"/>
    <n v="128"/>
    <n v="132"/>
    <n v="1"/>
    <n v="252"/>
    <n v="267"/>
    <n v="1"/>
    <n v="4"/>
    <n v="-3"/>
    <n v="0"/>
    <n v="50"/>
    <s v="dic"/>
  </r>
  <r>
    <x v="48"/>
    <s v="Miami Heat @ Orlando Magic"/>
    <s v="Miami Heat"/>
    <n v="124"/>
    <n v="108"/>
    <n v="0"/>
    <s v="Orlando Magic"/>
    <n v="116"/>
    <n v="117"/>
    <n v="1"/>
    <n v="240"/>
    <n v="225"/>
    <n v="0"/>
    <n v="-8"/>
    <n v="9"/>
    <n v="0"/>
    <n v="50"/>
    <s v="dic"/>
  </r>
  <r>
    <x v="48"/>
    <s v="New York Knicks @ Toronto Raptors"/>
    <s v="New York Knicks"/>
    <n v="115"/>
    <n v="117"/>
    <n v="1"/>
    <s v="Toronto Raptors"/>
    <n v="130"/>
    <n v="101"/>
    <n v="0"/>
    <n v="245"/>
    <n v="218"/>
    <n v="0"/>
    <n v="15"/>
    <n v="-16"/>
    <n v="0"/>
    <n v="50"/>
    <s v="dic"/>
  </r>
  <r>
    <x v="49"/>
    <s v="Phoenix Suns @ Oklahoma City Thunder"/>
    <s v="Phoenix Suns"/>
    <n v="125"/>
    <n v="89"/>
    <n v="0"/>
    <s v="Oklahoma City Thunder"/>
    <n v="121"/>
    <n v="138"/>
    <n v="1"/>
    <n v="246"/>
    <n v="227"/>
    <n v="0"/>
    <n v="-4"/>
    <n v="49"/>
    <n v="0"/>
    <n v="50"/>
    <s v="dic"/>
  </r>
  <r>
    <x v="49"/>
    <s v="San Antonio Spurs @ Los Angeles Lakers"/>
    <s v="San Antonio Spurs"/>
    <n v="111"/>
    <n v="132"/>
    <n v="1"/>
    <s v="Los Angeles Lakers"/>
    <n v="131"/>
    <n v="119"/>
    <n v="0"/>
    <n v="242"/>
    <n v="251"/>
    <n v="1"/>
    <n v="20"/>
    <n v="-13"/>
    <n v="0"/>
    <n v="50"/>
    <s v="dic"/>
  </r>
  <r>
    <x v="50"/>
    <s v="LA Clippers @ Houston Rockets"/>
    <s v="LA Clippers"/>
    <n v="124"/>
    <n v="113"/>
    <n v="0"/>
    <s v="Houston Rockets"/>
    <n v="120"/>
    <n v="115"/>
    <n v="0"/>
    <n v="244"/>
    <n v="228"/>
    <n v="0"/>
    <n v="-4"/>
    <n v="2"/>
    <n v="0"/>
    <n v="50"/>
    <s v="dic"/>
  </r>
  <r>
    <x v="50"/>
    <s v="Boston Celtics @ Milwaukee Bucks"/>
    <s v="Boston Celtics"/>
    <n v="110"/>
    <n v="101"/>
    <n v="0"/>
    <s v="Milwaukee Bucks"/>
    <n v="115"/>
    <n v="116"/>
    <n v="1"/>
    <n v="225"/>
    <n v="217"/>
    <n v="0"/>
    <n v="5"/>
    <n v="15"/>
    <n v="1"/>
    <n v="50"/>
    <s v="dic"/>
  </r>
  <r>
    <x v="50"/>
    <s v="Portland Trail Blazers @ New Orleans Pelicans"/>
    <s v="Portland Trail Blazers"/>
    <n v="110"/>
    <n v="120"/>
    <n v="1"/>
    <s v="New Orleans Pelicans"/>
    <n v="140"/>
    <n v="143"/>
    <n v="1"/>
    <n v="250"/>
    <n v="263"/>
    <n v="1"/>
    <n v="30"/>
    <n v="23"/>
    <n v="1"/>
    <n v="50"/>
    <s v="dic"/>
  </r>
  <r>
    <x v="50"/>
    <s v="Denver Nuggets @ Sacramento Kings"/>
    <s v="Denver Nuggets"/>
    <n v="125"/>
    <n v="136"/>
    <n v="1"/>
    <s v="Sacramento Kings"/>
    <n v="120"/>
    <n v="105"/>
    <n v="0"/>
    <n v="245"/>
    <n v="241"/>
    <n v="0"/>
    <n v="-5"/>
    <n v="-31"/>
    <n v="1"/>
    <n v="50"/>
    <s v="dic"/>
  </r>
  <r>
    <x v="51"/>
    <s v="Chicago Bulls @ Charlotte Hornets"/>
    <s v="Chicago Bulls"/>
    <n v="129"/>
    <n v="129"/>
    <n v="0"/>
    <s v="Charlotte Hornets"/>
    <n v="119"/>
    <n v="126"/>
    <n v="1"/>
    <n v="248"/>
    <n v="255"/>
    <n v="1"/>
    <n v="-10"/>
    <n v="-3"/>
    <n v="1"/>
    <n v="50"/>
    <s v="dic"/>
  </r>
  <r>
    <x v="51"/>
    <s v="Atlanta Hawks @ Detroit Pistons"/>
    <s v="Atlanta Hawks"/>
    <n v="117"/>
    <n v="115"/>
    <n v="0"/>
    <s v="Detroit Pistons"/>
    <n v="120"/>
    <n v="142"/>
    <n v="1"/>
    <n v="237"/>
    <n v="257"/>
    <n v="1"/>
    <n v="3"/>
    <n v="27"/>
    <n v="1"/>
    <n v="50"/>
    <s v="dic"/>
  </r>
  <r>
    <x v="51"/>
    <s v="Indiana Pacers @ Philadelphia 76ers"/>
    <s v="Indiana Pacers"/>
    <n v="107"/>
    <n v="105"/>
    <n v="0"/>
    <s v="Philadelphia 76ers"/>
    <n v="117"/>
    <n v="115"/>
    <n v="0"/>
    <n v="224"/>
    <n v="220"/>
    <n v="0"/>
    <n v="10"/>
    <n v="10"/>
    <n v="1"/>
    <n v="50"/>
    <s v="dic"/>
  </r>
  <r>
    <x v="51"/>
    <s v="Cleveland Cavaliers @ Washington Wizards"/>
    <s v="Cleveland Cavaliers"/>
    <n v="126"/>
    <n v="130"/>
    <n v="1"/>
    <s v="Washington Wizards"/>
    <n v="133"/>
    <n v="126"/>
    <n v="0"/>
    <n v="259"/>
    <n v="256"/>
    <n v="0"/>
    <n v="7"/>
    <n v="-4"/>
    <n v="0"/>
    <n v="50"/>
    <s v="dic"/>
  </r>
  <r>
    <x v="51"/>
    <s v="Utah Jazz @ Memphis Grizzlies"/>
    <s v="Utah Jazz"/>
    <n v="111"/>
    <n v="130"/>
    <n v="1"/>
    <s v="Memphis Grizzlies"/>
    <n v="121"/>
    <n v="126"/>
    <n v="1"/>
    <n v="232"/>
    <n v="256"/>
    <n v="1"/>
    <n v="10"/>
    <n v="-4"/>
    <n v="0"/>
    <n v="50"/>
    <s v="dic"/>
  </r>
  <r>
    <x v="51"/>
    <s v="Brooklyn Nets @ Dallas Mavericks"/>
    <s v="Brooklyn Nets"/>
    <n v="109"/>
    <n v="111"/>
    <n v="1"/>
    <s v="Dallas Mavericks"/>
    <n v="115"/>
    <n v="119"/>
    <n v="1"/>
    <n v="224"/>
    <n v="230"/>
    <n v="1"/>
    <n v="6"/>
    <n v="8"/>
    <n v="1"/>
    <n v="50"/>
    <s v="dic"/>
  </r>
  <r>
    <x v="51"/>
    <s v="Minnesota Timberwolves @ Golden State Warriors"/>
    <s v="Minnesota Timberwolves"/>
    <n v="122"/>
    <n v="127"/>
    <n v="1"/>
    <s v="Golden State Warriors"/>
    <n v="132"/>
    <n v="120"/>
    <n v="0"/>
    <n v="254"/>
    <n v="247"/>
    <n v="0"/>
    <n v="10"/>
    <n v="-7"/>
    <n v="0"/>
    <n v="50"/>
    <s v="dic"/>
  </r>
  <r>
    <x v="52"/>
    <s v="New York Knicks @ Orlando Magic"/>
    <s v="New York Knicks"/>
    <n v="103"/>
    <n v="132"/>
    <n v="1"/>
    <s v="Orlando Magic"/>
    <n v="101"/>
    <n v="120"/>
    <n v="1"/>
    <n v="204"/>
    <n v="252"/>
    <n v="1"/>
    <n v="-2"/>
    <n v="-12"/>
    <n v="1"/>
    <n v="50"/>
    <s v="dic"/>
  </r>
  <r>
    <x v="52"/>
    <s v="San Antonio Spurs @ Oklahoma City Thunder"/>
    <s v="San Antonio Spurs"/>
    <n v="97"/>
    <n v="111"/>
    <n v="1"/>
    <s v="Oklahoma City Thunder"/>
    <n v="110"/>
    <n v="109"/>
    <n v="0"/>
    <n v="207"/>
    <n v="220"/>
    <n v="1"/>
    <n v="13"/>
    <n v="-2"/>
    <n v="0"/>
    <n v="50"/>
    <s v="dic"/>
  </r>
  <r>
    <x v="53"/>
    <s v="Washington Wizards @ Indiana Pacers"/>
    <s v="Washington Wizards"/>
    <n v="128"/>
    <n v="108"/>
    <n v="0"/>
    <s v="Indiana Pacers"/>
    <n v="125"/>
    <n v="89"/>
    <n v="0"/>
    <n v="253"/>
    <n v="197"/>
    <n v="0"/>
    <n v="-3"/>
    <n v="-19"/>
    <n v="1"/>
    <n v="50"/>
    <s v="dic"/>
  </r>
  <r>
    <x v="53"/>
    <s v="Charlotte Hornets @ Cleveland Cavaliers"/>
    <s v="Charlotte Hornets"/>
    <n v="111"/>
    <n v="119"/>
    <n v="1"/>
    <s v="Cleveland Cavaliers"/>
    <n v="118"/>
    <n v="111"/>
    <n v="0"/>
    <n v="229"/>
    <n v="230"/>
    <n v="1"/>
    <n v="7"/>
    <n v="-8"/>
    <n v="0"/>
    <n v="50"/>
    <s v="dic"/>
  </r>
  <r>
    <x v="53"/>
    <s v="Philadelphia 76ers @ Atlanta Hawks"/>
    <s v="Philadelphia 76ers"/>
    <n v="113"/>
    <n v="117"/>
    <n v="1"/>
    <s v="Atlanta Hawks"/>
    <n v="116"/>
    <n v="120"/>
    <n v="1"/>
    <n v="229"/>
    <n v="237"/>
    <n v="1"/>
    <n v="3"/>
    <n v="3"/>
    <n v="1"/>
    <n v="50"/>
    <s v="dic"/>
  </r>
  <r>
    <x v="53"/>
    <s v="Milwaukee Bucks @ Brooklyn Nets"/>
    <s v="Milwaukee Bucks"/>
    <n v="119"/>
    <n v="82"/>
    <n v="0"/>
    <s v="Brooklyn Nets"/>
    <n v="117"/>
    <n v="127"/>
    <n v="1"/>
    <n v="236"/>
    <n v="209"/>
    <n v="0"/>
    <n v="-2"/>
    <n v="45"/>
    <n v="0"/>
    <n v="50"/>
    <s v="dic"/>
  </r>
  <r>
    <x v="53"/>
    <s v="Sacramento Kings @ Minnesota Timberwolves"/>
    <s v="Sacramento Kings"/>
    <n v="120"/>
    <n v="103"/>
    <n v="0"/>
    <s v="Minnesota Timberwolves"/>
    <n v="114"/>
    <n v="117"/>
    <n v="1"/>
    <n v="234"/>
    <n v="220"/>
    <n v="0"/>
    <n v="-6"/>
    <n v="14"/>
    <n v="0"/>
    <n v="50"/>
    <s v="dic"/>
  </r>
  <r>
    <x v="53"/>
    <s v="New Orleans Pelicans @ Chicago Bulls"/>
    <s v="New Orleans Pelicans"/>
    <n v="121"/>
    <n v="114"/>
    <n v="0"/>
    <s v="Chicago Bulls"/>
    <n v="126"/>
    <n v="104"/>
    <n v="0"/>
    <n v="247"/>
    <n v="218"/>
    <n v="0"/>
    <n v="5"/>
    <n v="-10"/>
    <n v="0"/>
    <n v="50"/>
    <s v="dic"/>
  </r>
  <r>
    <x v="53"/>
    <s v="Los Angeles Lakers @ Phoenix Suns"/>
    <s v="Los Angeles Lakers"/>
    <n v="117"/>
    <n v="116"/>
    <n v="0"/>
    <s v="Phoenix Suns"/>
    <n v="110"/>
    <n v="114"/>
    <n v="1"/>
    <n v="227"/>
    <n v="230"/>
    <n v="1"/>
    <n v="-7"/>
    <n v="-2"/>
    <n v="1"/>
    <n v="50"/>
    <s v="dic"/>
  </r>
  <r>
    <x v="53"/>
    <s v="Golden State Warriors @ Portland Trail Blazers"/>
    <s v="Golden State Warriors"/>
    <n v="116"/>
    <n v="131"/>
    <n v="1"/>
    <s v="Portland Trail Blazers"/>
    <n v="111"/>
    <n v="136"/>
    <n v="1"/>
    <n v="227"/>
    <n v="267"/>
    <n v="1"/>
    <n v="-5"/>
    <n v="5"/>
    <n v="0"/>
    <n v="50"/>
    <s v="dic"/>
  </r>
  <r>
    <x v="54"/>
    <s v="Detroit Pistons @ Boston Celtics"/>
    <s v="Detroit Pistons"/>
    <n v="122"/>
    <n v="112"/>
    <n v="0"/>
    <s v="Boston Celtics"/>
    <n v="117"/>
    <n v="105"/>
    <n v="0"/>
    <n v="239"/>
    <n v="217"/>
    <n v="0"/>
    <n v="-5"/>
    <n v="-7"/>
    <n v="1"/>
    <n v="51"/>
    <s v="dic"/>
  </r>
  <r>
    <x v="54"/>
    <s v="Toronto Raptors @ Miami Heat"/>
    <s v="Toronto Raptors"/>
    <n v="112"/>
    <n v="106"/>
    <n v="0"/>
    <s v="Miami Heat"/>
    <n v="119"/>
    <n v="96"/>
    <n v="0"/>
    <n v="231"/>
    <n v="202"/>
    <n v="0"/>
    <n v="7"/>
    <n v="-10"/>
    <n v="0"/>
    <n v="51"/>
    <s v="dic"/>
  </r>
  <r>
    <x v="54"/>
    <s v="Dallas Mavericks @ Utah Jazz"/>
    <s v="Dallas Mavericks"/>
    <n v="108"/>
    <n v="133"/>
    <n v="1"/>
    <s v="Utah Jazz"/>
    <n v="138"/>
    <n v="140"/>
    <n v="1"/>
    <n v="246"/>
    <n v="273"/>
    <n v="1"/>
    <n v="30"/>
    <n v="7"/>
    <n v="1"/>
    <n v="51"/>
    <s v="dic"/>
  </r>
  <r>
    <x v="54"/>
    <s v="Houston Rockets @ Denver Nuggets"/>
    <s v="Houston Rockets"/>
    <n v="118"/>
    <n v="125"/>
    <n v="1"/>
    <s v="Denver Nuggets"/>
    <n v="126"/>
    <n v="128"/>
    <n v="1"/>
    <n v="244"/>
    <n v="253"/>
    <n v="1"/>
    <n v="8"/>
    <n v="3"/>
    <n v="1"/>
    <n v="51"/>
    <s v="dic"/>
  </r>
  <r>
    <x v="54"/>
    <s v="Memphis Grizzlies @ LA Clippers"/>
    <s v="Memphis Grizzlies"/>
    <n v="119"/>
    <n v="121"/>
    <n v="1"/>
    <s v="LA Clippers"/>
    <n v="113"/>
    <n v="103"/>
    <n v="0"/>
    <n v="232"/>
    <n v="224"/>
    <n v="0"/>
    <n v="-6"/>
    <n v="-18"/>
    <n v="1"/>
    <n v="51"/>
    <s v="dic"/>
  </r>
  <r>
    <x v="55"/>
    <s v="San Antonio Spurs @ New York Knicks"/>
    <s v="San Antonio Spurs"/>
    <n v="90"/>
    <n v="113"/>
    <n v="1"/>
    <s v="New York Knicks"/>
    <n v="101"/>
    <n v="124"/>
    <n v="1"/>
    <n v="191"/>
    <n v="237"/>
    <n v="1"/>
    <n v="11"/>
    <n v="11"/>
    <n v="1"/>
    <n v="51"/>
    <s v="dic"/>
  </r>
  <r>
    <x v="56"/>
    <s v="Cleveland Cavaliers @ Chicago Bulls"/>
    <s v="Cleveland Cavaliers"/>
    <n v="128"/>
    <n v="111"/>
    <n v="0"/>
    <s v="Chicago Bulls"/>
    <n v="119"/>
    <n v="117"/>
    <n v="0"/>
    <n v="247"/>
    <n v="228"/>
    <n v="0"/>
    <n v="-9"/>
    <n v="6"/>
    <n v="0"/>
    <n v="51"/>
    <s v="dic"/>
  </r>
  <r>
    <x v="56"/>
    <s v="Memphis Grizzlies @ Minnesota Timberwolves"/>
    <s v="Memphis Grizzlies"/>
    <n v="117"/>
    <n v="116"/>
    <n v="0"/>
    <s v="Minnesota Timberwolves"/>
    <n v="122"/>
    <n v="110"/>
    <n v="0"/>
    <n v="239"/>
    <n v="226"/>
    <n v="0"/>
    <n v="5"/>
    <n v="-6"/>
    <n v="0"/>
    <n v="51"/>
    <s v="dic"/>
  </r>
  <r>
    <x v="57"/>
    <s v="Atlanta Hawks @ Charlotte Hornets"/>
    <s v="Atlanta Hawks"/>
    <n v="133"/>
    <n v="126"/>
    <n v="0"/>
    <s v="Charlotte Hornets"/>
    <n v="123"/>
    <n v="133"/>
    <n v="1"/>
    <n v="256"/>
    <n v="259"/>
    <n v="1"/>
    <n v="-10"/>
    <n v="7"/>
    <n v="0"/>
    <n v="51"/>
    <s v="dic"/>
  </r>
  <r>
    <x v="57"/>
    <s v="New York Knicks @ Indiana Pacers"/>
    <s v="New York Knicks"/>
    <n v="116"/>
    <n v="114"/>
    <n v="0"/>
    <s v="Indiana Pacers"/>
    <n v="124"/>
    <n v="113"/>
    <n v="0"/>
    <n v="240"/>
    <n v="227"/>
    <n v="0"/>
    <n v="8"/>
    <n v="-1"/>
    <n v="0"/>
    <n v="51"/>
    <s v="dic"/>
  </r>
  <r>
    <x v="57"/>
    <s v="Miami Heat @ Brooklyn Nets"/>
    <s v="Miami Heat"/>
    <n v="113"/>
    <n v="106"/>
    <n v="0"/>
    <s v="Brooklyn Nets"/>
    <n v="107"/>
    <n v="95"/>
    <n v="0"/>
    <n v="220"/>
    <n v="201"/>
    <n v="0"/>
    <n v="-6"/>
    <n v="-11"/>
    <n v="1"/>
    <n v="51"/>
    <s v="dic"/>
  </r>
  <r>
    <x v="57"/>
    <s v="LA Clippers @ Oklahoma City Thunder"/>
    <s v="LA Clippers"/>
    <n v="113"/>
    <n v="101"/>
    <n v="0"/>
    <s v="Oklahoma City Thunder"/>
    <n v="125"/>
    <n v="122"/>
    <n v="0"/>
    <n v="238"/>
    <n v="223"/>
    <n v="0"/>
    <n v="12"/>
    <n v="21"/>
    <n v="1"/>
    <n v="51"/>
    <s v="dic"/>
  </r>
  <r>
    <x v="57"/>
    <s v="Washington Wizards @ San Antonio Spurs"/>
    <s v="Washington Wizards"/>
    <n v="122"/>
    <n v="94"/>
    <n v="0"/>
    <s v="San Antonio Spurs"/>
    <n v="128"/>
    <n v="119"/>
    <n v="0"/>
    <n v="250"/>
    <n v="213"/>
    <n v="0"/>
    <n v="6"/>
    <n v="25"/>
    <n v="1"/>
    <n v="51"/>
    <s v="dic"/>
  </r>
  <r>
    <x v="57"/>
    <s v="Toronto Raptors @ Milwaukee Bucks"/>
    <s v="Toronto Raptors"/>
    <n v="110"/>
    <n v="111"/>
    <n v="1"/>
    <s v="Milwaukee Bucks"/>
    <n v="118"/>
    <n v="105"/>
    <n v="0"/>
    <n v="228"/>
    <n v="216"/>
    <n v="0"/>
    <n v="8"/>
    <n v="-6"/>
    <n v="0"/>
    <n v="51"/>
    <s v="dic"/>
  </r>
  <r>
    <x v="57"/>
    <s v="Houston Rockets @ New Orleans Pelicans"/>
    <s v="Houston Rockets"/>
    <n v="119"/>
    <n v="128"/>
    <n v="1"/>
    <s v="New Orleans Pelicans"/>
    <n v="129"/>
    <n v="133"/>
    <n v="1"/>
    <n v="248"/>
    <n v="261"/>
    <n v="1"/>
    <n v="10"/>
    <n v="5"/>
    <n v="1"/>
    <n v="51"/>
    <s v="dic"/>
  </r>
  <r>
    <x v="57"/>
    <s v="Detroit Pistons @ Dallas Mavericks"/>
    <s v="Detroit Pistons"/>
    <n v="111"/>
    <n v="114"/>
    <n v="1"/>
    <s v="Dallas Mavericks"/>
    <n v="116"/>
    <n v="116"/>
    <n v="0"/>
    <n v="227"/>
    <n v="230"/>
    <n v="1"/>
    <n v="5"/>
    <n v="2"/>
    <n v="1"/>
    <n v="51"/>
    <s v="dic"/>
  </r>
  <r>
    <x v="57"/>
    <s v="Orlando Magic @ Denver Nuggets"/>
    <s v="Orlando Magic"/>
    <n v="129"/>
    <n v="115"/>
    <n v="0"/>
    <s v="Denver Nuggets"/>
    <n v="129"/>
    <n v="126"/>
    <n v="0"/>
    <n v="258"/>
    <n v="241"/>
    <n v="0"/>
    <n v="0"/>
    <n v="11"/>
    <n v="0"/>
    <n v="51"/>
    <s v="dic"/>
  </r>
  <r>
    <x v="57"/>
    <s v="Golden State Warriors @ Phoenix Suns"/>
    <s v="Golden State Warriors"/>
    <n v="115"/>
    <n v="98"/>
    <n v="0"/>
    <s v="Phoenix Suns"/>
    <n v="134"/>
    <n v="99"/>
    <n v="0"/>
    <n v="249"/>
    <n v="197"/>
    <n v="0"/>
    <n v="19"/>
    <n v="1"/>
    <n v="1"/>
    <n v="51"/>
    <s v="dic"/>
  </r>
  <r>
    <x v="57"/>
    <s v="Los Angeles Lakers @ Utah Jazz"/>
    <s v="Los Angeles Lakers"/>
    <n v="124"/>
    <n v="143"/>
    <n v="1"/>
    <s v="Utah Jazz"/>
    <n v="136"/>
    <n v="135"/>
    <n v="0"/>
    <n v="260"/>
    <n v="278"/>
    <n v="1"/>
    <n v="12"/>
    <n v="-8"/>
    <n v="0"/>
    <n v="51"/>
    <s v="dic"/>
  </r>
  <r>
    <x v="57"/>
    <s v="Sacramento Kings @ Portland Trail Blazers"/>
    <s v="Sacramento Kings"/>
    <n v="113"/>
    <n v="133"/>
    <n v="1"/>
    <s v="Portland Trail Blazers"/>
    <n v="119"/>
    <n v="134"/>
    <n v="1"/>
    <n v="232"/>
    <n v="267"/>
    <n v="1"/>
    <n v="6"/>
    <n v="1"/>
    <n v="1"/>
    <n v="51"/>
    <s v="dic"/>
  </r>
  <r>
    <x v="58"/>
    <s v="Miami Heat @ Boston Celtics"/>
    <s v="Miami Heat"/>
    <n v="124"/>
    <n v="116"/>
    <n v="0"/>
    <s v="Boston Celtics"/>
    <n v="118"/>
    <n v="129"/>
    <n v="1"/>
    <n v="242"/>
    <n v="245"/>
    <n v="1"/>
    <n v="-6"/>
    <n v="13"/>
    <n v="0"/>
    <n v="51"/>
    <s v="dic"/>
  </r>
  <r>
    <x v="58"/>
    <s v="Philadelphia 76ers @ New York Knicks"/>
    <s v="Philadelphia 76ers"/>
    <n v="125"/>
    <n v="116"/>
    <n v="0"/>
    <s v="New York Knicks"/>
    <n v="130"/>
    <n v="107"/>
    <n v="0"/>
    <n v="255"/>
    <n v="223"/>
    <n v="0"/>
    <n v="5"/>
    <n v="-9"/>
    <n v="0"/>
    <n v="51"/>
    <s v="dic"/>
  </r>
  <r>
    <x v="58"/>
    <s v="San Antonio Spurs @ Atlanta Hawks"/>
    <s v="San Antonio Spurs"/>
    <n v="116"/>
    <n v="126"/>
    <n v="1"/>
    <s v="Atlanta Hawks"/>
    <n v="122"/>
    <n v="98"/>
    <n v="0"/>
    <n v="238"/>
    <n v="224"/>
    <n v="0"/>
    <n v="6"/>
    <n v="-28"/>
    <n v="0"/>
    <n v="51"/>
    <s v="dic"/>
  </r>
  <r>
    <x v="58"/>
    <s v="Chicago Bulls @ Cleveland Cavaliers"/>
    <s v="Chicago Bulls"/>
    <n v="115"/>
    <n v="136"/>
    <n v="1"/>
    <s v="Cleveland Cavaliers"/>
    <n v="126"/>
    <n v="125"/>
    <n v="0"/>
    <n v="241"/>
    <n v="261"/>
    <n v="1"/>
    <n v="11"/>
    <n v="-11"/>
    <n v="0"/>
    <n v="51"/>
    <s v="dic"/>
  </r>
  <r>
    <x v="58"/>
    <s v="Oklahoma City Thunder @ Minnesota Timberwolves"/>
    <s v="Oklahoma City Thunder"/>
    <n v="110"/>
    <n v="107"/>
    <n v="0"/>
    <s v="Minnesota Timberwolves"/>
    <n v="114"/>
    <n v="112"/>
    <n v="0"/>
    <n v="224"/>
    <n v="219"/>
    <n v="0"/>
    <n v="4"/>
    <n v="5"/>
    <n v="1"/>
    <n v="51"/>
    <s v="dic"/>
  </r>
  <r>
    <x v="59"/>
    <s v="Houston Rockets @ Denver Nuggets"/>
    <s v="Houston Rockets"/>
    <n v="127"/>
    <n v="115"/>
    <n v="0"/>
    <s v="Denver Nuggets"/>
    <n v="123"/>
    <n v="101"/>
    <n v="0"/>
    <n v="250"/>
    <n v="216"/>
    <n v="0"/>
    <n v="-4"/>
    <n v="-14"/>
    <n v="1"/>
    <n v="51"/>
    <s v="dic"/>
  </r>
  <r>
    <x v="59"/>
    <s v="Dallas Mavericks @ Philadelphia 76ers"/>
    <s v="Dallas Mavericks"/>
    <n v="111"/>
    <n v="114"/>
    <n v="1"/>
    <s v="Philadelphia 76ers"/>
    <n v="118"/>
    <n v="121"/>
    <n v="1"/>
    <n v="229"/>
    <n v="235"/>
    <n v="1"/>
    <n v="7"/>
    <n v="7"/>
    <n v="1"/>
    <n v="51"/>
    <s v="dic"/>
  </r>
  <r>
    <x v="59"/>
    <s v="Boston Celtics @ Toronto Raptors"/>
    <s v="Boston Celtics"/>
    <n v="108"/>
    <n v="112"/>
    <n v="1"/>
    <s v="Toronto Raptors"/>
    <n v="106"/>
    <n v="96"/>
    <n v="0"/>
    <n v="214"/>
    <n v="208"/>
    <n v="0"/>
    <n v="-2"/>
    <n v="-16"/>
    <n v="1"/>
    <n v="51"/>
    <s v="dic"/>
  </r>
  <r>
    <x v="59"/>
    <s v="Indiana Pacers @ New Orleans Pelicans"/>
    <s v="Indiana Pacers"/>
    <n v="118"/>
    <n v="109"/>
    <n v="0"/>
    <s v="New Orleans Pelicans"/>
    <n v="135"/>
    <n v="128"/>
    <n v="0"/>
    <n v="253"/>
    <n v="237"/>
    <n v="0"/>
    <n v="17"/>
    <n v="19"/>
    <n v="1"/>
    <n v="51"/>
    <s v="dic"/>
  </r>
  <r>
    <x v="59"/>
    <s v="Charlotte Hornets @ Detroit Pistons"/>
    <s v="Charlotte Hornets"/>
    <n v="117"/>
    <n v="86"/>
    <n v="0"/>
    <s v="Detroit Pistons"/>
    <n v="113"/>
    <n v="112"/>
    <n v="0"/>
    <n v="230"/>
    <n v="198"/>
    <n v="0"/>
    <n v="-4"/>
    <n v="26"/>
    <n v="0"/>
    <n v="51"/>
    <s v="dic"/>
  </r>
  <r>
    <x v="59"/>
    <s v="Washington Wizards @ Memphis Grizzlies"/>
    <s v="Washington Wizards"/>
    <n v="114"/>
    <n v="130"/>
    <n v="1"/>
    <s v="Memphis Grizzlies"/>
    <n v="126"/>
    <n v="122"/>
    <n v="0"/>
    <n v="240"/>
    <n v="252"/>
    <n v="1"/>
    <n v="12"/>
    <n v="-8"/>
    <n v="0"/>
    <n v="51"/>
    <s v="dic"/>
  </r>
  <r>
    <x v="59"/>
    <s v="Phoenix Suns @ Golden State Warriors"/>
    <s v="Phoenix Suns"/>
    <n v="121"/>
    <n v="116"/>
    <n v="0"/>
    <s v="Golden State Warriors"/>
    <n v="123"/>
    <n v="119"/>
    <n v="0"/>
    <n v="244"/>
    <n v="235"/>
    <n v="0"/>
    <n v="2"/>
    <n v="3"/>
    <n v="1"/>
    <n v="51"/>
    <s v="dic"/>
  </r>
  <r>
    <x v="59"/>
    <s v="Orlando Magic @ Utah Jazz"/>
    <s v="Orlando Magic"/>
    <n v="117"/>
    <n v="128"/>
    <n v="1"/>
    <s v="Utah Jazz"/>
    <n v="124"/>
    <n v="127"/>
    <n v="1"/>
    <n v="241"/>
    <n v="255"/>
    <n v="1"/>
    <n v="7"/>
    <n v="-1"/>
    <n v="0"/>
    <n v="51"/>
    <s v="dic"/>
  </r>
  <r>
    <x v="59"/>
    <s v="Portland Trail Blazers @ Sacramento Kings"/>
    <s v="Portland Trail Blazers"/>
    <n v="114"/>
    <n v="98"/>
    <n v="0"/>
    <s v="Sacramento Kings"/>
    <n v="116"/>
    <n v="93"/>
    <n v="0"/>
    <n v="230"/>
    <n v="191"/>
    <n v="0"/>
    <n v="2"/>
    <n v="-5"/>
    <n v="0"/>
    <n v="51"/>
    <s v="dic"/>
  </r>
  <r>
    <x v="59"/>
    <s v="Los Angeles Lakers @ LA Clippers"/>
    <s v="Los Angeles Lakers"/>
    <n v="113"/>
    <n v="88"/>
    <n v="0"/>
    <s v="LA Clippers"/>
    <n v="117"/>
    <n v="103"/>
    <n v="0"/>
    <n v="230"/>
    <n v="191"/>
    <n v="0"/>
    <n v="4"/>
    <n v="15"/>
    <n v="1"/>
    <n v="51"/>
    <s v="dic"/>
  </r>
  <r>
    <x v="60"/>
    <s v="Chicago Bulls @ Atlanta Hawks"/>
    <s v="Chicago Bulls"/>
    <n v="128"/>
    <n v="152"/>
    <n v="1"/>
    <s v="Atlanta Hawks"/>
    <n v="125"/>
    <n v="150"/>
    <n v="1"/>
    <n v="253"/>
    <n v="302"/>
    <n v="1"/>
    <n v="-3"/>
    <n v="-2"/>
    <n v="1"/>
    <n v="51"/>
    <s v="dic"/>
  </r>
  <r>
    <x v="60"/>
    <s v="Toronto Raptors @ Brooklyn Nets"/>
    <s v="Toronto Raptors"/>
    <n v="115"/>
    <n v="81"/>
    <n v="0"/>
    <s v="Brooklyn Nets"/>
    <n v="112"/>
    <n v="96"/>
    <n v="0"/>
    <n v="227"/>
    <n v="177"/>
    <n v="0"/>
    <n v="-3"/>
    <n v="15"/>
    <n v="0"/>
    <n v="51"/>
    <s v="dic"/>
  </r>
  <r>
    <x v="60"/>
    <s v="Miami Heat @ New York Knicks"/>
    <s v="Miami Heat"/>
    <n v="111"/>
    <n v="125"/>
    <n v="1"/>
    <s v="New York Knicks"/>
    <n v="122"/>
    <n v="132"/>
    <n v="1"/>
    <n v="233"/>
    <n v="257"/>
    <n v="1"/>
    <n v="11"/>
    <n v="7"/>
    <n v="1"/>
    <n v="51"/>
    <s v="dic"/>
  </r>
  <r>
    <x v="60"/>
    <s v="San Antonio Spurs @ Washington Wizards"/>
    <s v="San Antonio Spurs"/>
    <n v="131"/>
    <n v="124"/>
    <n v="0"/>
    <s v="Washington Wizards"/>
    <n v="136"/>
    <n v="113"/>
    <n v="0"/>
    <n v="267"/>
    <n v="237"/>
    <n v="0"/>
    <n v="5"/>
    <n v="-11"/>
    <n v="0"/>
    <n v="51"/>
    <s v="dic"/>
  </r>
  <r>
    <x v="60"/>
    <s v="Milwaukee Bucks @ Minnesota Timberwolves"/>
    <s v="Milwaukee Bucks"/>
    <n v="122"/>
    <n v="100"/>
    <n v="0"/>
    <s v="Minnesota Timberwolves"/>
    <n v="115"/>
    <n v="103"/>
    <n v="0"/>
    <n v="237"/>
    <n v="203"/>
    <n v="0"/>
    <n v="-7"/>
    <n v="3"/>
    <n v="0"/>
    <n v="51"/>
    <s v="dic"/>
  </r>
  <r>
    <x v="60"/>
    <s v="Houston Rockets @ Sacramento Kings"/>
    <s v="Houston Rockets"/>
    <n v="118"/>
    <n v="124"/>
    <n v="1"/>
    <s v="Sacramento Kings"/>
    <n v="114"/>
    <n v="125"/>
    <n v="1"/>
    <n v="232"/>
    <n v="249"/>
    <n v="1"/>
    <n v="-4"/>
    <n v="1"/>
    <n v="0"/>
    <n v="51"/>
    <s v="dic"/>
  </r>
  <r>
    <x v="61"/>
    <s v="Charlotte Hornets @ Cleveland Cavaliers"/>
    <s v="Charlotte Hornets"/>
    <n v="125"/>
    <n v="132"/>
    <n v="1"/>
    <s v="Cleveland Cavaliers"/>
    <n v="121"/>
    <n v="139"/>
    <n v="1"/>
    <n v="246"/>
    <n v="271"/>
    <n v="1"/>
    <n v="-4"/>
    <n v="7"/>
    <n v="0"/>
    <n v="52"/>
    <s v="dic"/>
  </r>
  <r>
    <x v="61"/>
    <s v="Indiana Pacers @ Boston Celtics"/>
    <s v="Indiana Pacers"/>
    <n v="110"/>
    <n v="95"/>
    <n v="0"/>
    <s v="Boston Celtics"/>
    <n v="122"/>
    <n v="103"/>
    <n v="0"/>
    <n v="232"/>
    <n v="198"/>
    <n v="0"/>
    <n v="12"/>
    <n v="8"/>
    <n v="1"/>
    <n v="52"/>
    <s v="dic"/>
  </r>
  <r>
    <x v="61"/>
    <s v="Dallas Mavericks @ New Orleans Pelicans"/>
    <s v="Dallas Mavericks"/>
    <n v="115"/>
    <n v="113"/>
    <n v="0"/>
    <s v="New Orleans Pelicans"/>
    <n v="126"/>
    <n v="119"/>
    <n v="0"/>
    <n v="241"/>
    <n v="232"/>
    <n v="0"/>
    <n v="11"/>
    <n v="6"/>
    <n v="1"/>
    <n v="52"/>
    <s v="dic"/>
  </r>
  <r>
    <x v="61"/>
    <s v="Utah Jazz @ Denver Nuggets"/>
    <s v="Utah Jazz"/>
    <n v="114"/>
    <n v="112"/>
    <n v="0"/>
    <s v="Denver Nuggets"/>
    <n v="133"/>
    <n v="135"/>
    <n v="1"/>
    <n v="247"/>
    <n v="247"/>
    <n v="0"/>
    <n v="19"/>
    <n v="23"/>
    <n v="1"/>
    <n v="52"/>
    <s v="dic"/>
  </r>
  <r>
    <x v="61"/>
    <s v="Memphis Grizzlies @ Oklahoma City Thunder"/>
    <s v="Memphis Grizzlies"/>
    <n v="105"/>
    <n v="103"/>
    <n v="0"/>
    <s v="Oklahoma City Thunder"/>
    <n v="119"/>
    <n v="119"/>
    <n v="0"/>
    <n v="224"/>
    <n v="222"/>
    <n v="0"/>
    <n v="14"/>
    <n v="16"/>
    <n v="1"/>
    <n v="52"/>
    <s v="dic"/>
  </r>
  <r>
    <x v="61"/>
    <s v="Orlando Magic @ Golden State Warriors"/>
    <s v="Orlando Magic"/>
    <n v="122"/>
    <n v="97"/>
    <n v="0"/>
    <s v="Golden State Warriors"/>
    <n v="127"/>
    <n v="120"/>
    <n v="0"/>
    <n v="249"/>
    <n v="217"/>
    <n v="0"/>
    <n v="5"/>
    <n v="23"/>
    <n v="1"/>
    <n v="52"/>
    <s v="dic"/>
  </r>
  <r>
    <x v="61"/>
    <s v="Detroit Pistons @ Portland Trail Blazers"/>
    <s v="Detroit Pistons"/>
    <n v="118"/>
    <n v="110"/>
    <n v="0"/>
    <s v="Portland Trail Blazers"/>
    <n v="116"/>
    <n v="102"/>
    <n v="0"/>
    <n v="234"/>
    <n v="212"/>
    <n v="0"/>
    <n v="-2"/>
    <n v="-8"/>
    <n v="1"/>
    <n v="52"/>
    <s v="dic"/>
  </r>
  <r>
    <x v="62"/>
    <s v="Washington Wizards @ Charlotte Hornets"/>
    <s v="Washington Wizards"/>
    <n v="133"/>
    <n v="109"/>
    <n v="0"/>
    <s v="Charlotte Hornets"/>
    <n v="124"/>
    <n v="126"/>
    <n v="1"/>
    <n v="257"/>
    <n v="235"/>
    <n v="0"/>
    <n v="-9"/>
    <n v="17"/>
    <n v="0"/>
    <n v="52"/>
    <s v="dic"/>
  </r>
  <r>
    <x v="62"/>
    <s v="Brooklyn Nets @ Philadelphia 76ers"/>
    <s v="Brooklyn Nets"/>
    <n v="111"/>
    <n v="114"/>
    <n v="1"/>
    <s v="Philadelphia 76ers"/>
    <n v="120"/>
    <n v="106"/>
    <n v="0"/>
    <n v="231"/>
    <n v="220"/>
    <n v="0"/>
    <n v="9"/>
    <n v="-8"/>
    <n v="0"/>
    <n v="52"/>
    <s v="dic"/>
  </r>
  <r>
    <x v="62"/>
    <s v="Chicago Bulls @ Atlanta Hawks"/>
    <s v="Chicago Bulls"/>
    <n v="113"/>
    <n v="126"/>
    <n v="1"/>
    <s v="Atlanta Hawks"/>
    <n v="119"/>
    <n v="123"/>
    <n v="1"/>
    <n v="232"/>
    <n v="249"/>
    <n v="1"/>
    <n v="6"/>
    <n v="-3"/>
    <n v="0"/>
    <n v="52"/>
    <s v="dic"/>
  </r>
  <r>
    <x v="62"/>
    <s v="New Orleans Pelicans @ Cleveland Cavaliers"/>
    <s v="New Orleans Pelicans"/>
    <n v="117"/>
    <n v="118"/>
    <n v="1"/>
    <s v="Cleveland Cavaliers"/>
    <n v="128"/>
    <n v="141"/>
    <n v="1"/>
    <n v="245"/>
    <n v="259"/>
    <n v="1"/>
    <n v="11"/>
    <n v="23"/>
    <n v="1"/>
    <n v="52"/>
    <s v="dic"/>
  </r>
  <r>
    <x v="62"/>
    <s v="Milwaukee Bucks @ Indiana Pacers"/>
    <s v="Milwaukee Bucks"/>
    <n v="111"/>
    <n v="111"/>
    <n v="0"/>
    <s v="Indiana Pacers"/>
    <n v="108"/>
    <n v="94"/>
    <n v="0"/>
    <n v="219"/>
    <n v="205"/>
    <n v="0"/>
    <n v="-3"/>
    <n v="-17"/>
    <n v="1"/>
    <n v="52"/>
    <s v="dic"/>
  </r>
  <r>
    <x v="62"/>
    <s v="Toronto Raptors @ Miami Heat"/>
    <s v="Toronto Raptors"/>
    <n v="110"/>
    <n v="112"/>
    <n v="1"/>
    <s v="Miami Heat"/>
    <n v="115"/>
    <n v="91"/>
    <n v="0"/>
    <n v="225"/>
    <n v="203"/>
    <n v="0"/>
    <n v="5"/>
    <n v="-21"/>
    <n v="0"/>
    <n v="52"/>
    <s v="dic"/>
  </r>
  <r>
    <x v="62"/>
    <s v="Denver Nuggets @ Dallas Mavericks"/>
    <s v="Denver Nuggets"/>
    <n v="119"/>
    <n v="130"/>
    <n v="1"/>
    <s v="Dallas Mavericks"/>
    <n v="108"/>
    <n v="131"/>
    <n v="1"/>
    <n v="227"/>
    <n v="261"/>
    <n v="1"/>
    <n v="-11"/>
    <n v="1"/>
    <n v="0"/>
    <n v="52"/>
    <s v="dic"/>
  </r>
  <r>
    <x v="62"/>
    <s v="New York Knicks @ Minnesota Timberwolves"/>
    <s v="New York Knicks"/>
    <n v="109"/>
    <n v="104"/>
    <n v="0"/>
    <s v="Minnesota Timberwolves"/>
    <n v="125"/>
    <n v="115"/>
    <n v="0"/>
    <n v="234"/>
    <n v="219"/>
    <n v="0"/>
    <n v="16"/>
    <n v="11"/>
    <n v="1"/>
    <n v="52"/>
    <s v="dic"/>
  </r>
  <r>
    <x v="62"/>
    <s v="Oklahoma City Thunder @ San Antonio Spurs"/>
    <s v="Oklahoma City Thunder"/>
    <n v="119"/>
    <n v="110"/>
    <n v="0"/>
    <s v="San Antonio Spurs"/>
    <n v="125"/>
    <n v="130"/>
    <n v="1"/>
    <n v="244"/>
    <n v="240"/>
    <n v="0"/>
    <n v="6"/>
    <n v="20"/>
    <n v="1"/>
    <n v="52"/>
    <s v="dic"/>
  </r>
  <r>
    <x v="62"/>
    <s v="Los Angeles Lakers @ Phoenix Suns"/>
    <s v="Los Angeles Lakers"/>
    <n v="114"/>
    <n v="108"/>
    <n v="0"/>
    <s v="Phoenix Suns"/>
    <n v="117"/>
    <n v="132"/>
    <n v="1"/>
    <n v="231"/>
    <n v="240"/>
    <n v="1"/>
    <n v="3"/>
    <n v="24"/>
    <n v="1"/>
    <n v="52"/>
    <s v="dic"/>
  </r>
  <r>
    <x v="62"/>
    <s v="Memphis Grizzlies @ Utah Jazz"/>
    <s v="Memphis Grizzlies"/>
    <n v="123"/>
    <n v="137"/>
    <n v="1"/>
    <s v="Utah Jazz"/>
    <n v="136"/>
    <n v="128"/>
    <n v="0"/>
    <n v="259"/>
    <n v="265"/>
    <n v="1"/>
    <n v="13"/>
    <n v="-9"/>
    <n v="0"/>
    <n v="52"/>
    <s v="dic"/>
  </r>
  <r>
    <x v="62"/>
    <s v="Orlando Magic @ Portland Trail Blazers"/>
    <s v="Orlando Magic"/>
    <n v="111"/>
    <n v="110"/>
    <n v="0"/>
    <s v="Portland Trail Blazers"/>
    <n v="116"/>
    <n v="106"/>
    <n v="0"/>
    <n v="227"/>
    <n v="216"/>
    <n v="0"/>
    <n v="5"/>
    <n v="-4"/>
    <n v="0"/>
    <n v="52"/>
    <s v="dic"/>
  </r>
  <r>
    <x v="62"/>
    <s v="Detroit Pistons @ Sacramento Kings"/>
    <s v="Detroit Pistons"/>
    <n v="123"/>
    <n v="136"/>
    <n v="1"/>
    <s v="Sacramento Kings"/>
    <n v="118"/>
    <n v="127"/>
    <n v="1"/>
    <n v="241"/>
    <n v="263"/>
    <n v="1"/>
    <n v="-5"/>
    <n v="-9"/>
    <n v="1"/>
    <n v="52"/>
    <s v="dic"/>
  </r>
  <r>
    <x v="62"/>
    <s v="Houston Rockets @ LA Clippers"/>
    <s v="Houston Rockets"/>
    <n v="114"/>
    <n v="108"/>
    <n v="0"/>
    <s v="LA Clippers"/>
    <n v="126"/>
    <n v="128"/>
    <n v="1"/>
    <n v="240"/>
    <n v="236"/>
    <n v="0"/>
    <n v="12"/>
    <n v="20"/>
    <n v="1"/>
    <n v="52"/>
    <s v="dic"/>
  </r>
  <r>
    <x v="63"/>
    <s v="Cleveland Cavaliers @ New York Knicks"/>
    <s v="Cleveland Cavaliers"/>
    <n v="137"/>
    <n v="124"/>
    <n v="0"/>
    <s v="New York Knicks"/>
    <n v="131"/>
    <n v="126"/>
    <n v="0"/>
    <n v="268"/>
    <n v="250"/>
    <n v="0"/>
    <n v="-6"/>
    <n v="2"/>
    <n v="0"/>
    <n v="52"/>
    <s v="dic"/>
  </r>
  <r>
    <x v="63"/>
    <s v="San Antonio Spurs @ Oklahoma City Thunder"/>
    <s v="San Antonio Spurs"/>
    <n v="113"/>
    <n v="117"/>
    <n v="1"/>
    <s v="Oklahoma City Thunder"/>
    <n v="131"/>
    <n v="102"/>
    <n v="0"/>
    <n v="244"/>
    <n v="219"/>
    <n v="0"/>
    <n v="18"/>
    <n v="-15"/>
    <n v="0"/>
    <n v="52"/>
    <s v="dic"/>
  </r>
  <r>
    <x v="63"/>
    <s v="Dallas Mavericks @ Golden State Warriors"/>
    <s v="Dallas Mavericks"/>
    <n v="117"/>
    <n v="116"/>
    <n v="0"/>
    <s v="Golden State Warriors"/>
    <n v="126"/>
    <n v="126"/>
    <n v="0"/>
    <n v="243"/>
    <n v="242"/>
    <n v="0"/>
    <n v="9"/>
    <n v="10"/>
    <n v="1"/>
    <n v="52"/>
    <s v="dic"/>
  </r>
  <r>
    <x v="63"/>
    <s v="Houston Rockets @ Los Angeles Lakers"/>
    <s v="Houston Rockets"/>
    <n v="116"/>
    <n v="119"/>
    <n v="1"/>
    <s v="Los Angeles Lakers"/>
    <n v="127"/>
    <n v="96"/>
    <n v="0"/>
    <n v="243"/>
    <n v="215"/>
    <n v="0"/>
    <n v="11"/>
    <n v="-23"/>
    <n v="0"/>
    <n v="52"/>
    <s v="dic"/>
  </r>
  <r>
    <x v="63"/>
    <s v="Minnesota Timberwolves @ Denver Nuggets"/>
    <s v="Minnesota Timberwolves"/>
    <n v="112"/>
    <n v="138"/>
    <n v="1"/>
    <s v="Denver Nuggets"/>
    <n v="120"/>
    <n v="142"/>
    <n v="1"/>
    <n v="232"/>
    <n v="280"/>
    <n v="1"/>
    <n v="8"/>
    <n v="4"/>
    <n v="1"/>
    <n v="52"/>
    <s v="dic"/>
  </r>
  <r>
    <x v="64"/>
    <s v="Miami Heat @ Atlanta Hawks"/>
    <s v="Miami Heat"/>
    <n v="129"/>
    <n v="126"/>
    <n v="0"/>
    <s v="Atlanta Hawks"/>
    <n v="121"/>
    <n v="111"/>
    <n v="0"/>
    <n v="250"/>
    <n v="237"/>
    <n v="0"/>
    <n v="-8"/>
    <n v="-15"/>
    <n v="1"/>
    <n v="52"/>
    <s v="dic"/>
  </r>
  <r>
    <x v="64"/>
    <s v="Charlotte Hornets @ Orlando Magic"/>
    <s v="Charlotte Hornets"/>
    <n v="108"/>
    <n v="120"/>
    <n v="1"/>
    <s v="Orlando Magic"/>
    <n v="116"/>
    <n v="105"/>
    <n v="0"/>
    <n v="224"/>
    <n v="225"/>
    <n v="1"/>
    <n v="8"/>
    <n v="-15"/>
    <n v="0"/>
    <n v="52"/>
    <s v="dic"/>
  </r>
  <r>
    <x v="64"/>
    <s v="Toronto Raptors @ Washington Wizards"/>
    <s v="Toronto Raptors"/>
    <n v="116"/>
    <n v="117"/>
    <n v="1"/>
    <s v="Washington Wizards"/>
    <n v="126"/>
    <n v="138"/>
    <n v="1"/>
    <n v="242"/>
    <n v="255"/>
    <n v="1"/>
    <n v="10"/>
    <n v="21"/>
    <n v="1"/>
    <n v="52"/>
    <s v="dic"/>
  </r>
  <r>
    <x v="64"/>
    <s v="Boston Celtics @ Indiana Pacers"/>
    <s v="Boston Celtics"/>
    <n v="118"/>
    <n v="140"/>
    <n v="1"/>
    <s v="Indiana Pacers"/>
    <n v="113"/>
    <n v="122"/>
    <n v="1"/>
    <n v="231"/>
    <n v="262"/>
    <n v="1"/>
    <n v="-5"/>
    <n v="-18"/>
    <n v="1"/>
    <n v="52"/>
    <s v="dic"/>
  </r>
  <r>
    <x v="64"/>
    <s v="Philadelphia 76ers @ Chicago Bulls"/>
    <s v="Philadelphia 76ers"/>
    <n v="119"/>
    <n v="102"/>
    <n v="0"/>
    <s v="Chicago Bulls"/>
    <n v="112"/>
    <n v="109"/>
    <n v="0"/>
    <n v="231"/>
    <n v="211"/>
    <n v="0"/>
    <n v="-7"/>
    <n v="7"/>
    <n v="0"/>
    <n v="52"/>
    <s v="dic"/>
  </r>
  <r>
    <x v="64"/>
    <s v="Milwaukee Bucks @ Memphis Grizzlies"/>
    <s v="Milwaukee Bucks"/>
    <n v="114"/>
    <n v="104"/>
    <n v="0"/>
    <s v="Memphis Grizzlies"/>
    <n v="120"/>
    <n v="125"/>
    <n v="1"/>
    <n v="234"/>
    <n v="229"/>
    <n v="0"/>
    <n v="6"/>
    <n v="21"/>
    <n v="1"/>
    <n v="52"/>
    <s v="dic"/>
  </r>
  <r>
    <x v="64"/>
    <s v="Phoenix Suns @ New Orleans Pelicans"/>
    <s v="Phoenix Suns"/>
    <n v="122"/>
    <n v="115"/>
    <n v="0"/>
    <s v="New Orleans Pelicans"/>
    <n v="126"/>
    <n v="108"/>
    <n v="0"/>
    <n v="248"/>
    <n v="223"/>
    <n v="0"/>
    <n v="4"/>
    <n v="-7"/>
    <n v="0"/>
    <n v="52"/>
    <s v="dic"/>
  </r>
  <r>
    <x v="64"/>
    <s v="Detroit Pistons @ Utah Jazz"/>
    <s v="Detroit Pistons"/>
    <n v="116"/>
    <n v="129"/>
    <n v="1"/>
    <s v="Utah Jazz"/>
    <n v="124"/>
    <n v="131"/>
    <n v="1"/>
    <n v="240"/>
    <n v="260"/>
    <n v="1"/>
    <n v="8"/>
    <n v="2"/>
    <n v="1"/>
    <n v="52"/>
    <s v="dic"/>
  </r>
  <r>
    <x v="64"/>
    <s v="LA Clippers @ Portland Trail Blazers"/>
    <s v="LA Clippers"/>
    <n v="119"/>
    <n v="119"/>
    <n v="0"/>
    <s v="Portland Trail Blazers"/>
    <n v="116"/>
    <n v="103"/>
    <n v="0"/>
    <n v="235"/>
    <n v="222"/>
    <n v="0"/>
    <n v="-3"/>
    <n v="-16"/>
    <n v="1"/>
    <n v="52"/>
    <s v="dic"/>
  </r>
  <r>
    <x v="65"/>
    <s v="Dallas Mavericks @ Sacramento Kings"/>
    <s v="Dallas Mavericks"/>
    <n v="128"/>
    <n v="107"/>
    <n v="0"/>
    <s v="Sacramento Kings"/>
    <n v="119"/>
    <n v="113"/>
    <n v="0"/>
    <n v="247"/>
    <n v="220"/>
    <n v="0"/>
    <n v="-9"/>
    <n v="6"/>
    <n v="0"/>
    <n v="52"/>
    <s v="dic"/>
  </r>
  <r>
    <x v="65"/>
    <s v="Denver Nuggets @ Orlando Magic"/>
    <s v="Denver Nuggets"/>
    <n v="116"/>
    <n v="126"/>
    <n v="1"/>
    <s v="Orlando Magic"/>
    <n v="113"/>
    <n v="127"/>
    <n v="1"/>
    <n v="229"/>
    <n v="253"/>
    <n v="1"/>
    <n v="-3"/>
    <n v="1"/>
    <n v="0"/>
    <n v="52"/>
    <s v="dic"/>
  </r>
  <r>
    <x v="65"/>
    <s v="Phoenix Suns @ New Orleans Pelicans"/>
    <s v="Phoenix Suns"/>
    <n v="109"/>
    <n v="123"/>
    <n v="1"/>
    <s v="New Orleans Pelicans"/>
    <n v="126"/>
    <n v="114"/>
    <n v="0"/>
    <n v="235"/>
    <n v="237"/>
    <n v="1"/>
    <n v="17"/>
    <n v="-9"/>
    <n v="0"/>
    <n v="52"/>
    <s v="dic"/>
  </r>
  <r>
    <x v="65"/>
    <s v="New York Knicks @ Atlanta Hawks"/>
    <s v="New York Knicks"/>
    <n v="122"/>
    <n v="128"/>
    <n v="1"/>
    <s v="Atlanta Hawks"/>
    <n v="133"/>
    <n v="125"/>
    <n v="0"/>
    <n v="255"/>
    <n v="253"/>
    <n v="0"/>
    <n v="11"/>
    <n v="-3"/>
    <n v="0"/>
    <n v="52"/>
    <s v="dic"/>
  </r>
  <r>
    <x v="65"/>
    <s v="Indiana Pacers @ Miami Heat"/>
    <s v="Indiana Pacers"/>
    <n v="116"/>
    <n v="116"/>
    <n v="0"/>
    <s v="Miami Heat"/>
    <n v="113"/>
    <n v="142"/>
    <n v="1"/>
    <n v="229"/>
    <n v="258"/>
    <n v="1"/>
    <n v="-3"/>
    <n v="26"/>
    <n v="0"/>
    <n v="52"/>
    <s v="dic"/>
  </r>
  <r>
    <x v="65"/>
    <s v="Milwaukee Bucks @ Chicago Bulls"/>
    <s v="Milwaukee Bucks"/>
    <n v="116"/>
    <n v="112"/>
    <n v="0"/>
    <s v="Chicago Bulls"/>
    <n v="121"/>
    <n v="103"/>
    <n v="0"/>
    <n v="237"/>
    <n v="215"/>
    <n v="0"/>
    <n v="5"/>
    <n v="-9"/>
    <n v="0"/>
    <n v="52"/>
    <s v="dic"/>
  </r>
  <r>
    <x v="65"/>
    <s v="Cleveland Cavaliers @ Houston Rockets"/>
    <s v="Cleveland Cavaliers"/>
    <n v="118"/>
    <n v="100"/>
    <n v="0"/>
    <s v="Houston Rockets"/>
    <n v="114"/>
    <n v="117"/>
    <n v="1"/>
    <n v="232"/>
    <n v="217"/>
    <n v="0"/>
    <n v="-4"/>
    <n v="17"/>
    <n v="0"/>
    <n v="52"/>
    <s v="dic"/>
  </r>
  <r>
    <x v="65"/>
    <s v="Brooklyn Nets @ Minnesota Timberwolves"/>
    <s v="Brooklyn Nets"/>
    <n v="104"/>
    <n v="123"/>
    <n v="1"/>
    <s v="Minnesota Timberwolves"/>
    <n v="118"/>
    <n v="107"/>
    <n v="0"/>
    <n v="222"/>
    <n v="230"/>
    <n v="1"/>
    <n v="14"/>
    <n v="-16"/>
    <n v="0"/>
    <n v="52"/>
    <s v="dic"/>
  </r>
  <r>
    <x v="65"/>
    <s v="Utah Jazz @ San Antonio Spurs"/>
    <s v="Utah Jazz"/>
    <n v="125"/>
    <n v="127"/>
    <n v="1"/>
    <s v="San Antonio Spurs"/>
    <n v="129"/>
    <n v="114"/>
    <n v="0"/>
    <n v="254"/>
    <n v="241"/>
    <n v="0"/>
    <n v="4"/>
    <n v="-13"/>
    <n v="0"/>
    <n v="52"/>
    <s v="dic"/>
  </r>
  <r>
    <x v="66"/>
    <s v="Golden State Warriors @ Toronto Raptors"/>
    <s v="Golden State Warriors"/>
    <n v="127"/>
    <n v="127"/>
    <n v="0"/>
    <s v="Toronto Raptors"/>
    <n v="123"/>
    <n v="141"/>
    <n v="1"/>
    <n v="250"/>
    <n v="268"/>
    <n v="1"/>
    <n v="-4"/>
    <n v="14"/>
    <n v="0"/>
    <n v="52"/>
    <s v="dic"/>
  </r>
  <r>
    <x v="66"/>
    <s v="Philadelphia 76ers @ Oklahoma City Thunder"/>
    <s v="Philadelphia 76ers"/>
    <n v="110"/>
    <n v="104"/>
    <n v="0"/>
    <s v="Oklahoma City Thunder"/>
    <n v="123"/>
    <n v="129"/>
    <n v="1"/>
    <n v="233"/>
    <n v="233"/>
    <n v="0"/>
    <n v="13"/>
    <n v="25"/>
    <n v="1"/>
    <n v="52"/>
    <s v="dic"/>
  </r>
  <r>
    <x v="66"/>
    <s v="Memphis Grizzlies @ Washington Wizards"/>
    <s v="Memphis Grizzlies"/>
    <n v="110"/>
    <n v="112"/>
    <n v="1"/>
    <s v="Washington Wizards"/>
    <n v="139"/>
    <n v="116"/>
    <n v="0"/>
    <n v="249"/>
    <n v="228"/>
    <n v="0"/>
    <n v="29"/>
    <n v="4"/>
    <n v="1"/>
    <n v="52"/>
    <s v="dic"/>
  </r>
  <r>
    <x v="66"/>
    <s v="Boston Celtics @ Portland Trail Blazers"/>
    <s v="Boston Celtics"/>
    <n v="117"/>
    <n v="108"/>
    <n v="0"/>
    <s v="Portland Trail Blazers"/>
    <n v="120"/>
    <n v="114"/>
    <n v="0"/>
    <n v="237"/>
    <n v="222"/>
    <n v="0"/>
    <n v="3"/>
    <n v="6"/>
    <n v="1"/>
    <n v="52"/>
    <s v="dic"/>
  </r>
  <r>
    <x v="66"/>
    <s v="Detroit Pistons @ LA Clippers"/>
    <s v="Detroit Pistons"/>
    <n v="118"/>
    <n v="99"/>
    <n v="0"/>
    <s v="LA Clippers"/>
    <n v="106"/>
    <n v="112"/>
    <n v="1"/>
    <n v="224"/>
    <n v="211"/>
    <n v="0"/>
    <n v="-12"/>
    <n v="13"/>
    <n v="0"/>
    <n v="52"/>
    <s v="dic"/>
  </r>
  <r>
    <x v="66"/>
    <s v="Sacramento Kings @ Los Angeles Lakers"/>
    <s v="Sacramento Kings"/>
    <n v="111"/>
    <n v="101"/>
    <n v="0"/>
    <s v="Los Angeles Lakers"/>
    <n v="124"/>
    <n v="125"/>
    <n v="1"/>
    <n v="235"/>
    <n v="226"/>
    <n v="0"/>
    <n v="13"/>
    <n v="24"/>
    <n v="1"/>
    <n v="52"/>
    <s v="dic"/>
  </r>
  <r>
    <x v="67"/>
    <s v="Milwaukee Bucks @ Charlotte Hornets"/>
    <s v="Milwaukee Bucks"/>
    <n v="129"/>
    <n v="123"/>
    <n v="0"/>
    <s v="Charlotte Hornets"/>
    <n v="116"/>
    <n v="113"/>
    <n v="0"/>
    <n v="245"/>
    <n v="236"/>
    <n v="0"/>
    <n v="-13"/>
    <n v="-10"/>
    <n v="1"/>
    <n v="53"/>
    <s v="dic"/>
  </r>
  <r>
    <x v="67"/>
    <s v="Phoenix Suns @ Washington Wizards"/>
    <s v="Phoenix Suns"/>
    <n v="120"/>
    <n v="115"/>
    <n v="0"/>
    <s v="Washington Wizards"/>
    <n v="130"/>
    <n v="101"/>
    <n v="0"/>
    <n v="250"/>
    <n v="216"/>
    <n v="0"/>
    <n v="10"/>
    <n v="-14"/>
    <n v="0"/>
    <n v="53"/>
    <s v="dic"/>
  </r>
  <r>
    <x v="67"/>
    <s v="Golden State Warriors @ Brooklyn Nets"/>
    <s v="Golden State Warriors"/>
    <n v="109"/>
    <n v="120"/>
    <n v="1"/>
    <s v="Brooklyn Nets"/>
    <n v="117"/>
    <n v="107"/>
    <n v="0"/>
    <n v="226"/>
    <n v="227"/>
    <n v="1"/>
    <n v="8"/>
    <n v="-13"/>
    <n v="0"/>
    <n v="53"/>
    <s v="dic"/>
  </r>
  <r>
    <x v="67"/>
    <s v="Denver Nuggets @ Miami Heat"/>
    <s v="Denver Nuggets"/>
    <n v="115"/>
    <n v="123"/>
    <n v="1"/>
    <s v="Miami Heat"/>
    <n v="123"/>
    <n v="147"/>
    <n v="1"/>
    <n v="238"/>
    <n v="270"/>
    <n v="1"/>
    <n v="8"/>
    <n v="24"/>
    <n v="1"/>
    <n v="53"/>
    <s v="dic"/>
  </r>
  <r>
    <x v="67"/>
    <s v="Orlando Magic @ Toronto Raptors"/>
    <s v="Orlando Magic"/>
    <n v="102"/>
    <n v="106"/>
    <n v="1"/>
    <s v="Toronto Raptors"/>
    <n v="112"/>
    <n v="107"/>
    <n v="0"/>
    <n v="214"/>
    <n v="213"/>
    <n v="0"/>
    <n v="10"/>
    <n v="1"/>
    <n v="1"/>
    <n v="53"/>
    <s v="dic"/>
  </r>
  <r>
    <x v="67"/>
    <s v="Minnesota Timberwolves @ Chicago Bulls"/>
    <s v="Minnesota Timberwolves"/>
    <n v="115"/>
    <n v="136"/>
    <n v="1"/>
    <s v="Chicago Bulls"/>
    <n v="120"/>
    <n v="101"/>
    <n v="0"/>
    <n v="235"/>
    <n v="237"/>
    <n v="1"/>
    <n v="5"/>
    <n v="-35"/>
    <n v="0"/>
    <n v="53"/>
    <s v="dic"/>
  </r>
  <r>
    <x v="67"/>
    <s v="Indiana Pacers @ Houston Rockets"/>
    <s v="Indiana Pacers"/>
    <n v="113"/>
    <n v="119"/>
    <n v="1"/>
    <s v="Houston Rockets"/>
    <n v="120"/>
    <n v="126"/>
    <n v="1"/>
    <n v="233"/>
    <n v="245"/>
    <n v="1"/>
    <n v="7"/>
    <n v="7"/>
    <n v="1"/>
    <n v="53"/>
    <s v="dic"/>
  </r>
  <r>
    <x v="67"/>
    <s v="New York Knicks @ New Orleans Pelicans"/>
    <s v="New York Knicks"/>
    <n v="121"/>
    <n v="130"/>
    <n v="1"/>
    <s v="New Orleans Pelicans"/>
    <n v="133"/>
    <n v="125"/>
    <n v="0"/>
    <n v="254"/>
    <n v="255"/>
    <n v="1"/>
    <n v="12"/>
    <n v="-5"/>
    <n v="0"/>
    <n v="53"/>
    <s v="dic"/>
  </r>
  <r>
    <x v="67"/>
    <s v="Atlanta Hawks @ Oklahoma City Thunder"/>
    <s v="Atlanta Hawks"/>
    <n v="129"/>
    <n v="129"/>
    <n v="0"/>
    <s v="Oklahoma City Thunder"/>
    <n v="131"/>
    <n v="140"/>
    <n v="1"/>
    <n v="260"/>
    <n v="269"/>
    <n v="1"/>
    <n v="2"/>
    <n v="11"/>
    <n v="1"/>
    <n v="53"/>
    <s v="dic"/>
  </r>
  <r>
    <x v="67"/>
    <s v="Cleveland Cavaliers @ San Antonio Spurs"/>
    <s v="Cleveland Cavaliers"/>
    <n v="124"/>
    <n v="113"/>
    <n v="0"/>
    <s v="San Antonio Spurs"/>
    <n v="136"/>
    <n v="101"/>
    <n v="0"/>
    <n v="260"/>
    <n v="214"/>
    <n v="0"/>
    <n v="12"/>
    <n v="-12"/>
    <n v="0"/>
    <n v="53"/>
    <s v="dic"/>
  </r>
  <r>
    <x v="67"/>
    <s v="Dallas Mavericks @ Portland Trail Blazers"/>
    <s v="Dallas Mavericks"/>
    <n v="119"/>
    <n v="122"/>
    <n v="1"/>
    <s v="Portland Trail Blazers"/>
    <n v="123"/>
    <n v="125"/>
    <n v="1"/>
    <n v="242"/>
    <n v="247"/>
    <n v="1"/>
    <n v="4"/>
    <n v="3"/>
    <n v="1"/>
    <n v="53"/>
    <s v="dic"/>
  </r>
  <r>
    <x v="68"/>
    <s v="Philadelphia 76ers @ Memphis Grizzlies"/>
    <s v="Philadelphia 76ers"/>
    <n v="128"/>
    <n v="139"/>
    <n v="1"/>
    <s v="Memphis Grizzlies"/>
    <n v="119"/>
    <n v="136"/>
    <n v="1"/>
    <n v="247"/>
    <n v="275"/>
    <n v="1"/>
    <n v="-9"/>
    <n v="-3"/>
    <n v="1"/>
    <n v="53"/>
    <s v="dic"/>
  </r>
  <r>
    <x v="68"/>
    <s v="Boston Celtics @ Utah Jazz"/>
    <s v="Boston Celtics"/>
    <n v="122"/>
    <n v="125"/>
    <n v="1"/>
    <s v="Utah Jazz"/>
    <n v="121"/>
    <n v="119"/>
    <n v="0"/>
    <n v="243"/>
    <n v="244"/>
    <n v="1"/>
    <n v="-1"/>
    <n v="-6"/>
    <n v="1"/>
    <n v="53"/>
    <s v="dic"/>
  </r>
  <r>
    <x v="68"/>
    <s v="Detroit Pistons @ Los Angeles Lakers"/>
    <s v="Detroit Pistons"/>
    <n v="107"/>
    <n v="128"/>
    <n v="1"/>
    <s v="Los Angeles Lakers"/>
    <n v="119"/>
    <n v="106"/>
    <n v="0"/>
    <n v="226"/>
    <n v="234"/>
    <n v="1"/>
    <n v="12"/>
    <n v="-22"/>
    <n v="0"/>
    <n v="53"/>
    <s v="dic"/>
  </r>
  <r>
    <x v="68"/>
    <s v="Sacramento Kings @ LA Clippers"/>
    <s v="Sacramento Kings"/>
    <n v="116"/>
    <n v="90"/>
    <n v="0"/>
    <s v="LA Clippers"/>
    <n v="126"/>
    <n v="131"/>
    <n v="1"/>
    <n v="242"/>
    <n v="221"/>
    <n v="0"/>
    <n v="10"/>
    <n v="41"/>
    <n v="1"/>
    <n v="53"/>
    <s v="dic"/>
  </r>
  <r>
    <x v="69"/>
    <s v="Golden State Warriors @ Charlotte Hornets"/>
    <s v="Golden State Warriors"/>
    <n v="133"/>
    <n v="132"/>
    <n v="0"/>
    <s v="Charlotte Hornets"/>
    <n v="126"/>
    <n v="125"/>
    <n v="0"/>
    <n v="259"/>
    <n v="257"/>
    <n v="0"/>
    <n v="-7"/>
    <n v="-7"/>
    <n v="1"/>
    <n v="53"/>
    <s v="dic"/>
  </r>
  <r>
    <x v="69"/>
    <s v="Minnesota Timberwolves @ Atlanta Hawks"/>
    <s v="Minnesota Timberwolves"/>
    <n v="122"/>
    <n v="102"/>
    <n v="0"/>
    <s v="Atlanta Hawks"/>
    <n v="119"/>
    <n v="126"/>
    <n v="1"/>
    <n v="241"/>
    <n v="228"/>
    <n v="0"/>
    <n v="-3"/>
    <n v="24"/>
    <n v="0"/>
    <n v="53"/>
    <s v="dic"/>
  </r>
  <r>
    <x v="69"/>
    <s v="Orlando Magic @ Indiana Pacers"/>
    <s v="Orlando Magic"/>
    <n v="106"/>
    <n v="112"/>
    <n v="1"/>
    <s v="Indiana Pacers"/>
    <n v="111"/>
    <n v="110"/>
    <n v="0"/>
    <n v="217"/>
    <n v="222"/>
    <n v="1"/>
    <n v="5"/>
    <n v="-2"/>
    <n v="0"/>
    <n v="53"/>
    <s v="dic"/>
  </r>
  <r>
    <x v="69"/>
    <s v="Phoenix Suns @ Cleveland Cavaliers"/>
    <s v="Phoenix Suns"/>
    <n v="118"/>
    <n v="113"/>
    <n v="0"/>
    <s v="Cleveland Cavaliers"/>
    <n v="121"/>
    <n v="129"/>
    <n v="1"/>
    <n v="239"/>
    <n v="242"/>
    <n v="1"/>
    <n v="3"/>
    <n v="16"/>
    <n v="1"/>
    <n v="53"/>
    <s v="dic"/>
  </r>
  <r>
    <x v="69"/>
    <s v="New Orleans Pelicans @ Chicago Bulls"/>
    <s v="New Orleans Pelicans"/>
    <n v="121"/>
    <n v="118"/>
    <n v="0"/>
    <s v="Chicago Bulls"/>
    <n v="115"/>
    <n v="134"/>
    <n v="1"/>
    <n v="236"/>
    <n v="252"/>
    <n v="1"/>
    <n v="-6"/>
    <n v="16"/>
    <n v="0"/>
    <n v="53"/>
    <s v="dic"/>
  </r>
  <r>
    <x v="69"/>
    <s v="New York Knicks @ San Antonio Spurs"/>
    <s v="New York Knicks"/>
    <n v="125"/>
    <n v="132"/>
    <n v="1"/>
    <s v="San Antonio Spurs"/>
    <n v="133"/>
    <n v="134"/>
    <n v="1"/>
    <n v="258"/>
    <n v="266"/>
    <n v="1"/>
    <n v="8"/>
    <n v="2"/>
    <n v="1"/>
    <n v="53"/>
    <s v="dic"/>
  </r>
  <r>
    <x v="69"/>
    <s v="Denver Nuggets @ Toronto Raptors"/>
    <s v="Denver Nuggets"/>
    <n v="116"/>
    <n v="106"/>
    <n v="0"/>
    <s v="Toronto Raptors"/>
    <n v="107"/>
    <n v="103"/>
    <n v="0"/>
    <n v="223"/>
    <n v="209"/>
    <n v="0"/>
    <n v="-9"/>
    <n v="-3"/>
    <n v="1"/>
    <n v="53"/>
    <s v="dic"/>
  </r>
  <r>
    <x v="69"/>
    <s v="Washington Wizards @ Milwaukee Bucks"/>
    <s v="Washington Wizards"/>
    <n v="108"/>
    <n v="114"/>
    <n v="1"/>
    <s v="Milwaukee Bucks"/>
    <n v="125"/>
    <n v="113"/>
    <n v="0"/>
    <n v="233"/>
    <n v="227"/>
    <n v="0"/>
    <n v="17"/>
    <n v="-1"/>
    <n v="0"/>
    <n v="53"/>
    <s v="dic"/>
  </r>
  <r>
    <x v="69"/>
    <s v="Portland Trail Blazers @ Oklahoma City Thunder"/>
    <s v="Portland Trail Blazers"/>
    <n v="108"/>
    <n v="95"/>
    <n v="0"/>
    <s v="Oklahoma City Thunder"/>
    <n v="125"/>
    <n v="124"/>
    <n v="0"/>
    <n v="233"/>
    <n v="219"/>
    <n v="0"/>
    <n v="17"/>
    <n v="29"/>
    <n v="1"/>
    <n v="53"/>
    <s v="dic"/>
  </r>
  <r>
    <x v="70"/>
    <s v="Houston Rockets @ Brooklyn Nets"/>
    <s v="Houston Rockets"/>
    <n v="128"/>
    <n v="120"/>
    <n v="0"/>
    <s v="Brooklyn Nets"/>
    <n v="114"/>
    <n v="96"/>
    <n v="0"/>
    <n v="242"/>
    <n v="216"/>
    <n v="0"/>
    <n v="-14"/>
    <n v="-24"/>
    <n v="1"/>
    <n v="1"/>
    <s v="ene"/>
  </r>
  <r>
    <x v="70"/>
    <s v="Miami Heat @ Detroit Pistons"/>
    <s v="Miami Heat"/>
    <n v="114"/>
    <n v="118"/>
    <n v="1"/>
    <s v="Detroit Pistons"/>
    <n v="117"/>
    <n v="112"/>
    <n v="0"/>
    <n v="231"/>
    <n v="230"/>
    <n v="0"/>
    <n v="3"/>
    <n v="-6"/>
    <n v="0"/>
    <n v="1"/>
    <s v="ene"/>
  </r>
  <r>
    <x v="70"/>
    <s v="Philadelphia 76ers @ Dallas Mavericks"/>
    <s v="Philadelphia 76ers"/>
    <n v="110"/>
    <n v="123"/>
    <n v="1"/>
    <s v="Dallas Mavericks"/>
    <n v="110"/>
    <n v="108"/>
    <n v="0"/>
    <n v="220"/>
    <n v="231"/>
    <n v="1"/>
    <n v="0"/>
    <n v="-15"/>
    <n v="0"/>
    <n v="1"/>
    <s v="ene"/>
  </r>
  <r>
    <x v="70"/>
    <s v="Boston Celtics @ Sacramento Kings"/>
    <s v="Boston Celtics"/>
    <n v="121"/>
    <n v="120"/>
    <n v="0"/>
    <s v="Sacramento Kings"/>
    <n v="116"/>
    <n v="106"/>
    <n v="0"/>
    <n v="237"/>
    <n v="226"/>
    <n v="0"/>
    <n v="-5"/>
    <n v="-14"/>
    <n v="1"/>
    <n v="1"/>
    <s v="ene"/>
  </r>
  <r>
    <x v="70"/>
    <s v="Utah Jazz @ LA Clippers"/>
    <s v="Utah Jazz"/>
    <n v="118"/>
    <n v="101"/>
    <n v="0"/>
    <s v="LA Clippers"/>
    <n v="121"/>
    <n v="118"/>
    <n v="0"/>
    <n v="239"/>
    <n v="219"/>
    <n v="0"/>
    <n v="3"/>
    <n v="17"/>
    <n v="1"/>
    <n v="1"/>
    <s v="ene"/>
  </r>
  <r>
    <x v="71"/>
    <s v="San Antonio Spurs @ Indiana Pacers"/>
    <s v="San Antonio Spurs"/>
    <n v="128"/>
    <n v="123"/>
    <n v="0"/>
    <s v="Indiana Pacers"/>
    <n v="125"/>
    <n v="113"/>
    <n v="0"/>
    <n v="253"/>
    <n v="236"/>
    <n v="0"/>
    <n v="-3"/>
    <n v="-10"/>
    <n v="1"/>
    <n v="1"/>
    <s v="ene"/>
  </r>
  <r>
    <x v="71"/>
    <s v="Brooklyn Nets @ Washington Wizards"/>
    <s v="Brooklyn Nets"/>
    <n v="119"/>
    <n v="99"/>
    <n v="0"/>
    <s v="Washington Wizards"/>
    <n v="133"/>
    <n v="119"/>
    <n v="0"/>
    <n v="252"/>
    <n v="218"/>
    <n v="0"/>
    <n v="14"/>
    <n v="20"/>
    <n v="1"/>
    <n v="1"/>
    <s v="ene"/>
  </r>
  <r>
    <x v="71"/>
    <s v="Denver Nuggets @ Cleveland Cavaliers"/>
    <s v="Denver Nuggets"/>
    <n v="114"/>
    <n v="108"/>
    <n v="0"/>
    <s v="Cleveland Cavaliers"/>
    <n v="112"/>
    <n v="113"/>
    <n v="1"/>
    <n v="226"/>
    <n v="221"/>
    <n v="0"/>
    <n v="-2"/>
    <n v="5"/>
    <n v="0"/>
    <n v="1"/>
    <s v="ene"/>
  </r>
  <r>
    <x v="71"/>
    <s v="Atlanta Hawks @ New York Knicks"/>
    <s v="Atlanta Hawks"/>
    <n v="127"/>
    <n v="111"/>
    <n v="0"/>
    <s v="New York Knicks"/>
    <n v="136"/>
    <n v="99"/>
    <n v="0"/>
    <n v="263"/>
    <n v="210"/>
    <n v="0"/>
    <n v="9"/>
    <n v="-12"/>
    <n v="0"/>
    <n v="1"/>
    <s v="ene"/>
  </r>
  <r>
    <x v="71"/>
    <s v="Orlando Magic @ Chicago Bulls"/>
    <s v="Orlando Magic"/>
    <n v="119"/>
    <n v="114"/>
    <n v="0"/>
    <s v="Chicago Bulls"/>
    <n v="105"/>
    <n v="121"/>
    <n v="1"/>
    <n v="224"/>
    <n v="235"/>
    <n v="1"/>
    <n v="-14"/>
    <n v="7"/>
    <n v="0"/>
    <n v="1"/>
    <s v="ene"/>
  </r>
  <r>
    <x v="71"/>
    <s v="Charlotte Hornets @ Milwaukee Bucks"/>
    <s v="Charlotte Hornets"/>
    <n v="107"/>
    <n v="121"/>
    <n v="1"/>
    <s v="Milwaukee Bucks"/>
    <n v="120"/>
    <n v="122"/>
    <n v="1"/>
    <n v="227"/>
    <n v="243"/>
    <n v="1"/>
    <n v="13"/>
    <n v="1"/>
    <n v="1"/>
    <n v="1"/>
    <s v="ene"/>
  </r>
  <r>
    <x v="71"/>
    <s v="Portland Trail Blazers @ New Orleans Pelicans"/>
    <s v="Portland Trail Blazers"/>
    <n v="121"/>
    <n v="122"/>
    <n v="1"/>
    <s v="New Orleans Pelicans"/>
    <n v="125"/>
    <n v="109"/>
    <n v="0"/>
    <n v="246"/>
    <n v="231"/>
    <n v="0"/>
    <n v="4"/>
    <n v="-13"/>
    <n v="0"/>
    <n v="1"/>
    <s v="ene"/>
  </r>
  <r>
    <x v="71"/>
    <s v="Sacramento Kings @ Phoenix Suns"/>
    <s v="Sacramento Kings"/>
    <n v="106"/>
    <n v="102"/>
    <n v="0"/>
    <s v="Phoenix Suns"/>
    <n v="116"/>
    <n v="129"/>
    <n v="1"/>
    <n v="222"/>
    <n v="231"/>
    <n v="1"/>
    <n v="10"/>
    <n v="27"/>
    <n v="1"/>
    <n v="1"/>
    <s v="ene"/>
  </r>
  <r>
    <x v="71"/>
    <s v="Oklahoma City Thunder @ Golden State Warriors"/>
    <s v="Oklahoma City Thunder"/>
    <n v="120"/>
    <n v="131"/>
    <n v="1"/>
    <s v="Golden State Warriors"/>
    <n v="123"/>
    <n v="94"/>
    <n v="0"/>
    <n v="243"/>
    <n v="225"/>
    <n v="0"/>
    <n v="3"/>
    <n v="-37"/>
    <n v="0"/>
    <n v="1"/>
    <s v="ene"/>
  </r>
  <r>
    <x v="71"/>
    <s v="Memphis Grizzlies @ Los Angeles Lakers"/>
    <s v="Memphis Grizzlies"/>
    <n v="114"/>
    <n v="121"/>
    <n v="1"/>
    <s v="Los Angeles Lakers"/>
    <n v="121"/>
    <n v="128"/>
    <n v="1"/>
    <n v="235"/>
    <n v="249"/>
    <n v="1"/>
    <n v="7"/>
    <n v="7"/>
    <n v="1"/>
    <n v="1"/>
    <s v="ene"/>
  </r>
  <r>
    <x v="72"/>
    <s v="Minnesota Timberwolves @ Miami Heat"/>
    <s v="Minnesota Timberwolves"/>
    <n v="125"/>
    <n v="125"/>
    <n v="0"/>
    <s v="Miami Heat"/>
    <n v="121"/>
    <n v="115"/>
    <n v="0"/>
    <n v="246"/>
    <n v="240"/>
    <n v="0"/>
    <n v="-4"/>
    <n v="-10"/>
    <n v="1"/>
    <n v="1"/>
    <s v="ene"/>
  </r>
  <r>
    <x v="72"/>
    <s v="Philadelphia 76ers @ New York Knicks"/>
    <s v="Philadelphia 76ers"/>
    <n v="121"/>
    <n v="130"/>
    <n v="1"/>
    <s v="New York Knicks"/>
    <n v="130"/>
    <n v="119"/>
    <n v="0"/>
    <n v="251"/>
    <n v="249"/>
    <n v="0"/>
    <n v="9"/>
    <n v="-11"/>
    <n v="0"/>
    <n v="1"/>
    <s v="ene"/>
  </r>
  <r>
    <x v="72"/>
    <s v="Atlanta Hawks @ Toronto Raptors"/>
    <s v="Atlanta Hawks"/>
    <n v="110"/>
    <n v="117"/>
    <n v="1"/>
    <s v="Toronto Raptors"/>
    <n v="115"/>
    <n v="134"/>
    <n v="1"/>
    <n v="225"/>
    <n v="251"/>
    <n v="1"/>
    <n v="5"/>
    <n v="17"/>
    <n v="1"/>
    <n v="1"/>
    <s v="ene"/>
  </r>
  <r>
    <x v="72"/>
    <s v="Charlotte Hornets @ Chicago Bulls"/>
    <s v="Charlotte Hornets"/>
    <n v="113"/>
    <n v="112"/>
    <n v="0"/>
    <s v="Chicago Bulls"/>
    <n v="120"/>
    <n v="99"/>
    <n v="0"/>
    <n v="233"/>
    <n v="211"/>
    <n v="0"/>
    <n v="7"/>
    <n v="-13"/>
    <n v="0"/>
    <n v="1"/>
    <s v="ene"/>
  </r>
  <r>
    <x v="72"/>
    <s v="Portland Trail Blazers @ San Antonio Spurs"/>
    <s v="Portland Trail Blazers"/>
    <n v="113"/>
    <n v="115"/>
    <n v="1"/>
    <s v="San Antonio Spurs"/>
    <n v="128"/>
    <n v="110"/>
    <n v="0"/>
    <n v="241"/>
    <n v="225"/>
    <n v="0"/>
    <n v="15"/>
    <n v="-5"/>
    <n v="0"/>
    <n v="1"/>
    <s v="ene"/>
  </r>
  <r>
    <x v="72"/>
    <s v="Houston Rockets @ Dallas Mavericks"/>
    <s v="Houston Rockets"/>
    <n v="108"/>
    <n v="104"/>
    <n v="0"/>
    <s v="Dallas Mavericks"/>
    <n v="112"/>
    <n v="110"/>
    <n v="0"/>
    <n v="220"/>
    <n v="214"/>
    <n v="0"/>
    <n v="4"/>
    <n v="6"/>
    <n v="1"/>
    <n v="1"/>
    <s v="ene"/>
  </r>
  <r>
    <x v="72"/>
    <s v="Utah Jazz @ Golden State Warriors"/>
    <s v="Utah Jazz"/>
    <n v="126"/>
    <n v="114"/>
    <n v="0"/>
    <s v="Golden State Warriors"/>
    <n v="131"/>
    <n v="123"/>
    <n v="0"/>
    <n v="257"/>
    <n v="237"/>
    <n v="0"/>
    <n v="5"/>
    <n v="9"/>
    <n v="1"/>
    <n v="1"/>
    <s v="ene"/>
  </r>
  <r>
    <x v="72"/>
    <s v="Boston Celtics @ LA Clippers"/>
    <s v="Boston Celtics"/>
    <n v="108"/>
    <n v="146"/>
    <n v="1"/>
    <s v="LA Clippers"/>
    <n v="112"/>
    <n v="115"/>
    <n v="1"/>
    <n v="220"/>
    <n v="261"/>
    <n v="1"/>
    <n v="4"/>
    <n v="-31"/>
    <n v="0"/>
    <n v="1"/>
    <s v="ene"/>
  </r>
  <r>
    <x v="73"/>
    <s v="Detroit Pistons @ Cleveland Cavaliers"/>
    <s v="Detroit Pistons"/>
    <n v="129"/>
    <n v="114"/>
    <n v="0"/>
    <s v="Cleveland Cavaliers"/>
    <n v="119"/>
    <n v="110"/>
    <n v="0"/>
    <n v="248"/>
    <n v="224"/>
    <n v="0"/>
    <n v="-10"/>
    <n v="-4"/>
    <n v="1"/>
    <n v="1"/>
    <s v="ene"/>
  </r>
  <r>
    <x v="73"/>
    <s v="Indiana Pacers @ Orlando Magic"/>
    <s v="Indiana Pacers"/>
    <n v="115"/>
    <n v="127"/>
    <n v="1"/>
    <s v="Orlando Magic"/>
    <n v="118"/>
    <n v="135"/>
    <n v="1"/>
    <n v="233"/>
    <n v="262"/>
    <n v="1"/>
    <n v="3"/>
    <n v="8"/>
    <n v="1"/>
    <n v="1"/>
    <s v="ene"/>
  </r>
  <r>
    <x v="73"/>
    <s v="Denver Nuggets @ Brooklyn Nets"/>
    <s v="Denver Nuggets"/>
    <n v="115"/>
    <n v="115"/>
    <n v="0"/>
    <s v="Brooklyn Nets"/>
    <n v="110"/>
    <n v="127"/>
    <n v="1"/>
    <n v="225"/>
    <n v="242"/>
    <n v="1"/>
    <n v="-5"/>
    <n v="12"/>
    <n v="0"/>
    <n v="1"/>
    <s v="ene"/>
  </r>
  <r>
    <x v="73"/>
    <s v="New Orleans Pelicans @ Miami Heat"/>
    <s v="New Orleans Pelicans"/>
    <n v="114"/>
    <n v="106"/>
    <n v="0"/>
    <s v="Miami Heat"/>
    <n v="128"/>
    <n v="125"/>
    <n v="0"/>
    <n v="242"/>
    <n v="231"/>
    <n v="0"/>
    <n v="14"/>
    <n v="19"/>
    <n v="1"/>
    <n v="1"/>
    <s v="ene"/>
  </r>
  <r>
    <x v="73"/>
    <s v="Minnesota Timberwolves @ Washington Wizards"/>
    <s v="Minnesota Timberwolves"/>
    <n v="117"/>
    <n v="141"/>
    <n v="1"/>
    <s v="Washington Wizards"/>
    <n v="128"/>
    <n v="115"/>
    <n v="0"/>
    <n v="245"/>
    <n v="256"/>
    <n v="1"/>
    <n v="11"/>
    <n v="-26"/>
    <n v="0"/>
    <n v="1"/>
    <s v="ene"/>
  </r>
  <r>
    <x v="73"/>
    <s v="Oklahoma City Thunder @ Phoenix Suns"/>
    <s v="Oklahoma City Thunder"/>
    <n v="113"/>
    <n v="105"/>
    <n v="0"/>
    <s v="Phoenix Suns"/>
    <n v="117"/>
    <n v="108"/>
    <n v="0"/>
    <n v="230"/>
    <n v="213"/>
    <n v="0"/>
    <n v="4"/>
    <n v="3"/>
    <n v="1"/>
    <n v="1"/>
    <s v="ene"/>
  </r>
  <r>
    <x v="73"/>
    <s v="Milwaukee Bucks @ Sacramento Kings"/>
    <s v="Milwaukee Bucks"/>
    <n v="119"/>
    <n v="115"/>
    <n v="0"/>
    <s v="Sacramento Kings"/>
    <n v="121"/>
    <n v="98"/>
    <n v="0"/>
    <n v="240"/>
    <n v="213"/>
    <n v="0"/>
    <n v="2"/>
    <n v="-17"/>
    <n v="0"/>
    <n v="1"/>
    <s v="ene"/>
  </r>
  <r>
    <x v="73"/>
    <s v="Memphis Grizzlies @ Los Angeles Lakers"/>
    <s v="Memphis Grizzlies"/>
    <n v="108"/>
    <n v="114"/>
    <n v="1"/>
    <s v="Los Angeles Lakers"/>
    <n v="117"/>
    <n v="120"/>
    <n v="1"/>
    <n v="225"/>
    <n v="234"/>
    <n v="1"/>
    <n v="9"/>
    <n v="6"/>
    <n v="1"/>
    <n v="1"/>
    <s v="ene"/>
  </r>
  <r>
    <x v="74"/>
    <s v="New York Knicks @ Detroit Pistons"/>
    <s v="New York Knicks"/>
    <n v="130"/>
    <n v="90"/>
    <n v="0"/>
    <s v="Detroit Pistons"/>
    <n v="124"/>
    <n v="121"/>
    <n v="0"/>
    <n v="254"/>
    <n v="211"/>
    <n v="0"/>
    <n v="-6"/>
    <n v="31"/>
    <n v="0"/>
    <n v="2"/>
    <s v="ene"/>
  </r>
  <r>
    <x v="74"/>
    <s v="Chicago Bulls @ Boston Celtics"/>
    <s v="Chicago Bulls"/>
    <n v="109"/>
    <n v="100"/>
    <n v="0"/>
    <s v="Boston Celtics"/>
    <n v="125"/>
    <n v="115"/>
    <n v="0"/>
    <n v="234"/>
    <n v="215"/>
    <n v="0"/>
    <n v="16"/>
    <n v="15"/>
    <n v="1"/>
    <n v="2"/>
    <s v="ene"/>
  </r>
  <r>
    <x v="74"/>
    <s v="Atlanta Hawks @ Toronto Raptors"/>
    <s v="Atlanta Hawks"/>
    <n v="102"/>
    <n v="100"/>
    <n v="0"/>
    <s v="Toronto Raptors"/>
    <n v="129"/>
    <n v="118"/>
    <n v="0"/>
    <n v="231"/>
    <n v="218"/>
    <n v="0"/>
    <n v="27"/>
    <n v="18"/>
    <n v="1"/>
    <n v="2"/>
    <s v="ene"/>
  </r>
  <r>
    <x v="74"/>
    <s v="Phoenix Suns @ Houston Rockets"/>
    <s v="Phoenix Suns"/>
    <n v="118"/>
    <n v="97"/>
    <n v="0"/>
    <s v="Houston Rockets"/>
    <n v="124"/>
    <n v="100"/>
    <n v="0"/>
    <n v="242"/>
    <n v="197"/>
    <n v="0"/>
    <n v="6"/>
    <n v="3"/>
    <n v="1"/>
    <n v="2"/>
    <s v="ene"/>
  </r>
  <r>
    <x v="74"/>
    <s v="Charlotte Hornets @ Oklahoma City Thunder"/>
    <s v="Charlotte Hornets"/>
    <n v="115"/>
    <n v="124"/>
    <n v="1"/>
    <s v="Oklahoma City Thunder"/>
    <n v="119"/>
    <n v="97"/>
    <n v="0"/>
    <n v="234"/>
    <n v="221"/>
    <n v="0"/>
    <n v="4"/>
    <n v="-27"/>
    <n v="0"/>
    <n v="2"/>
    <s v="ene"/>
  </r>
  <r>
    <x v="74"/>
    <s v="Denver Nuggets @ Philadelphia 76ers"/>
    <s v="Denver Nuggets"/>
    <n v="114"/>
    <n v="125"/>
    <n v="1"/>
    <s v="Philadelphia 76ers"/>
    <n v="120"/>
    <n v="124"/>
    <n v="1"/>
    <n v="234"/>
    <n v="249"/>
    <n v="1"/>
    <n v="6"/>
    <n v="-1"/>
    <n v="0"/>
    <n v="2"/>
    <s v="ene"/>
  </r>
  <r>
    <x v="74"/>
    <s v="Golden State Warriors @ LA Clippers"/>
    <s v="Golden State Warriors"/>
    <n v="113"/>
    <n v="102"/>
    <n v="0"/>
    <s v="LA Clippers"/>
    <n v="122"/>
    <n v="103"/>
    <n v="0"/>
    <n v="235"/>
    <n v="205"/>
    <n v="0"/>
    <n v="9"/>
    <n v="1"/>
    <n v="1"/>
    <n v="2"/>
    <s v="ene"/>
  </r>
  <r>
    <x v="74"/>
    <s v="Utah Jazz @ Portland Trail Blazers"/>
    <s v="Utah Jazz"/>
    <n v="115"/>
    <n v="117"/>
    <n v="1"/>
    <s v="Portland Trail Blazers"/>
    <n v="111"/>
    <n v="137"/>
    <n v="1"/>
    <n v="226"/>
    <n v="254"/>
    <n v="1"/>
    <n v="-4"/>
    <n v="20"/>
    <n v="0"/>
    <n v="2"/>
    <s v="ene"/>
  </r>
  <r>
    <x v="75"/>
    <s v="Cleveland Cavaliers @ Indiana Pacers"/>
    <s v="Cleveland Cavaliers"/>
    <n v="131"/>
    <n v="120"/>
    <n v="0"/>
    <s v="Indiana Pacers"/>
    <n v="117"/>
    <n v="116"/>
    <n v="0"/>
    <n v="248"/>
    <n v="236"/>
    <n v="0"/>
    <n v="-14"/>
    <n v="-4"/>
    <n v="1"/>
    <n v="2"/>
    <s v="ene"/>
  </r>
  <r>
    <x v="75"/>
    <s v="Orlando Magic @ Washington Wizards"/>
    <s v="Orlando Magic"/>
    <n v="119"/>
    <n v="112"/>
    <n v="0"/>
    <s v="Washington Wizards"/>
    <n v="129"/>
    <n v="120"/>
    <n v="0"/>
    <n v="248"/>
    <n v="232"/>
    <n v="0"/>
    <n v="10"/>
    <n v="8"/>
    <n v="1"/>
    <n v="2"/>
    <s v="ene"/>
  </r>
  <r>
    <x v="75"/>
    <s v="San Antonio Spurs @ Memphis Grizzlies"/>
    <s v="San Antonio Spurs"/>
    <n v="112"/>
    <n v="105"/>
    <n v="0"/>
    <s v="Memphis Grizzlies"/>
    <n v="123"/>
    <n v="106"/>
    <n v="0"/>
    <n v="235"/>
    <n v="211"/>
    <n v="0"/>
    <n v="11"/>
    <n v="1"/>
    <n v="1"/>
    <n v="2"/>
    <s v="ene"/>
  </r>
  <r>
    <x v="75"/>
    <s v="Miami Heat @ Minnesota Timberwolves"/>
    <s v="Miami Heat"/>
    <n v="114"/>
    <n v="94"/>
    <n v="0"/>
    <s v="Minnesota Timberwolves"/>
    <n v="120"/>
    <n v="122"/>
    <n v="1"/>
    <n v="234"/>
    <n v="216"/>
    <n v="0"/>
    <n v="6"/>
    <n v="28"/>
    <n v="1"/>
    <n v="2"/>
    <s v="ene"/>
  </r>
  <r>
    <x v="75"/>
    <s v="Los Angeles Lakers @ New Orleans Pelicans"/>
    <s v="Los Angeles Lakers"/>
    <n v="116"/>
    <n v="111"/>
    <n v="0"/>
    <s v="New Orleans Pelicans"/>
    <n v="126"/>
    <n v="103"/>
    <n v="0"/>
    <n v="242"/>
    <n v="214"/>
    <n v="0"/>
    <n v="10"/>
    <n v="-8"/>
    <n v="0"/>
    <n v="2"/>
    <s v="ene"/>
  </r>
  <r>
    <x v="75"/>
    <s v="Dallas Mavericks @ Sacramento Kings"/>
    <s v="Dallas Mavericks"/>
    <n v="113"/>
    <n v="100"/>
    <n v="0"/>
    <s v="Sacramento Kings"/>
    <n v="117"/>
    <n v="98"/>
    <n v="0"/>
    <n v="230"/>
    <n v="198"/>
    <n v="0"/>
    <n v="4"/>
    <n v="-2"/>
    <n v="0"/>
    <n v="2"/>
    <s v="ene"/>
  </r>
  <r>
    <x v="76"/>
    <s v="Toronto Raptors @ Charlotte Hornets"/>
    <s v="Toronto Raptors"/>
    <n v="131"/>
    <n v="97"/>
    <n v="0"/>
    <s v="Charlotte Hornets"/>
    <n v="118"/>
    <n v="96"/>
    <n v="0"/>
    <n v="249"/>
    <n v="193"/>
    <n v="0"/>
    <n v="-13"/>
    <n v="-1"/>
    <n v="1"/>
    <n v="2"/>
    <s v="ene"/>
  </r>
  <r>
    <x v="76"/>
    <s v="Chicago Bulls @ Detroit Pistons"/>
    <s v="Chicago Bulls"/>
    <n v="117"/>
    <n v="93"/>
    <n v="0"/>
    <s v="Detroit Pistons"/>
    <n v="123"/>
    <n v="108"/>
    <n v="0"/>
    <n v="240"/>
    <n v="201"/>
    <n v="0"/>
    <n v="6"/>
    <n v="15"/>
    <n v="1"/>
    <n v="2"/>
    <s v="ene"/>
  </r>
  <r>
    <x v="76"/>
    <s v="Washington Wizards @ Philadelphia 76ers"/>
    <s v="Washington Wizards"/>
    <n v="111"/>
    <n v="110"/>
    <n v="0"/>
    <s v="Philadelphia 76ers"/>
    <n v="124"/>
    <n v="131"/>
    <n v="1"/>
    <n v="235"/>
    <n v="241"/>
    <n v="1"/>
    <n v="13"/>
    <n v="21"/>
    <n v="1"/>
    <n v="2"/>
    <s v="ene"/>
  </r>
  <r>
    <x v="76"/>
    <s v="Denver Nuggets @ Boston Celtics"/>
    <s v="Denver Nuggets"/>
    <n v="114"/>
    <n v="114"/>
    <n v="0"/>
    <s v="Boston Celtics"/>
    <n v="119"/>
    <n v="110"/>
    <n v="0"/>
    <n v="233"/>
    <n v="224"/>
    <n v="0"/>
    <n v="5"/>
    <n v="-4"/>
    <n v="0"/>
    <n v="2"/>
    <s v="ene"/>
  </r>
  <r>
    <x v="76"/>
    <s v="New Orleans Pelicans @ Atlanta Hawks"/>
    <s v="New Orleans Pelicans"/>
    <n v="113"/>
    <n v="100"/>
    <n v="0"/>
    <s v="Atlanta Hawks"/>
    <n v="124"/>
    <n v="117"/>
    <n v="0"/>
    <n v="237"/>
    <n v="217"/>
    <n v="0"/>
    <n v="11"/>
    <n v="17"/>
    <n v="1"/>
    <n v="2"/>
    <s v="ene"/>
  </r>
  <r>
    <x v="76"/>
    <s v="Orlando Magic @ Brooklyn Nets"/>
    <s v="Orlando Magic"/>
    <n v="107"/>
    <n v="104"/>
    <n v="0"/>
    <s v="Brooklyn Nets"/>
    <n v="111"/>
    <n v="103"/>
    <n v="0"/>
    <n v="218"/>
    <n v="207"/>
    <n v="0"/>
    <n v="4"/>
    <n v="-1"/>
    <n v="0"/>
    <n v="2"/>
    <s v="ene"/>
  </r>
  <r>
    <x v="76"/>
    <s v="LA Clippers @ New York Knicks"/>
    <s v="LA Clippers"/>
    <n v="119"/>
    <n v="111"/>
    <n v="0"/>
    <s v="New York Knicks"/>
    <n v="127"/>
    <n v="123"/>
    <n v="0"/>
    <n v="246"/>
    <n v="234"/>
    <n v="0"/>
    <n v="8"/>
    <n v="12"/>
    <n v="1"/>
    <n v="2"/>
    <s v="ene"/>
  </r>
  <r>
    <x v="76"/>
    <s v="Phoenix Suns @ Memphis Grizzlies"/>
    <s v="Phoenix Suns"/>
    <n v="109"/>
    <n v="117"/>
    <n v="1"/>
    <s v="Memphis Grizzlies"/>
    <n v="120"/>
    <n v="101"/>
    <n v="0"/>
    <n v="229"/>
    <n v="218"/>
    <n v="0"/>
    <n v="11"/>
    <n v="-16"/>
    <n v="0"/>
    <n v="2"/>
    <s v="ene"/>
  </r>
  <r>
    <x v="76"/>
    <s v="Utah Jazz @ Oklahoma City Thunder"/>
    <s v="Utah Jazz"/>
    <n v="126"/>
    <n v="125"/>
    <n v="0"/>
    <s v="Oklahoma City Thunder"/>
    <n v="134"/>
    <n v="129"/>
    <n v="0"/>
    <n v="260"/>
    <n v="254"/>
    <n v="0"/>
    <n v="8"/>
    <n v="4"/>
    <n v="1"/>
    <n v="2"/>
    <s v="ene"/>
  </r>
  <r>
    <x v="76"/>
    <s v="Los Angeles Lakers @ San Antonio Spurs"/>
    <s v="Los Angeles Lakers"/>
    <n v="122"/>
    <n v="91"/>
    <n v="0"/>
    <s v="San Antonio Spurs"/>
    <n v="135"/>
    <n v="107"/>
    <n v="0"/>
    <n v="257"/>
    <n v="198"/>
    <n v="0"/>
    <n v="13"/>
    <n v="16"/>
    <n v="1"/>
    <n v="2"/>
    <s v="ene"/>
  </r>
  <r>
    <x v="76"/>
    <s v="Milwaukee Bucks @ Golden State Warriors"/>
    <s v="Milwaukee Bucks"/>
    <n v="115"/>
    <n v="113"/>
    <n v="0"/>
    <s v="Golden State Warriors"/>
    <n v="130"/>
    <n v="120"/>
    <n v="0"/>
    <n v="245"/>
    <n v="233"/>
    <n v="0"/>
    <n v="15"/>
    <n v="7"/>
    <n v="1"/>
    <n v="2"/>
    <s v="ene"/>
  </r>
  <r>
    <x v="76"/>
    <s v="Houston Rockets @ Portland Trail Blazers"/>
    <s v="Houston Rockets"/>
    <n v="124"/>
    <n v="102"/>
    <n v="0"/>
    <s v="Portland Trail Blazers"/>
    <n v="105"/>
    <n v="103"/>
    <n v="0"/>
    <n v="229"/>
    <n v="205"/>
    <n v="0"/>
    <n v="-19"/>
    <n v="1"/>
    <n v="0"/>
    <n v="2"/>
    <s v="ene"/>
  </r>
  <r>
    <x v="77"/>
    <s v="Indiana Pacers @ Charlotte Hornets"/>
    <s v="Indiana Pacers"/>
    <n v="128"/>
    <n v="114"/>
    <n v="0"/>
    <s v="Charlotte Hornets"/>
    <n v="119"/>
    <n v="112"/>
    <n v="0"/>
    <n v="247"/>
    <n v="226"/>
    <n v="0"/>
    <n v="-9"/>
    <n v="-2"/>
    <n v="1"/>
    <n v="2"/>
    <s v="ene"/>
  </r>
  <r>
    <x v="77"/>
    <s v="Cleveland Cavaliers @ Minnesota Timberwolves"/>
    <s v="Cleveland Cavaliers"/>
    <n v="112"/>
    <n v="122"/>
    <n v="1"/>
    <s v="Minnesota Timberwolves"/>
    <n v="114"/>
    <n v="131"/>
    <n v="1"/>
    <n v="226"/>
    <n v="253"/>
    <n v="1"/>
    <n v="2"/>
    <n v="9"/>
    <n v="1"/>
    <n v="2"/>
    <s v="ene"/>
  </r>
  <r>
    <x v="77"/>
    <s v="Dallas Mavericks @ Utah Jazz"/>
    <s v="Dallas Mavericks"/>
    <n v="122"/>
    <n v="114"/>
    <n v="0"/>
    <s v="Utah Jazz"/>
    <n v="135"/>
    <n v="116"/>
    <n v="0"/>
    <n v="257"/>
    <n v="230"/>
    <n v="0"/>
    <n v="13"/>
    <n v="2"/>
    <n v="1"/>
    <n v="2"/>
    <s v="ene"/>
  </r>
  <r>
    <x v="78"/>
    <s v="Toronto Raptors @ Boston Celtics"/>
    <s v="Toronto Raptors"/>
    <n v="123"/>
    <n v="117"/>
    <n v="0"/>
    <s v="Boston Celtics"/>
    <n v="120"/>
    <n v="125"/>
    <n v="1"/>
    <n v="243"/>
    <n v="242"/>
    <n v="0"/>
    <n v="-3"/>
    <n v="8"/>
    <n v="0"/>
    <n v="2"/>
    <s v="ene"/>
  </r>
  <r>
    <x v="78"/>
    <s v="Philadelphia 76ers @ Orlando Magic"/>
    <s v="Philadelphia 76ers"/>
    <n v="115"/>
    <n v="103"/>
    <n v="0"/>
    <s v="Orlando Magic"/>
    <n v="117"/>
    <n v="91"/>
    <n v="0"/>
    <n v="232"/>
    <n v="194"/>
    <n v="0"/>
    <n v="2"/>
    <n v="-12"/>
    <n v="0"/>
    <n v="2"/>
    <s v="ene"/>
  </r>
  <r>
    <x v="78"/>
    <s v="New Orleans Pelicans @ Washington Wizards"/>
    <s v="New Orleans Pelicans"/>
    <n v="124"/>
    <n v="128"/>
    <n v="1"/>
    <s v="Washington Wizards"/>
    <n v="128"/>
    <n v="107"/>
    <n v="0"/>
    <n v="252"/>
    <n v="235"/>
    <n v="0"/>
    <n v="4"/>
    <n v="-21"/>
    <n v="0"/>
    <n v="2"/>
    <s v="ene"/>
  </r>
  <r>
    <x v="78"/>
    <s v="LA Clippers @ Brooklyn Nets"/>
    <s v="LA Clippers"/>
    <n v="114"/>
    <n v="121"/>
    <n v="1"/>
    <s v="Brooklyn Nets"/>
    <n v="120"/>
    <n v="105"/>
    <n v="0"/>
    <n v="234"/>
    <n v="226"/>
    <n v="0"/>
    <n v="6"/>
    <n v="-16"/>
    <n v="0"/>
    <n v="2"/>
    <s v="ene"/>
  </r>
  <r>
    <x v="78"/>
    <s v="Oklahoma City Thunder @ Memphis Grizzlies"/>
    <s v="Oklahoma City Thunder"/>
    <n v="115"/>
    <n v="117"/>
    <n v="1"/>
    <s v="Memphis Grizzlies"/>
    <n v="112"/>
    <n v="116"/>
    <n v="1"/>
    <n v="227"/>
    <n v="233"/>
    <n v="1"/>
    <n v="-3"/>
    <n v="-1"/>
    <n v="1"/>
    <n v="2"/>
    <s v="ene"/>
  </r>
  <r>
    <x v="78"/>
    <s v="Atlanta Hawks @ Denver Nuggets"/>
    <s v="Atlanta Hawks"/>
    <n v="112"/>
    <n v="110"/>
    <n v="0"/>
    <s v="Denver Nuggets"/>
    <n v="122"/>
    <n v="87"/>
    <n v="0"/>
    <n v="234"/>
    <n v="197"/>
    <n v="0"/>
    <n v="10"/>
    <n v="-23"/>
    <n v="0"/>
    <n v="2"/>
    <s v="ene"/>
  </r>
  <r>
    <x v="78"/>
    <s v="New York Knicks @ Phoenix Suns"/>
    <s v="New York Knicks"/>
    <n v="113"/>
    <n v="107"/>
    <n v="0"/>
    <s v="Phoenix Suns"/>
    <n v="128"/>
    <n v="112"/>
    <n v="0"/>
    <n v="241"/>
    <n v="219"/>
    <n v="0"/>
    <n v="15"/>
    <n v="5"/>
    <n v="1"/>
    <n v="2"/>
    <s v="ene"/>
  </r>
  <r>
    <x v="78"/>
    <s v="Sacramento Kings @ Golden State Warriors"/>
    <s v="Sacramento Kings"/>
    <n v="113"/>
    <n v="103"/>
    <n v="0"/>
    <s v="Golden State Warriors"/>
    <n v="135"/>
    <n v="137"/>
    <n v="1"/>
    <n v="248"/>
    <n v="240"/>
    <n v="0"/>
    <n v="22"/>
    <n v="34"/>
    <n v="1"/>
    <n v="2"/>
    <s v="ene"/>
  </r>
  <r>
    <x v="78"/>
    <s v="Houston Rockets @ Portland Trail Blazers"/>
    <s v="Houston Rockets"/>
    <n v="135"/>
    <n v="105"/>
    <n v="0"/>
    <s v="Portland Trail Blazers"/>
    <n v="118"/>
    <n v="111"/>
    <n v="0"/>
    <n v="253"/>
    <n v="216"/>
    <n v="0"/>
    <n v="-17"/>
    <n v="6"/>
    <n v="0"/>
    <n v="2"/>
    <s v="ene"/>
  </r>
  <r>
    <x v="78"/>
    <s v="Milwaukee Bucks @ Los Angeles Lakers"/>
    <s v="Milwaukee Bucks"/>
    <n v="118"/>
    <n v="105"/>
    <n v="0"/>
    <s v="Los Angeles Lakers"/>
    <n v="124"/>
    <n v="101"/>
    <n v="0"/>
    <n v="242"/>
    <n v="206"/>
    <n v="0"/>
    <n v="6"/>
    <n v="-4"/>
    <n v="0"/>
    <n v="2"/>
    <s v="ene"/>
  </r>
  <r>
    <x v="79"/>
    <s v="Minnesota Timberwolves @ Cleveland Cavaliers"/>
    <s v="Minnesota Timberwolves"/>
    <n v="129"/>
    <n v="134"/>
    <n v="1"/>
    <s v="Cleveland Cavaliers"/>
    <n v="122"/>
    <n v="146"/>
    <n v="1"/>
    <n v="251"/>
    <n v="280"/>
    <n v="1"/>
    <n v="-7"/>
    <n v="12"/>
    <n v="0"/>
    <n v="2"/>
    <s v="ene"/>
  </r>
  <r>
    <x v="79"/>
    <s v="Miami Heat @ Indiana Pacers"/>
    <s v="Miami Heat"/>
    <n v="114"/>
    <n v="99"/>
    <n v="0"/>
    <s v="Indiana Pacers"/>
    <n v="111"/>
    <n v="123"/>
    <n v="1"/>
    <n v="225"/>
    <n v="222"/>
    <n v="0"/>
    <n v="-3"/>
    <n v="24"/>
    <n v="0"/>
    <n v="2"/>
    <s v="ene"/>
  </r>
  <r>
    <x v="79"/>
    <s v="LA Clippers @ Detroit Pistons"/>
    <s v="LA Clippers"/>
    <n v="106"/>
    <n v="98"/>
    <n v="0"/>
    <s v="Detroit Pistons"/>
    <n v="116"/>
    <n v="92"/>
    <n v="0"/>
    <n v="222"/>
    <n v="190"/>
    <n v="0"/>
    <n v="10"/>
    <n v="-6"/>
    <n v="0"/>
    <n v="2"/>
    <s v="ene"/>
  </r>
  <r>
    <x v="79"/>
    <s v="San Antonio Spurs @ Boston Celtics"/>
    <s v="San Antonio Spurs"/>
    <n v="115"/>
    <n v="100"/>
    <n v="0"/>
    <s v="Boston Celtics"/>
    <n v="135"/>
    <n v="95"/>
    <n v="0"/>
    <n v="250"/>
    <n v="195"/>
    <n v="0"/>
    <n v="20"/>
    <n v="-5"/>
    <n v="0"/>
    <n v="2"/>
    <s v="ene"/>
  </r>
  <r>
    <x v="79"/>
    <s v="Dallas Mavericks @ Chicago Bulls"/>
    <s v="Dallas Mavericks"/>
    <n v="120"/>
    <n v="107"/>
    <n v="0"/>
    <s v="Chicago Bulls"/>
    <n v="109"/>
    <n v="125"/>
    <n v="1"/>
    <n v="229"/>
    <n v="232"/>
    <n v="1"/>
    <n v="-11"/>
    <n v="18"/>
    <n v="0"/>
    <n v="2"/>
    <s v="ene"/>
  </r>
  <r>
    <x v="79"/>
    <s v="Charlotte Hornets @ Utah Jazz"/>
    <s v="Charlotte Hornets"/>
    <n v="118"/>
    <n v="150"/>
    <n v="1"/>
    <s v="Utah Jazz"/>
    <n v="131"/>
    <n v="95"/>
    <n v="0"/>
    <n v="249"/>
    <n v="245"/>
    <n v="0"/>
    <n v="13"/>
    <n v="-55"/>
    <n v="0"/>
    <n v="2"/>
    <s v="ene"/>
  </r>
  <r>
    <x v="80"/>
    <s v="New Orleans Pelicans @ Orlando Magic"/>
    <s v="New Orleans Pelicans"/>
    <n v="128"/>
    <n v="118"/>
    <n v="0"/>
    <s v="Orlando Magic"/>
    <n v="123"/>
    <n v="128"/>
    <n v="1"/>
    <n v="251"/>
    <n v="246"/>
    <n v="0"/>
    <n v="-5"/>
    <n v="10"/>
    <n v="0"/>
    <n v="2"/>
    <s v="ene"/>
  </r>
  <r>
    <x v="80"/>
    <s v="Brooklyn Nets @ Memphis Grizzlies"/>
    <s v="Brooklyn Nets"/>
    <n v="111"/>
    <n v="98"/>
    <n v="0"/>
    <s v="Memphis Grizzlies"/>
    <n v="121"/>
    <n v="103"/>
    <n v="0"/>
    <n v="232"/>
    <n v="201"/>
    <n v="0"/>
    <n v="10"/>
    <n v="5"/>
    <n v="1"/>
    <n v="2"/>
    <s v="ene"/>
  </r>
  <r>
    <x v="80"/>
    <s v="Philadelphia 76ers @ Toronto Raptors"/>
    <s v="Philadelphia 76ers"/>
    <n v="109"/>
    <n v="115"/>
    <n v="1"/>
    <s v="Toronto Raptors"/>
    <n v="113"/>
    <n v="116"/>
    <n v="1"/>
    <n v="222"/>
    <n v="231"/>
    <n v="1"/>
    <n v="4"/>
    <n v="1"/>
    <n v="1"/>
    <n v="2"/>
    <s v="ene"/>
  </r>
  <r>
    <x v="80"/>
    <s v="New York Knicks @ Portland Trail Blazers"/>
    <s v="New York Knicks"/>
    <n v="122"/>
    <n v="123"/>
    <n v="1"/>
    <s v="Portland Trail Blazers"/>
    <n v="128"/>
    <n v="114"/>
    <n v="0"/>
    <n v="250"/>
    <n v="237"/>
    <n v="0"/>
    <n v="6"/>
    <n v="-9"/>
    <n v="0"/>
    <n v="2"/>
    <s v="ene"/>
  </r>
  <r>
    <x v="80"/>
    <s v="San Antonio Spurs @ Minnesota Timberwolves"/>
    <s v="San Antonio Spurs"/>
    <n v="110"/>
    <n v="103"/>
    <n v="0"/>
    <s v="Minnesota Timberwolves"/>
    <n v="126"/>
    <n v="104"/>
    <n v="0"/>
    <n v="236"/>
    <n v="207"/>
    <n v="0"/>
    <n v="16"/>
    <n v="1"/>
    <n v="1"/>
    <n v="2"/>
    <s v="ene"/>
  </r>
  <r>
    <x v="80"/>
    <s v="Miami Heat @ Oklahoma City Thunder"/>
    <s v="Miami Heat"/>
    <n v="106"/>
    <n v="112"/>
    <n v="1"/>
    <s v="Oklahoma City Thunder"/>
    <n v="116"/>
    <n v="124"/>
    <n v="1"/>
    <n v="222"/>
    <n v="236"/>
    <n v="1"/>
    <n v="10"/>
    <n v="12"/>
    <n v="1"/>
    <n v="2"/>
    <s v="ene"/>
  </r>
  <r>
    <x v="80"/>
    <s v="Milwaukee Bucks @ Denver Nuggets"/>
    <s v="Milwaukee Bucks"/>
    <n v="114"/>
    <n v="104"/>
    <n v="0"/>
    <s v="Denver Nuggets"/>
    <n v="118"/>
    <n v="108"/>
    <n v="0"/>
    <n v="232"/>
    <n v="212"/>
    <n v="0"/>
    <n v="4"/>
    <n v="4"/>
    <n v="1"/>
    <n v="2"/>
    <s v="ene"/>
  </r>
  <r>
    <x v="80"/>
    <s v="Washington Wizards @ Phoenix Suns"/>
    <s v="Washington Wizards"/>
    <n v="108"/>
    <n v="93"/>
    <n v="0"/>
    <s v="Phoenix Suns"/>
    <n v="129"/>
    <n v="112"/>
    <n v="0"/>
    <n v="237"/>
    <n v="205"/>
    <n v="0"/>
    <n v="21"/>
    <n v="19"/>
    <n v="1"/>
    <n v="2"/>
    <s v="ene"/>
  </r>
  <r>
    <x v="80"/>
    <s v="Atlanta Hawks @ Golden State Warriors"/>
    <s v="Atlanta Hawks"/>
    <n v="135"/>
    <n v="124"/>
    <n v="0"/>
    <s v="Golden State Warriors"/>
    <n v="138"/>
    <n v="111"/>
    <n v="0"/>
    <n v="273"/>
    <n v="235"/>
    <n v="0"/>
    <n v="3"/>
    <n v="-13"/>
    <n v="0"/>
    <n v="2"/>
    <s v="ene"/>
  </r>
  <r>
    <x v="80"/>
    <s v="Houston Rockets @ Sacramento Kings"/>
    <s v="Houston Rockets"/>
    <n v="120"/>
    <n v="98"/>
    <n v="0"/>
    <s v="Sacramento Kings"/>
    <n v="123"/>
    <n v="111"/>
    <n v="0"/>
    <n v="243"/>
    <n v="209"/>
    <n v="0"/>
    <n v="3"/>
    <n v="13"/>
    <n v="1"/>
    <n v="2"/>
    <s v="ene"/>
  </r>
  <r>
    <x v="81"/>
    <s v="Utah Jazz @ Cleveland Cavaliers"/>
    <s v="Utah Jazz"/>
    <n v="128"/>
    <n v="123"/>
    <n v="0"/>
    <s v="Cleveland Cavaliers"/>
    <n v="122"/>
    <n v="112"/>
    <n v="0"/>
    <n v="250"/>
    <n v="235"/>
    <n v="0"/>
    <n v="-6"/>
    <n v="-11"/>
    <n v="1"/>
    <n v="3"/>
    <s v="ene"/>
  </r>
  <r>
    <x v="81"/>
    <s v="Boston Celtics @ Indiana Pacers"/>
    <s v="Boston Celtics"/>
    <n v="112"/>
    <n v="96"/>
    <n v="0"/>
    <s v="Indiana Pacers"/>
    <n v="119"/>
    <n v="98"/>
    <n v="0"/>
    <n v="231"/>
    <n v="194"/>
    <n v="0"/>
    <n v="7"/>
    <n v="2"/>
    <n v="1"/>
    <n v="3"/>
    <s v="ene"/>
  </r>
  <r>
    <x v="81"/>
    <s v="Philadelphia 76ers @ Toronto Raptors"/>
    <s v="Philadelphia 76ers"/>
    <n v="109"/>
    <n v="115"/>
    <n v="1"/>
    <s v="Toronto Raptors"/>
    <n v="125"/>
    <n v="102"/>
    <n v="0"/>
    <n v="234"/>
    <n v="217"/>
    <n v="0"/>
    <n v="16"/>
    <n v="-13"/>
    <n v="0"/>
    <n v="3"/>
    <s v="ene"/>
  </r>
  <r>
    <x v="81"/>
    <s v="Brooklyn Nets @ Dallas Mavericks"/>
    <s v="Brooklyn Nets"/>
    <n v="109"/>
    <n v="105"/>
    <n v="0"/>
    <s v="Dallas Mavericks"/>
    <n v="116"/>
    <n v="113"/>
    <n v="0"/>
    <n v="225"/>
    <n v="218"/>
    <n v="0"/>
    <n v="7"/>
    <n v="8"/>
    <n v="1"/>
    <n v="3"/>
    <s v="ene"/>
  </r>
  <r>
    <x v="81"/>
    <s v="Los Angeles Lakers @ Sacramento Kings"/>
    <s v="Los Angeles Lakers"/>
    <n v="123"/>
    <n v="112"/>
    <n v="0"/>
    <s v="Sacramento Kings"/>
    <n v="127"/>
    <n v="124"/>
    <n v="0"/>
    <n v="250"/>
    <n v="236"/>
    <n v="0"/>
    <n v="4"/>
    <n v="12"/>
    <n v="1"/>
    <n v="3"/>
    <s v="ene"/>
  </r>
  <r>
    <x v="81"/>
    <s v="Charlotte Hornets @ LA Clippers"/>
    <s v="Charlotte Hornets"/>
    <n v="114"/>
    <n v="109"/>
    <n v="0"/>
    <s v="LA Clippers"/>
    <n v="111"/>
    <n v="117"/>
    <n v="1"/>
    <n v="225"/>
    <n v="226"/>
    <n v="1"/>
    <n v="-3"/>
    <n v="8"/>
    <n v="0"/>
    <n v="3"/>
    <s v="ene"/>
  </r>
  <r>
    <x v="82"/>
    <s v="Phoenix Suns @ Miami Heat"/>
    <s v="Phoenix Suns"/>
    <n v="124"/>
    <n v="121"/>
    <n v="0"/>
    <s v="Miami Heat"/>
    <n v="119"/>
    <n v="127"/>
    <n v="1"/>
    <n v="243"/>
    <n v="248"/>
    <n v="1"/>
    <n v="-5"/>
    <n v="6"/>
    <n v="0"/>
    <n v="3"/>
    <s v="ene"/>
  </r>
  <r>
    <x v="82"/>
    <s v="Chicago Bulls @ Houston Rockets"/>
    <s v="Chicago Bulls"/>
    <n v="113"/>
    <n v="113"/>
    <n v="0"/>
    <s v="Houston Rockets"/>
    <n v="123"/>
    <n v="119"/>
    <n v="0"/>
    <n v="236"/>
    <n v="232"/>
    <n v="0"/>
    <n v="10"/>
    <n v="6"/>
    <n v="1"/>
    <n v="3"/>
    <s v="ene"/>
  </r>
  <r>
    <x v="82"/>
    <s v="Minnesota Timberwolves @ Milwaukee Bucks"/>
    <s v="Minnesota Timberwolves"/>
    <n v="110"/>
    <n v="139"/>
    <n v="1"/>
    <s v="Milwaukee Bucks"/>
    <n v="120"/>
    <n v="106"/>
    <n v="0"/>
    <n v="230"/>
    <n v="245"/>
    <n v="1"/>
    <n v="10"/>
    <n v="-33"/>
    <n v="0"/>
    <n v="3"/>
    <s v="ene"/>
  </r>
  <r>
    <x v="82"/>
    <s v="Denver Nuggets @ New Orleans Pelicans"/>
    <s v="Denver Nuggets"/>
    <n v="128"/>
    <n v="122"/>
    <n v="0"/>
    <s v="New Orleans Pelicans"/>
    <n v="132"/>
    <n v="116"/>
    <n v="0"/>
    <n v="260"/>
    <n v="238"/>
    <n v="0"/>
    <n v="4"/>
    <n v="-6"/>
    <n v="0"/>
    <n v="3"/>
    <s v="ene"/>
  </r>
  <r>
    <x v="82"/>
    <s v="San Antonio Spurs @ Oklahoma City Thunder"/>
    <s v="San Antonio Spurs"/>
    <n v="108"/>
    <n v="98"/>
    <n v="0"/>
    <s v="Oklahoma City Thunder"/>
    <n v="127"/>
    <n v="119"/>
    <n v="0"/>
    <n v="235"/>
    <n v="217"/>
    <n v="0"/>
    <n v="19"/>
    <n v="21"/>
    <n v="1"/>
    <n v="3"/>
    <s v="ene"/>
  </r>
  <r>
    <x v="82"/>
    <s v="Atlanta Hawks @ Los Angeles Lakers"/>
    <s v="Atlanta Hawks"/>
    <n v="112"/>
    <n v="116"/>
    <n v="1"/>
    <s v="Los Angeles Lakers"/>
    <n v="122"/>
    <n v="141"/>
    <n v="1"/>
    <n v="234"/>
    <n v="257"/>
    <n v="1"/>
    <n v="10"/>
    <n v="25"/>
    <n v="1"/>
    <n v="3"/>
    <s v="ene"/>
  </r>
  <r>
    <x v="82"/>
    <s v="Portland Trail Blazers @ Golden State Warriors"/>
    <s v="Portland Trail Blazers"/>
    <n v="118"/>
    <n v="97"/>
    <n v="0"/>
    <s v="Golden State Warriors"/>
    <n v="131"/>
    <n v="119"/>
    <n v="0"/>
    <n v="249"/>
    <n v="216"/>
    <n v="0"/>
    <n v="13"/>
    <n v="22"/>
    <n v="1"/>
    <n v="3"/>
    <s v="ene"/>
  </r>
  <r>
    <x v="83"/>
    <s v="Toronto Raptors @ Indiana Pacers"/>
    <s v="Toronto Raptors"/>
    <n v="128"/>
    <n v="115"/>
    <n v="0"/>
    <s v="Indiana Pacers"/>
    <n v="115"/>
    <n v="101"/>
    <n v="0"/>
    <n v="243"/>
    <n v="216"/>
    <n v="0"/>
    <n v="-13"/>
    <n v="-14"/>
    <n v="1"/>
    <n v="3"/>
    <s v="ene"/>
  </r>
  <r>
    <x v="83"/>
    <s v="Cleveland Cavaliers @ Philadelphia 76ers"/>
    <s v="Cleveland Cavaliers"/>
    <n v="115"/>
    <n v="133"/>
    <n v="1"/>
    <s v="Philadelphia 76ers"/>
    <n v="118"/>
    <n v="107"/>
    <n v="0"/>
    <n v="233"/>
    <n v="240"/>
    <n v="1"/>
    <n v="3"/>
    <n v="-26"/>
    <n v="0"/>
    <n v="3"/>
    <s v="ene"/>
  </r>
  <r>
    <x v="83"/>
    <s v="Utah Jazz @ Chicago Bulls"/>
    <s v="Utah Jazz"/>
    <n v="113"/>
    <n v="126"/>
    <n v="1"/>
    <s v="Chicago Bulls"/>
    <n v="121"/>
    <n v="128"/>
    <n v="1"/>
    <n v="234"/>
    <n v="254"/>
    <n v="1"/>
    <n v="8"/>
    <n v="2"/>
    <n v="1"/>
    <n v="3"/>
    <s v="ene"/>
  </r>
  <r>
    <x v="83"/>
    <s v="Brooklyn Nets @ New Orleans Pelicans"/>
    <s v="Brooklyn Nets"/>
    <n v="118"/>
    <n v="113"/>
    <n v="0"/>
    <s v="New Orleans Pelicans"/>
    <n v="135"/>
    <n v="116"/>
    <n v="0"/>
    <n v="253"/>
    <n v="229"/>
    <n v="0"/>
    <n v="17"/>
    <n v="3"/>
    <n v="1"/>
    <n v="3"/>
    <s v="ene"/>
  </r>
  <r>
    <x v="83"/>
    <s v="Denver Nuggets @ Dallas Mavericks"/>
    <s v="Denver Nuggets"/>
    <n v="114"/>
    <n v="118"/>
    <n v="1"/>
    <s v="Dallas Mavericks"/>
    <n v="110"/>
    <n v="109"/>
    <n v="0"/>
    <n v="224"/>
    <n v="227"/>
    <n v="1"/>
    <n v="-4"/>
    <n v="-9"/>
    <n v="1"/>
    <n v="3"/>
    <s v="ene"/>
  </r>
  <r>
    <x v="83"/>
    <s v="New York Knicks @ Sacramento Kings"/>
    <s v="New York Knicks"/>
    <n v="115"/>
    <n v="101"/>
    <n v="0"/>
    <s v="Sacramento Kings"/>
    <n v="120"/>
    <n v="112"/>
    <n v="0"/>
    <n v="235"/>
    <n v="213"/>
    <n v="0"/>
    <n v="5"/>
    <n v="11"/>
    <n v="1"/>
    <n v="3"/>
    <s v="ene"/>
  </r>
  <r>
    <x v="83"/>
    <s v="Washington Wizards @ LA Clippers"/>
    <s v="Washington Wizards"/>
    <n v="111"/>
    <n v="105"/>
    <n v="0"/>
    <s v="LA Clippers"/>
    <n v="128"/>
    <n v="119"/>
    <n v="0"/>
    <n v="239"/>
    <n v="224"/>
    <n v="0"/>
    <n v="17"/>
    <n v="14"/>
    <n v="1"/>
    <n v="3"/>
    <s v="ene"/>
  </r>
  <r>
    <x v="84"/>
    <s v="Memphis Grizzlies @ Orlando Magic"/>
    <s v="Memphis Grizzlies"/>
    <n v="127"/>
    <n v="111"/>
    <n v="0"/>
    <s v="Orlando Magic"/>
    <n v="118"/>
    <n v="118"/>
    <n v="0"/>
    <n v="245"/>
    <n v="229"/>
    <n v="0"/>
    <n v="-9"/>
    <n v="7"/>
    <n v="0"/>
    <n v="3"/>
    <s v="ene"/>
  </r>
  <r>
    <x v="84"/>
    <s v="Phoenix Suns @ Detroit Pistons"/>
    <s v="Phoenix Suns"/>
    <n v="115"/>
    <n v="105"/>
    <n v="0"/>
    <s v="Detroit Pistons"/>
    <n v="118"/>
    <n v="108"/>
    <n v="0"/>
    <n v="233"/>
    <n v="213"/>
    <n v="0"/>
    <n v="3"/>
    <n v="3"/>
    <n v="1"/>
    <n v="3"/>
    <s v="ene"/>
  </r>
  <r>
    <x v="84"/>
    <s v="Boston Celtics @ Miami Heat"/>
    <s v="Boston Celtics"/>
    <n v="111"/>
    <n v="119"/>
    <n v="1"/>
    <s v="Miami Heat"/>
    <n v="110"/>
    <n v="114"/>
    <n v="1"/>
    <n v="221"/>
    <n v="233"/>
    <n v="1"/>
    <n v="-1"/>
    <n v="-5"/>
    <n v="1"/>
    <n v="3"/>
    <s v="ene"/>
  </r>
  <r>
    <x v="84"/>
    <s v="Oklahoma City Thunder @ Houston Rockets"/>
    <s v="Oklahoma City Thunder"/>
    <n v="116"/>
    <n v="111"/>
    <n v="0"/>
    <s v="Houston Rockets"/>
    <n v="121"/>
    <n v="91"/>
    <n v="0"/>
    <n v="237"/>
    <n v="202"/>
    <n v="0"/>
    <n v="5"/>
    <n v="-20"/>
    <n v="0"/>
    <n v="3"/>
    <s v="ene"/>
  </r>
  <r>
    <x v="84"/>
    <s v="Milwaukee Bucks @ San Antonio Spurs"/>
    <s v="Milwaukee Bucks"/>
    <n v="121"/>
    <n v="101"/>
    <n v="0"/>
    <s v="San Antonio Spurs"/>
    <n v="116"/>
    <n v="119"/>
    <n v="1"/>
    <n v="237"/>
    <n v="220"/>
    <n v="0"/>
    <n v="-5"/>
    <n v="18"/>
    <n v="0"/>
    <n v="3"/>
    <s v="ene"/>
  </r>
  <r>
    <x v="84"/>
    <s v="Utah Jazz @ Dallas Mavericks"/>
    <s v="Utah Jazz"/>
    <n v="119"/>
    <n v="122"/>
    <n v="1"/>
    <s v="Dallas Mavericks"/>
    <n v="124"/>
    <n v="144"/>
    <n v="1"/>
    <n v="243"/>
    <n v="266"/>
    <n v="1"/>
    <n v="5"/>
    <n v="22"/>
    <n v="1"/>
    <n v="3"/>
    <s v="ene"/>
  </r>
  <r>
    <x v="84"/>
    <s v="New York Knicks @ Golden State Warriors"/>
    <s v="New York Knicks"/>
    <n v="128"/>
    <n v="113"/>
    <n v="0"/>
    <s v="Golden State Warriors"/>
    <n v="125"/>
    <n v="126"/>
    <n v="1"/>
    <n v="253"/>
    <n v="239"/>
    <n v="0"/>
    <n v="-3"/>
    <n v="13"/>
    <n v="0"/>
    <n v="3"/>
    <s v="ene"/>
  </r>
  <r>
    <x v="84"/>
    <s v="Atlanta Hawks @ Portland Trail Blazers"/>
    <s v="Atlanta Hawks"/>
    <n v="112"/>
    <n v="101"/>
    <n v="0"/>
    <s v="Portland Trail Blazers"/>
    <n v="109"/>
    <n v="117"/>
    <n v="1"/>
    <n v="221"/>
    <n v="218"/>
    <n v="0"/>
    <n v="-3"/>
    <n v="16"/>
    <n v="0"/>
    <n v="3"/>
    <s v="ene"/>
  </r>
  <r>
    <x v="84"/>
    <s v="Charlotte Hornets @ Los Angeles Lakers"/>
    <s v="Charlotte Hornets"/>
    <n v="118"/>
    <n v="135"/>
    <n v="1"/>
    <s v="Los Angeles Lakers"/>
    <n v="121"/>
    <n v="117"/>
    <n v="0"/>
    <n v="239"/>
    <n v="252"/>
    <n v="1"/>
    <n v="3"/>
    <n v="-18"/>
    <n v="0"/>
    <n v="3"/>
    <s v="ene"/>
  </r>
  <r>
    <x v="85"/>
    <s v="New Orleans Pelicans @ Indiana Pacers"/>
    <s v="New Orleans Pelicans"/>
    <n v="129"/>
    <n v="119"/>
    <n v="0"/>
    <s v="Indiana Pacers"/>
    <n v="124"/>
    <n v="127"/>
    <n v="1"/>
    <n v="253"/>
    <n v="246"/>
    <n v="0"/>
    <n v="-5"/>
    <n v="8"/>
    <n v="0"/>
    <n v="3"/>
    <s v="ene"/>
  </r>
  <r>
    <x v="85"/>
    <s v="Cleveland Cavaliers @ Philadelphia 76ers"/>
    <s v="Cleveland Cavaliers"/>
    <n v="116"/>
    <n v="117"/>
    <n v="1"/>
    <s v="Philadelphia 76ers"/>
    <n v="119"/>
    <n v="115"/>
    <n v="0"/>
    <n v="235"/>
    <n v="232"/>
    <n v="0"/>
    <n v="3"/>
    <n v="-2"/>
    <n v="0"/>
    <n v="3"/>
    <s v="ene"/>
  </r>
  <r>
    <x v="85"/>
    <s v="Chicago Bulls @ Brooklyn Nets"/>
    <s v="Chicago Bulls"/>
    <n v="107"/>
    <n v="109"/>
    <n v="1"/>
    <s v="Brooklyn Nets"/>
    <n v="112"/>
    <n v="112"/>
    <n v="0"/>
    <n v="219"/>
    <n v="221"/>
    <n v="1"/>
    <n v="5"/>
    <n v="3"/>
    <n v="1"/>
    <n v="3"/>
    <s v="ene"/>
  </r>
  <r>
    <x v="85"/>
    <s v="LA Clippers @ Toronto Raptors"/>
    <s v="LA Clippers"/>
    <n v="111"/>
    <n v="121"/>
    <n v="1"/>
    <s v="Toronto Raptors"/>
    <n v="119"/>
    <n v="117"/>
    <n v="0"/>
    <n v="230"/>
    <n v="238"/>
    <n v="1"/>
    <n v="8"/>
    <n v="-4"/>
    <n v="0"/>
    <n v="3"/>
    <s v="ene"/>
  </r>
  <r>
    <x v="85"/>
    <s v="Minnesota Timberwolves @ Houston Rockets"/>
    <s v="Minnesota Timberwolves"/>
    <n v="109"/>
    <n v="105"/>
    <n v="0"/>
    <s v="Houston Rockets"/>
    <n v="119"/>
    <n v="110"/>
    <n v="0"/>
    <n v="228"/>
    <n v="215"/>
    <n v="0"/>
    <n v="10"/>
    <n v="5"/>
    <n v="1"/>
    <n v="3"/>
    <s v="ene"/>
  </r>
  <r>
    <x v="85"/>
    <s v="Washington Wizards @ Sacramento Kings"/>
    <s v="Washington Wizards"/>
    <n v="115"/>
    <n v="115"/>
    <n v="0"/>
    <s v="Sacramento Kings"/>
    <n v="120"/>
    <n v="128"/>
    <n v="1"/>
    <n v="235"/>
    <n v="243"/>
    <n v="1"/>
    <n v="5"/>
    <n v="13"/>
    <n v="1"/>
    <n v="3"/>
    <s v="ene"/>
  </r>
  <r>
    <x v="86"/>
    <s v="Utah Jazz @ Dallas Mavericks"/>
    <s v="Utah Jazz"/>
    <n v="127"/>
    <n v="120"/>
    <n v="0"/>
    <s v="Dallas Mavericks"/>
    <n v="122"/>
    <n v="138"/>
    <n v="1"/>
    <n v="249"/>
    <n v="258"/>
    <n v="1"/>
    <n v="-5"/>
    <n v="18"/>
    <n v="0"/>
    <n v="3"/>
    <s v="ene"/>
  </r>
  <r>
    <x v="86"/>
    <s v="Boston Celtics @ Atlanta Hawks"/>
    <s v="Boston Celtics"/>
    <n v="114"/>
    <n v="132"/>
    <n v="1"/>
    <s v="Atlanta Hawks"/>
    <n v="118"/>
    <n v="106"/>
    <n v="0"/>
    <n v="232"/>
    <n v="238"/>
    <n v="1"/>
    <n v="4"/>
    <n v="-26"/>
    <n v="0"/>
    <n v="3"/>
    <s v="ene"/>
  </r>
  <r>
    <x v="86"/>
    <s v="Indiana Pacers @ Detroit Pistons"/>
    <s v="Indiana Pacers"/>
    <n v="103"/>
    <n v="78"/>
    <n v="0"/>
    <s v="Detroit Pistons"/>
    <n v="128"/>
    <n v="121"/>
    <n v="0"/>
    <n v="231"/>
    <n v="199"/>
    <n v="0"/>
    <n v="25"/>
    <n v="43"/>
    <n v="1"/>
    <n v="3"/>
    <s v="ene"/>
  </r>
  <r>
    <x v="86"/>
    <s v="Phoenix Suns @ New York Knicks"/>
    <s v="Phoenix Suns"/>
    <n v="123"/>
    <n v="106"/>
    <n v="0"/>
    <s v="New York Knicks"/>
    <n v="134"/>
    <n v="99"/>
    <n v="0"/>
    <n v="257"/>
    <n v="205"/>
    <n v="0"/>
    <n v="11"/>
    <n v="-7"/>
    <n v="0"/>
    <n v="3"/>
    <s v="ene"/>
  </r>
  <r>
    <x v="86"/>
    <s v="Oklahoma City Thunder @ Miami Heat"/>
    <s v="Oklahoma City Thunder"/>
    <n v="117"/>
    <n v="120"/>
    <n v="1"/>
    <s v="Miami Heat"/>
    <n v="107"/>
    <n v="122"/>
    <n v="1"/>
    <n v="224"/>
    <n v="242"/>
    <n v="1"/>
    <n v="-10"/>
    <n v="2"/>
    <n v="0"/>
    <n v="3"/>
    <s v="ene"/>
  </r>
  <r>
    <x v="86"/>
    <s v="Minnesota Timberwolves @ San Antonio Spurs"/>
    <s v="Minnesota Timberwolves"/>
    <n v="121"/>
    <n v="123"/>
    <n v="1"/>
    <s v="San Antonio Spurs"/>
    <n v="133"/>
    <n v="126"/>
    <n v="0"/>
    <n v="254"/>
    <n v="249"/>
    <n v="0"/>
    <n v="12"/>
    <n v="3"/>
    <n v="1"/>
    <n v="3"/>
    <s v="ene"/>
  </r>
  <r>
    <x v="86"/>
    <s v="Charlotte Hornets @ Golden State Warriors"/>
    <s v="Charlotte Hornets"/>
    <n v="125"/>
    <n v="116"/>
    <n v="0"/>
    <s v="Golden State Warriors"/>
    <n v="129"/>
    <n v="136"/>
    <n v="1"/>
    <n v="254"/>
    <n v="252"/>
    <n v="0"/>
    <n v="4"/>
    <n v="20"/>
    <n v="1"/>
    <n v="3"/>
    <s v="ene"/>
  </r>
  <r>
    <x v="86"/>
    <s v="Washington Wizards @ Denver Nuggets"/>
    <s v="Washington Wizards"/>
    <n v="106"/>
    <n v="115"/>
    <n v="1"/>
    <s v="Denver Nuggets"/>
    <n v="126"/>
    <n v="121"/>
    <n v="0"/>
    <n v="232"/>
    <n v="236"/>
    <n v="1"/>
    <n v="20"/>
    <n v="6"/>
    <n v="1"/>
    <n v="3"/>
    <s v="ene"/>
  </r>
  <r>
    <x v="86"/>
    <s v="Los Angeles Lakers @ Portland Trail Blazers"/>
    <s v="Los Angeles Lakers"/>
    <n v="121"/>
    <n v="116"/>
    <n v="0"/>
    <s v="Portland Trail Blazers"/>
    <n v="117"/>
    <n v="132"/>
    <n v="1"/>
    <n v="238"/>
    <n v="248"/>
    <n v="1"/>
    <n v="-4"/>
    <n v="16"/>
    <n v="0"/>
    <n v="3"/>
    <s v="ene"/>
  </r>
  <r>
    <x v="87"/>
    <s v="Orlando Magic @ Memphis Grizzlies"/>
    <s v="Orlando Magic"/>
    <n v="125"/>
    <n v="109"/>
    <n v="0"/>
    <s v="Memphis Grizzlies"/>
    <n v="121"/>
    <n v="126"/>
    <n v="1"/>
    <n v="246"/>
    <n v="235"/>
    <n v="0"/>
    <n v="-4"/>
    <n v="17"/>
    <n v="0"/>
    <n v="3"/>
    <s v="ene"/>
  </r>
  <r>
    <x v="87"/>
    <s v="Brooklyn Nets @ Chicago Bulls"/>
    <s v="Brooklyn Nets"/>
    <n v="113"/>
    <n v="102"/>
    <n v="0"/>
    <s v="Chicago Bulls"/>
    <n v="120"/>
    <n v="124"/>
    <n v="1"/>
    <n v="233"/>
    <n v="226"/>
    <n v="0"/>
    <n v="7"/>
    <n v="22"/>
    <n v="1"/>
    <n v="3"/>
    <s v="ene"/>
  </r>
  <r>
    <x v="87"/>
    <s v="New Orleans Pelicans @ Houston Rockets"/>
    <s v="New Orleans Pelicans"/>
    <n v="111"/>
    <n v="110"/>
    <n v="0"/>
    <s v="Houston Rockets"/>
    <n v="125"/>
    <n v="119"/>
    <n v="0"/>
    <n v="236"/>
    <n v="229"/>
    <n v="0"/>
    <n v="14"/>
    <n v="9"/>
    <n v="1"/>
    <n v="3"/>
    <s v="ene"/>
  </r>
  <r>
    <x v="87"/>
    <s v="Charlotte Hornets @ Denver Nuggets"/>
    <s v="Charlotte Hornets"/>
    <n v="115"/>
    <n v="110"/>
    <n v="0"/>
    <s v="Denver Nuggets"/>
    <n v="122"/>
    <n v="87"/>
    <n v="0"/>
    <n v="237"/>
    <n v="197"/>
    <n v="0"/>
    <n v="7"/>
    <n v="-23"/>
    <n v="0"/>
    <n v="3"/>
    <s v="ene"/>
  </r>
  <r>
    <x v="87"/>
    <s v="Portland Trail Blazers @ Sacramento Kings"/>
    <s v="Portland Trail Blazers"/>
    <n v="112"/>
    <n v="117"/>
    <n v="1"/>
    <s v="Sacramento Kings"/>
    <n v="116"/>
    <n v="110"/>
    <n v="0"/>
    <n v="228"/>
    <n v="227"/>
    <n v="0"/>
    <n v="4"/>
    <n v="-7"/>
    <n v="0"/>
    <n v="3"/>
    <s v="ene"/>
  </r>
  <r>
    <x v="87"/>
    <s v="Toronto Raptors @ Los Angeles Lakers"/>
    <s v="Toronto Raptors"/>
    <n v="110"/>
    <n v="93"/>
    <n v="0"/>
    <s v="Los Angeles Lakers"/>
    <n v="116"/>
    <n v="110"/>
    <n v="0"/>
    <n v="226"/>
    <n v="203"/>
    <n v="0"/>
    <n v="6"/>
    <n v="17"/>
    <n v="1"/>
    <n v="3"/>
    <s v="ene"/>
  </r>
  <r>
    <x v="88"/>
    <s v="Milwaukee Bucks @ Atlanta Hawks"/>
    <s v="Milwaukee Bucks"/>
    <n v="129"/>
    <n v="112"/>
    <n v="0"/>
    <s v="Atlanta Hawks"/>
    <n v="123"/>
    <n v="110"/>
    <n v="0"/>
    <n v="252"/>
    <n v="222"/>
    <n v="0"/>
    <n v="-6"/>
    <n v="-2"/>
    <n v="1"/>
    <n v="4"/>
    <s v="ene"/>
  </r>
  <r>
    <x v="88"/>
    <s v="Oklahoma City Thunder @ Cleveland Cavaliers"/>
    <s v="Oklahoma City Thunder"/>
    <n v="116"/>
    <n v="136"/>
    <n v="1"/>
    <s v="Cleveland Cavaliers"/>
    <n v="112"/>
    <n v="104"/>
    <n v="0"/>
    <n v="228"/>
    <n v="240"/>
    <n v="1"/>
    <n v="-4"/>
    <n v="-32"/>
    <n v="1"/>
    <n v="4"/>
    <s v="ene"/>
  </r>
  <r>
    <x v="88"/>
    <s v="LA Clippers @ Washington Wizards"/>
    <s v="LA Clippers"/>
    <n v="110"/>
    <n v="110"/>
    <n v="0"/>
    <s v="Washington Wizards"/>
    <n v="126"/>
    <n v="106"/>
    <n v="0"/>
    <n v="236"/>
    <n v="216"/>
    <n v="0"/>
    <n v="16"/>
    <n v="-4"/>
    <n v="0"/>
    <n v="4"/>
    <s v="ene"/>
  </r>
  <r>
    <x v="88"/>
    <s v="Dallas Mavericks @ New York Knicks"/>
    <s v="Dallas Mavericks"/>
    <n v="121"/>
    <n v="114"/>
    <n v="0"/>
    <s v="New York Knicks"/>
    <n v="136"/>
    <n v="97"/>
    <n v="0"/>
    <n v="257"/>
    <n v="211"/>
    <n v="0"/>
    <n v="15"/>
    <n v="-17"/>
    <n v="0"/>
    <n v="4"/>
    <s v="ene"/>
  </r>
  <r>
    <x v="88"/>
    <s v="Utah Jazz @ San Antonio Spurs"/>
    <s v="Utah Jazz"/>
    <n v="133"/>
    <n v="110"/>
    <n v="0"/>
    <s v="San Antonio Spurs"/>
    <n v="125"/>
    <n v="123"/>
    <n v="0"/>
    <n v="258"/>
    <n v="233"/>
    <n v="0"/>
    <n v="-8"/>
    <n v="13"/>
    <n v="0"/>
    <n v="4"/>
    <s v="ene"/>
  </r>
  <r>
    <x v="88"/>
    <s v="Indiana Pacers @ Philadelphia 76ers"/>
    <s v="Indiana Pacers"/>
    <n v="110"/>
    <n v="104"/>
    <n v="0"/>
    <s v="Philadelphia 76ers"/>
    <n v="121"/>
    <n v="113"/>
    <n v="0"/>
    <n v="231"/>
    <n v="217"/>
    <n v="0"/>
    <n v="11"/>
    <n v="9"/>
    <n v="1"/>
    <n v="4"/>
    <s v="ene"/>
  </r>
  <r>
    <x v="88"/>
    <s v="Phoenix Suns @ Brooklyn Nets"/>
    <s v="Phoenix Suns"/>
    <n v="115"/>
    <n v="126"/>
    <n v="1"/>
    <s v="Brooklyn Nets"/>
    <n v="107"/>
    <n v="117"/>
    <n v="1"/>
    <n v="222"/>
    <n v="243"/>
    <n v="1"/>
    <n v="-8"/>
    <n v="-9"/>
    <n v="1"/>
    <n v="4"/>
    <s v="ene"/>
  </r>
  <r>
    <x v="88"/>
    <s v="Boston Celtics @ Detroit Pistons"/>
    <s v="Boston Celtics"/>
    <n v="108"/>
    <n v="103"/>
    <n v="0"/>
    <s v="Detroit Pistons"/>
    <n v="111"/>
    <n v="104"/>
    <n v="0"/>
    <n v="219"/>
    <n v="207"/>
    <n v="0"/>
    <n v="3"/>
    <n v="1"/>
    <n v="1"/>
    <n v="4"/>
    <s v="ene"/>
  </r>
  <r>
    <x v="88"/>
    <s v="Miami Heat @ Golden State Warriors"/>
    <s v="Miami Heat"/>
    <n v="117"/>
    <n v="112"/>
    <n v="0"/>
    <s v="Golden State Warriors"/>
    <n v="124"/>
    <n v="135"/>
    <n v="1"/>
    <n v="241"/>
    <n v="247"/>
    <n v="1"/>
    <n v="7"/>
    <n v="23"/>
    <n v="1"/>
    <n v="4"/>
    <s v="ene"/>
  </r>
  <r>
    <x v="89"/>
    <s v="Phoenix Suns @ Philadelphia 76ers"/>
    <s v="Phoenix Suns"/>
    <n v="126"/>
    <n v="116"/>
    <n v="0"/>
    <s v="Philadelphia 76ers"/>
    <n v="117"/>
    <n v="110"/>
    <n v="0"/>
    <n v="243"/>
    <n v="226"/>
    <n v="0"/>
    <n v="-9"/>
    <n v="-6"/>
    <n v="1"/>
    <n v="4"/>
    <s v="ene"/>
  </r>
  <r>
    <x v="89"/>
    <s v="LA Clippers @ Chicago Bulls"/>
    <s v="LA Clippers"/>
    <n v="116"/>
    <n v="110"/>
    <n v="0"/>
    <s v="Chicago Bulls"/>
    <n v="120"/>
    <n v="138"/>
    <n v="1"/>
    <n v="236"/>
    <n v="248"/>
    <n v="1"/>
    <n v="4"/>
    <n v="28"/>
    <n v="1"/>
    <n v="4"/>
    <s v="ene"/>
  </r>
  <r>
    <x v="89"/>
    <s v="San Antonio Spurs @ Houston Rockets"/>
    <s v="San Antonio Spurs"/>
    <n v="111"/>
    <n v="105"/>
    <n v="0"/>
    <s v="Houston Rockets"/>
    <n v="126"/>
    <n v="111"/>
    <n v="0"/>
    <n v="237"/>
    <n v="216"/>
    <n v="0"/>
    <n v="15"/>
    <n v="6"/>
    <n v="1"/>
    <n v="4"/>
    <s v="ene"/>
  </r>
  <r>
    <x v="89"/>
    <s v="Minnesota Timberwolves @ Utah Jazz"/>
    <s v="Minnesota Timberwolves"/>
    <n v="124"/>
    <n v="122"/>
    <n v="0"/>
    <s v="Utah Jazz"/>
    <n v="135"/>
    <n v="127"/>
    <n v="0"/>
    <n v="259"/>
    <n v="249"/>
    <n v="0"/>
    <n v="11"/>
    <n v="5"/>
    <n v="1"/>
    <n v="4"/>
    <s v="ene"/>
  </r>
  <r>
    <x v="89"/>
    <s v="Los Angeles Lakers @ Denver Nuggets"/>
    <s v="Los Angeles Lakers"/>
    <n v="108"/>
    <n v="115"/>
    <n v="1"/>
    <s v="Denver Nuggets"/>
    <n v="116"/>
    <n v="107"/>
    <n v="0"/>
    <n v="224"/>
    <n v="222"/>
    <n v="0"/>
    <n v="8"/>
    <n v="-8"/>
    <n v="0"/>
    <n v="4"/>
    <s v="ene"/>
  </r>
  <r>
    <x v="89"/>
    <s v="Toronto Raptors @ Golden State Warriors"/>
    <s v="Toronto Raptors"/>
    <n v="111"/>
    <n v="145"/>
    <n v="1"/>
    <s v="Golden State Warriors"/>
    <n v="127"/>
    <n v="127"/>
    <n v="0"/>
    <n v="238"/>
    <n v="272"/>
    <n v="1"/>
    <n v="16"/>
    <n v="-18"/>
    <n v="0"/>
    <n v="4"/>
    <s v="ene"/>
  </r>
  <r>
    <x v="89"/>
    <s v="Miami Heat @ Sacramento Kings"/>
    <s v="Miami Heat"/>
    <n v="115"/>
    <n v="130"/>
    <n v="1"/>
    <s v="Sacramento Kings"/>
    <n v="119"/>
    <n v="117"/>
    <n v="0"/>
    <n v="234"/>
    <n v="247"/>
    <n v="1"/>
    <n v="4"/>
    <n v="-13"/>
    <n v="0"/>
    <n v="4"/>
    <s v="ene"/>
  </r>
  <r>
    <x v="90"/>
    <s v="Cleveland Cavaliers @ Charlotte Hornets"/>
    <s v="Cleveland Cavaliers"/>
    <n v="130"/>
    <n v="94"/>
    <n v="0"/>
    <s v="Charlotte Hornets"/>
    <n v="115"/>
    <n v="87"/>
    <n v="0"/>
    <n v="245"/>
    <n v="181"/>
    <n v="0"/>
    <n v="-15"/>
    <n v="-7"/>
    <n v="1"/>
    <n v="4"/>
    <s v="ene"/>
  </r>
  <r>
    <x v="90"/>
    <s v="Indiana Pacers @ Boston Celtics"/>
    <s v="Indiana Pacers"/>
    <n v="109"/>
    <n v="104"/>
    <n v="0"/>
    <s v="Boston Celtics"/>
    <n v="123"/>
    <n v="119"/>
    <n v="0"/>
    <n v="232"/>
    <n v="223"/>
    <n v="0"/>
    <n v="14"/>
    <n v="15"/>
    <n v="1"/>
    <n v="4"/>
    <s v="ene"/>
  </r>
  <r>
    <x v="90"/>
    <s v="Brooklyn Nets @ New York Knicks"/>
    <s v="Brooklyn Nets"/>
    <n v="113"/>
    <n v="66"/>
    <n v="0"/>
    <s v="New York Knicks"/>
    <n v="128"/>
    <n v="120"/>
    <n v="0"/>
    <n v="241"/>
    <n v="186"/>
    <n v="0"/>
    <n v="15"/>
    <n v="54"/>
    <n v="1"/>
    <n v="4"/>
    <s v="ene"/>
  </r>
  <r>
    <x v="90"/>
    <s v="Atlanta Hawks @ Memphis Grizzlies"/>
    <s v="Atlanta Hawks"/>
    <n v="118"/>
    <n v="124"/>
    <n v="1"/>
    <s v="Memphis Grizzlies"/>
    <n v="123"/>
    <n v="122"/>
    <n v="0"/>
    <n v="241"/>
    <n v="246"/>
    <n v="1"/>
    <n v="5"/>
    <n v="-2"/>
    <n v="0"/>
    <n v="4"/>
    <s v="ene"/>
  </r>
  <r>
    <x v="90"/>
    <s v="Detroit Pistons @ New Orleans Pelicans"/>
    <s v="Detroit Pistons"/>
    <n v="114"/>
    <n v="112"/>
    <n v="0"/>
    <s v="New Orleans Pelicans"/>
    <n v="124"/>
    <n v="104"/>
    <n v="0"/>
    <n v="238"/>
    <n v="216"/>
    <n v="0"/>
    <n v="10"/>
    <n v="-8"/>
    <n v="0"/>
    <n v="4"/>
    <s v="ene"/>
  </r>
  <r>
    <x v="90"/>
    <s v="Oklahoma City Thunder @ Milwaukee Bucks"/>
    <s v="Oklahoma City Thunder"/>
    <n v="111"/>
    <n v="122"/>
    <n v="1"/>
    <s v="Milwaukee Bucks"/>
    <n v="115"/>
    <n v="102"/>
    <n v="0"/>
    <n v="226"/>
    <n v="224"/>
    <n v="0"/>
    <n v="4"/>
    <n v="-20"/>
    <n v="0"/>
    <n v="4"/>
    <s v="ene"/>
  </r>
  <r>
    <x v="90"/>
    <s v="Toronto Raptors @ Sacramento Kings"/>
    <s v="Toronto Raptors"/>
    <n v="121"/>
    <n v="122"/>
    <n v="1"/>
    <s v="Sacramento Kings"/>
    <n v="114"/>
    <n v="109"/>
    <n v="0"/>
    <n v="235"/>
    <n v="231"/>
    <n v="0"/>
    <n v="-7"/>
    <n v="-13"/>
    <n v="1"/>
    <n v="4"/>
    <s v="ene"/>
  </r>
  <r>
    <x v="91"/>
    <s v="Charlotte Hornets @ Orlando Magic"/>
    <s v="Charlotte Hornets"/>
    <n v="124"/>
    <n v="124"/>
    <n v="0"/>
    <s v="Orlando Magic"/>
    <n v="120"/>
    <n v="97"/>
    <n v="0"/>
    <n v="244"/>
    <n v="221"/>
    <n v="0"/>
    <n v="-4"/>
    <n v="-27"/>
    <n v="1"/>
    <n v="4"/>
    <s v="ene"/>
  </r>
  <r>
    <x v="91"/>
    <s v="Houston Rockets @ Philadelphia 76ers"/>
    <s v="Houston Rockets"/>
    <n v="113"/>
    <n v="122"/>
    <n v="1"/>
    <s v="Philadelphia 76ers"/>
    <n v="117"/>
    <n v="128"/>
    <n v="1"/>
    <n v="230"/>
    <n v="250"/>
    <n v="1"/>
    <n v="4"/>
    <n v="6"/>
    <n v="1"/>
    <n v="4"/>
    <s v="ene"/>
  </r>
  <r>
    <x v="91"/>
    <s v="Denver Nuggets @ Washington Wizards"/>
    <s v="Denver Nuggets"/>
    <n v="120"/>
    <n v="107"/>
    <n v="0"/>
    <s v="Washington Wizards"/>
    <n v="123"/>
    <n v="97"/>
    <n v="0"/>
    <n v="243"/>
    <n v="204"/>
    <n v="0"/>
    <n v="3"/>
    <n v="-10"/>
    <n v="0"/>
    <n v="4"/>
    <s v="ene"/>
  </r>
  <r>
    <x v="91"/>
    <s v="Golden State Warriors @ Dallas Mavericks"/>
    <s v="Golden State Warriors"/>
    <n v="116"/>
    <n v="115"/>
    <n v="0"/>
    <s v="Dallas Mavericks"/>
    <n v="128"/>
    <n v="123"/>
    <n v="0"/>
    <n v="244"/>
    <n v="238"/>
    <n v="0"/>
    <n v="12"/>
    <n v="8"/>
    <n v="1"/>
    <n v="4"/>
    <s v="ene"/>
  </r>
  <r>
    <x v="91"/>
    <s v="Chicago Bulls @ Minnesota Timberwolves"/>
    <s v="Chicago Bulls"/>
    <n v="108"/>
    <n v="120"/>
    <n v="1"/>
    <s v="Minnesota Timberwolves"/>
    <n v="120"/>
    <n v="115"/>
    <n v="0"/>
    <n v="228"/>
    <n v="235"/>
    <n v="1"/>
    <n v="12"/>
    <n v="-5"/>
    <n v="0"/>
    <n v="4"/>
    <s v="ene"/>
  </r>
  <r>
    <x v="91"/>
    <s v="San Antonio Spurs @ Utah Jazz"/>
    <s v="San Antonio Spurs"/>
    <n v="124"/>
    <n v="126"/>
    <n v="1"/>
    <s v="Utah Jazz"/>
    <n v="130"/>
    <n v="109"/>
    <n v="0"/>
    <n v="254"/>
    <n v="235"/>
    <n v="0"/>
    <n v="6"/>
    <n v="-17"/>
    <n v="0"/>
    <n v="4"/>
    <s v="ene"/>
  </r>
  <r>
    <x v="91"/>
    <s v="Los Angeles Lakers @ LA Clippers"/>
    <s v="Los Angeles Lakers"/>
    <n v="113"/>
    <n v="104"/>
    <n v="0"/>
    <s v="LA Clippers"/>
    <n v="117"/>
    <n v="112"/>
    <n v="0"/>
    <n v="230"/>
    <n v="216"/>
    <n v="0"/>
    <n v="4"/>
    <n v="8"/>
    <n v="1"/>
    <n v="4"/>
    <s v="ene"/>
  </r>
  <r>
    <x v="91"/>
    <s v="Miami Heat @ Portland Trail Blazers"/>
    <s v="Miami Heat"/>
    <n v="108"/>
    <n v="110"/>
    <n v="1"/>
    <s v="Portland Trail Blazers"/>
    <n v="116"/>
    <n v="127"/>
    <n v="1"/>
    <n v="224"/>
    <n v="237"/>
    <n v="1"/>
    <n v="8"/>
    <n v="17"/>
    <n v="1"/>
    <n v="4"/>
    <s v="ene"/>
  </r>
  <r>
    <x v="92"/>
    <s v="Houston Rockets @ Detroit Pistons"/>
    <s v="Houston Rockets"/>
    <n v="128"/>
    <n v="111"/>
    <n v="0"/>
    <s v="Detroit Pistons"/>
    <n v="119"/>
    <n v="104"/>
    <n v="0"/>
    <n v="247"/>
    <n v="215"/>
    <n v="0"/>
    <n v="-9"/>
    <n v="-7"/>
    <n v="1"/>
    <n v="4"/>
    <s v="ene"/>
  </r>
  <r>
    <x v="92"/>
    <s v="Phoenix Suns @ Atlanta Hawks"/>
    <s v="Phoenix Suns"/>
    <n v="118"/>
    <n v="103"/>
    <n v="0"/>
    <s v="Atlanta Hawks"/>
    <n v="122"/>
    <n v="110"/>
    <n v="0"/>
    <n v="240"/>
    <n v="213"/>
    <n v="0"/>
    <n v="4"/>
    <n v="7"/>
    <n v="1"/>
    <n v="4"/>
    <s v="ene"/>
  </r>
  <r>
    <x v="92"/>
    <s v="Boston Celtics @ Brooklyn Nets"/>
    <s v="Boston Celtics"/>
    <n v="111"/>
    <n v="130"/>
    <n v="1"/>
    <s v="Brooklyn Nets"/>
    <n v="108"/>
    <n v="126"/>
    <n v="1"/>
    <n v="219"/>
    <n v="256"/>
    <n v="1"/>
    <n v="-3"/>
    <n v="-4"/>
    <n v="1"/>
    <n v="4"/>
    <s v="ene"/>
  </r>
  <r>
    <x v="92"/>
    <s v="Sacramento Kings @ Cleveland Cavaliers"/>
    <s v="Sacramento Kings"/>
    <n v="116"/>
    <n v="118"/>
    <n v="1"/>
    <s v="Cleveland Cavaliers"/>
    <n v="122"/>
    <n v="123"/>
    <n v="1"/>
    <n v="238"/>
    <n v="241"/>
    <n v="1"/>
    <n v="6"/>
    <n v="5"/>
    <n v="1"/>
    <n v="4"/>
    <s v="ene"/>
  </r>
  <r>
    <x v="92"/>
    <s v="New Orleans Pelicans @ Memphis Grizzlies"/>
    <s v="New Orleans Pelicans"/>
    <n v="110"/>
    <n v="133"/>
    <n v="1"/>
    <s v="Memphis Grizzlies"/>
    <n v="122"/>
    <n v="127"/>
    <n v="1"/>
    <n v="232"/>
    <n v="260"/>
    <n v="1"/>
    <n v="12"/>
    <n v="-6"/>
    <n v="0"/>
    <n v="4"/>
    <s v="ene"/>
  </r>
  <r>
    <x v="92"/>
    <s v="Indiana Pacers @ Oklahoma City Thunder"/>
    <s v="Indiana Pacers"/>
    <n v="108"/>
    <n v="117"/>
    <n v="1"/>
    <s v="Oklahoma City Thunder"/>
    <n v="123"/>
    <n v="114"/>
    <n v="0"/>
    <n v="231"/>
    <n v="231"/>
    <n v="0"/>
    <n v="15"/>
    <n v="-3"/>
    <n v="0"/>
    <n v="4"/>
    <s v="ene"/>
  </r>
  <r>
    <x v="92"/>
    <s v="Denver Nuggets @ Milwaukee Bucks"/>
    <s v="Denver Nuggets"/>
    <n v="110"/>
    <n v="102"/>
    <n v="0"/>
    <s v="Milwaukee Bucks"/>
    <n v="113"/>
    <n v="100"/>
    <n v="0"/>
    <n v="223"/>
    <n v="202"/>
    <n v="0"/>
    <n v="3"/>
    <n v="-2"/>
    <n v="0"/>
    <n v="4"/>
    <s v="ene"/>
  </r>
  <r>
    <x v="92"/>
    <s v="Toronto Raptors @ Portland Trail Blazers"/>
    <s v="Toronto Raptors"/>
    <n v="109"/>
    <n v="110"/>
    <n v="1"/>
    <s v="Portland Trail Blazers"/>
    <n v="118"/>
    <n v="98"/>
    <n v="0"/>
    <n v="227"/>
    <n v="208"/>
    <n v="0"/>
    <n v="9"/>
    <n v="-12"/>
    <n v="0"/>
    <n v="4"/>
    <s v="ene"/>
  </r>
  <r>
    <x v="93"/>
    <s v="Washington Wizards @ Charlotte Hornets"/>
    <s v="Washington Wizards"/>
    <n v="113"/>
    <n v="115"/>
    <n v="1"/>
    <s v="Charlotte Hornets"/>
    <n v="119"/>
    <n v="119"/>
    <n v="0"/>
    <n v="232"/>
    <n v="234"/>
    <n v="1"/>
    <n v="6"/>
    <n v="4"/>
    <n v="1"/>
    <n v="4"/>
    <s v="ene"/>
  </r>
  <r>
    <x v="93"/>
    <s v="New York Knicks @ Philadelphia 76ers"/>
    <s v="New York Knicks"/>
    <n v="113"/>
    <n v="112"/>
    <n v="0"/>
    <s v="Philadelphia 76ers"/>
    <n v="111"/>
    <n v="109"/>
    <n v="0"/>
    <n v="224"/>
    <n v="221"/>
    <n v="0"/>
    <n v="-2"/>
    <n v="-3"/>
    <n v="1"/>
    <n v="4"/>
    <s v="ene"/>
  </r>
  <r>
    <x v="93"/>
    <s v="Cleveland Cavaliers @ Orlando Magic"/>
    <s v="Cleveland Cavaliers"/>
    <n v="110"/>
    <n v="119"/>
    <n v="1"/>
    <s v="Orlando Magic"/>
    <n v="115"/>
    <n v="105"/>
    <n v="0"/>
    <n v="225"/>
    <n v="224"/>
    <n v="0"/>
    <n v="5"/>
    <n v="-14"/>
    <n v="0"/>
    <n v="4"/>
    <s v="ene"/>
  </r>
  <r>
    <x v="93"/>
    <s v="Boston Celtics @ Chicago Bulls"/>
    <s v="Boston Celtics"/>
    <n v="118"/>
    <n v="111"/>
    <n v="0"/>
    <s v="Chicago Bulls"/>
    <n v="113"/>
    <n v="114"/>
    <n v="1"/>
    <n v="231"/>
    <n v="225"/>
    <n v="0"/>
    <n v="-5"/>
    <n v="3"/>
    <n v="0"/>
    <n v="4"/>
    <s v="ene"/>
  </r>
  <r>
    <x v="93"/>
    <s v="Los Angeles Lakers @ Dallas Mavericks"/>
    <s v="Los Angeles Lakers"/>
    <n v="115"/>
    <n v="116"/>
    <n v="1"/>
    <s v="Dallas Mavericks"/>
    <n v="117"/>
    <n v="110"/>
    <n v="0"/>
    <n v="232"/>
    <n v="226"/>
    <n v="0"/>
    <n v="2"/>
    <n v="-6"/>
    <n v="0"/>
    <n v="4"/>
    <s v="ene"/>
  </r>
  <r>
    <x v="93"/>
    <s v="Miami Heat @ Utah Jazz"/>
    <s v="Miami Heat"/>
    <n v="114"/>
    <n v="147"/>
    <n v="1"/>
    <s v="Utah Jazz"/>
    <n v="115"/>
    <n v="116"/>
    <n v="1"/>
    <n v="229"/>
    <n v="263"/>
    <n v="1"/>
    <n v="1"/>
    <n v="-31"/>
    <n v="0"/>
    <n v="4"/>
    <s v="ene"/>
  </r>
  <r>
    <x v="94"/>
    <s v="Sacramento Kings @ Detroit Pistons"/>
    <s v="Sacramento Kings"/>
    <n v="113"/>
    <n v="116"/>
    <n v="1"/>
    <s v="Detroit Pistons"/>
    <n v="116"/>
    <n v="139"/>
    <n v="1"/>
    <n v="229"/>
    <n v="255"/>
    <n v="1"/>
    <n v="3"/>
    <n v="23"/>
    <n v="1"/>
    <n v="4"/>
    <s v="ene"/>
  </r>
  <r>
    <x v="94"/>
    <s v="Golden State Warriors @ Minnesota Timberwolves"/>
    <s v="Golden State Warriors"/>
    <n v="116"/>
    <n v="111"/>
    <n v="0"/>
    <s v="Minnesota Timberwolves"/>
    <n v="119"/>
    <n v="85"/>
    <n v="0"/>
    <n v="235"/>
    <n v="196"/>
    <n v="0"/>
    <n v="3"/>
    <n v="-26"/>
    <n v="0"/>
    <n v="4"/>
    <s v="ene"/>
  </r>
  <r>
    <x v="94"/>
    <s v="Toronto Raptors @ Oklahoma City Thunder"/>
    <s v="Toronto Raptors"/>
    <n v="112"/>
    <n v="103"/>
    <n v="0"/>
    <s v="Oklahoma City Thunder"/>
    <n v="119"/>
    <n v="101"/>
    <n v="0"/>
    <n v="231"/>
    <n v="204"/>
    <n v="0"/>
    <n v="7"/>
    <n v="-2"/>
    <n v="0"/>
    <n v="4"/>
    <s v="ene"/>
  </r>
  <r>
    <x v="94"/>
    <s v="New Orleans Pelicans @ San Antonio Spurs"/>
    <s v="New Orleans Pelicans"/>
    <n v="116"/>
    <n v="104"/>
    <n v="0"/>
    <s v="San Antonio Spurs"/>
    <n v="120"/>
    <n v="95"/>
    <n v="0"/>
    <n v="236"/>
    <n v="199"/>
    <n v="0"/>
    <n v="4"/>
    <n v="-9"/>
    <n v="0"/>
    <n v="4"/>
    <s v="ene"/>
  </r>
  <r>
    <x v="94"/>
    <s v="Miami Heat @ Phoenix Suns"/>
    <s v="Miami Heat"/>
    <n v="111"/>
    <n v="111"/>
    <n v="0"/>
    <s v="Phoenix Suns"/>
    <n v="113"/>
    <n v="102"/>
    <n v="0"/>
    <n v="224"/>
    <n v="213"/>
    <n v="0"/>
    <n v="2"/>
    <n v="-9"/>
    <n v="0"/>
    <n v="4"/>
    <s v="ene"/>
  </r>
  <r>
    <x v="94"/>
    <s v="Brooklyn Nets @ LA Clippers"/>
    <s v="Brooklyn Nets"/>
    <n v="111"/>
    <n v="89"/>
    <n v="0"/>
    <s v="LA Clippers"/>
    <n v="113"/>
    <n v="126"/>
    <n v="1"/>
    <n v="224"/>
    <n v="215"/>
    <n v="0"/>
    <n v="2"/>
    <n v="37"/>
    <n v="1"/>
    <n v="4"/>
    <s v="ene"/>
  </r>
  <r>
    <x v="95"/>
    <s v="Indiana Pacers @ Atlanta Hawks"/>
    <s v="Indiana Pacers"/>
    <n v="115"/>
    <n v="116"/>
    <n v="1"/>
    <s v="Atlanta Hawks"/>
    <n v="119"/>
    <n v="132"/>
    <n v="1"/>
    <n v="234"/>
    <n v="248"/>
    <n v="1"/>
    <n v="4"/>
    <n v="16"/>
    <n v="1"/>
    <n v="5"/>
    <s v="ene"/>
  </r>
  <r>
    <x v="95"/>
    <s v="Philadelphia 76ers @ Charlotte Hornets"/>
    <s v="Philadelphia 76ers"/>
    <n v="115"/>
    <n v="93"/>
    <n v="0"/>
    <s v="Charlotte Hornets"/>
    <n v="115"/>
    <n v="130"/>
    <n v="1"/>
    <n v="230"/>
    <n v="223"/>
    <n v="0"/>
    <n v="0"/>
    <n v="37"/>
    <n v="0"/>
    <n v="5"/>
    <s v="ene"/>
  </r>
  <r>
    <x v="95"/>
    <s v="Orlando Magic @ Cleveland Cavaliers"/>
    <s v="Orlando Magic"/>
    <n v="112"/>
    <n v="98"/>
    <n v="0"/>
    <s v="Cleveland Cavaliers"/>
    <n v="116"/>
    <n v="114"/>
    <n v="0"/>
    <n v="228"/>
    <n v="212"/>
    <n v="0"/>
    <n v="4"/>
    <n v="16"/>
    <n v="1"/>
    <n v="5"/>
    <s v="ene"/>
  </r>
  <r>
    <x v="95"/>
    <s v="Portland Trail Blazers @ Boston Celtics"/>
    <s v="Portland Trail Blazers"/>
    <n v="111"/>
    <n v="94"/>
    <n v="0"/>
    <s v="Boston Celtics"/>
    <n v="116"/>
    <n v="102"/>
    <n v="0"/>
    <n v="227"/>
    <n v="196"/>
    <n v="0"/>
    <n v="5"/>
    <n v="8"/>
    <n v="1"/>
    <n v="5"/>
    <s v="ene"/>
  </r>
  <r>
    <x v="95"/>
    <s v="Los Angeles Lakers @ Chicago Bulls"/>
    <s v="Los Angeles Lakers"/>
    <n v="119"/>
    <n v="129"/>
    <n v="1"/>
    <s v="Chicago Bulls"/>
    <n v="120"/>
    <n v="118"/>
    <n v="0"/>
    <n v="239"/>
    <n v="247"/>
    <n v="1"/>
    <n v="1"/>
    <n v="-11"/>
    <n v="0"/>
    <n v="5"/>
    <s v="ene"/>
  </r>
  <r>
    <x v="95"/>
    <s v="Memphis Grizzlies @ Houston Rockets"/>
    <s v="Memphis Grizzlies"/>
    <n v="114"/>
    <n v="99"/>
    <n v="0"/>
    <s v="Houston Rockets"/>
    <n v="120"/>
    <n v="108"/>
    <n v="0"/>
    <n v="234"/>
    <n v="207"/>
    <n v="0"/>
    <n v="6"/>
    <n v="9"/>
    <n v="1"/>
    <n v="5"/>
    <s v="ene"/>
  </r>
  <r>
    <x v="95"/>
    <s v="Golden State Warriors @ Minnesota Timberwolves"/>
    <s v="Golden State Warriors"/>
    <n v="114"/>
    <n v="83"/>
    <n v="0"/>
    <s v="Minnesota Timberwolves"/>
    <n v="116"/>
    <n v="108"/>
    <n v="0"/>
    <n v="230"/>
    <n v="191"/>
    <n v="0"/>
    <n v="2"/>
    <n v="25"/>
    <n v="1"/>
    <n v="5"/>
    <s v="ene"/>
  </r>
  <r>
    <x v="96"/>
    <s v="Portland Trail Blazers @ Washington Wizards"/>
    <s v="Portland Trail Blazers"/>
    <n v="115"/>
    <n v="111"/>
    <n v="0"/>
    <s v="Washington Wizards"/>
    <n v="113"/>
    <n v="115"/>
    <n v="1"/>
    <n v="228"/>
    <n v="226"/>
    <n v="0"/>
    <n v="-2"/>
    <n v="4"/>
    <n v="0"/>
    <n v="5"/>
    <s v="ene"/>
  </r>
  <r>
    <x v="96"/>
    <s v="Sacramento Kings @ New York Knicks"/>
    <s v="Sacramento Kings"/>
    <n v="111"/>
    <n v="87"/>
    <n v="0"/>
    <s v="New York Knicks"/>
    <n v="119"/>
    <n v="103"/>
    <n v="0"/>
    <n v="230"/>
    <n v="190"/>
    <n v="0"/>
    <n v="8"/>
    <n v="16"/>
    <n v="1"/>
    <n v="5"/>
    <s v="ene"/>
  </r>
  <r>
    <x v="96"/>
    <s v="Milwaukee Bucks @ Philadelphia 76ers"/>
    <s v="Milwaukee Bucks"/>
    <n v="113"/>
    <n v="122"/>
    <n v="1"/>
    <s v="Philadelphia 76ers"/>
    <n v="117"/>
    <n v="139"/>
    <n v="1"/>
    <n v="230"/>
    <n v="261"/>
    <n v="1"/>
    <n v="4"/>
    <n v="17"/>
    <n v="1"/>
    <n v="5"/>
    <s v="ene"/>
  </r>
  <r>
    <x v="96"/>
    <s v="New Orleans Pelicans @ Oklahoma City Thunder"/>
    <s v="New Orleans Pelicans"/>
    <n v="109"/>
    <n v="95"/>
    <n v="0"/>
    <s v="Oklahoma City Thunder"/>
    <n v="120"/>
    <n v="104"/>
    <n v="0"/>
    <n v="229"/>
    <n v="199"/>
    <n v="0"/>
    <n v="11"/>
    <n v="9"/>
    <n v="1"/>
    <n v="5"/>
    <s v="ene"/>
  </r>
  <r>
    <x v="96"/>
    <s v="Detroit Pistons @ Denver Nuggets"/>
    <s v="Detroit Pistons"/>
    <n v="112"/>
    <n v="109"/>
    <n v="0"/>
    <s v="Denver Nuggets"/>
    <n v="116"/>
    <n v="107"/>
    <n v="0"/>
    <n v="228"/>
    <n v="216"/>
    <n v="0"/>
    <n v="4"/>
    <n v="-2"/>
    <n v="0"/>
    <n v="5"/>
    <s v="ene"/>
  </r>
  <r>
    <x v="96"/>
    <s v="Brooklyn Nets @ Phoenix Suns"/>
    <s v="Brooklyn Nets"/>
    <n v="109"/>
    <n v="102"/>
    <n v="0"/>
    <s v="Phoenix Suns"/>
    <n v="113"/>
    <n v="106"/>
    <n v="0"/>
    <n v="222"/>
    <n v="208"/>
    <n v="0"/>
    <n v="4"/>
    <n v="4"/>
    <n v="1"/>
    <n v="5"/>
    <s v="ene"/>
  </r>
  <r>
    <x v="96"/>
    <s v="LA Clippers @ Utah Jazz"/>
    <s v="LA Clippers"/>
    <n v="117"/>
    <n v="115"/>
    <n v="0"/>
    <s v="Utah Jazz"/>
    <n v="117"/>
    <n v="103"/>
    <n v="0"/>
    <n v="234"/>
    <n v="218"/>
    <n v="0"/>
    <n v="0"/>
    <n v="-12"/>
    <n v="0"/>
    <n v="5"/>
    <s v="ene"/>
  </r>
  <r>
    <x v="97"/>
    <s v="Los Angeles Lakers @ Cleveland Cavaliers"/>
    <s v="Los Angeles Lakers"/>
    <n v="114"/>
    <n v="99"/>
    <n v="0"/>
    <s v="Cleveland Cavaliers"/>
    <n v="115"/>
    <n v="129"/>
    <n v="1"/>
    <n v="229"/>
    <n v="228"/>
    <n v="0"/>
    <n v="1"/>
    <n v="30"/>
    <n v="1"/>
    <n v="5"/>
    <s v="ene"/>
  </r>
  <r>
    <x v="97"/>
    <s v="Chicago Bulls @ Indiana Pacers"/>
    <s v="Chicago Bulls"/>
    <n v="115"/>
    <n v="110"/>
    <n v="0"/>
    <s v="Indiana Pacers"/>
    <n v="116"/>
    <n v="113"/>
    <n v="0"/>
    <n v="231"/>
    <n v="223"/>
    <n v="0"/>
    <n v="1"/>
    <n v="3"/>
    <n v="1"/>
    <n v="5"/>
    <s v="ene"/>
  </r>
  <r>
    <x v="97"/>
    <s v="Atlanta Hawks @ Boston Celtics"/>
    <s v="Atlanta Hawks"/>
    <n v="112"/>
    <n v="117"/>
    <n v="1"/>
    <s v="Boston Celtics"/>
    <n v="120"/>
    <n v="106"/>
    <n v="0"/>
    <n v="232"/>
    <n v="223"/>
    <n v="0"/>
    <n v="8"/>
    <n v="-11"/>
    <n v="0"/>
    <n v="5"/>
    <s v="ene"/>
  </r>
  <r>
    <x v="97"/>
    <s v="Orlando Magic @ Miami Heat"/>
    <s v="Orlando Magic"/>
    <n v="110"/>
    <n v="133"/>
    <n v="1"/>
    <s v="Miami Heat"/>
    <n v="118"/>
    <n v="124"/>
    <n v="1"/>
    <n v="228"/>
    <n v="257"/>
    <n v="1"/>
    <n v="8"/>
    <n v="-9"/>
    <n v="0"/>
    <n v="5"/>
    <s v="ene"/>
  </r>
  <r>
    <x v="97"/>
    <s v="New York Knicks @ Toronto Raptors"/>
    <s v="New York Knicks"/>
    <n v="112"/>
    <n v="119"/>
    <n v="1"/>
    <s v="Toronto Raptors"/>
    <n v="111"/>
    <n v="92"/>
    <n v="0"/>
    <n v="223"/>
    <n v="211"/>
    <n v="0"/>
    <n v="-1"/>
    <n v="-27"/>
    <n v="1"/>
    <n v="5"/>
    <s v="ene"/>
  </r>
  <r>
    <x v="97"/>
    <s v="Charlotte Hornets @ Memphis Grizzlies"/>
    <s v="Charlotte Hornets"/>
    <n v="117"/>
    <n v="112"/>
    <n v="0"/>
    <s v="Memphis Grizzlies"/>
    <n v="117"/>
    <n v="97"/>
    <n v="0"/>
    <n v="234"/>
    <n v="209"/>
    <n v="0"/>
    <n v="0"/>
    <n v="-15"/>
    <n v="0"/>
    <n v="5"/>
    <s v="ene"/>
  </r>
  <r>
    <x v="97"/>
    <s v="Minnesota Timberwolves @ Dallas Mavericks"/>
    <s v="Minnesota Timberwolves"/>
    <n v="116"/>
    <n v="118"/>
    <n v="1"/>
    <s v="Dallas Mavericks"/>
    <n v="117"/>
    <n v="105"/>
    <n v="0"/>
    <n v="233"/>
    <n v="223"/>
    <n v="0"/>
    <n v="1"/>
    <n v="-13"/>
    <n v="0"/>
    <n v="5"/>
    <s v="ene"/>
  </r>
  <r>
    <x v="97"/>
    <s v="Golden State Warriors @ Utah Jazz"/>
    <s v="Golden State Warriors"/>
    <n v="118"/>
    <n v="140"/>
    <n v="1"/>
    <s v="Utah Jazz"/>
    <n v="116"/>
    <n v="124"/>
    <n v="1"/>
    <n v="234"/>
    <n v="264"/>
    <n v="1"/>
    <n v="-2"/>
    <n v="-16"/>
    <n v="1"/>
    <n v="5"/>
    <s v="ene"/>
  </r>
  <r>
    <x v="97"/>
    <s v="San Antonio Spurs @ Houston Rockets"/>
    <s v="San Antonio Spurs"/>
    <n v="113"/>
    <n v="111"/>
    <n v="0"/>
    <s v="Houston Rockets"/>
    <n v="116"/>
    <n v="99"/>
    <n v="0"/>
    <n v="229"/>
    <n v="210"/>
    <n v="0"/>
    <n v="3"/>
    <n v="-12"/>
    <n v="0"/>
    <n v="5"/>
    <s v="ene"/>
  </r>
  <r>
    <x v="98"/>
    <s v="Sacramento Kings @ Philadelphia 76ers"/>
    <s v="Sacramento Kings"/>
    <n v="109"/>
    <n v="111"/>
    <n v="1"/>
    <s v="Philadelphia 76ers"/>
    <n v="118"/>
    <n v="113"/>
    <n v="0"/>
    <n v="227"/>
    <n v="224"/>
    <n v="0"/>
    <n v="9"/>
    <n v="2"/>
    <n v="1"/>
    <n v="5"/>
    <s v="ene"/>
  </r>
  <r>
    <x v="98"/>
    <s v="Milwaukee Bucks @ Washington Wizards"/>
    <s v="Milwaukee Bucks"/>
    <n v="119"/>
    <n v="99"/>
    <n v="0"/>
    <s v="Washington Wizards"/>
    <n v="114"/>
    <n v="109"/>
    <n v="0"/>
    <n v="233"/>
    <n v="208"/>
    <n v="0"/>
    <n v="-5"/>
    <n v="10"/>
    <n v="0"/>
    <n v="5"/>
    <s v="ene"/>
  </r>
  <r>
    <x v="98"/>
    <s v="Houston Rockets @ Atlanta Hawks"/>
    <s v="Houston Rockets"/>
    <n v="118"/>
    <n v="104"/>
    <n v="0"/>
    <s v="Atlanta Hawks"/>
    <n v="117"/>
    <n v="86"/>
    <n v="0"/>
    <n v="235"/>
    <n v="190"/>
    <n v="0"/>
    <n v="-1"/>
    <n v="-18"/>
    <n v="1"/>
    <n v="5"/>
    <s v="ene"/>
  </r>
  <r>
    <x v="98"/>
    <s v="Miami Heat @ Chicago Bulls"/>
    <s v="Miami Heat"/>
    <n v="112"/>
    <n v="116"/>
    <n v="1"/>
    <s v="Chicago Bulls"/>
    <n v="117"/>
    <n v="113"/>
    <n v="0"/>
    <n v="229"/>
    <n v="229"/>
    <n v="0"/>
    <n v="5"/>
    <n v="-3"/>
    <n v="0"/>
    <n v="5"/>
    <s v="ene"/>
  </r>
  <r>
    <x v="98"/>
    <s v="Charlotte Hornets @ Dallas Mavericks"/>
    <s v="Charlotte Hornets"/>
    <n v="114"/>
    <n v="123"/>
    <n v="1"/>
    <s v="Dallas Mavericks"/>
    <n v="114"/>
    <n v="121"/>
    <n v="1"/>
    <n v="228"/>
    <n v="244"/>
    <n v="1"/>
    <n v="0"/>
    <n v="-2"/>
    <n v="0"/>
    <n v="5"/>
    <s v="ene"/>
  </r>
  <r>
    <x v="98"/>
    <s v="Brooklyn Nets @ Denver Nuggets"/>
    <s v="Brooklyn Nets"/>
    <n v="108"/>
    <n v="103"/>
    <n v="0"/>
    <s v="Denver Nuggets"/>
    <n v="116"/>
    <n v="107"/>
    <n v="0"/>
    <n v="224"/>
    <n v="210"/>
    <n v="0"/>
    <n v="8"/>
    <n v="4"/>
    <n v="1"/>
    <n v="5"/>
    <s v="ene"/>
  </r>
  <r>
    <x v="98"/>
    <s v="Detroit Pistons @ Phoenix Suns"/>
    <s v="Detroit Pistons"/>
    <n v="114"/>
    <n v="96"/>
    <n v="0"/>
    <s v="Phoenix Suns"/>
    <n v="114"/>
    <n v="114"/>
    <n v="0"/>
    <n v="228"/>
    <n v="210"/>
    <n v="0"/>
    <n v="0"/>
    <n v="18"/>
    <n v="0"/>
    <n v="5"/>
    <s v="ene"/>
  </r>
  <r>
    <x v="98"/>
    <s v="Oklahoma City Thunder @ Minnesota Timberwolves"/>
    <s v="Oklahoma City Thunder"/>
    <n v="115"/>
    <n v="111"/>
    <n v="0"/>
    <s v="Minnesota Timberwolves"/>
    <n v="112"/>
    <n v="123"/>
    <n v="1"/>
    <n v="227"/>
    <n v="234"/>
    <n v="1"/>
    <n v="-3"/>
    <n v="12"/>
    <n v="0"/>
    <n v="5"/>
    <s v="ene"/>
  </r>
  <r>
    <x v="99"/>
    <s v="Los Angeles Lakers @ Washington Wizards"/>
    <s v="Los Angeles Lakers"/>
    <n v="122"/>
    <n v="142"/>
    <n v="1"/>
    <s v="Washington Wizards"/>
    <n v="116"/>
    <n v="111"/>
    <n v="0"/>
    <n v="238"/>
    <n v="253"/>
    <n v="1"/>
    <n v="-6"/>
    <n v="-31"/>
    <n v="1"/>
    <n v="5"/>
    <s v="ene"/>
  </r>
  <r>
    <x v="99"/>
    <s v="Toronto Raptors @ Orlando Magic"/>
    <s v="Toronto Raptors"/>
    <n v="111"/>
    <n v="120"/>
    <n v="1"/>
    <s v="Orlando Magic"/>
    <n v="112"/>
    <n v="130"/>
    <n v="1"/>
    <n v="223"/>
    <n v="250"/>
    <n v="1"/>
    <n v="1"/>
    <n v="10"/>
    <n v="1"/>
    <n v="5"/>
    <s v="ene"/>
  </r>
  <r>
    <x v="99"/>
    <s v="Sacramento Kings @ Boston Celtics"/>
    <s v="Sacramento Kings"/>
    <n v="106"/>
    <n v="93"/>
    <n v="0"/>
    <s v="Boston Celtics"/>
    <n v="118"/>
    <n v="112"/>
    <n v="0"/>
    <n v="224"/>
    <n v="205"/>
    <n v="0"/>
    <n v="12"/>
    <n v="19"/>
    <n v="1"/>
    <n v="5"/>
    <s v="ene"/>
  </r>
  <r>
    <x v="99"/>
    <s v="Portland Trail Blazers @ New York Knicks"/>
    <s v="Portland Trail Blazers"/>
    <n v="110"/>
    <n v="97"/>
    <n v="0"/>
    <s v="New York Knicks"/>
    <n v="116"/>
    <n v="127"/>
    <n v="1"/>
    <n v="226"/>
    <n v="224"/>
    <n v="0"/>
    <n v="6"/>
    <n v="30"/>
    <n v="1"/>
    <n v="5"/>
    <s v="ene"/>
  </r>
  <r>
    <x v="99"/>
    <s v="Memphis Grizzlies @ New Orleans Pelicans"/>
    <s v="Memphis Grizzlies"/>
    <n v="117"/>
    <n v="106"/>
    <n v="0"/>
    <s v="New Orleans Pelicans"/>
    <n v="117"/>
    <n v="114"/>
    <n v="0"/>
    <n v="234"/>
    <n v="220"/>
    <n v="0"/>
    <n v="0"/>
    <n v="8"/>
    <n v="0"/>
    <n v="5"/>
    <s v="ene"/>
  </r>
  <r>
    <x v="99"/>
    <s v="Cleveland Cavaliers @ Phoenix Suns"/>
    <s v="Cleveland Cavaliers"/>
    <n v="114"/>
    <n v="113"/>
    <n v="0"/>
    <s v="Phoenix Suns"/>
    <n v="114"/>
    <n v="126"/>
    <n v="1"/>
    <n v="228"/>
    <n v="239"/>
    <n v="1"/>
    <n v="0"/>
    <n v="13"/>
    <n v="0"/>
    <n v="5"/>
    <s v="ene"/>
  </r>
  <r>
    <x v="99"/>
    <s v="LA Clippers @ Denver Nuggets"/>
    <s v="LA Clippers"/>
    <n v="110"/>
    <n v="109"/>
    <n v="0"/>
    <s v="Denver Nuggets"/>
    <n v="112"/>
    <n v="122"/>
    <n v="1"/>
    <n v="222"/>
    <n v="231"/>
    <n v="1"/>
    <n v="2"/>
    <n v="13"/>
    <n v="1"/>
    <n v="5"/>
    <s v="ene"/>
  </r>
  <r>
    <x v="99"/>
    <s v="Brooklyn Nets @ Utah Jazz"/>
    <s v="Brooklyn Nets"/>
    <n v="110"/>
    <n v="109"/>
    <n v="0"/>
    <s v="Utah Jazz"/>
    <n v="114"/>
    <n v="99"/>
    <n v="0"/>
    <n v="224"/>
    <n v="208"/>
    <n v="0"/>
    <n v="4"/>
    <n v="-10"/>
    <n v="0"/>
    <n v="5"/>
    <s v="ene"/>
  </r>
  <r>
    <x v="99"/>
    <s v="Detroit Pistons @ Golden State Warriors"/>
    <s v="Detroit Pistons"/>
    <n v="113"/>
    <n v="131"/>
    <n v="1"/>
    <s v="Golden State Warriors"/>
    <n v="119"/>
    <n v="124"/>
    <n v="1"/>
    <n v="232"/>
    <n v="255"/>
    <n v="1"/>
    <n v="6"/>
    <n v="-7"/>
    <n v="0"/>
    <n v="5"/>
    <s v="ene"/>
  </r>
  <r>
    <x v="100"/>
    <s v="San Antonio Spurs @ Charlotte Hornets"/>
    <s v="San Antonio Spurs"/>
    <n v="119"/>
    <n v="106"/>
    <n v="0"/>
    <s v="Charlotte Hornets"/>
    <n v="113"/>
    <n v="111"/>
    <n v="0"/>
    <n v="232"/>
    <n v="217"/>
    <n v="0"/>
    <n v="-6"/>
    <n v="5"/>
    <n v="0"/>
    <n v="5"/>
    <s v="ene"/>
  </r>
  <r>
    <x v="100"/>
    <s v="Atlanta Hawks @ Indiana Pacers"/>
    <s v="Atlanta Hawks"/>
    <n v="117"/>
    <n v="124"/>
    <n v="1"/>
    <s v="Indiana Pacers"/>
    <n v="119"/>
    <n v="129"/>
    <n v="1"/>
    <n v="236"/>
    <n v="253"/>
    <n v="1"/>
    <n v="2"/>
    <n v="5"/>
    <n v="1"/>
    <n v="5"/>
    <s v="ene"/>
  </r>
  <r>
    <x v="100"/>
    <s v="New Orleans Pelicans @ Philadelphia 76ers"/>
    <s v="New Orleans Pelicans"/>
    <n v="110"/>
    <n v="114"/>
    <n v="1"/>
    <s v="Philadelphia 76ers"/>
    <n v="119"/>
    <n v="124"/>
    <n v="1"/>
    <n v="229"/>
    <n v="238"/>
    <n v="1"/>
    <n v="9"/>
    <n v="10"/>
    <n v="1"/>
    <n v="5"/>
    <s v="ene"/>
  </r>
  <r>
    <x v="100"/>
    <s v="Chicago Bulls @ Miami Heat"/>
    <s v="Chicago Bulls"/>
    <n v="114"/>
    <n v="125"/>
    <n v="1"/>
    <s v="Miami Heat"/>
    <n v="120"/>
    <n v="118"/>
    <n v="0"/>
    <n v="234"/>
    <n v="243"/>
    <n v="1"/>
    <n v="6"/>
    <n v="-7"/>
    <n v="0"/>
    <n v="5"/>
    <s v="ene"/>
  </r>
  <r>
    <x v="100"/>
    <s v="Minnesota Timberwolves @ Memphis Grizzlies"/>
    <s v="Minnesota Timberwolves"/>
    <n v="120"/>
    <n v="131"/>
    <n v="1"/>
    <s v="Memphis Grizzlies"/>
    <n v="116"/>
    <n v="114"/>
    <n v="0"/>
    <n v="236"/>
    <n v="245"/>
    <n v="1"/>
    <n v="-4"/>
    <n v="-17"/>
    <n v="1"/>
    <n v="5"/>
    <s v="ene"/>
  </r>
  <r>
    <x v="100"/>
    <s v="Dallas Mavericks @ Houston Rockets"/>
    <s v="Dallas Mavericks"/>
    <n v="111"/>
    <n v="107"/>
    <n v="0"/>
    <s v="Houston Rockets"/>
    <n v="116"/>
    <n v="111"/>
    <n v="0"/>
    <n v="227"/>
    <n v="218"/>
    <n v="0"/>
    <n v="5"/>
    <n v="4"/>
    <n v="1"/>
    <n v="5"/>
    <s v="ene"/>
  </r>
  <r>
    <x v="101"/>
    <s v="Milwaukee Bucks @ Boston Celtics"/>
    <s v="Milwaukee Bucks"/>
    <n v="108"/>
    <n v="79"/>
    <n v="0"/>
    <s v="Boston Celtics"/>
    <n v="118"/>
    <n v="107"/>
    <n v="0"/>
    <n v="226"/>
    <n v="186"/>
    <n v="0"/>
    <n v="10"/>
    <n v="28"/>
    <n v="1"/>
    <n v="5"/>
    <s v="feb"/>
  </r>
  <r>
    <x v="101"/>
    <s v="Brooklyn Nets @ Detroit Pistons"/>
    <s v="Brooklyn Nets"/>
    <n v="110"/>
    <n v="77"/>
    <n v="0"/>
    <s v="Detroit Pistons"/>
    <n v="108"/>
    <n v="130"/>
    <n v="1"/>
    <n v="218"/>
    <n v="207"/>
    <n v="0"/>
    <n v="-2"/>
    <n v="53"/>
    <n v="0"/>
    <n v="5"/>
    <s v="feb"/>
  </r>
  <r>
    <x v="101"/>
    <s v="Chicago Bulls @ Miami Heat"/>
    <s v="Chicago Bulls"/>
    <n v="111"/>
    <n v="91"/>
    <n v="0"/>
    <s v="Miami Heat"/>
    <n v="118"/>
    <n v="134"/>
    <n v="1"/>
    <n v="229"/>
    <n v="225"/>
    <n v="0"/>
    <n v="7"/>
    <n v="43"/>
    <n v="1"/>
    <n v="5"/>
    <s v="feb"/>
  </r>
  <r>
    <x v="101"/>
    <s v="Utah Jazz @ Toronto Raptors"/>
    <s v="Utah Jazz"/>
    <n v="114"/>
    <n v="100"/>
    <n v="0"/>
    <s v="Toronto Raptors"/>
    <n v="120"/>
    <n v="107"/>
    <n v="0"/>
    <n v="234"/>
    <n v="207"/>
    <n v="0"/>
    <n v="6"/>
    <n v="7"/>
    <n v="1"/>
    <n v="5"/>
    <s v="feb"/>
  </r>
  <r>
    <x v="101"/>
    <s v="Sacramento Kings @ Washington Wizards"/>
    <s v="Sacramento Kings"/>
    <n v="117"/>
    <n v="112"/>
    <n v="0"/>
    <s v="Washington Wizards"/>
    <n v="118"/>
    <n v="116"/>
    <n v="0"/>
    <n v="235"/>
    <n v="228"/>
    <n v="0"/>
    <n v="1"/>
    <n v="4"/>
    <n v="1"/>
    <n v="5"/>
    <s v="feb"/>
  </r>
  <r>
    <x v="101"/>
    <s v="Orlando Magic @ San Antonio Spurs"/>
    <s v="Orlando Magic"/>
    <n v="111"/>
    <n v="103"/>
    <n v="0"/>
    <s v="San Antonio Spurs"/>
    <n v="115"/>
    <n v="112"/>
    <n v="0"/>
    <n v="226"/>
    <n v="215"/>
    <n v="0"/>
    <n v="4"/>
    <n v="9"/>
    <n v="1"/>
    <n v="5"/>
    <s v="feb"/>
  </r>
  <r>
    <x v="101"/>
    <s v="Los Angeles Lakers @ New York Knicks"/>
    <s v="Los Angeles Lakers"/>
    <n v="114"/>
    <n v="100"/>
    <n v="0"/>
    <s v="New York Knicks"/>
    <n v="115"/>
    <n v="112"/>
    <n v="0"/>
    <n v="229"/>
    <n v="212"/>
    <n v="0"/>
    <n v="1"/>
    <n v="12"/>
    <n v="1"/>
    <n v="5"/>
    <s v="feb"/>
  </r>
  <r>
    <x v="101"/>
    <s v="LA Clippers @ Phoenix Suns"/>
    <s v="LA Clippers"/>
    <n v="113"/>
    <n v="117"/>
    <n v="1"/>
    <s v="Phoenix Suns"/>
    <n v="113"/>
    <n v="93"/>
    <n v="0"/>
    <n v="226"/>
    <n v="210"/>
    <n v="0"/>
    <n v="0"/>
    <n v="-24"/>
    <n v="0"/>
    <n v="5"/>
    <s v="feb"/>
  </r>
  <r>
    <x v="101"/>
    <s v="Cleveland Cavaliers @ Portland Trail Blazers"/>
    <s v="Cleveland Cavaliers"/>
    <n v="119"/>
    <n v="130"/>
    <n v="1"/>
    <s v="Portland Trail Blazers"/>
    <n v="116"/>
    <n v="111"/>
    <n v="0"/>
    <n v="235"/>
    <n v="241"/>
    <n v="1"/>
    <n v="-3"/>
    <n v="-19"/>
    <n v="1"/>
    <n v="5"/>
    <s v="feb"/>
  </r>
  <r>
    <x v="101"/>
    <s v="Oklahoma City Thunder @ Denver Nuggets"/>
    <s v="Oklahoma City Thunder"/>
    <n v="114"/>
    <n v="121"/>
    <n v="1"/>
    <s v="Denver Nuggets"/>
    <n v="115"/>
    <n v="111"/>
    <n v="0"/>
    <n v="229"/>
    <n v="232"/>
    <n v="1"/>
    <n v="1"/>
    <n v="-10"/>
    <n v="0"/>
    <n v="5"/>
    <s v="feb"/>
  </r>
  <r>
    <x v="102"/>
    <s v="New Orleans Pelicans @ Charlotte Hornets"/>
    <s v="New Orleans Pelicans"/>
    <n v="117"/>
    <n v="95"/>
    <n v="0"/>
    <s v="Charlotte Hornets"/>
    <n v="120"/>
    <n v="102"/>
    <n v="0"/>
    <n v="237"/>
    <n v="197"/>
    <n v="0"/>
    <n v="3"/>
    <n v="7"/>
    <n v="1"/>
    <n v="6"/>
    <s v="feb"/>
  </r>
  <r>
    <x v="102"/>
    <s v="Houston Rockets @ Indiana Pacers"/>
    <s v="Houston Rockets"/>
    <n v="119"/>
    <n v="118"/>
    <n v="0"/>
    <s v="Indiana Pacers"/>
    <n v="111"/>
    <n v="114"/>
    <n v="1"/>
    <n v="230"/>
    <n v="232"/>
    <n v="1"/>
    <n v="-8"/>
    <n v="-4"/>
    <n v="1"/>
    <n v="6"/>
    <s v="feb"/>
  </r>
  <r>
    <x v="102"/>
    <s v="Minnesota Timberwolves @ Memphis Grizzlies"/>
    <s v="Minnesota Timberwolves"/>
    <n v="119"/>
    <n v="128"/>
    <n v="1"/>
    <s v="Memphis Grizzlies"/>
    <n v="116"/>
    <n v="137"/>
    <n v="1"/>
    <n v="235"/>
    <n v="265"/>
    <n v="1"/>
    <n v="-3"/>
    <n v="9"/>
    <n v="0"/>
    <n v="6"/>
    <s v="feb"/>
  </r>
  <r>
    <x v="102"/>
    <s v="Philadelphia 76ers @ LA Clippers"/>
    <s v="Philadelphia 76ers"/>
    <n v="115"/>
    <n v="128"/>
    <n v="1"/>
    <s v="LA Clippers"/>
    <n v="116"/>
    <n v="113"/>
    <n v="0"/>
    <n v="231"/>
    <n v="241"/>
    <n v="1"/>
    <n v="1"/>
    <n v="-15"/>
    <n v="0"/>
    <n v="6"/>
    <s v="feb"/>
  </r>
  <r>
    <x v="103"/>
    <s v="Denver Nuggets @ Detroit Pistons"/>
    <s v="Denver Nuggets"/>
    <n v="117"/>
    <n v="121"/>
    <n v="1"/>
    <s v="Detroit Pistons"/>
    <n v="112"/>
    <n v="124"/>
    <n v="1"/>
    <n v="229"/>
    <n v="245"/>
    <n v="1"/>
    <n v="-5"/>
    <n v="3"/>
    <n v="0"/>
    <n v="6"/>
    <s v="feb"/>
  </r>
  <r>
    <x v="103"/>
    <s v="Utah Jazz @ Indiana Pacers"/>
    <s v="Utah Jazz"/>
    <n v="118"/>
    <n v="131"/>
    <n v="1"/>
    <s v="Indiana Pacers"/>
    <n v="115"/>
    <n v="122"/>
    <n v="1"/>
    <n v="233"/>
    <n v="253"/>
    <n v="1"/>
    <n v="-3"/>
    <n v="-9"/>
    <n v="1"/>
    <n v="6"/>
    <s v="feb"/>
  </r>
  <r>
    <x v="103"/>
    <s v="New York Knicks @ Washington Wizards"/>
    <s v="New York Knicks"/>
    <n v="120"/>
    <n v="132"/>
    <n v="1"/>
    <s v="Washington Wizards"/>
    <n v="113"/>
    <n v="101"/>
    <n v="0"/>
    <n v="233"/>
    <n v="233"/>
    <n v="0"/>
    <n v="-7"/>
    <n v="-31"/>
    <n v="1"/>
    <n v="6"/>
    <s v="feb"/>
  </r>
  <r>
    <x v="103"/>
    <s v="Los Angeles Lakers @ Brooklyn Nets"/>
    <s v="Los Angeles Lakers"/>
    <n v="115"/>
    <n v="125"/>
    <n v="1"/>
    <s v="Brooklyn Nets"/>
    <n v="114"/>
    <n v="109"/>
    <n v="0"/>
    <n v="229"/>
    <n v="234"/>
    <n v="1"/>
    <n v="-1"/>
    <n v="-16"/>
    <n v="1"/>
    <n v="6"/>
    <s v="feb"/>
  </r>
  <r>
    <x v="103"/>
    <s v="Atlanta Hawks @ Miami Heat"/>
    <s v="Atlanta Hawks"/>
    <n v="114"/>
    <n v="127"/>
    <n v="1"/>
    <s v="Miami Heat"/>
    <n v="120"/>
    <n v="115"/>
    <n v="0"/>
    <n v="234"/>
    <n v="242"/>
    <n v="1"/>
    <n v="6"/>
    <n v="-12"/>
    <n v="0"/>
    <n v="6"/>
    <s v="feb"/>
  </r>
  <r>
    <x v="103"/>
    <s v="Boston Celtics @ Dallas Mavericks"/>
    <s v="Boston Celtics"/>
    <n v="114"/>
    <n v="110"/>
    <n v="0"/>
    <s v="Dallas Mavericks"/>
    <n v="110"/>
    <n v="100"/>
    <n v="0"/>
    <n v="224"/>
    <n v="210"/>
    <n v="0"/>
    <n v="-4"/>
    <n v="-10"/>
    <n v="1"/>
    <n v="6"/>
    <s v="feb"/>
  </r>
  <r>
    <x v="103"/>
    <s v="Chicago Bulls @ Milwaukee Bucks"/>
    <s v="Chicago Bulls"/>
    <n v="110"/>
    <n v="115"/>
    <n v="1"/>
    <s v="Milwaukee Bucks"/>
    <n v="118"/>
    <n v="131"/>
    <n v="1"/>
    <n v="228"/>
    <n v="246"/>
    <n v="1"/>
    <n v="8"/>
    <n v="16"/>
    <n v="1"/>
    <n v="6"/>
    <s v="feb"/>
  </r>
  <r>
    <x v="103"/>
    <s v="Orlando Magic @ Oklahoma City Thunder"/>
    <s v="Orlando Magic"/>
    <n v="106"/>
    <n v="92"/>
    <n v="0"/>
    <s v="Oklahoma City Thunder"/>
    <n v="120"/>
    <n v="128"/>
    <n v="1"/>
    <n v="226"/>
    <n v="220"/>
    <n v="0"/>
    <n v="14"/>
    <n v="36"/>
    <n v="1"/>
    <n v="6"/>
    <s v="feb"/>
  </r>
  <r>
    <x v="103"/>
    <s v="Philadelphia 76ers @ Golden State Warriors"/>
    <s v="Philadelphia 76ers"/>
    <n v="113"/>
    <n v="113"/>
    <n v="0"/>
    <s v="Golden State Warriors"/>
    <n v="117"/>
    <n v="94"/>
    <n v="0"/>
    <n v="230"/>
    <n v="207"/>
    <n v="0"/>
    <n v="4"/>
    <n v="-19"/>
    <n v="0"/>
    <n v="6"/>
    <s v="feb"/>
  </r>
  <r>
    <x v="103"/>
    <s v="Phoenix Suns @ Portland Trail Blazers"/>
    <s v="Phoenix Suns"/>
    <n v="116"/>
    <n v="130"/>
    <n v="1"/>
    <s v="Portland Trail Blazers"/>
    <n v="115"/>
    <n v="125"/>
    <n v="1"/>
    <n v="231"/>
    <n v="255"/>
    <n v="1"/>
    <n v="-1"/>
    <n v="-5"/>
    <n v="1"/>
    <n v="6"/>
    <s v="feb"/>
  </r>
  <r>
    <x v="104"/>
    <s v="Denver Nuggets @ New York Knicks"/>
    <s v="Denver Nuggets"/>
    <n v="114"/>
    <n v="127"/>
    <n v="1"/>
    <s v="New York Knicks"/>
    <n v="112"/>
    <n v="134"/>
    <n v="1"/>
    <n v="226"/>
    <n v="261"/>
    <n v="1"/>
    <n v="-2"/>
    <n v="7"/>
    <n v="0"/>
    <n v="6"/>
    <s v="feb"/>
  </r>
  <r>
    <x v="104"/>
    <s v="Minnesota Timberwolves @ Toronto Raptors"/>
    <s v="Minnesota Timberwolves"/>
    <n v="117"/>
    <n v="128"/>
    <n v="1"/>
    <s v="Toronto Raptors"/>
    <n v="119"/>
    <n v="126"/>
    <n v="1"/>
    <n v="236"/>
    <n v="254"/>
    <n v="1"/>
    <n v="2"/>
    <n v="-2"/>
    <n v="0"/>
    <n v="6"/>
    <s v="feb"/>
  </r>
  <r>
    <x v="104"/>
    <s v="Boston Celtics @ Houston Rockets"/>
    <s v="Boston Celtics"/>
    <n v="111"/>
    <n v="114"/>
    <n v="1"/>
    <s v="Houston Rockets"/>
    <n v="110"/>
    <n v="93"/>
    <n v="0"/>
    <n v="221"/>
    <n v="207"/>
    <n v="0"/>
    <n v="-1"/>
    <n v="-21"/>
    <n v="1"/>
    <n v="6"/>
    <s v="feb"/>
  </r>
  <r>
    <x v="104"/>
    <s v="New Orleans Pelicans @ Milwaukee Bucks"/>
    <s v="New Orleans Pelicans"/>
    <n v="108"/>
    <n v="137"/>
    <n v="1"/>
    <s v="Milwaukee Bucks"/>
    <n v="118"/>
    <n v="141"/>
    <n v="1"/>
    <n v="226"/>
    <n v="278"/>
    <n v="1"/>
    <n v="10"/>
    <n v="4"/>
    <n v="1"/>
    <n v="6"/>
    <s v="feb"/>
  </r>
  <r>
    <x v="104"/>
    <s v="Oklahoma City Thunder @ San Antonio Spurs"/>
    <s v="Oklahoma City Thunder"/>
    <n v="115"/>
    <n v="106"/>
    <n v="0"/>
    <s v="San Antonio Spurs"/>
    <n v="113"/>
    <n v="116"/>
    <n v="1"/>
    <n v="228"/>
    <n v="222"/>
    <n v="0"/>
    <n v="-2"/>
    <n v="10"/>
    <n v="0"/>
    <n v="6"/>
    <s v="feb"/>
  </r>
  <r>
    <x v="104"/>
    <s v="Memphis Grizzlies @ Sacramento Kings"/>
    <s v="Memphis Grizzlies"/>
    <n v="117"/>
    <n v="129"/>
    <n v="1"/>
    <s v="Sacramento Kings"/>
    <n v="113"/>
    <n v="125"/>
    <n v="1"/>
    <n v="230"/>
    <n v="254"/>
    <n v="1"/>
    <n v="-4"/>
    <n v="-4"/>
    <n v="1"/>
    <n v="6"/>
    <s v="feb"/>
  </r>
  <r>
    <x v="104"/>
    <s v="Cleveland Cavaliers @ LA Clippers"/>
    <s v="Cleveland Cavaliers"/>
    <n v="114"/>
    <n v="124"/>
    <n v="1"/>
    <s v="LA Clippers"/>
    <n v="118"/>
    <n v="91"/>
    <n v="0"/>
    <n v="232"/>
    <n v="215"/>
    <n v="0"/>
    <n v="4"/>
    <n v="-33"/>
    <n v="0"/>
    <n v="6"/>
    <s v="feb"/>
  </r>
  <r>
    <x v="105"/>
    <s v="Washington Wizards @ Detroit Pistons"/>
    <s v="Washington Wizards"/>
    <n v="112"/>
    <n v="126"/>
    <n v="1"/>
    <s v="Detroit Pistons"/>
    <n v="121"/>
    <n v="117"/>
    <n v="0"/>
    <n v="233"/>
    <n v="243"/>
    <n v="1"/>
    <n v="9"/>
    <n v="-9"/>
    <n v="0"/>
    <n v="6"/>
    <s v="feb"/>
  </r>
  <r>
    <x v="105"/>
    <s v="Brooklyn Nets @ Orlando Magic"/>
    <s v="Brooklyn Nets"/>
    <n v="108"/>
    <n v="98"/>
    <n v="0"/>
    <s v="Orlando Magic"/>
    <n v="107"/>
    <n v="118"/>
    <n v="1"/>
    <n v="215"/>
    <n v="216"/>
    <n v="1"/>
    <n v="-1"/>
    <n v="20"/>
    <n v="0"/>
    <n v="6"/>
    <s v="feb"/>
  </r>
  <r>
    <x v="105"/>
    <s v="Utah Jazz @ Atlanta Hawks"/>
    <s v="Utah Jazz"/>
    <n v="118"/>
    <n v="119"/>
    <n v="1"/>
    <s v="Atlanta Hawks"/>
    <n v="119"/>
    <n v="121"/>
    <n v="1"/>
    <n v="237"/>
    <n v="240"/>
    <n v="1"/>
    <n v="1"/>
    <n v="2"/>
    <n v="1"/>
    <n v="6"/>
    <s v="feb"/>
  </r>
  <r>
    <x v="105"/>
    <s v="Chicago Bulls @ Toronto Raptors"/>
    <s v="Chicago Bulls"/>
    <n v="110"/>
    <n v="107"/>
    <n v="0"/>
    <s v="Toronto Raptors"/>
    <n v="118"/>
    <n v="123"/>
    <n v="1"/>
    <n v="228"/>
    <n v="230"/>
    <n v="1"/>
    <n v="8"/>
    <n v="16"/>
    <n v="1"/>
    <n v="6"/>
    <s v="feb"/>
  </r>
  <r>
    <x v="105"/>
    <s v="Charlotte Hornets @ Houston Rockets"/>
    <s v="Charlotte Hornets"/>
    <n v="108"/>
    <n v="109"/>
    <n v="1"/>
    <s v="Houston Rockets"/>
    <n v="116"/>
    <n v="99"/>
    <n v="0"/>
    <n v="224"/>
    <n v="208"/>
    <n v="0"/>
    <n v="8"/>
    <n v="-10"/>
    <n v="0"/>
    <n v="6"/>
    <s v="feb"/>
  </r>
  <r>
    <x v="105"/>
    <s v="San Antonio Spurs @ Dallas Mavericks"/>
    <s v="San Antonio Spurs"/>
    <n v="113"/>
    <n v="135"/>
    <n v="1"/>
    <s v="Dallas Mavericks"/>
    <n v="112"/>
    <n v="123"/>
    <n v="1"/>
    <n v="225"/>
    <n v="258"/>
    <n v="1"/>
    <n v="-1"/>
    <n v="-12"/>
    <n v="1"/>
    <n v="6"/>
    <s v="feb"/>
  </r>
  <r>
    <x v="105"/>
    <s v="Golden State Warriors @ Phoenix Suns"/>
    <s v="Golden State Warriors"/>
    <n v="115"/>
    <n v="101"/>
    <n v="0"/>
    <s v="Phoenix Suns"/>
    <n v="115"/>
    <n v="97"/>
    <n v="0"/>
    <n v="230"/>
    <n v="198"/>
    <n v="0"/>
    <n v="0"/>
    <n v="-4"/>
    <n v="0"/>
    <n v="6"/>
    <s v="feb"/>
  </r>
  <r>
    <x v="105"/>
    <s v="Philadelphia 76ers @ Los Angeles Lakers"/>
    <s v="Philadelphia 76ers"/>
    <n v="113"/>
    <n v="115"/>
    <n v="1"/>
    <s v="Los Angeles Lakers"/>
    <n v="116"/>
    <n v="119"/>
    <n v="1"/>
    <n v="229"/>
    <n v="234"/>
    <n v="1"/>
    <n v="3"/>
    <n v="4"/>
    <n v="1"/>
    <n v="6"/>
    <s v="feb"/>
  </r>
  <r>
    <x v="106"/>
    <s v="Miami Heat @ Boston Celtics"/>
    <s v="Miami Heat"/>
    <n v="107"/>
    <n v="96"/>
    <n v="0"/>
    <s v="Boston Celtics"/>
    <n v="114"/>
    <n v="98"/>
    <n v="0"/>
    <n v="221"/>
    <n v="194"/>
    <n v="0"/>
    <n v="7"/>
    <n v="2"/>
    <n v="1"/>
    <n v="6"/>
    <s v="feb"/>
  </r>
  <r>
    <x v="106"/>
    <s v="New York Knicks @ Detroit Pistons"/>
    <s v="New York Knicks"/>
    <n v="112"/>
    <n v="80"/>
    <n v="0"/>
    <s v="Detroit Pistons"/>
    <n v="113"/>
    <n v="118"/>
    <n v="1"/>
    <n v="225"/>
    <n v="198"/>
    <n v="0"/>
    <n v="1"/>
    <n v="38"/>
    <n v="1"/>
    <n v="6"/>
    <s v="feb"/>
  </r>
  <r>
    <x v="106"/>
    <s v="Indiana Pacers @ Milwaukee Bucks"/>
    <s v="Indiana Pacers"/>
    <n v="108"/>
    <n v="99"/>
    <n v="0"/>
    <s v="Milwaukee Bucks"/>
    <n v="119"/>
    <n v="105"/>
    <n v="0"/>
    <n v="227"/>
    <n v="204"/>
    <n v="0"/>
    <n v="11"/>
    <n v="6"/>
    <n v="1"/>
    <n v="6"/>
    <s v="feb"/>
  </r>
  <r>
    <x v="106"/>
    <s v="New Orleans Pelicans @ Minnesota Timberwolves"/>
    <s v="New Orleans Pelicans"/>
    <n v="113"/>
    <n v="119"/>
    <n v="1"/>
    <s v="Minnesota Timberwolves"/>
    <n v="120"/>
    <n v="115"/>
    <n v="0"/>
    <n v="233"/>
    <n v="234"/>
    <n v="1"/>
    <n v="7"/>
    <n v="-4"/>
    <n v="0"/>
    <n v="6"/>
    <s v="feb"/>
  </r>
  <r>
    <x v="106"/>
    <s v="Memphis Grizzlies @ Portland Trail Blazers"/>
    <s v="Memphis Grizzlies"/>
    <n v="117"/>
    <n v="115"/>
    <n v="0"/>
    <s v="Portland Trail Blazers"/>
    <n v="117"/>
    <n v="135"/>
    <n v="1"/>
    <n v="234"/>
    <n v="250"/>
    <n v="1"/>
    <n v="0"/>
    <n v="20"/>
    <n v="0"/>
    <n v="6"/>
    <s v="feb"/>
  </r>
  <r>
    <x v="106"/>
    <s v="LA Clippers @ Sacramento Kings"/>
    <s v="LA Clippers"/>
    <n v="117"/>
    <n v="114"/>
    <n v="0"/>
    <s v="Sacramento Kings"/>
    <n v="115"/>
    <n v="111"/>
    <n v="0"/>
    <n v="232"/>
    <n v="225"/>
    <n v="0"/>
    <n v="-2"/>
    <n v="-3"/>
    <n v="1"/>
    <n v="6"/>
    <s v="feb"/>
  </r>
  <r>
    <x v="107"/>
    <s v="Washington Wizards @ Brooklyn Nets"/>
    <s v="Washington Wizards"/>
    <n v="111"/>
    <n v="113"/>
    <n v="1"/>
    <s v="Brooklyn Nets"/>
    <n v="119"/>
    <n v="127"/>
    <n v="1"/>
    <n v="230"/>
    <n v="240"/>
    <n v="1"/>
    <n v="8"/>
    <n v="14"/>
    <n v="1"/>
    <n v="6"/>
    <s v="feb"/>
  </r>
  <r>
    <x v="107"/>
    <s v="Houston Rockets @ Oklahoma City Thunder"/>
    <s v="Houston Rockets"/>
    <n v="109"/>
    <n v="112"/>
    <n v="1"/>
    <s v="Oklahoma City Thunder"/>
    <n v="117"/>
    <n v="106"/>
    <n v="0"/>
    <n v="226"/>
    <n v="218"/>
    <n v="0"/>
    <n v="8"/>
    <n v="-6"/>
    <n v="0"/>
    <n v="6"/>
    <s v="feb"/>
  </r>
  <r>
    <x v="107"/>
    <s v="Dallas Mavericks @ San Antonio Spurs"/>
    <s v="Dallas Mavericks"/>
    <n v="114"/>
    <n v="125"/>
    <n v="1"/>
    <s v="San Antonio Spurs"/>
    <n v="118"/>
    <n v="138"/>
    <n v="1"/>
    <n v="232"/>
    <n v="263"/>
    <n v="1"/>
    <n v="4"/>
    <n v="13"/>
    <n v="1"/>
    <n v="6"/>
    <s v="feb"/>
  </r>
  <r>
    <x v="107"/>
    <s v="Utah Jazz @ Orlando Magic"/>
    <s v="Utah Jazz"/>
    <n v="115"/>
    <n v="117"/>
    <n v="1"/>
    <s v="Orlando Magic"/>
    <n v="120"/>
    <n v="120"/>
    <n v="0"/>
    <n v="235"/>
    <n v="237"/>
    <n v="1"/>
    <n v="5"/>
    <n v="3"/>
    <n v="1"/>
    <n v="6"/>
    <s v="feb"/>
  </r>
  <r>
    <x v="107"/>
    <s v="Charlotte Hornets @ Atlanta Hawks"/>
    <s v="Charlotte Hornets"/>
    <n v="115"/>
    <n v="126"/>
    <n v="1"/>
    <s v="Atlanta Hawks"/>
    <n v="117"/>
    <n v="119"/>
    <n v="1"/>
    <n v="232"/>
    <n v="245"/>
    <n v="1"/>
    <n v="2"/>
    <n v="-7"/>
    <n v="0"/>
    <n v="6"/>
    <s v="feb"/>
  </r>
  <r>
    <x v="107"/>
    <s v="Denver Nuggets @ Chicago Bulls"/>
    <s v="Denver Nuggets"/>
    <n v="118"/>
    <n v="136"/>
    <n v="1"/>
    <s v="Chicago Bulls"/>
    <n v="117"/>
    <n v="120"/>
    <n v="1"/>
    <n v="235"/>
    <n v="256"/>
    <n v="1"/>
    <n v="-1"/>
    <n v="-16"/>
    <n v="1"/>
    <n v="6"/>
    <s v="feb"/>
  </r>
  <r>
    <x v="107"/>
    <s v="Golden State Warriors @ Los Angeles Lakers"/>
    <s v="Golden State Warriors"/>
    <n v="115"/>
    <n v="99"/>
    <n v="0"/>
    <s v="Los Angeles Lakers"/>
    <n v="116"/>
    <n v="105"/>
    <n v="0"/>
    <n v="231"/>
    <n v="204"/>
    <n v="0"/>
    <n v="1"/>
    <n v="6"/>
    <n v="1"/>
    <n v="6"/>
    <s v="feb"/>
  </r>
  <r>
    <x v="107"/>
    <s v="Philadelphia 76ers @ Phoenix Suns"/>
    <s v="Philadelphia 76ers"/>
    <n v="111"/>
    <n v="109"/>
    <n v="0"/>
    <s v="Phoenix Suns"/>
    <n v="112"/>
    <n v="103"/>
    <n v="0"/>
    <n v="223"/>
    <n v="212"/>
    <n v="0"/>
    <n v="1"/>
    <n v="-6"/>
    <n v="0"/>
    <n v="6"/>
    <s v="feb"/>
  </r>
  <r>
    <x v="107"/>
    <s v="Memphis Grizzlies @ Portland Trail Blazers"/>
    <s v="Memphis Grizzlies"/>
    <n v="116"/>
    <n v="115"/>
    <n v="0"/>
    <s v="Portland Trail Blazers"/>
    <n v="117"/>
    <n v="122"/>
    <n v="1"/>
    <n v="233"/>
    <n v="237"/>
    <n v="1"/>
    <n v="1"/>
    <n v="7"/>
    <n v="1"/>
    <n v="6"/>
    <s v="feb"/>
  </r>
  <r>
    <x v="107"/>
    <s v="Cleveland Cavaliers @ Sacramento Kings"/>
    <s v="Cleveland Cavaliers"/>
    <n v="118"/>
    <n v="132"/>
    <n v="1"/>
    <s v="Sacramento Kings"/>
    <n v="112"/>
    <n v="126"/>
    <n v="1"/>
    <n v="230"/>
    <n v="258"/>
    <n v="1"/>
    <n v="-6"/>
    <n v="-6"/>
    <n v="1"/>
    <n v="6"/>
    <s v="feb"/>
  </r>
  <r>
    <x v="108"/>
    <s v="New York Knicks @ Boston Celtics"/>
    <s v="New York Knicks"/>
    <n v="104"/>
    <n v="111"/>
    <n v="1"/>
    <s v="Boston Celtics"/>
    <n v="113"/>
    <n v="89"/>
    <n v="0"/>
    <n v="217"/>
    <n v="200"/>
    <n v="0"/>
    <n v="9"/>
    <n v="-22"/>
    <n v="0"/>
    <n v="6"/>
    <s v="feb"/>
  </r>
  <r>
    <x v="108"/>
    <s v="Miami Heat @ Washington Wizards"/>
    <s v="Miami Heat"/>
    <n v="118"/>
    <n v="132"/>
    <n v="1"/>
    <s v="Washington Wizards"/>
    <n v="113"/>
    <n v="101"/>
    <n v="0"/>
    <n v="231"/>
    <n v="233"/>
    <n v="1"/>
    <n v="-5"/>
    <n v="-31"/>
    <n v="1"/>
    <n v="6"/>
    <s v="feb"/>
  </r>
  <r>
    <x v="108"/>
    <s v="Indiana Pacers @ Toronto Raptors"/>
    <s v="Indiana Pacers"/>
    <n v="110"/>
    <n v="104"/>
    <n v="0"/>
    <s v="Toronto Raptors"/>
    <n v="118"/>
    <n v="122"/>
    <n v="1"/>
    <n v="228"/>
    <n v="226"/>
    <n v="0"/>
    <n v="8"/>
    <n v="18"/>
    <n v="1"/>
    <n v="6"/>
    <s v="feb"/>
  </r>
  <r>
    <x v="108"/>
    <s v="LA Clippers @ Minnesota Timberwolves"/>
    <s v="LA Clippers"/>
    <n v="114"/>
    <n v="115"/>
    <n v="1"/>
    <s v="Minnesota Timberwolves"/>
    <n v="118"/>
    <n v="96"/>
    <n v="0"/>
    <n v="232"/>
    <n v="211"/>
    <n v="0"/>
    <n v="4"/>
    <n v="-19"/>
    <n v="0"/>
    <n v="6"/>
    <s v="feb"/>
  </r>
  <r>
    <x v="109"/>
    <s v="Detroit Pistons @ Charlotte Hornets"/>
    <s v="Detroit Pistons"/>
    <n v="115"/>
    <n v="110"/>
    <n v="0"/>
    <s v="Charlotte Hornets"/>
    <n v="111"/>
    <n v="104"/>
    <n v="0"/>
    <n v="226"/>
    <n v="214"/>
    <n v="0"/>
    <n v="-4"/>
    <n v="-6"/>
    <n v="1"/>
    <n v="7"/>
    <s v="feb"/>
  </r>
  <r>
    <x v="109"/>
    <s v="Chicago Bulls @ Brooklyn Nets"/>
    <s v="Chicago Bulls"/>
    <n v="110"/>
    <n v="115"/>
    <n v="1"/>
    <s v="Brooklyn Nets"/>
    <n v="114"/>
    <n v="123"/>
    <n v="1"/>
    <n v="224"/>
    <n v="238"/>
    <n v="1"/>
    <n v="4"/>
    <n v="8"/>
    <n v="1"/>
    <n v="7"/>
    <s v="feb"/>
  </r>
  <r>
    <x v="109"/>
    <s v="Utah Jazz @ Miami Heat"/>
    <s v="Utah Jazz"/>
    <n v="115"/>
    <n v="115"/>
    <n v="0"/>
    <s v="Miami Heat"/>
    <n v="119"/>
    <n v="111"/>
    <n v="0"/>
    <n v="234"/>
    <n v="226"/>
    <n v="0"/>
    <n v="4"/>
    <n v="-4"/>
    <n v="0"/>
    <n v="7"/>
    <s v="feb"/>
  </r>
  <r>
    <x v="109"/>
    <s v="Milwaukee Bucks @ Orlando Magic"/>
    <s v="Milwaukee Bucks"/>
    <n v="113"/>
    <n v="99"/>
    <n v="0"/>
    <s v="Orlando Magic"/>
    <n v="116"/>
    <n v="118"/>
    <n v="1"/>
    <n v="229"/>
    <n v="217"/>
    <n v="0"/>
    <n v="3"/>
    <n v="19"/>
    <n v="1"/>
    <n v="7"/>
    <s v="feb"/>
  </r>
  <r>
    <x v="109"/>
    <s v="Atlanta Hawks @ Minnesota Timberwolves"/>
    <s v="Atlanta Hawks"/>
    <n v="116"/>
    <n v="106"/>
    <n v="0"/>
    <s v="Minnesota Timberwolves"/>
    <n v="122"/>
    <n v="138"/>
    <n v="1"/>
    <n v="238"/>
    <n v="244"/>
    <n v="1"/>
    <n v="6"/>
    <n v="32"/>
    <n v="1"/>
    <n v="7"/>
    <s v="feb"/>
  </r>
  <r>
    <x v="109"/>
    <s v="Sacramento Kings @ New Orleans Pelicans"/>
    <s v="Sacramento Kings"/>
    <n v="113"/>
    <n v="94"/>
    <n v="0"/>
    <s v="New Orleans Pelicans"/>
    <n v="120"/>
    <n v="120"/>
    <n v="0"/>
    <n v="233"/>
    <n v="214"/>
    <n v="0"/>
    <n v="7"/>
    <n v="26"/>
    <n v="1"/>
    <n v="7"/>
    <s v="feb"/>
  </r>
  <r>
    <x v="109"/>
    <s v="Cleveland Cavaliers @ Denver Nuggets"/>
    <s v="Cleveland Cavaliers"/>
    <n v="112"/>
    <n v="119"/>
    <n v="1"/>
    <s v="Denver Nuggets"/>
    <n v="116"/>
    <n v="117"/>
    <n v="1"/>
    <n v="228"/>
    <n v="236"/>
    <n v="1"/>
    <n v="4"/>
    <n v="-2"/>
    <n v="0"/>
    <n v="7"/>
    <s v="feb"/>
  </r>
  <r>
    <x v="109"/>
    <s v="Memphis Grizzlies @ Golden State Warriors"/>
    <s v="Memphis Grizzlies"/>
    <n v="113"/>
    <n v="113"/>
    <n v="0"/>
    <s v="Golden State Warriors"/>
    <n v="119"/>
    <n v="114"/>
    <n v="0"/>
    <n v="232"/>
    <n v="227"/>
    <n v="0"/>
    <n v="6"/>
    <n v="1"/>
    <n v="1"/>
    <n v="7"/>
    <s v="feb"/>
  </r>
  <r>
    <x v="109"/>
    <s v="Oklahoma City Thunder @ Los Angeles Lakers"/>
    <s v="Oklahoma City Thunder"/>
    <n v="117"/>
    <n v="119"/>
    <n v="1"/>
    <s v="Los Angeles Lakers"/>
    <n v="116"/>
    <n v="110"/>
    <n v="0"/>
    <n v="233"/>
    <n v="229"/>
    <n v="0"/>
    <n v="-1"/>
    <n v="-9"/>
    <n v="1"/>
    <n v="7"/>
    <s v="feb"/>
  </r>
  <r>
    <x v="109"/>
    <s v="Philadelphia 76ers @ Portland Trail Blazers"/>
    <s v="Philadelphia 76ers"/>
    <n v="117"/>
    <n v="118"/>
    <n v="1"/>
    <s v="Portland Trail Blazers"/>
    <n v="116"/>
    <n v="135"/>
    <n v="1"/>
    <n v="233"/>
    <n v="253"/>
    <n v="1"/>
    <n v="-1"/>
    <n v="17"/>
    <n v="0"/>
    <n v="7"/>
    <s v="feb"/>
  </r>
  <r>
    <x v="110"/>
    <s v="Indiana Pacers @ New York Knicks"/>
    <s v="Indiana Pacers"/>
    <n v="109"/>
    <n v="137"/>
    <n v="1"/>
    <s v="New York Knicks"/>
    <n v="117"/>
    <n v="134"/>
    <n v="1"/>
    <n v="226"/>
    <n v="271"/>
    <n v="1"/>
    <n v="8"/>
    <n v="-3"/>
    <n v="0"/>
    <n v="7"/>
    <s v="feb"/>
  </r>
  <r>
    <x v="110"/>
    <s v="LA Clippers @ Houston Rockets"/>
    <s v="LA Clippers"/>
    <n v="111"/>
    <n v="95"/>
    <n v="0"/>
    <s v="Houston Rockets"/>
    <n v="115"/>
    <n v="102"/>
    <n v="0"/>
    <n v="226"/>
    <n v="197"/>
    <n v="0"/>
    <n v="4"/>
    <n v="7"/>
    <n v="1"/>
    <n v="7"/>
    <s v="feb"/>
  </r>
  <r>
    <x v="110"/>
    <s v="Dallas Mavericks @ Phoenix Suns"/>
    <s v="Dallas Mavericks"/>
    <n v="109"/>
    <n v="111"/>
    <n v="1"/>
    <s v="Phoenix Suns"/>
    <n v="115"/>
    <n v="120"/>
    <n v="1"/>
    <n v="224"/>
    <n v="231"/>
    <n v="1"/>
    <n v="6"/>
    <n v="9"/>
    <n v="1"/>
    <n v="7"/>
    <s v="feb"/>
  </r>
  <r>
    <x v="110"/>
    <s v="San Antonio Spurs @ Los Angeles Lakers"/>
    <s v="San Antonio Spurs"/>
    <n v="116"/>
    <n v="136"/>
    <n v="1"/>
    <s v="Los Angeles Lakers"/>
    <n v="118"/>
    <n v="108"/>
    <n v="0"/>
    <n v="234"/>
    <n v="244"/>
    <n v="1"/>
    <n v="2"/>
    <n v="-28"/>
    <n v="0"/>
    <n v="7"/>
    <s v="feb"/>
  </r>
  <r>
    <x v="111"/>
    <s v="Atlanta Hawks @ Charlotte Hornets"/>
    <s v="Atlanta Hawks"/>
    <n v="118"/>
    <n v="107"/>
    <n v="0"/>
    <s v="Charlotte Hornets"/>
    <n v="118"/>
    <n v="110"/>
    <n v="0"/>
    <n v="236"/>
    <n v="217"/>
    <n v="0"/>
    <n v="0"/>
    <n v="3"/>
    <n v="0"/>
    <n v="7"/>
    <s v="feb"/>
  </r>
  <r>
    <x v="111"/>
    <s v="Washington Wizards @ Cleveland Cavaliers"/>
    <s v="Washington Wizards"/>
    <n v="111"/>
    <n v="113"/>
    <n v="1"/>
    <s v="Cleveland Cavaliers"/>
    <n v="121"/>
    <n v="138"/>
    <n v="1"/>
    <n v="232"/>
    <n v="251"/>
    <n v="1"/>
    <n v="10"/>
    <n v="25"/>
    <n v="1"/>
    <n v="7"/>
    <s v="feb"/>
  </r>
  <r>
    <x v="111"/>
    <s v="Milwaukee Bucks @ Orlando Magic"/>
    <s v="Milwaukee Bucks"/>
    <n v="112"/>
    <n v="116"/>
    <n v="1"/>
    <s v="Orlando Magic"/>
    <n v="113"/>
    <n v="108"/>
    <n v="0"/>
    <n v="225"/>
    <n v="224"/>
    <n v="0"/>
    <n v="1"/>
    <n v="-8"/>
    <n v="0"/>
    <n v="7"/>
    <s v="feb"/>
  </r>
  <r>
    <x v="111"/>
    <s v="Chicago Bulls @ Boston Celtics"/>
    <s v="Chicago Bulls"/>
    <n v="105"/>
    <n v="104"/>
    <n v="0"/>
    <s v="Boston Celtics"/>
    <n v="116"/>
    <n v="124"/>
    <n v="1"/>
    <n v="221"/>
    <n v="228"/>
    <n v="1"/>
    <n v="11"/>
    <n v="20"/>
    <n v="1"/>
    <n v="7"/>
    <s v="feb"/>
  </r>
  <r>
    <x v="111"/>
    <s v="Indiana Pacers @ Brooklyn Nets"/>
    <s v="Indiana Pacers"/>
    <n v="113"/>
    <n v="115"/>
    <n v="1"/>
    <s v="Brooklyn Nets"/>
    <n v="117"/>
    <n v="110"/>
    <n v="0"/>
    <n v="230"/>
    <n v="225"/>
    <n v="0"/>
    <n v="4"/>
    <n v="-5"/>
    <n v="0"/>
    <n v="7"/>
    <s v="feb"/>
  </r>
  <r>
    <x v="111"/>
    <s v="New York Knicks @ Philadelphia 76ers"/>
    <s v="New York Knicks"/>
    <n v="111"/>
    <n v="138"/>
    <n v="1"/>
    <s v="Philadelphia 76ers"/>
    <n v="111"/>
    <n v="89"/>
    <n v="0"/>
    <n v="222"/>
    <n v="227"/>
    <n v="1"/>
    <n v="0"/>
    <n v="-49"/>
    <n v="0"/>
    <n v="7"/>
    <s v="feb"/>
  </r>
  <r>
    <x v="111"/>
    <s v="Detroit Pistons @ Toronto Raptors"/>
    <s v="Detroit Pistons"/>
    <n v="112"/>
    <n v="113"/>
    <n v="1"/>
    <s v="Toronto Raptors"/>
    <n v="114"/>
    <n v="95"/>
    <n v="0"/>
    <n v="226"/>
    <n v="208"/>
    <n v="0"/>
    <n v="2"/>
    <n v="-18"/>
    <n v="0"/>
    <n v="7"/>
    <s v="feb"/>
  </r>
  <r>
    <x v="111"/>
    <s v="LA Clippers @ Houston Rockets"/>
    <s v="LA Clippers"/>
    <n v="107"/>
    <n v="105"/>
    <n v="0"/>
    <s v="Houston Rockets"/>
    <n v="112"/>
    <n v="102"/>
    <n v="0"/>
    <n v="219"/>
    <n v="207"/>
    <n v="0"/>
    <n v="5"/>
    <n v="-3"/>
    <n v="0"/>
    <n v="7"/>
    <s v="feb"/>
  </r>
  <r>
    <x v="111"/>
    <s v="Portland Trail Blazers @ Minnesota Timberwolves"/>
    <s v="Portland Trail Blazers"/>
    <n v="111"/>
    <n v="109"/>
    <n v="0"/>
    <s v="Minnesota Timberwolves"/>
    <n v="120"/>
    <n v="133"/>
    <n v="1"/>
    <n v="231"/>
    <n v="242"/>
    <n v="1"/>
    <n v="9"/>
    <n v="24"/>
    <n v="1"/>
    <n v="7"/>
    <s v="feb"/>
  </r>
  <r>
    <x v="111"/>
    <s v="Miami Heat @ New Orleans Pelicans"/>
    <s v="Miami Heat"/>
    <n v="114"/>
    <n v="123"/>
    <n v="1"/>
    <s v="New Orleans Pelicans"/>
    <n v="115"/>
    <n v="111"/>
    <n v="0"/>
    <n v="229"/>
    <n v="234"/>
    <n v="1"/>
    <n v="1"/>
    <n v="-12"/>
    <n v="0"/>
    <n v="7"/>
    <s v="feb"/>
  </r>
  <r>
    <x v="111"/>
    <s v="Oklahoma City Thunder @ Phoenix Suns"/>
    <s v="Oklahoma City Thunder"/>
    <n v="113"/>
    <n v="136"/>
    <n v="1"/>
    <s v="Phoenix Suns"/>
    <n v="110"/>
    <n v="109"/>
    <n v="0"/>
    <n v="223"/>
    <n v="245"/>
    <n v="1"/>
    <n v="-3"/>
    <n v="-27"/>
    <n v="1"/>
    <n v="7"/>
    <s v="feb"/>
  </r>
  <r>
    <x v="111"/>
    <s v="Sacramento Kings @ Utah Jazz"/>
    <s v="Sacramento Kings"/>
    <n v="114"/>
    <n v="93"/>
    <n v="0"/>
    <s v="Utah Jazz"/>
    <n v="116"/>
    <n v="121"/>
    <n v="1"/>
    <n v="230"/>
    <n v="214"/>
    <n v="0"/>
    <n v="2"/>
    <n v="28"/>
    <n v="1"/>
    <n v="7"/>
    <s v="feb"/>
  </r>
  <r>
    <x v="111"/>
    <s v="Memphis Grizzlies @ Denver Nuggets"/>
    <s v="Memphis Grizzlies"/>
    <n v="110"/>
    <n v="116"/>
    <n v="1"/>
    <s v="Denver Nuggets"/>
    <n v="117"/>
    <n v="122"/>
    <n v="1"/>
    <n v="227"/>
    <n v="238"/>
    <n v="1"/>
    <n v="7"/>
    <n v="6"/>
    <n v="1"/>
    <n v="7"/>
    <s v="feb"/>
  </r>
  <r>
    <x v="111"/>
    <s v="San Antonio Spurs @ Golden State Warriors"/>
    <s v="San Antonio Spurs"/>
    <n v="113"/>
    <n v="126"/>
    <n v="1"/>
    <s v="Golden State Warriors"/>
    <n v="120"/>
    <n v="113"/>
    <n v="0"/>
    <n v="233"/>
    <n v="239"/>
    <n v="1"/>
    <n v="7"/>
    <n v="-13"/>
    <n v="0"/>
    <n v="7"/>
    <s v="feb"/>
  </r>
  <r>
    <x v="112"/>
    <s v="Milwaukee Bucks @ Oklahoma City Thunder"/>
    <s v="Milwaukee Bucks"/>
    <n v="110"/>
    <n v="110"/>
    <n v="0"/>
    <s v="Oklahoma City Thunder"/>
    <n v="117"/>
    <n v="93"/>
    <n v="0"/>
    <n v="227"/>
    <n v="203"/>
    <n v="0"/>
    <n v="7"/>
    <n v="-17"/>
    <n v="0"/>
    <n v="7"/>
    <s v="feb"/>
  </r>
  <r>
    <x v="112"/>
    <s v="Portland Trail Blazers @ Utah Jazz"/>
    <s v="Portland Trail Blazers"/>
    <n v="112"/>
    <n v="135"/>
    <n v="1"/>
    <s v="Utah Jazz"/>
    <n v="116"/>
    <n v="119"/>
    <n v="1"/>
    <n v="228"/>
    <n v="254"/>
    <n v="1"/>
    <n v="4"/>
    <n v="-16"/>
    <n v="0"/>
    <n v="7"/>
    <s v="feb"/>
  </r>
  <r>
    <x v="112"/>
    <s v="Dallas Mavericks @ Los Angeles Lakers"/>
    <s v="Dallas Mavericks"/>
    <n v="112"/>
    <n v="104"/>
    <n v="0"/>
    <s v="Los Angeles Lakers"/>
    <n v="117"/>
    <n v="124"/>
    <n v="1"/>
    <n v="229"/>
    <n v="228"/>
    <n v="0"/>
    <n v="5"/>
    <n v="20"/>
    <n v="1"/>
    <n v="7"/>
    <s v="feb"/>
  </r>
  <r>
    <x v="113"/>
    <s v="Houston Rockets @ Charlotte Hornets"/>
    <s v="Houston Rockets"/>
    <n v="114"/>
    <n v="105"/>
    <n v="0"/>
    <s v="Charlotte Hornets"/>
    <n v="112"/>
    <n v="101"/>
    <n v="0"/>
    <n v="226"/>
    <n v="206"/>
    <n v="0"/>
    <n v="-2"/>
    <n v="-4"/>
    <n v="1"/>
    <n v="8"/>
    <s v="feb"/>
  </r>
  <r>
    <x v="113"/>
    <s v="Brooklyn Nets @ Cleveland Cavaliers"/>
    <s v="Brooklyn Nets"/>
    <n v="109"/>
    <n v="84"/>
    <n v="0"/>
    <s v="Cleveland Cavaliers"/>
    <n v="112"/>
    <n v="112"/>
    <n v="0"/>
    <n v="221"/>
    <n v="196"/>
    <n v="0"/>
    <n v="3"/>
    <n v="28"/>
    <n v="1"/>
    <n v="8"/>
    <s v="feb"/>
  </r>
  <r>
    <x v="113"/>
    <s v="Atlanta Hawks @ Philadelphia 76ers"/>
    <s v="Atlanta Hawks"/>
    <n v="113"/>
    <n v="117"/>
    <n v="1"/>
    <s v="Philadelphia 76ers"/>
    <n v="120"/>
    <n v="107"/>
    <n v="0"/>
    <n v="233"/>
    <n v="224"/>
    <n v="0"/>
    <n v="7"/>
    <n v="-10"/>
    <n v="0"/>
    <n v="8"/>
    <s v="feb"/>
  </r>
  <r>
    <x v="113"/>
    <s v="Indiana Pacers @ Washington Wizards"/>
    <s v="Indiana Pacers"/>
    <n v="115"/>
    <n v="105"/>
    <n v="0"/>
    <s v="Washington Wizards"/>
    <n v="116"/>
    <n v="112"/>
    <n v="0"/>
    <n v="231"/>
    <n v="217"/>
    <n v="0"/>
    <n v="1"/>
    <n v="7"/>
    <n v="1"/>
    <n v="8"/>
    <s v="feb"/>
  </r>
  <r>
    <x v="113"/>
    <s v="Detroit Pistons @ New York Knicks"/>
    <s v="Detroit Pistons"/>
    <n v="112"/>
    <n v="126"/>
    <n v="1"/>
    <s v="New York Knicks"/>
    <n v="114"/>
    <n v="111"/>
    <n v="0"/>
    <n v="226"/>
    <n v="237"/>
    <n v="1"/>
    <n v="2"/>
    <n v="-15"/>
    <n v="0"/>
    <n v="8"/>
    <s v="feb"/>
  </r>
  <r>
    <x v="113"/>
    <s v="Toronto Raptors @ Chicago Bulls"/>
    <s v="Toronto Raptors"/>
    <n v="115"/>
    <n v="110"/>
    <n v="0"/>
    <s v="Chicago Bulls"/>
    <n v="115"/>
    <n v="101"/>
    <n v="0"/>
    <n v="230"/>
    <n v="211"/>
    <n v="0"/>
    <n v="0"/>
    <n v="-9"/>
    <n v="0"/>
    <n v="8"/>
    <s v="feb"/>
  </r>
  <r>
    <x v="113"/>
    <s v="Phoenix Suns @ San Antonio Spurs"/>
    <s v="Phoenix Suns"/>
    <n v="116"/>
    <n v="94"/>
    <n v="0"/>
    <s v="San Antonio Spurs"/>
    <n v="117"/>
    <n v="121"/>
    <n v="1"/>
    <n v="233"/>
    <n v="215"/>
    <n v="0"/>
    <n v="1"/>
    <n v="27"/>
    <n v="1"/>
    <n v="8"/>
    <s v="feb"/>
  </r>
  <r>
    <x v="113"/>
    <s v="Boston Celtics @ Golden State Warriors"/>
    <s v="Boston Celtics"/>
    <n v="116"/>
    <n v="121"/>
    <n v="1"/>
    <s v="Golden State Warriors"/>
    <n v="115"/>
    <n v="110"/>
    <n v="0"/>
    <n v="231"/>
    <n v="231"/>
    <n v="0"/>
    <n v="-1"/>
    <n v="-11"/>
    <n v="1"/>
    <n v="8"/>
    <s v="feb"/>
  </r>
  <r>
    <x v="113"/>
    <s v="Orlando Magic @ Sacramento Kings"/>
    <s v="Orlando Magic"/>
    <n v="115"/>
    <n v="131"/>
    <n v="1"/>
    <s v="Sacramento Kings"/>
    <n v="115"/>
    <n v="94"/>
    <n v="0"/>
    <n v="230"/>
    <n v="225"/>
    <n v="0"/>
    <n v="0"/>
    <n v="-37"/>
    <n v="0"/>
    <n v="8"/>
    <s v="feb"/>
  </r>
  <r>
    <x v="113"/>
    <s v="Denver Nuggets @ LA Clippers"/>
    <s v="Denver Nuggets"/>
    <n v="114"/>
    <n v="114"/>
    <n v="0"/>
    <s v="LA Clippers"/>
    <n v="112"/>
    <n v="115"/>
    <n v="1"/>
    <n v="226"/>
    <n v="229"/>
    <n v="1"/>
    <n v="-2"/>
    <n v="1"/>
    <n v="0"/>
    <n v="8"/>
    <s v="feb"/>
  </r>
  <r>
    <x v="114"/>
    <s v="Cleveland Cavaliers @ Charlotte Hornets"/>
    <s v="Cleveland Cavaliers"/>
    <n v="112"/>
    <n v="118"/>
    <n v="1"/>
    <s v="Charlotte Hornets"/>
    <n v="112"/>
    <n v="113"/>
    <n v="1"/>
    <n v="224"/>
    <n v="231"/>
    <n v="1"/>
    <n v="0"/>
    <n v="-5"/>
    <n v="0"/>
    <n v="8"/>
    <s v="feb"/>
  </r>
  <r>
    <x v="114"/>
    <s v="Indiana Pacers @ Washington Wizards"/>
    <s v="Indiana Pacers"/>
    <n v="115"/>
    <n v="118"/>
    <n v="1"/>
    <s v="Washington Wizards"/>
    <n v="116"/>
    <n v="131"/>
    <n v="1"/>
    <n v="231"/>
    <n v="249"/>
    <n v="1"/>
    <n v="1"/>
    <n v="13"/>
    <n v="1"/>
    <n v="8"/>
    <s v="feb"/>
  </r>
  <r>
    <x v="114"/>
    <s v="Utah Jazz @ Memphis Grizzlies"/>
    <s v="Utah Jazz"/>
    <n v="118"/>
    <n v="114"/>
    <n v="0"/>
    <s v="Memphis Grizzlies"/>
    <n v="121"/>
    <n v="123"/>
    <n v="1"/>
    <n v="239"/>
    <n v="237"/>
    <n v="0"/>
    <n v="3"/>
    <n v="9"/>
    <n v="1"/>
    <n v="8"/>
    <s v="feb"/>
  </r>
  <r>
    <x v="114"/>
    <s v="Miami Heat @ Atlanta Hawks"/>
    <s v="Miami Heat"/>
    <n v="117"/>
    <n v="128"/>
    <n v="1"/>
    <s v="Atlanta Hawks"/>
    <n v="113"/>
    <n v="97"/>
    <n v="0"/>
    <n v="230"/>
    <n v="225"/>
    <n v="0"/>
    <n v="-4"/>
    <n v="-31"/>
    <n v="1"/>
    <n v="8"/>
    <s v="feb"/>
  </r>
  <r>
    <x v="114"/>
    <s v="Dallas Mavericks @ Minnesota Timberwolves"/>
    <s v="Dallas Mavericks"/>
    <n v="114"/>
    <n v="111"/>
    <n v="0"/>
    <s v="Minnesota Timberwolves"/>
    <n v="120"/>
    <n v="122"/>
    <n v="1"/>
    <n v="234"/>
    <n v="233"/>
    <n v="0"/>
    <n v="6"/>
    <n v="11"/>
    <n v="1"/>
    <n v="8"/>
    <s v="feb"/>
  </r>
  <r>
    <x v="114"/>
    <s v="Milwaukee Bucks @ New Orleans Pelicans"/>
    <s v="Milwaukee Bucks"/>
    <n v="117"/>
    <n v="139"/>
    <n v="1"/>
    <s v="New Orleans Pelicans"/>
    <n v="116"/>
    <n v="118"/>
    <n v="1"/>
    <n v="233"/>
    <n v="257"/>
    <n v="1"/>
    <n v="-1"/>
    <n v="-21"/>
    <n v="1"/>
    <n v="8"/>
    <s v="feb"/>
  </r>
  <r>
    <x v="114"/>
    <s v="Brooklyn Nets @ Oklahoma City Thunder"/>
    <s v="Brooklyn Nets"/>
    <n v="105"/>
    <n v="86"/>
    <n v="0"/>
    <s v="Oklahoma City Thunder"/>
    <n v="113"/>
    <n v="105"/>
    <n v="0"/>
    <n v="218"/>
    <n v="191"/>
    <n v="0"/>
    <n v="8"/>
    <n v="19"/>
    <n v="1"/>
    <n v="8"/>
    <s v="feb"/>
  </r>
  <r>
    <x v="114"/>
    <s v="LA Clippers @ Los Angeles Lakers"/>
    <s v="LA Clippers"/>
    <n v="113"/>
    <n v="122"/>
    <n v="1"/>
    <s v="Los Angeles Lakers"/>
    <n v="117"/>
    <n v="125"/>
    <n v="1"/>
    <n v="230"/>
    <n v="247"/>
    <n v="1"/>
    <n v="4"/>
    <n v="3"/>
    <n v="1"/>
    <n v="8"/>
    <s v="feb"/>
  </r>
  <r>
    <x v="114"/>
    <s v="Denver Nuggets @ Portland Trail Blazers"/>
    <s v="Denver Nuggets"/>
    <n v="117"/>
    <n v="157"/>
    <n v="1"/>
    <s v="Portland Trail Blazers"/>
    <n v="111"/>
    <n v="103"/>
    <n v="0"/>
    <n v="228"/>
    <n v="260"/>
    <n v="1"/>
    <n v="-6"/>
    <n v="-54"/>
    <n v="1"/>
    <n v="8"/>
    <s v="feb"/>
  </r>
  <r>
    <x v="115"/>
    <s v="Orlando Magic @ Phoenix Suns"/>
    <s v="Orlando Magic"/>
    <n v="108"/>
    <n v="110"/>
    <n v="1"/>
    <s v="Phoenix Suns"/>
    <n v="113"/>
    <n v="113"/>
    <n v="0"/>
    <n v="221"/>
    <n v="223"/>
    <n v="1"/>
    <n v="5"/>
    <n v="3"/>
    <n v="1"/>
    <n v="8"/>
    <s v="feb"/>
  </r>
  <r>
    <x v="115"/>
    <s v="Philadelphia 76ers @ New Orleans Pelicans"/>
    <s v="Philadelphia 76ers"/>
    <n v="115"/>
    <n v="111"/>
    <n v="0"/>
    <s v="New Orleans Pelicans"/>
    <n v="116"/>
    <n v="126"/>
    <n v="1"/>
    <n v="231"/>
    <n v="237"/>
    <n v="1"/>
    <n v="1"/>
    <n v="15"/>
    <n v="1"/>
    <n v="8"/>
    <s v="feb"/>
  </r>
  <r>
    <x v="115"/>
    <s v="Memphis Grizzlies @ Miami Heat"/>
    <s v="Memphis Grizzlies"/>
    <n v="116"/>
    <n v="120"/>
    <n v="1"/>
    <s v="Miami Heat"/>
    <n v="119"/>
    <n v="136"/>
    <n v="1"/>
    <n v="235"/>
    <n v="256"/>
    <n v="1"/>
    <n v="3"/>
    <n v="16"/>
    <n v="1"/>
    <n v="8"/>
    <s v="feb"/>
  </r>
  <r>
    <x v="115"/>
    <s v="Detroit Pistons @ Chicago Bulls"/>
    <s v="Detroit Pistons"/>
    <n v="115"/>
    <n v="126"/>
    <n v="1"/>
    <s v="Chicago Bulls"/>
    <n v="115"/>
    <n v="110"/>
    <n v="0"/>
    <n v="230"/>
    <n v="236"/>
    <n v="1"/>
    <n v="0"/>
    <n v="-16"/>
    <n v="0"/>
    <n v="8"/>
    <s v="feb"/>
  </r>
  <r>
    <x v="115"/>
    <s v="Sacramento Kings @ San Antonio Spurs"/>
    <s v="Sacramento Kings"/>
    <n v="112"/>
    <n v="122"/>
    <n v="1"/>
    <s v="San Antonio Spurs"/>
    <n v="118"/>
    <n v="139"/>
    <n v="1"/>
    <n v="230"/>
    <n v="261"/>
    <n v="1"/>
    <n v="6"/>
    <n v="17"/>
    <n v="1"/>
    <n v="8"/>
    <s v="feb"/>
  </r>
  <r>
    <x v="115"/>
    <s v="Houston Rockets @ New York Knicks"/>
    <s v="Houston Rockets"/>
    <n v="111"/>
    <n v="106"/>
    <n v="0"/>
    <s v="New York Knicks"/>
    <n v="113"/>
    <n v="108"/>
    <n v="0"/>
    <n v="224"/>
    <n v="214"/>
    <n v="0"/>
    <n v="2"/>
    <n v="2"/>
    <n v="1"/>
    <n v="8"/>
    <s v="feb"/>
  </r>
  <r>
    <x v="116"/>
    <s v="Cleveland Cavaliers @ Oklahoma City Thunder"/>
    <s v="Cleveland Cavaliers"/>
    <n v="112"/>
    <n v="113"/>
    <n v="1"/>
    <s v="Oklahoma City Thunder"/>
    <n v="121"/>
    <n v="121"/>
    <n v="0"/>
    <n v="233"/>
    <n v="234"/>
    <n v="1"/>
    <n v="9"/>
    <n v="8"/>
    <n v="1"/>
    <n v="8"/>
    <s v="feb"/>
  </r>
  <r>
    <x v="116"/>
    <s v="Brooklyn Nets @ Atlanta Hawks"/>
    <s v="Brooklyn Nets"/>
    <n v="108"/>
    <n v="104"/>
    <n v="0"/>
    <s v="Atlanta Hawks"/>
    <n v="112"/>
    <n v="115"/>
    <n v="1"/>
    <n v="220"/>
    <n v="219"/>
    <n v="0"/>
    <n v="4"/>
    <n v="11"/>
    <n v="1"/>
    <n v="8"/>
    <s v="feb"/>
  </r>
  <r>
    <x v="116"/>
    <s v="Toronto Raptors @ Milwaukee Bucks"/>
    <s v="Toronto Raptors"/>
    <n v="111"/>
    <n v="122"/>
    <n v="1"/>
    <s v="Milwaukee Bucks"/>
    <n v="113"/>
    <n v="94"/>
    <n v="0"/>
    <n v="224"/>
    <n v="216"/>
    <n v="0"/>
    <n v="2"/>
    <n v="-28"/>
    <n v="0"/>
    <n v="8"/>
    <s v="feb"/>
  </r>
  <r>
    <x v="116"/>
    <s v="Denver Nuggets @ Golden State Warriors"/>
    <s v="Denver Nuggets"/>
    <n v="116"/>
    <n v="117"/>
    <n v="1"/>
    <s v="Golden State Warriors"/>
    <n v="116"/>
    <n v="128"/>
    <n v="1"/>
    <n v="232"/>
    <n v="245"/>
    <n v="1"/>
    <n v="0"/>
    <n v="11"/>
    <n v="0"/>
    <n v="8"/>
    <s v="feb"/>
  </r>
  <r>
    <x v="116"/>
    <s v="Dallas Mavericks @ Indiana Pacers"/>
    <s v="Dallas Mavericks"/>
    <n v="115"/>
    <n v="134"/>
    <n v="1"/>
    <s v="Indiana Pacers"/>
    <n v="116"/>
    <n v="130"/>
    <n v="1"/>
    <n v="231"/>
    <n v="264"/>
    <n v="1"/>
    <n v="1"/>
    <n v="-4"/>
    <n v="0"/>
    <n v="8"/>
    <s v="feb"/>
  </r>
  <r>
    <x v="116"/>
    <s v="Charlotte Hornets @ Washington Wizards"/>
    <s v="Charlotte Hornets"/>
    <n v="119"/>
    <n v="129"/>
    <n v="1"/>
    <s v="Washington Wizards"/>
    <n v="112"/>
    <n v="112"/>
    <n v="0"/>
    <n v="231"/>
    <n v="241"/>
    <n v="1"/>
    <n v="-7"/>
    <n v="-17"/>
    <n v="1"/>
    <n v="8"/>
    <s v="feb"/>
  </r>
  <r>
    <x v="116"/>
    <s v="Boston Celtics @ Los Angeles Lakers"/>
    <s v="Boston Celtics"/>
    <n v="112"/>
    <n v="111"/>
    <n v="0"/>
    <s v="Los Angeles Lakers"/>
    <n v="113"/>
    <n v="89"/>
    <n v="0"/>
    <n v="225"/>
    <n v="200"/>
    <n v="0"/>
    <n v="1"/>
    <n v="-22"/>
    <n v="0"/>
    <n v="8"/>
    <s v="feb"/>
  </r>
  <r>
    <x v="116"/>
    <s v="Philadelphia 76ers @ Minnesota Timberwolves"/>
    <s v="Philadelphia 76ers"/>
    <n v="111"/>
    <n v="135"/>
    <n v="1"/>
    <s v="Minnesota Timberwolves"/>
    <n v="118"/>
    <n v="108"/>
    <n v="0"/>
    <n v="229"/>
    <n v="243"/>
    <n v="1"/>
    <n v="7"/>
    <n v="-27"/>
    <n v="0"/>
    <n v="8"/>
    <s v="feb"/>
  </r>
  <r>
    <x v="116"/>
    <s v="New York Knicks @ Chicago Bulls"/>
    <s v="New York Knicks"/>
    <n v="114"/>
    <n v="105"/>
    <n v="0"/>
    <s v="Chicago Bulls"/>
    <n v="115"/>
    <n v="99"/>
    <n v="0"/>
    <n v="229"/>
    <n v="204"/>
    <n v="0"/>
    <n v="1"/>
    <n v="-6"/>
    <n v="0"/>
    <n v="8"/>
    <s v="feb"/>
  </r>
  <r>
    <x v="116"/>
    <s v="Portland Trail Blazers @ Phoenix Suns"/>
    <s v="Portland Trail Blazers"/>
    <n v="110"/>
    <n v="92"/>
    <n v="0"/>
    <s v="Phoenix Suns"/>
    <n v="115"/>
    <n v="77"/>
    <n v="0"/>
    <n v="225"/>
    <n v="169"/>
    <n v="0"/>
    <n v="5"/>
    <n v="-15"/>
    <n v="0"/>
    <n v="8"/>
    <s v="feb"/>
  </r>
  <r>
    <x v="116"/>
    <s v="Orlando Magic @ LA Clippers"/>
    <s v="Orlando Magic"/>
    <n v="108"/>
    <n v="111"/>
    <n v="1"/>
    <s v="LA Clippers"/>
    <n v="117"/>
    <n v="109"/>
    <n v="0"/>
    <n v="225"/>
    <n v="220"/>
    <n v="0"/>
    <n v="9"/>
    <n v="-2"/>
    <n v="0"/>
    <n v="8"/>
    <s v="feb"/>
  </r>
  <r>
    <x v="117"/>
    <s v="San Antonio Spurs @ Detroit Pistons"/>
    <s v="San Antonio Spurs"/>
    <n v="117"/>
    <n v="114"/>
    <n v="0"/>
    <s v="Detroit Pistons"/>
    <n v="116"/>
    <n v="103"/>
    <n v="0"/>
    <n v="233"/>
    <n v="217"/>
    <n v="0"/>
    <n v="-1"/>
    <n v="-11"/>
    <n v="1"/>
    <n v="9"/>
    <s v="feb"/>
  </r>
  <r>
    <x v="117"/>
    <s v="Sacramento Kings @ Memphis Grizzlies"/>
    <s v="Sacramento Kings"/>
    <n v="110"/>
    <n v="123"/>
    <n v="1"/>
    <s v="Memphis Grizzlies"/>
    <n v="119"/>
    <n v="114"/>
    <n v="0"/>
    <n v="229"/>
    <n v="237"/>
    <n v="1"/>
    <n v="9"/>
    <n v="-9"/>
    <n v="0"/>
    <n v="9"/>
    <s v="feb"/>
  </r>
  <r>
    <x v="117"/>
    <s v="Utah Jazz @ Houston Rockets"/>
    <s v="Utah Jazz"/>
    <n v="113"/>
    <n v="105"/>
    <n v="0"/>
    <s v="Houston Rockets"/>
    <n v="115"/>
    <n v="125"/>
    <n v="1"/>
    <n v="228"/>
    <n v="230"/>
    <n v="1"/>
    <n v="2"/>
    <n v="20"/>
    <n v="1"/>
    <n v="9"/>
    <s v="feb"/>
  </r>
  <r>
    <x v="118"/>
    <s v="Philadelphia 76ers @ Indiana Pacers"/>
    <s v="Philadelphia 76ers"/>
    <n v="116"/>
    <n v="135"/>
    <n v="1"/>
    <s v="Indiana Pacers"/>
    <n v="115"/>
    <n v="114"/>
    <n v="0"/>
    <n v="231"/>
    <n v="249"/>
    <n v="1"/>
    <n v="-1"/>
    <n v="-21"/>
    <n v="1"/>
    <n v="9"/>
    <s v="feb"/>
  </r>
  <r>
    <x v="118"/>
    <s v="Washington Wizards @ Atlanta Hawks"/>
    <s v="Washington Wizards"/>
    <n v="116"/>
    <n v="98"/>
    <n v="0"/>
    <s v="Atlanta Hawks"/>
    <n v="122"/>
    <n v="119"/>
    <n v="0"/>
    <n v="238"/>
    <n v="217"/>
    <n v="0"/>
    <n v="6"/>
    <n v="21"/>
    <n v="1"/>
    <n v="9"/>
    <s v="feb"/>
  </r>
  <r>
    <x v="118"/>
    <s v="Dallas Mavericks @ Brooklyn Nets"/>
    <s v="Dallas Mavericks"/>
    <n v="114"/>
    <n v="123"/>
    <n v="1"/>
    <s v="Brooklyn Nets"/>
    <n v="113"/>
    <n v="114"/>
    <n v="1"/>
    <n v="227"/>
    <n v="237"/>
    <n v="1"/>
    <n v="-1"/>
    <n v="-9"/>
    <n v="1"/>
    <n v="9"/>
    <s v="feb"/>
  </r>
  <r>
    <x v="118"/>
    <s v="Oklahoma City Thunder @ Toronto Raptors"/>
    <s v="Oklahoma City Thunder"/>
    <n v="115"/>
    <n v="116"/>
    <n v="1"/>
    <s v="Toronto Raptors"/>
    <n v="111"/>
    <n v="107"/>
    <n v="0"/>
    <n v="226"/>
    <n v="223"/>
    <n v="0"/>
    <n v="-4"/>
    <n v="-9"/>
    <n v="1"/>
    <n v="9"/>
    <s v="feb"/>
  </r>
  <r>
    <x v="118"/>
    <s v="New York Knicks @ Cleveland Cavaliers"/>
    <s v="New York Knicks"/>
    <n v="112"/>
    <n v="94"/>
    <n v="0"/>
    <s v="Cleveland Cavaliers"/>
    <n v="112"/>
    <n v="109"/>
    <n v="0"/>
    <n v="224"/>
    <n v="203"/>
    <n v="0"/>
    <n v="0"/>
    <n v="15"/>
    <n v="0"/>
    <n v="9"/>
    <s v="feb"/>
  </r>
  <r>
    <x v="118"/>
    <s v="Charlotte Hornets @ Chicago Bulls"/>
    <s v="Charlotte Hornets"/>
    <n v="116"/>
    <n v="131"/>
    <n v="1"/>
    <s v="Chicago Bulls"/>
    <n v="116"/>
    <n v="99"/>
    <n v="0"/>
    <n v="232"/>
    <n v="230"/>
    <n v="0"/>
    <n v="0"/>
    <n v="-32"/>
    <n v="0"/>
    <n v="9"/>
    <s v="feb"/>
  </r>
  <r>
    <x v="118"/>
    <s v="Miami Heat @ Milwaukee Bucks"/>
    <s v="Miami Heat"/>
    <n v="111"/>
    <n v="117"/>
    <n v="1"/>
    <s v="Milwaukee Bucks"/>
    <n v="116"/>
    <n v="128"/>
    <n v="1"/>
    <n v="227"/>
    <n v="245"/>
    <n v="1"/>
    <n v="5"/>
    <n v="11"/>
    <n v="1"/>
    <n v="9"/>
    <s v="feb"/>
  </r>
  <r>
    <x v="118"/>
    <s v="Golden State Warriors @ New Orleans Pelicans"/>
    <s v="Golden State Warriors"/>
    <n v="120"/>
    <n v="109"/>
    <n v="0"/>
    <s v="New Orleans Pelicans"/>
    <n v="114"/>
    <n v="113"/>
    <n v="0"/>
    <n v="234"/>
    <n v="222"/>
    <n v="0"/>
    <n v="-6"/>
    <n v="4"/>
    <n v="0"/>
    <n v="9"/>
    <s v="feb"/>
  </r>
  <r>
    <x v="118"/>
    <s v="Boston Celtics @ Phoenix Suns"/>
    <s v="Boston Celtics"/>
    <n v="109"/>
    <n v="97"/>
    <n v="0"/>
    <s v="Phoenix Suns"/>
    <n v="109"/>
    <n v="81"/>
    <n v="0"/>
    <n v="218"/>
    <n v="178"/>
    <n v="0"/>
    <n v="0"/>
    <n v="-16"/>
    <n v="0"/>
    <n v="9"/>
    <s v="feb"/>
  </r>
  <r>
    <x v="118"/>
    <s v="Minnesota Timberwolves @ Portland Trail Blazers"/>
    <s v="Minnesota Timberwolves"/>
    <n v="121"/>
    <n v="124"/>
    <n v="1"/>
    <s v="Portland Trail Blazers"/>
    <n v="118"/>
    <n v="121"/>
    <n v="1"/>
    <n v="239"/>
    <n v="245"/>
    <n v="1"/>
    <n v="-3"/>
    <n v="-3"/>
    <n v="1"/>
    <n v="9"/>
    <s v="feb"/>
  </r>
  <r>
    <x v="118"/>
    <s v="Orlando Magic @ Los Angeles Lakers"/>
    <s v="Orlando Magic"/>
    <n v="109"/>
    <n v="110"/>
    <n v="1"/>
    <s v="Los Angeles Lakers"/>
    <n v="119"/>
    <n v="109"/>
    <n v="0"/>
    <n v="228"/>
    <n v="219"/>
    <n v="0"/>
    <n v="10"/>
    <n v="-1"/>
    <n v="0"/>
    <n v="9"/>
    <s v="feb"/>
  </r>
  <r>
    <x v="119"/>
    <s v="Oklahoma City Thunder @ Detroit Pistons"/>
    <s v="Oklahoma City Thunder"/>
    <n v="114"/>
    <n v="116"/>
    <n v="1"/>
    <s v="Detroit Pistons"/>
    <n v="114"/>
    <n v="124"/>
    <n v="1"/>
    <n v="228"/>
    <n v="240"/>
    <n v="1"/>
    <n v="0"/>
    <n v="8"/>
    <n v="0"/>
    <n v="9"/>
    <s v="feb"/>
  </r>
  <r>
    <x v="119"/>
    <s v="San Antonio Spurs @ Toronto Raptors"/>
    <s v="San Antonio Spurs"/>
    <n v="113"/>
    <n v="110"/>
    <n v="0"/>
    <s v="Toronto Raptors"/>
    <n v="112"/>
    <n v="107"/>
    <n v="0"/>
    <n v="225"/>
    <n v="217"/>
    <n v="0"/>
    <n v="-1"/>
    <n v="-3"/>
    <n v="1"/>
    <n v="9"/>
    <s v="feb"/>
  </r>
  <r>
    <x v="119"/>
    <s v="Golden State Warriors @ Memphis Grizzlies"/>
    <s v="Golden State Warriors"/>
    <n v="115"/>
    <n v="133"/>
    <n v="1"/>
    <s v="Memphis Grizzlies"/>
    <n v="115"/>
    <n v="112"/>
    <n v="0"/>
    <n v="230"/>
    <n v="245"/>
    <n v="1"/>
    <n v="0"/>
    <n v="-21"/>
    <n v="0"/>
    <n v="9"/>
    <s v="feb"/>
  </r>
  <r>
    <x v="119"/>
    <s v="Sacramento Kings @ Houston Rockets"/>
    <s v="Sacramento Kings"/>
    <n v="109"/>
    <n v="97"/>
    <n v="0"/>
    <s v="Houston Rockets"/>
    <n v="118"/>
    <n v="128"/>
    <n v="1"/>
    <n v="227"/>
    <n v="225"/>
    <n v="0"/>
    <n v="9"/>
    <n v="31"/>
    <n v="1"/>
    <n v="9"/>
    <s v="feb"/>
  </r>
  <r>
    <x v="119"/>
    <s v="Cleveland Cavaliers @ Milwaukee Bucks"/>
    <s v="Cleveland Cavaliers"/>
    <n v="110"/>
    <n v="116"/>
    <n v="1"/>
    <s v="Milwaukee Bucks"/>
    <n v="118"/>
    <n v="118"/>
    <n v="0"/>
    <n v="228"/>
    <n v="234"/>
    <n v="1"/>
    <n v="8"/>
    <n v="2"/>
    <n v="1"/>
    <n v="9"/>
    <s v="feb"/>
  </r>
  <r>
    <x v="119"/>
    <s v="Boston Celtics @ Denver Nuggets"/>
    <s v="Boston Celtics"/>
    <n v="110"/>
    <n v="84"/>
    <n v="0"/>
    <s v="Denver Nuggets"/>
    <n v="111"/>
    <n v="103"/>
    <n v="0"/>
    <n v="221"/>
    <n v="187"/>
    <n v="0"/>
    <n v="1"/>
    <n v="19"/>
    <n v="1"/>
    <n v="9"/>
    <s v="feb"/>
  </r>
  <r>
    <x v="120"/>
    <s v="Charlotte Hornets @ Indiana Pacers"/>
    <s v="Charlotte Hornets"/>
    <n v="116"/>
    <n v="133"/>
    <n v="1"/>
    <s v="Indiana Pacers"/>
    <n v="114"/>
    <n v="109"/>
    <n v="0"/>
    <n v="230"/>
    <n v="242"/>
    <n v="1"/>
    <n v="-2"/>
    <n v="-24"/>
    <n v="1"/>
    <n v="9"/>
    <s v="feb"/>
  </r>
  <r>
    <x v="120"/>
    <s v="Miami Heat @ Philadelphia 76ers"/>
    <s v="Miami Heat"/>
    <n v="112"/>
    <n v="117"/>
    <n v="1"/>
    <s v="Philadelphia 76ers"/>
    <n v="114"/>
    <n v="124"/>
    <n v="1"/>
    <n v="226"/>
    <n v="241"/>
    <n v="1"/>
    <n v="2"/>
    <n v="7"/>
    <n v="1"/>
    <n v="9"/>
    <s v="feb"/>
  </r>
  <r>
    <x v="120"/>
    <s v="Washington Wizards @ Atlanta Hawks"/>
    <s v="Washington Wizards"/>
    <n v="115"/>
    <n v="96"/>
    <n v="0"/>
    <s v="Atlanta Hawks"/>
    <n v="121"/>
    <n v="126"/>
    <n v="1"/>
    <n v="236"/>
    <n v="222"/>
    <n v="0"/>
    <n v="6"/>
    <n v="30"/>
    <n v="1"/>
    <n v="9"/>
    <s v="feb"/>
  </r>
  <r>
    <x v="120"/>
    <s v="San Antonio Spurs @ Brooklyn Nets"/>
    <s v="San Antonio Spurs"/>
    <n v="115"/>
    <n v="126"/>
    <n v="1"/>
    <s v="Brooklyn Nets"/>
    <n v="110"/>
    <n v="110"/>
    <n v="0"/>
    <n v="225"/>
    <n v="236"/>
    <n v="1"/>
    <n v="-5"/>
    <n v="-16"/>
    <n v="1"/>
    <n v="9"/>
    <s v="feb"/>
  </r>
  <r>
    <x v="120"/>
    <s v="Houston Rockets @ Orlando Magic"/>
    <s v="Houston Rockets"/>
    <n v="113"/>
    <n v="113"/>
    <n v="0"/>
    <s v="Orlando Magic"/>
    <n v="110"/>
    <n v="108"/>
    <n v="0"/>
    <n v="223"/>
    <n v="221"/>
    <n v="0"/>
    <n v="-3"/>
    <n v="-5"/>
    <n v="1"/>
    <n v="9"/>
    <s v="feb"/>
  </r>
  <r>
    <x v="120"/>
    <s v="Portland Trail Blazers @ Chicago Bulls"/>
    <s v="Portland Trail Blazers"/>
    <n v="115"/>
    <n v="121"/>
    <n v="1"/>
    <s v="Chicago Bulls"/>
    <n v="118"/>
    <n v="112"/>
    <n v="0"/>
    <n v="233"/>
    <n v="233"/>
    <n v="0"/>
    <n v="3"/>
    <n v="-9"/>
    <n v="0"/>
    <n v="9"/>
    <s v="feb"/>
  </r>
  <r>
    <x v="120"/>
    <s v="Sacramento Kings @ Dallas Mavericks"/>
    <s v="Sacramento Kings"/>
    <n v="110"/>
    <n v="130"/>
    <n v="1"/>
    <s v="Dallas Mavericks"/>
    <n v="117"/>
    <n v="121"/>
    <n v="1"/>
    <n v="227"/>
    <n v="251"/>
    <n v="1"/>
    <n v="7"/>
    <n v="-9"/>
    <n v="0"/>
    <n v="9"/>
    <s v="feb"/>
  </r>
  <r>
    <x v="120"/>
    <s v="Los Angeles Lakers @ Phoenix Suns"/>
    <s v="Los Angeles Lakers"/>
    <n v="111"/>
    <n v="110"/>
    <n v="0"/>
    <s v="Phoenix Suns"/>
    <n v="114"/>
    <n v="113"/>
    <n v="0"/>
    <n v="225"/>
    <n v="223"/>
    <n v="0"/>
    <n v="3"/>
    <n v="3"/>
    <n v="1"/>
    <n v="9"/>
    <s v="feb"/>
  </r>
  <r>
    <x v="120"/>
    <s v="New Orleans Pelicans @ Utah Jazz"/>
    <s v="New Orleans Pelicans"/>
    <n v="118"/>
    <n v="129"/>
    <n v="1"/>
    <s v="Utah Jazz"/>
    <n v="119"/>
    <n v="118"/>
    <n v="0"/>
    <n v="237"/>
    <n v="247"/>
    <n v="1"/>
    <n v="1"/>
    <n v="-11"/>
    <n v="0"/>
    <n v="9"/>
    <s v="feb"/>
  </r>
  <r>
    <x v="120"/>
    <s v="Minnesota Timberwolves @ LA Clippers"/>
    <s v="Minnesota Timberwolves"/>
    <n v="114"/>
    <n v="94"/>
    <n v="0"/>
    <s v="LA Clippers"/>
    <n v="118"/>
    <n v="88"/>
    <n v="0"/>
    <n v="232"/>
    <n v="182"/>
    <n v="0"/>
    <n v="4"/>
    <n v="-6"/>
    <n v="0"/>
    <n v="9"/>
    <s v="feb"/>
  </r>
  <r>
    <x v="121"/>
    <s v="Cleveland Cavaliers @ Detroit Pistons"/>
    <s v="Cleveland Cavaliers"/>
    <n v="114"/>
    <n v="119"/>
    <n v="1"/>
    <s v="Detroit Pistons"/>
    <n v="113"/>
    <n v="122"/>
    <n v="1"/>
    <n v="227"/>
    <n v="241"/>
    <n v="1"/>
    <n v="-1"/>
    <n v="3"/>
    <n v="0"/>
    <n v="9"/>
    <s v="feb"/>
  </r>
  <r>
    <x v="121"/>
    <s v="Brooklyn Nets @ Boston Celtics"/>
    <s v="Brooklyn Nets"/>
    <n v="104"/>
    <n v="111"/>
    <n v="1"/>
    <s v="Boston Celtics"/>
    <n v="112"/>
    <n v="148"/>
    <n v="1"/>
    <n v="216"/>
    <n v="259"/>
    <n v="1"/>
    <n v="8"/>
    <n v="37"/>
    <n v="1"/>
    <n v="9"/>
    <s v="feb"/>
  </r>
  <r>
    <x v="121"/>
    <s v="New York Knicks @ Milwaukee Bucks"/>
    <s v="New York Knicks"/>
    <n v="110"/>
    <n v="127"/>
    <n v="1"/>
    <s v="Milwaukee Bucks"/>
    <n v="115"/>
    <n v="98"/>
    <n v="0"/>
    <n v="225"/>
    <n v="225"/>
    <n v="0"/>
    <n v="5"/>
    <n v="-29"/>
    <n v="0"/>
    <n v="9"/>
    <s v="feb"/>
  </r>
  <r>
    <x v="121"/>
    <s v="Memphis Grizzlies @ Dallas Mavericks"/>
    <s v="Memphis Grizzlies"/>
    <n v="115"/>
    <n v="124"/>
    <n v="1"/>
    <s v="Dallas Mavericks"/>
    <n v="115"/>
    <n v="105"/>
    <n v="0"/>
    <n v="230"/>
    <n v="229"/>
    <n v="0"/>
    <n v="0"/>
    <n v="-19"/>
    <n v="0"/>
    <n v="9"/>
    <s v="feb"/>
  </r>
  <r>
    <x v="121"/>
    <s v="Denver Nuggets @ Oklahoma City Thunder"/>
    <s v="Denver Nuggets"/>
    <n v="111"/>
    <n v="121"/>
    <n v="1"/>
    <s v="Oklahoma City Thunder"/>
    <n v="117"/>
    <n v="127"/>
    <n v="1"/>
    <n v="228"/>
    <n v="248"/>
    <n v="1"/>
    <n v="6"/>
    <n v="6"/>
    <n v="1"/>
    <n v="9"/>
    <s v="feb"/>
  </r>
  <r>
    <x v="122"/>
    <s v="Portland Trail Blazers @ Charlotte Hornets"/>
    <s v="Portland Trail Blazers"/>
    <n v="112"/>
    <n v="93"/>
    <n v="0"/>
    <s v="Charlotte Hornets"/>
    <n v="114"/>
    <n v="109"/>
    <n v="0"/>
    <n v="226"/>
    <n v="202"/>
    <n v="0"/>
    <n v="2"/>
    <n v="16"/>
    <n v="1"/>
    <n v="9"/>
    <s v="feb"/>
  </r>
  <r>
    <x v="122"/>
    <s v="Houston Rockets @ Miami Heat"/>
    <s v="Houston Rockets"/>
    <n v="111"/>
    <n v="105"/>
    <n v="0"/>
    <s v="Miami Heat"/>
    <n v="114"/>
    <n v="115"/>
    <n v="1"/>
    <n v="225"/>
    <n v="220"/>
    <n v="0"/>
    <n v="3"/>
    <n v="10"/>
    <n v="1"/>
    <n v="9"/>
    <s v="feb"/>
  </r>
  <r>
    <x v="122"/>
    <s v="Toronto Raptors @ Washington Wizards"/>
    <s v="Toronto Raptors"/>
    <n v="118"/>
    <n v="134"/>
    <n v="1"/>
    <s v="Washington Wizards"/>
    <n v="111"/>
    <n v="125"/>
    <n v="1"/>
    <n v="229"/>
    <n v="259"/>
    <n v="1"/>
    <n v="-7"/>
    <n v="-9"/>
    <n v="1"/>
    <n v="9"/>
    <s v="feb"/>
  </r>
  <r>
    <x v="122"/>
    <s v="Los Angeles Lakers @ Golden State Warriors"/>
    <s v="Los Angeles Lakers"/>
    <n v="113"/>
    <n v="129"/>
    <n v="1"/>
    <s v="Golden State Warriors"/>
    <n v="118"/>
    <n v="101"/>
    <n v="0"/>
    <n v="231"/>
    <n v="230"/>
    <n v="0"/>
    <n v="5"/>
    <n v="-28"/>
    <n v="0"/>
    <n v="9"/>
    <s v="feb"/>
  </r>
  <r>
    <x v="122"/>
    <s v="New Orleans Pelicans @ Utah Jazz"/>
    <s v="New Orleans Pelicans"/>
    <n v="117"/>
    <n v="115"/>
    <n v="0"/>
    <s v="Utah Jazz"/>
    <n v="119"/>
    <n v="105"/>
    <n v="0"/>
    <n v="236"/>
    <n v="220"/>
    <n v="0"/>
    <n v="2"/>
    <n v="-10"/>
    <n v="0"/>
    <n v="9"/>
    <s v="feb"/>
  </r>
  <r>
    <x v="123"/>
    <s v="San Antonio Spurs @ New York Knicks"/>
    <s v="San Antonio Spurs"/>
    <n v="113"/>
    <n v="89"/>
    <n v="0"/>
    <s v="New York Knicks"/>
    <n v="114"/>
    <n v="114"/>
    <n v="0"/>
    <n v="227"/>
    <n v="203"/>
    <n v="0"/>
    <n v="1"/>
    <n v="25"/>
    <n v="1"/>
    <n v="9"/>
    <s v="mar"/>
  </r>
  <r>
    <x v="123"/>
    <s v="Cleveland Cavaliers @ Brooklyn Nets"/>
    <s v="Cleveland Cavaliers"/>
    <n v="114"/>
    <n v="106"/>
    <n v="0"/>
    <s v="Brooklyn Nets"/>
    <n v="110"/>
    <n v="102"/>
    <n v="0"/>
    <n v="224"/>
    <n v="208"/>
    <n v="0"/>
    <n v="-4"/>
    <n v="-4"/>
    <n v="1"/>
    <n v="9"/>
    <s v="mar"/>
  </r>
  <r>
    <x v="123"/>
    <s v="Milwaukee Bucks @ Chicago Bulls"/>
    <s v="Milwaukee Bucks"/>
    <n v="118"/>
    <n v="97"/>
    <n v="0"/>
    <s v="Chicago Bulls"/>
    <n v="116"/>
    <n v="120"/>
    <n v="1"/>
    <n v="234"/>
    <n v="217"/>
    <n v="0"/>
    <n v="-2"/>
    <n v="23"/>
    <n v="0"/>
    <n v="9"/>
    <s v="mar"/>
  </r>
  <r>
    <x v="123"/>
    <s v="Minnesota Timberwolves @ Denver Nuggets"/>
    <s v="Minnesota Timberwolves"/>
    <n v="113"/>
    <n v="117"/>
    <n v="1"/>
    <s v="Denver Nuggets"/>
    <n v="115"/>
    <n v="108"/>
    <n v="0"/>
    <n v="228"/>
    <n v="225"/>
    <n v="0"/>
    <n v="2"/>
    <n v="-9"/>
    <n v="0"/>
    <n v="9"/>
    <s v="mar"/>
  </r>
  <r>
    <x v="123"/>
    <s v="Memphis Grizzlies @ Indiana Pacers"/>
    <s v="Memphis Grizzlies"/>
    <n v="116"/>
    <n v="125"/>
    <n v="1"/>
    <s v="Indiana Pacers"/>
    <n v="117"/>
    <n v="106"/>
    <n v="0"/>
    <n v="233"/>
    <n v="231"/>
    <n v="0"/>
    <n v="1"/>
    <n v="-19"/>
    <n v="0"/>
    <n v="9"/>
    <s v="mar"/>
  </r>
  <r>
    <x v="123"/>
    <s v="Portland Trail Blazers @ Atlanta Hawks"/>
    <s v="Portland Trail Blazers"/>
    <n v="113"/>
    <n v="101"/>
    <n v="0"/>
    <s v="Atlanta Hawks"/>
    <n v="116"/>
    <n v="135"/>
    <n v="1"/>
    <n v="229"/>
    <n v="236"/>
    <n v="1"/>
    <n v="3"/>
    <n v="34"/>
    <n v="1"/>
    <n v="9"/>
    <s v="mar"/>
  </r>
  <r>
    <x v="123"/>
    <s v="Detroit Pistons @ Orlando Magic"/>
    <s v="Detroit Pistons"/>
    <n v="113"/>
    <n v="106"/>
    <n v="0"/>
    <s v="Orlando Magic"/>
    <n v="111"/>
    <n v="92"/>
    <n v="0"/>
    <n v="224"/>
    <n v="198"/>
    <n v="0"/>
    <n v="-2"/>
    <n v="-14"/>
    <n v="1"/>
    <n v="9"/>
    <s v="mar"/>
  </r>
  <r>
    <x v="123"/>
    <s v="Philadelphia 76ers @ Boston Celtics"/>
    <s v="Philadelphia 76ers"/>
    <n v="107"/>
    <n v="98"/>
    <n v="0"/>
    <s v="Boston Celtics"/>
    <n v="114"/>
    <n v="114"/>
    <n v="0"/>
    <n v="221"/>
    <n v="212"/>
    <n v="0"/>
    <n v="7"/>
    <n v="16"/>
    <n v="1"/>
    <n v="9"/>
    <s v="mar"/>
  </r>
  <r>
    <x v="123"/>
    <s v="Oklahoma City Thunder @ Dallas Mavericks"/>
    <s v="Oklahoma City Thunder"/>
    <n v="116"/>
    <n v="100"/>
    <n v="0"/>
    <s v="Dallas Mavericks"/>
    <n v="111"/>
    <n v="87"/>
    <n v="0"/>
    <n v="227"/>
    <n v="187"/>
    <n v="0"/>
    <n v="-5"/>
    <n v="-13"/>
    <n v="1"/>
    <n v="9"/>
    <s v="mar"/>
  </r>
  <r>
    <x v="123"/>
    <s v="New Orleans Pelicans @ LA Clippers"/>
    <s v="New Orleans Pelicans"/>
    <n v="110"/>
    <n v="117"/>
    <n v="1"/>
    <s v="LA Clippers"/>
    <n v="117"/>
    <n v="137"/>
    <n v="1"/>
    <n v="227"/>
    <n v="254"/>
    <n v="1"/>
    <n v="7"/>
    <n v="20"/>
    <n v="1"/>
    <n v="9"/>
    <s v="mar"/>
  </r>
  <r>
    <x v="123"/>
    <s v="Sacramento Kings @ Los Angeles Lakers"/>
    <s v="Sacramento Kings"/>
    <n v="114"/>
    <n v="104"/>
    <n v="0"/>
    <s v="Los Angeles Lakers"/>
    <n v="117"/>
    <n v="128"/>
    <n v="1"/>
    <n v="231"/>
    <n v="232"/>
    <n v="1"/>
    <n v="3"/>
    <n v="24"/>
    <n v="1"/>
    <n v="9"/>
    <s v="mar"/>
  </r>
  <r>
    <x v="124"/>
    <s v="Houston Rockets @ Washington Wizards"/>
    <s v="Houston Rockets"/>
    <n v="118"/>
    <n v="123"/>
    <n v="1"/>
    <s v="Washington Wizards"/>
    <n v="112"/>
    <n v="118"/>
    <n v="1"/>
    <n v="230"/>
    <n v="241"/>
    <n v="1"/>
    <n v="-6"/>
    <n v="-5"/>
    <n v="1"/>
    <n v="10"/>
    <s v="mar"/>
  </r>
  <r>
    <x v="124"/>
    <s v="Boston Celtics @ Milwaukee Bucks"/>
    <s v="Boston Celtics"/>
    <n v="112"/>
    <n v="108"/>
    <n v="0"/>
    <s v="Milwaukee Bucks"/>
    <n v="109"/>
    <n v="81"/>
    <n v="0"/>
    <n v="221"/>
    <n v="189"/>
    <n v="0"/>
    <n v="-3"/>
    <n v="-27"/>
    <n v="1"/>
    <n v="10"/>
    <s v="mar"/>
  </r>
  <r>
    <x v="124"/>
    <s v="Denver Nuggets @ Utah Jazz"/>
    <s v="Denver Nuggets"/>
    <n v="117"/>
    <n v="128"/>
    <n v="1"/>
    <s v="Utah Jazz"/>
    <n v="112"/>
    <n v="125"/>
    <n v="1"/>
    <n v="229"/>
    <n v="253"/>
    <n v="1"/>
    <n v="-5"/>
    <n v="-3"/>
    <n v="1"/>
    <n v="10"/>
    <s v="mar"/>
  </r>
  <r>
    <x v="124"/>
    <s v="LA Clippers @ Golden State Warriors"/>
    <s v="LA Clippers"/>
    <n v="112"/>
    <n v="114"/>
    <n v="1"/>
    <s v="Golden State Warriors"/>
    <n v="115"/>
    <n v="101"/>
    <n v="0"/>
    <n v="227"/>
    <n v="215"/>
    <n v="0"/>
    <n v="3"/>
    <n v="-13"/>
    <n v="0"/>
    <n v="10"/>
    <s v="mar"/>
  </r>
  <r>
    <x v="125"/>
    <s v="Dallas Mavericks @ Charlotte Hornets"/>
    <s v="Dallas Mavericks"/>
    <n v="111"/>
    <n v="90"/>
    <n v="0"/>
    <s v="Charlotte Hornets"/>
    <n v="114"/>
    <n v="117"/>
    <n v="1"/>
    <n v="225"/>
    <n v="207"/>
    <n v="0"/>
    <n v="3"/>
    <n v="27"/>
    <n v="1"/>
    <n v="10"/>
    <s v="mar"/>
  </r>
  <r>
    <x v="125"/>
    <s v="Detroit Pistons @ Cleveland Cavaliers"/>
    <s v="Detroit Pistons"/>
    <n v="115"/>
    <n v="109"/>
    <n v="0"/>
    <s v="Cleveland Cavaliers"/>
    <n v="117"/>
    <n v="113"/>
    <n v="0"/>
    <n v="232"/>
    <n v="222"/>
    <n v="0"/>
    <n v="2"/>
    <n v="4"/>
    <n v="1"/>
    <n v="10"/>
    <s v="mar"/>
  </r>
  <r>
    <x v="125"/>
    <s v="Washington Wizards @ Orlando Magic"/>
    <s v="Washington Wizards"/>
    <n v="110"/>
    <n v="109"/>
    <n v="0"/>
    <s v="Orlando Magic"/>
    <n v="120"/>
    <n v="126"/>
    <n v="1"/>
    <n v="230"/>
    <n v="235"/>
    <n v="1"/>
    <n v="10"/>
    <n v="17"/>
    <n v="1"/>
    <n v="10"/>
    <s v="mar"/>
  </r>
  <r>
    <x v="125"/>
    <s v="Brooklyn Nets @ Miami Heat"/>
    <s v="Brooklyn Nets"/>
    <n v="109"/>
    <n v="98"/>
    <n v="0"/>
    <s v="Miami Heat"/>
    <n v="111"/>
    <n v="124"/>
    <n v="1"/>
    <n v="220"/>
    <n v="222"/>
    <n v="1"/>
    <n v="2"/>
    <n v="26"/>
    <n v="1"/>
    <n v="10"/>
    <s v="mar"/>
  </r>
  <r>
    <x v="125"/>
    <s v="New York Knicks @ Toronto Raptors"/>
    <s v="New York Knicks"/>
    <n v="109"/>
    <n v="111"/>
    <n v="1"/>
    <s v="Toronto Raptors"/>
    <n v="110"/>
    <n v="95"/>
    <n v="0"/>
    <n v="219"/>
    <n v="206"/>
    <n v="0"/>
    <n v="1"/>
    <n v="-16"/>
    <n v="0"/>
    <n v="10"/>
    <s v="mar"/>
  </r>
  <r>
    <x v="125"/>
    <s v="San Antonio Spurs @ Philadelphia 76ers"/>
    <s v="San Antonio Spurs"/>
    <n v="113"/>
    <n v="131"/>
    <n v="1"/>
    <s v="Philadelphia 76ers"/>
    <n v="112"/>
    <n v="91"/>
    <n v="0"/>
    <n v="225"/>
    <n v="222"/>
    <n v="0"/>
    <n v="-1"/>
    <n v="-40"/>
    <n v="1"/>
    <n v="10"/>
    <s v="mar"/>
  </r>
  <r>
    <x v="125"/>
    <s v="Oklahoma City Thunder @ Chicago Bulls"/>
    <s v="Oklahoma City Thunder"/>
    <n v="121"/>
    <n v="116"/>
    <n v="0"/>
    <s v="Chicago Bulls"/>
    <n v="113"/>
    <n v="108"/>
    <n v="0"/>
    <n v="234"/>
    <n v="224"/>
    <n v="0"/>
    <n v="-8"/>
    <n v="-8"/>
    <n v="1"/>
    <n v="10"/>
    <s v="mar"/>
  </r>
  <r>
    <x v="125"/>
    <s v="Memphis Grizzlies @ Minnesota Timberwolves"/>
    <s v="Memphis Grizzlies"/>
    <n v="113"/>
    <n v="110"/>
    <n v="0"/>
    <s v="Minnesota Timberwolves"/>
    <n v="119"/>
    <n v="117"/>
    <n v="0"/>
    <n v="232"/>
    <n v="227"/>
    <n v="0"/>
    <n v="6"/>
    <n v="7"/>
    <n v="1"/>
    <n v="10"/>
    <s v="mar"/>
  </r>
  <r>
    <x v="125"/>
    <s v="New Orleans Pelicans @ Los Angeles Lakers"/>
    <s v="New Orleans Pelicans"/>
    <n v="113"/>
    <n v="101"/>
    <n v="0"/>
    <s v="Los Angeles Lakers"/>
    <n v="122"/>
    <n v="110"/>
    <n v="0"/>
    <n v="235"/>
    <n v="211"/>
    <n v="0"/>
    <n v="9"/>
    <n v="9"/>
    <n v="1"/>
    <n v="10"/>
    <s v="mar"/>
  </r>
  <r>
    <x v="125"/>
    <s v="Phoenix Suns @ Sacramento Kings"/>
    <s v="Phoenix Suns"/>
    <n v="118"/>
    <n v="114"/>
    <n v="0"/>
    <s v="Sacramento Kings"/>
    <n v="111"/>
    <n v="103"/>
    <n v="0"/>
    <n v="229"/>
    <n v="217"/>
    <n v="0"/>
    <n v="-7"/>
    <n v="-11"/>
    <n v="1"/>
    <n v="10"/>
    <s v="mar"/>
  </r>
  <r>
    <x v="126"/>
    <s v="Oklahoma City Thunder @ New York Knicks"/>
    <s v="Oklahoma City Thunder"/>
    <n v="112"/>
    <n v="103"/>
    <n v="0"/>
    <s v="New York Knicks"/>
    <n v="113"/>
    <n v="100"/>
    <n v="0"/>
    <n v="225"/>
    <n v="203"/>
    <n v="0"/>
    <n v="1"/>
    <n v="-3"/>
    <n v="0"/>
    <n v="10"/>
    <s v="mar"/>
  </r>
  <r>
    <x v="126"/>
    <s v="Charlotte Hornets @ Boston Celtics"/>
    <s v="Charlotte Hornets"/>
    <n v="104"/>
    <n v="118"/>
    <n v="1"/>
    <s v="Boston Celtics"/>
    <n v="117"/>
    <n v="89"/>
    <n v="0"/>
    <n v="221"/>
    <n v="207"/>
    <n v="0"/>
    <n v="13"/>
    <n v="-29"/>
    <n v="0"/>
    <n v="10"/>
    <s v="mar"/>
  </r>
  <r>
    <x v="126"/>
    <s v="Utah Jazz @ Philadelphia 76ers"/>
    <s v="Utah Jazz"/>
    <n v="114"/>
    <n v="102"/>
    <n v="0"/>
    <s v="Philadelphia 76ers"/>
    <n v="118"/>
    <n v="106"/>
    <n v="0"/>
    <n v="232"/>
    <n v="208"/>
    <n v="0"/>
    <n v="4"/>
    <n v="4"/>
    <n v="1"/>
    <n v="10"/>
    <s v="mar"/>
  </r>
  <r>
    <x v="126"/>
    <s v="Portland Trail Blazers @ Memphis Grizzlies"/>
    <s v="Portland Trail Blazers"/>
    <n v="112"/>
    <n v="122"/>
    <n v="1"/>
    <s v="Memphis Grizzlies"/>
    <n v="114"/>
    <n v="114"/>
    <n v="0"/>
    <n v="226"/>
    <n v="236"/>
    <n v="1"/>
    <n v="2"/>
    <n v="-8"/>
    <n v="0"/>
    <n v="10"/>
    <s v="mar"/>
  </r>
  <r>
    <x v="126"/>
    <s v="Atlanta Hawks @ Milwaukee Bucks"/>
    <s v="Atlanta Hawks"/>
    <n v="111"/>
    <n v="131"/>
    <n v="1"/>
    <s v="Milwaukee Bucks"/>
    <n v="121"/>
    <n v="113"/>
    <n v="0"/>
    <n v="232"/>
    <n v="244"/>
    <n v="1"/>
    <n v="10"/>
    <n v="-18"/>
    <n v="0"/>
    <n v="10"/>
    <s v="mar"/>
  </r>
  <r>
    <x v="126"/>
    <s v="Indiana Pacers @ LA Clippers"/>
    <s v="Indiana Pacers"/>
    <n v="111"/>
    <n v="107"/>
    <n v="0"/>
    <s v="LA Clippers"/>
    <n v="118"/>
    <n v="130"/>
    <n v="1"/>
    <n v="229"/>
    <n v="237"/>
    <n v="1"/>
    <n v="7"/>
    <n v="23"/>
    <n v="1"/>
    <n v="10"/>
    <s v="mar"/>
  </r>
  <r>
    <x v="127"/>
    <s v="Dallas Mavericks @ Orlando Magic"/>
    <s v="Dallas Mavericks"/>
    <n v="112"/>
    <n v="114"/>
    <n v="1"/>
    <s v="Orlando Magic"/>
    <n v="115"/>
    <n v="115"/>
    <n v="0"/>
    <n v="227"/>
    <n v="229"/>
    <n v="1"/>
    <n v="3"/>
    <n v="1"/>
    <n v="1"/>
    <n v="10"/>
    <s v="mar"/>
  </r>
  <r>
    <x v="127"/>
    <s v="Utah Jazz @ Washington Wizards"/>
    <s v="Utah Jazz"/>
    <n v="120"/>
    <n v="122"/>
    <n v="1"/>
    <s v="Washington Wizards"/>
    <n v="117"/>
    <n v="112"/>
    <n v="0"/>
    <n v="237"/>
    <n v="234"/>
    <n v="0"/>
    <n v="-3"/>
    <n v="-10"/>
    <n v="1"/>
    <n v="10"/>
    <s v="mar"/>
  </r>
  <r>
    <x v="127"/>
    <s v="Brooklyn Nets @ Miami Heat"/>
    <s v="Brooklyn Nets"/>
    <n v="108"/>
    <n v="110"/>
    <n v="1"/>
    <s v="Miami Heat"/>
    <n v="113"/>
    <n v="126"/>
    <n v="1"/>
    <n v="221"/>
    <n v="236"/>
    <n v="1"/>
    <n v="5"/>
    <n v="16"/>
    <n v="1"/>
    <n v="10"/>
    <s v="mar"/>
  </r>
  <r>
    <x v="127"/>
    <s v="Golden State Warriors @ Houston Rockets"/>
    <s v="Golden State Warriors"/>
    <n v="115"/>
    <n v="115"/>
    <n v="0"/>
    <s v="Houston Rockets"/>
    <n v="115"/>
    <n v="113"/>
    <n v="0"/>
    <n v="230"/>
    <n v="228"/>
    <n v="0"/>
    <n v="0"/>
    <n v="-2"/>
    <n v="0"/>
    <n v="10"/>
    <s v="mar"/>
  </r>
  <r>
    <x v="127"/>
    <s v="Toronto Raptors @ Minnesota Timberwolves"/>
    <s v="Toronto Raptors"/>
    <n v="114"/>
    <n v="107"/>
    <n v="0"/>
    <s v="Minnesota Timberwolves"/>
    <n v="118"/>
    <n v="115"/>
    <n v="0"/>
    <n v="232"/>
    <n v="222"/>
    <n v="0"/>
    <n v="4"/>
    <n v="8"/>
    <n v="1"/>
    <n v="10"/>
    <s v="mar"/>
  </r>
  <r>
    <x v="127"/>
    <s v="Detroit Pistons @ San Antonio Spurs"/>
    <s v="Detroit Pistons"/>
    <n v="115"/>
    <n v="106"/>
    <n v="0"/>
    <s v="San Antonio Spurs"/>
    <n v="116"/>
    <n v="121"/>
    <n v="1"/>
    <n v="231"/>
    <n v="227"/>
    <n v="0"/>
    <n v="1"/>
    <n v="15"/>
    <n v="1"/>
    <n v="10"/>
    <s v="mar"/>
  </r>
  <r>
    <x v="127"/>
    <s v="Chicago Bulls @ Phoenix Suns"/>
    <s v="Chicago Bulls"/>
    <n v="110"/>
    <n v="105"/>
    <n v="0"/>
    <s v="Phoenix Suns"/>
    <n v="116"/>
    <n v="103"/>
    <n v="0"/>
    <n v="226"/>
    <n v="208"/>
    <n v="0"/>
    <n v="6"/>
    <n v="-2"/>
    <n v="0"/>
    <n v="10"/>
    <s v="mar"/>
  </r>
  <r>
    <x v="127"/>
    <s v="Los Angeles Lakers @ Denver Nuggets"/>
    <s v="Los Angeles Lakers"/>
    <n v="112"/>
    <n v="113"/>
    <n v="1"/>
    <s v="Denver Nuggets"/>
    <n v="118"/>
    <n v="120"/>
    <n v="1"/>
    <n v="230"/>
    <n v="233"/>
    <n v="1"/>
    <n v="6"/>
    <n v="7"/>
    <n v="1"/>
    <n v="10"/>
    <s v="mar"/>
  </r>
  <r>
    <x v="127"/>
    <s v="New Orleans Pelicans @ Sacramento Kings"/>
    <s v="New Orleans Pelicans"/>
    <n v="117"/>
    <n v="133"/>
    <n v="1"/>
    <s v="Sacramento Kings"/>
    <n v="119"/>
    <n v="123"/>
    <n v="1"/>
    <n v="236"/>
    <n v="256"/>
    <n v="1"/>
    <n v="2"/>
    <n v="-10"/>
    <n v="0"/>
    <n v="10"/>
    <s v="mar"/>
  </r>
  <r>
    <x v="128"/>
    <s v="Dallas Mavericks @ Boston Celtics"/>
    <s v="Dallas Mavericks"/>
    <n v="104"/>
    <n v="100"/>
    <n v="0"/>
    <s v="Boston Celtics"/>
    <n v="115"/>
    <n v="120"/>
    <n v="1"/>
    <n v="219"/>
    <n v="220"/>
    <n v="1"/>
    <n v="11"/>
    <n v="20"/>
    <n v="1"/>
    <n v="10"/>
    <s v="mar"/>
  </r>
  <r>
    <x v="128"/>
    <s v="Miami Heat @ Charlotte Hornets"/>
    <s v="Miami Heat"/>
    <n v="112"/>
    <n v="128"/>
    <n v="1"/>
    <s v="Charlotte Hornets"/>
    <n v="113"/>
    <n v="120"/>
    <n v="1"/>
    <n v="225"/>
    <n v="248"/>
    <n v="1"/>
    <n v="1"/>
    <n v="-8"/>
    <n v="0"/>
    <n v="10"/>
    <s v="mar"/>
  </r>
  <r>
    <x v="128"/>
    <s v="Portland Trail Blazers @ Houston Rockets"/>
    <s v="Portland Trail Blazers"/>
    <n v="109"/>
    <n v="99"/>
    <n v="0"/>
    <s v="Houston Rockets"/>
    <n v="115"/>
    <n v="106"/>
    <n v="0"/>
    <n v="224"/>
    <n v="205"/>
    <n v="0"/>
    <n v="6"/>
    <n v="7"/>
    <n v="1"/>
    <n v="10"/>
    <s v="mar"/>
  </r>
  <r>
    <x v="128"/>
    <s v="New York Knicks @ Denver Nuggets"/>
    <s v="New York Knicks"/>
    <n v="112"/>
    <n v="142"/>
    <n v="1"/>
    <s v="Denver Nuggets"/>
    <n v="111"/>
    <n v="103"/>
    <n v="0"/>
    <n v="223"/>
    <n v="245"/>
    <n v="1"/>
    <n v="-1"/>
    <n v="-39"/>
    <n v="1"/>
    <n v="10"/>
    <s v="mar"/>
  </r>
  <r>
    <x v="128"/>
    <s v="New Orleans Pelicans @ Phoenix Suns"/>
    <s v="New Orleans Pelicans"/>
    <n v="108"/>
    <n v="116"/>
    <n v="1"/>
    <s v="Phoenix Suns"/>
    <n v="114"/>
    <n v="118"/>
    <n v="1"/>
    <n v="222"/>
    <n v="234"/>
    <n v="1"/>
    <n v="6"/>
    <n v="2"/>
    <n v="1"/>
    <n v="10"/>
    <s v="mar"/>
  </r>
  <r>
    <x v="128"/>
    <s v="LA Clippers @ San Antonio Spurs"/>
    <s v="LA Clippers"/>
    <n v="117"/>
    <n v="112"/>
    <n v="0"/>
    <s v="San Antonio Spurs"/>
    <n v="119"/>
    <n v="116"/>
    <n v="0"/>
    <n v="236"/>
    <n v="228"/>
    <n v="0"/>
    <n v="2"/>
    <n v="4"/>
    <n v="1"/>
    <n v="10"/>
    <s v="mar"/>
  </r>
  <r>
    <x v="128"/>
    <s v="Indiana Pacers @ Los Angeles Lakers"/>
    <s v="Indiana Pacers"/>
    <n v="114"/>
    <n v="117"/>
    <n v="1"/>
    <s v="Los Angeles Lakers"/>
    <n v="118"/>
    <n v="128"/>
    <n v="1"/>
    <n v="232"/>
    <n v="245"/>
    <n v="1"/>
    <n v="4"/>
    <n v="11"/>
    <n v="1"/>
    <n v="10"/>
    <s v="mar"/>
  </r>
  <r>
    <x v="129"/>
    <s v="Orlando Magic @ Minnesota Timberwolves"/>
    <s v="Orlando Magic"/>
    <n v="111"/>
    <n v="119"/>
    <n v="1"/>
    <s v="Minnesota Timberwolves"/>
    <n v="119"/>
    <n v="92"/>
    <n v="0"/>
    <n v="230"/>
    <n v="211"/>
    <n v="0"/>
    <n v="8"/>
    <n v="-27"/>
    <n v="0"/>
    <n v="10"/>
    <s v="mar"/>
  </r>
  <r>
    <x v="129"/>
    <s v="Brooklyn Nets @ Detroit Pistons"/>
    <s v="Brooklyn Nets"/>
    <n v="113"/>
    <n v="107"/>
    <n v="0"/>
    <s v="Detroit Pistons"/>
    <n v="112"/>
    <n v="105"/>
    <n v="0"/>
    <n v="225"/>
    <n v="212"/>
    <n v="0"/>
    <n v="-1"/>
    <n v="-2"/>
    <n v="1"/>
    <n v="10"/>
    <s v="mar"/>
  </r>
  <r>
    <x v="129"/>
    <s v="Philadelphia 76ers @ Atlanta Hawks"/>
    <s v="Philadelphia 76ers"/>
    <n v="117"/>
    <n v="116"/>
    <n v="0"/>
    <s v="Atlanta Hawks"/>
    <n v="118"/>
    <n v="125"/>
    <n v="1"/>
    <n v="235"/>
    <n v="241"/>
    <n v="1"/>
    <n v="1"/>
    <n v="9"/>
    <n v="1"/>
    <n v="10"/>
    <s v="mar"/>
  </r>
  <r>
    <x v="129"/>
    <s v="LA Clippers @ Memphis Grizzlies"/>
    <s v="LA Clippers"/>
    <n v="115"/>
    <n v="123"/>
    <n v="1"/>
    <s v="Memphis Grizzlies"/>
    <n v="116"/>
    <n v="120"/>
    <n v="1"/>
    <n v="231"/>
    <n v="243"/>
    <n v="1"/>
    <n v="1"/>
    <n v="-3"/>
    <n v="0"/>
    <n v="10"/>
    <s v="mar"/>
  </r>
  <r>
    <x v="129"/>
    <s v="Utah Jazz @ Milwaukee Bucks"/>
    <s v="Utah Jazz"/>
    <n v="110"/>
    <n v="99"/>
    <n v="0"/>
    <s v="Milwaukee Bucks"/>
    <n v="121"/>
    <n v="113"/>
    <n v="0"/>
    <n v="231"/>
    <n v="212"/>
    <n v="0"/>
    <n v="11"/>
    <n v="14"/>
    <n v="1"/>
    <n v="10"/>
    <s v="mar"/>
  </r>
  <r>
    <x v="129"/>
    <s v="Golden State Warriors @ Oklahoma City Thunder"/>
    <s v="Golden State Warriors"/>
    <n v="110"/>
    <n v="97"/>
    <n v="0"/>
    <s v="Oklahoma City Thunder"/>
    <n v="117"/>
    <n v="104"/>
    <n v="0"/>
    <n v="227"/>
    <n v="201"/>
    <n v="0"/>
    <n v="7"/>
    <n v="7"/>
    <n v="1"/>
    <n v="10"/>
    <s v="mar"/>
  </r>
  <r>
    <x v="130"/>
    <s v="Boston Celtics @ Cleveland Cavaliers"/>
    <s v="Boston Celtics"/>
    <n v="115"/>
    <n v="109"/>
    <n v="0"/>
    <s v="Cleveland Cavaliers"/>
    <n v="111"/>
    <n v="98"/>
    <n v="0"/>
    <n v="226"/>
    <n v="207"/>
    <n v="0"/>
    <n v="-4"/>
    <n v="-11"/>
    <n v="1"/>
    <n v="10"/>
    <s v="mar"/>
  </r>
  <r>
    <x v="130"/>
    <s v="New York Knicks @ Los Angeles Lakers"/>
    <s v="New York Knicks"/>
    <n v="113"/>
    <n v="97"/>
    <n v="0"/>
    <s v="Los Angeles Lakers"/>
    <n v="116"/>
    <n v="110"/>
    <n v="0"/>
    <n v="229"/>
    <n v="207"/>
    <n v="0"/>
    <n v="3"/>
    <n v="13"/>
    <n v="1"/>
    <n v="10"/>
    <s v="mar"/>
  </r>
  <r>
    <x v="130"/>
    <s v="Detroit Pistons @ Miami Heat"/>
    <s v="Detroit Pistons"/>
    <n v="111"/>
    <n v="110"/>
    <n v="0"/>
    <s v="Miami Heat"/>
    <n v="115"/>
    <n v="121"/>
    <n v="1"/>
    <n v="226"/>
    <n v="231"/>
    <n v="1"/>
    <n v="4"/>
    <n v="11"/>
    <n v="1"/>
    <n v="10"/>
    <s v="mar"/>
  </r>
  <r>
    <x v="130"/>
    <s v="Dallas Mavericks @ Toronto Raptors"/>
    <s v="Dallas Mavericks"/>
    <n v="108"/>
    <n v="92"/>
    <n v="0"/>
    <s v="Toronto Raptors"/>
    <n v="114"/>
    <n v="122"/>
    <n v="1"/>
    <n v="222"/>
    <n v="214"/>
    <n v="0"/>
    <n v="6"/>
    <n v="30"/>
    <n v="1"/>
    <n v="10"/>
    <s v="mar"/>
  </r>
  <r>
    <x v="130"/>
    <s v="Washington Wizards @ New Orleans Pelicans"/>
    <s v="Washington Wizards"/>
    <n v="113"/>
    <n v="118"/>
    <n v="1"/>
    <s v="New Orleans Pelicans"/>
    <n v="121"/>
    <n v="138"/>
    <n v="1"/>
    <n v="234"/>
    <n v="256"/>
    <n v="1"/>
    <n v="8"/>
    <n v="20"/>
    <n v="1"/>
    <n v="10"/>
    <s v="mar"/>
  </r>
  <r>
    <x v="130"/>
    <s v="Orlando Magic @ Milwaukee Bucks"/>
    <s v="Orlando Magic"/>
    <n v="109"/>
    <n v="130"/>
    <n v="1"/>
    <s v="Milwaukee Bucks"/>
    <n v="116"/>
    <n v="91"/>
    <n v="0"/>
    <n v="225"/>
    <n v="221"/>
    <n v="0"/>
    <n v="7"/>
    <n v="-39"/>
    <n v="0"/>
    <n v="10"/>
    <s v="mar"/>
  </r>
  <r>
    <x v="130"/>
    <s v="Houston Rockets @ San Antonio Spurs"/>
    <s v="Houston Rockets"/>
    <n v="115"/>
    <n v="120"/>
    <n v="1"/>
    <s v="San Antonio Spurs"/>
    <n v="116"/>
    <n v="145"/>
    <n v="1"/>
    <n v="231"/>
    <n v="265"/>
    <n v="1"/>
    <n v="1"/>
    <n v="25"/>
    <n v="1"/>
    <n v="10"/>
    <s v="mar"/>
  </r>
  <r>
    <x v="130"/>
    <s v="Indiana Pacers @ Portland Trail Blazers"/>
    <s v="Indiana Pacers"/>
    <n v="116"/>
    <n v="111"/>
    <n v="0"/>
    <s v="Portland Trail Blazers"/>
    <n v="118"/>
    <n v="131"/>
    <n v="1"/>
    <n v="234"/>
    <n v="242"/>
    <n v="1"/>
    <n v="2"/>
    <n v="20"/>
    <n v="1"/>
    <n v="10"/>
    <s v="mar"/>
  </r>
  <r>
    <x v="130"/>
    <s v="Chicago Bulls @ Sacramento Kings"/>
    <s v="Chicago Bulls"/>
    <n v="115"/>
    <n v="110"/>
    <n v="0"/>
    <s v="Sacramento Kings"/>
    <n v="118"/>
    <n v="126"/>
    <n v="1"/>
    <n v="233"/>
    <n v="236"/>
    <n v="1"/>
    <n v="3"/>
    <n v="16"/>
    <n v="1"/>
    <n v="10"/>
    <s v="mar"/>
  </r>
  <r>
    <x v="130"/>
    <s v="Charlotte Hornets @ Phoenix Suns"/>
    <s v="Charlotte Hornets"/>
    <n v="107"/>
    <n v="99"/>
    <n v="0"/>
    <s v="Phoenix Suns"/>
    <n v="113"/>
    <n v="111"/>
    <n v="0"/>
    <n v="220"/>
    <n v="210"/>
    <n v="0"/>
    <n v="6"/>
    <n v="12"/>
    <n v="1"/>
    <n v="10"/>
    <s v="mar"/>
  </r>
  <r>
    <x v="131"/>
    <s v="Philadelphia 76ers @ Cleveland Cavaliers"/>
    <s v="Philadelphia 76ers"/>
    <n v="113"/>
    <n v="101"/>
    <n v="0"/>
    <s v="Cleveland Cavaliers"/>
    <n v="117"/>
    <n v="115"/>
    <n v="0"/>
    <n v="230"/>
    <n v="216"/>
    <n v="0"/>
    <n v="4"/>
    <n v="14"/>
    <n v="1"/>
    <n v="11"/>
    <s v="mar"/>
  </r>
  <r>
    <x v="131"/>
    <s v="Memphis Grizzlies @ Brooklyn Nets"/>
    <s v="Memphis Grizzlies"/>
    <n v="115"/>
    <n v="115"/>
    <n v="0"/>
    <s v="Brooklyn Nets"/>
    <n v="116"/>
    <n v="126"/>
    <n v="1"/>
    <n v="231"/>
    <n v="241"/>
    <n v="1"/>
    <n v="1"/>
    <n v="11"/>
    <n v="1"/>
    <n v="11"/>
    <s v="mar"/>
  </r>
  <r>
    <x v="131"/>
    <s v="Denver Nuggets @ Oklahoma City Thunder"/>
    <s v="Denver Nuggets"/>
    <n v="112"/>
    <n v="126"/>
    <n v="1"/>
    <s v="Oklahoma City Thunder"/>
    <n v="118"/>
    <n v="129"/>
    <n v="1"/>
    <n v="230"/>
    <n v="255"/>
    <n v="1"/>
    <n v="6"/>
    <n v="3"/>
    <n v="1"/>
    <n v="11"/>
    <s v="mar"/>
  </r>
  <r>
    <x v="131"/>
    <s v="Golden State Warriors @ Utah Jazz"/>
    <s v="Golden State Warriors"/>
    <n v="117"/>
    <n v="116"/>
    <n v="0"/>
    <s v="Utah Jazz"/>
    <n v="116"/>
    <n v="119"/>
    <n v="1"/>
    <n v="233"/>
    <n v="235"/>
    <n v="1"/>
    <n v="-1"/>
    <n v="3"/>
    <n v="0"/>
    <n v="11"/>
    <s v="mar"/>
  </r>
  <r>
    <x v="131"/>
    <s v="New York Knicks @ LA Clippers"/>
    <s v="New York Knicks"/>
    <n v="110"/>
    <n v="118"/>
    <n v="1"/>
    <s v="LA Clippers"/>
    <n v="112"/>
    <n v="126"/>
    <n v="1"/>
    <n v="222"/>
    <n v="244"/>
    <n v="1"/>
    <n v="2"/>
    <n v="8"/>
    <n v="1"/>
    <n v="11"/>
    <s v="mar"/>
  </r>
  <r>
    <x v="132"/>
    <s v="Memphis Grizzlies @ Philadelphia 76ers"/>
    <s v="Memphis Grizzlies"/>
    <n v="114"/>
    <n v="129"/>
    <n v="1"/>
    <s v="Philadelphia 76ers"/>
    <n v="116"/>
    <n v="139"/>
    <n v="1"/>
    <n v="230"/>
    <n v="268"/>
    <n v="1"/>
    <n v="2"/>
    <n v="10"/>
    <n v="1"/>
    <n v="11"/>
    <s v="mar"/>
  </r>
  <r>
    <x v="132"/>
    <s v="Detroit Pistons @ Brooklyn Nets"/>
    <s v="Detroit Pistons"/>
    <n v="113"/>
    <n v="138"/>
    <n v="1"/>
    <s v="Brooklyn Nets"/>
    <n v="112"/>
    <n v="100"/>
    <n v="0"/>
    <n v="225"/>
    <n v="238"/>
    <n v="1"/>
    <n v="-1"/>
    <n v="-38"/>
    <n v="1"/>
    <n v="11"/>
    <s v="mar"/>
  </r>
  <r>
    <x v="132"/>
    <s v="Washington Wizards @ Miami Heat"/>
    <s v="Washington Wizards"/>
    <n v="110"/>
    <n v="129"/>
    <n v="1"/>
    <s v="Miami Heat"/>
    <n v="120"/>
    <n v="150"/>
    <n v="1"/>
    <n v="230"/>
    <n v="279"/>
    <n v="1"/>
    <n v="10"/>
    <n v="21"/>
    <n v="1"/>
    <n v="11"/>
    <s v="mar"/>
  </r>
  <r>
    <x v="132"/>
    <s v="Dallas Mavericks @ Atlanta Hawks"/>
    <s v="Dallas Mavericks"/>
    <n v="116"/>
    <n v="112"/>
    <n v="0"/>
    <s v="Atlanta Hawks"/>
    <n v="120"/>
    <n v="124"/>
    <n v="1"/>
    <n v="236"/>
    <n v="236"/>
    <n v="0"/>
    <n v="4"/>
    <n v="12"/>
    <n v="1"/>
    <n v="11"/>
    <s v="mar"/>
  </r>
  <r>
    <x v="132"/>
    <s v="Toronto Raptors @ Houston Rockets"/>
    <s v="Toronto Raptors"/>
    <n v="112"/>
    <n v="99"/>
    <n v="0"/>
    <s v="Houston Rockets"/>
    <n v="114"/>
    <n v="113"/>
    <n v="0"/>
    <n v="226"/>
    <n v="212"/>
    <n v="0"/>
    <n v="2"/>
    <n v="14"/>
    <n v="1"/>
    <n v="11"/>
    <s v="mar"/>
  </r>
  <r>
    <x v="132"/>
    <s v="Phoenix Suns @ Milwaukee Bucks"/>
    <s v="Phoenix Suns"/>
    <n v="111"/>
    <n v="129"/>
    <n v="1"/>
    <s v="Milwaukee Bucks"/>
    <n v="115"/>
    <n v="114"/>
    <n v="0"/>
    <n v="226"/>
    <n v="243"/>
    <n v="1"/>
    <n v="4"/>
    <n v="-15"/>
    <n v="0"/>
    <n v="11"/>
    <s v="mar"/>
  </r>
  <r>
    <x v="132"/>
    <s v="Boston Celtics @ San Antonio Spurs"/>
    <s v="Boston Celtics"/>
    <n v="115"/>
    <n v="116"/>
    <n v="1"/>
    <s v="San Antonio Spurs"/>
    <n v="116"/>
    <n v="125"/>
    <n v="1"/>
    <n v="231"/>
    <n v="241"/>
    <n v="1"/>
    <n v="1"/>
    <n v="9"/>
    <n v="1"/>
    <n v="11"/>
    <s v="mar"/>
  </r>
  <r>
    <x v="132"/>
    <s v="Chicago Bulls @ Golden State Warriors"/>
    <s v="Chicago Bulls"/>
    <n v="110"/>
    <n v="130"/>
    <n v="1"/>
    <s v="Golden State Warriors"/>
    <n v="121"/>
    <n v="124"/>
    <n v="1"/>
    <n v="231"/>
    <n v="254"/>
    <n v="1"/>
    <n v="11"/>
    <n v="-6"/>
    <n v="0"/>
    <n v="11"/>
    <s v="mar"/>
  </r>
  <r>
    <x v="132"/>
    <s v="Charlotte Hornets @ Portland Trail Blazers"/>
    <s v="Charlotte Hornets"/>
    <n v="119"/>
    <n v="103"/>
    <n v="0"/>
    <s v="Portland Trail Blazers"/>
    <n v="118"/>
    <n v="101"/>
    <n v="0"/>
    <n v="237"/>
    <n v="204"/>
    <n v="0"/>
    <n v="-1"/>
    <n v="-2"/>
    <n v="1"/>
    <n v="11"/>
    <s v="mar"/>
  </r>
  <r>
    <x v="132"/>
    <s v="Indiana Pacers @ Sacramento Kings"/>
    <s v="Indiana Pacers"/>
    <n v="117"/>
    <n v="109"/>
    <n v="0"/>
    <s v="Sacramento Kings"/>
    <n v="119"/>
    <n v="114"/>
    <n v="0"/>
    <n v="236"/>
    <n v="223"/>
    <n v="0"/>
    <n v="2"/>
    <n v="5"/>
    <n v="1"/>
    <n v="11"/>
    <s v="mar"/>
  </r>
  <r>
    <x v="132"/>
    <s v="Minnesota Timberwolves @ Los Angeles Lakers"/>
    <s v="Minnesota Timberwolves"/>
    <n v="117"/>
    <n v="106"/>
    <n v="0"/>
    <s v="Los Angeles Lakers"/>
    <n v="118"/>
    <n v="120"/>
    <n v="1"/>
    <n v="235"/>
    <n v="226"/>
    <n v="0"/>
    <n v="1"/>
    <n v="14"/>
    <n v="1"/>
    <n v="11"/>
    <s v="mar"/>
  </r>
  <r>
    <x v="133"/>
    <s v="Cleveland Cavaliers @ Orlando Magic"/>
    <s v="Cleveland Cavaliers"/>
    <n v="113"/>
    <n v="122"/>
    <n v="1"/>
    <s v="Orlando Magic"/>
    <n v="112"/>
    <n v="128"/>
    <n v="1"/>
    <n v="225"/>
    <n v="250"/>
    <n v="1"/>
    <n v="-1"/>
    <n v="6"/>
    <n v="0"/>
    <n v="11"/>
    <s v="mar"/>
  </r>
  <r>
    <x v="133"/>
    <s v="Toronto Raptors @ New Orleans Pelicans"/>
    <s v="Toronto Raptors"/>
    <n v="113"/>
    <n v="111"/>
    <n v="0"/>
    <s v="New Orleans Pelicans"/>
    <n v="116"/>
    <n v="122"/>
    <n v="1"/>
    <n v="229"/>
    <n v="233"/>
    <n v="1"/>
    <n v="3"/>
    <n v="11"/>
    <n v="1"/>
    <n v="11"/>
    <s v="mar"/>
  </r>
  <r>
    <x v="133"/>
    <s v="New York Knicks @ Utah Jazz"/>
    <s v="New York Knicks"/>
    <n v="115"/>
    <n v="134"/>
    <n v="1"/>
    <s v="Utah Jazz"/>
    <n v="113"/>
    <n v="117"/>
    <n v="1"/>
    <n v="228"/>
    <n v="251"/>
    <n v="1"/>
    <n v="-2"/>
    <n v="-17"/>
    <n v="1"/>
    <n v="11"/>
    <s v="mar"/>
  </r>
  <r>
    <x v="133"/>
    <s v="Houston Rockets @ Denver Nuggets"/>
    <s v="Houston Rockets"/>
    <n v="111"/>
    <n v="93"/>
    <n v="0"/>
    <s v="Denver Nuggets"/>
    <n v="115"/>
    <n v="129"/>
    <n v="1"/>
    <n v="226"/>
    <n v="222"/>
    <n v="0"/>
    <n v="4"/>
    <n v="36"/>
    <n v="1"/>
    <n v="11"/>
    <s v="mar"/>
  </r>
  <r>
    <x v="133"/>
    <s v="Charlotte Hornets @ Sacramento Kings"/>
    <s v="Charlotte Hornets"/>
    <n v="118"/>
    <n v="117"/>
    <n v="0"/>
    <s v="Sacramento Kings"/>
    <n v="116"/>
    <n v="109"/>
    <n v="0"/>
    <n v="234"/>
    <n v="226"/>
    <n v="0"/>
    <n v="-2"/>
    <n v="-8"/>
    <n v="1"/>
    <n v="11"/>
    <s v="mar"/>
  </r>
  <r>
    <x v="133"/>
    <s v="Minnesota Timberwolves @ LA Clippers"/>
    <s v="Minnesota Timberwolves"/>
    <n v="113"/>
    <n v="128"/>
    <n v="1"/>
    <s v="LA Clippers"/>
    <n v="114"/>
    <n v="153"/>
    <n v="1"/>
    <n v="227"/>
    <n v="281"/>
    <n v="1"/>
    <n v="1"/>
    <n v="25"/>
    <n v="1"/>
    <n v="11"/>
    <s v="mar"/>
  </r>
  <r>
    <x v="134"/>
    <s v="Philadelphia 76ers @ Detroit Pistons"/>
    <s v="Philadelphia 76ers"/>
    <n v="113"/>
    <n v="109"/>
    <n v="0"/>
    <s v="Detroit Pistons"/>
    <n v="115"/>
    <n v="131"/>
    <n v="1"/>
    <n v="228"/>
    <n v="240"/>
    <n v="1"/>
    <n v="2"/>
    <n v="22"/>
    <n v="1"/>
    <n v="11"/>
    <s v="mar"/>
  </r>
  <r>
    <x v="134"/>
    <s v="Phoenix Suns @ Indiana Pacers"/>
    <s v="Phoenix Suns"/>
    <n v="115"/>
    <n v="123"/>
    <n v="1"/>
    <s v="Indiana Pacers"/>
    <n v="112"/>
    <n v="108"/>
    <n v="0"/>
    <n v="227"/>
    <n v="231"/>
    <n v="1"/>
    <n v="-3"/>
    <n v="-15"/>
    <n v="1"/>
    <n v="11"/>
    <s v="mar"/>
  </r>
  <r>
    <x v="134"/>
    <s v="Washington Wizards @ Orlando Magic"/>
    <s v="Washington Wizards"/>
    <n v="110"/>
    <n v="131"/>
    <n v="1"/>
    <s v="Orlando Magic"/>
    <n v="118"/>
    <n v="136"/>
    <n v="1"/>
    <n v="228"/>
    <n v="267"/>
    <n v="1"/>
    <n v="8"/>
    <n v="5"/>
    <n v="1"/>
    <n v="11"/>
    <s v="mar"/>
  </r>
  <r>
    <x v="134"/>
    <s v="Brooklyn Nets @ Atlanta Hawks"/>
    <s v="Brooklyn Nets"/>
    <n v="109"/>
    <n v="97"/>
    <n v="0"/>
    <s v="Atlanta Hawks"/>
    <n v="114"/>
    <n v="108"/>
    <n v="0"/>
    <n v="223"/>
    <n v="205"/>
    <n v="0"/>
    <n v="5"/>
    <n v="11"/>
    <n v="1"/>
    <n v="11"/>
    <s v="mar"/>
  </r>
  <r>
    <x v="134"/>
    <s v="Milwaukee Bucks @ Miami Heat"/>
    <s v="Milwaukee Bucks"/>
    <n v="112"/>
    <n v="105"/>
    <n v="0"/>
    <s v="Miami Heat"/>
    <n v="115"/>
    <n v="112"/>
    <n v="0"/>
    <n v="227"/>
    <n v="217"/>
    <n v="0"/>
    <n v="3"/>
    <n v="7"/>
    <n v="1"/>
    <n v="11"/>
    <s v="mar"/>
  </r>
  <r>
    <x v="134"/>
    <s v="Dallas Mavericks @ Memphis Grizzlies"/>
    <s v="Dallas Mavericks"/>
    <n v="113"/>
    <n v="120"/>
    <n v="1"/>
    <s v="Memphis Grizzlies"/>
    <n v="114"/>
    <n v="112"/>
    <n v="0"/>
    <n v="227"/>
    <n v="232"/>
    <n v="1"/>
    <n v="1"/>
    <n v="-8"/>
    <n v="0"/>
    <n v="11"/>
    <s v="mar"/>
  </r>
  <r>
    <x v="134"/>
    <s v="Denver Nuggets @ San Antonio Spurs"/>
    <s v="Denver Nuggets"/>
    <n v="119"/>
    <n v="136"/>
    <n v="1"/>
    <s v="San Antonio Spurs"/>
    <n v="120"/>
    <n v="131"/>
    <n v="1"/>
    <n v="239"/>
    <n v="267"/>
    <n v="1"/>
    <n v="1"/>
    <n v="-5"/>
    <n v="0"/>
    <n v="11"/>
    <s v="mar"/>
  </r>
  <r>
    <x v="134"/>
    <s v="Boston Celtics @ Oklahoma City Thunder"/>
    <s v="Boston Celtics"/>
    <n v="108"/>
    <n v="102"/>
    <n v="0"/>
    <s v="Oklahoma City Thunder"/>
    <n v="112"/>
    <n v="104"/>
    <n v="0"/>
    <n v="220"/>
    <n v="206"/>
    <n v="0"/>
    <n v="4"/>
    <n v="2"/>
    <n v="1"/>
    <n v="11"/>
    <s v="mar"/>
  </r>
  <r>
    <x v="134"/>
    <s v="Chicago Bulls @ Los Angeles Lakers"/>
    <s v="Chicago Bulls"/>
    <n v="110"/>
    <n v="130"/>
    <n v="1"/>
    <s v="Los Angeles Lakers"/>
    <n v="121"/>
    <n v="142"/>
    <n v="1"/>
    <n v="231"/>
    <n v="272"/>
    <n v="1"/>
    <n v="11"/>
    <n v="12"/>
    <n v="1"/>
    <n v="11"/>
    <s v="mar"/>
  </r>
  <r>
    <x v="135"/>
    <s v="Memphis Grizzlies @ Detroit Pistons"/>
    <s v="Memphis Grizzlies"/>
    <n v="117"/>
    <n v="110"/>
    <n v="0"/>
    <s v="Detroit Pistons"/>
    <n v="116"/>
    <n v="126"/>
    <n v="1"/>
    <n v="233"/>
    <n v="236"/>
    <n v="1"/>
    <n v="-1"/>
    <n v="16"/>
    <n v="0"/>
    <n v="11"/>
    <s v="mar"/>
  </r>
  <r>
    <x v="135"/>
    <s v="New York Knicks @ Indiana Pacers"/>
    <s v="New York Knicks"/>
    <n v="115"/>
    <n v="101"/>
    <n v="0"/>
    <s v="Indiana Pacers"/>
    <n v="113"/>
    <n v="92"/>
    <n v="0"/>
    <n v="228"/>
    <n v="193"/>
    <n v="0"/>
    <n v="-2"/>
    <n v="-9"/>
    <n v="1"/>
    <n v="11"/>
    <s v="mar"/>
  </r>
  <r>
    <x v="135"/>
    <s v="Phoenix Suns @ Toronto Raptors"/>
    <s v="Phoenix Suns"/>
    <n v="112"/>
    <n v="115"/>
    <n v="1"/>
    <s v="Toronto Raptors"/>
    <n v="111"/>
    <n v="122"/>
    <n v="1"/>
    <n v="223"/>
    <n v="237"/>
    <n v="1"/>
    <n v="-1"/>
    <n v="7"/>
    <n v="0"/>
    <n v="11"/>
    <s v="mar"/>
  </r>
  <r>
    <x v="135"/>
    <s v="Cleveland Cavaliers @ Dallas Mavericks"/>
    <s v="Cleveland Cavaliers"/>
    <n v="113"/>
    <n v="138"/>
    <n v="1"/>
    <s v="Dallas Mavericks"/>
    <n v="112"/>
    <n v="105"/>
    <n v="0"/>
    <n v="225"/>
    <n v="243"/>
    <n v="1"/>
    <n v="-1"/>
    <n v="-33"/>
    <n v="1"/>
    <n v="11"/>
    <s v="mar"/>
  </r>
  <r>
    <x v="135"/>
    <s v="New Orleans Pelicans @ Houston Rockets"/>
    <s v="New Orleans Pelicans"/>
    <n v="114"/>
    <n v="105"/>
    <n v="0"/>
    <s v="Houston Rockets"/>
    <n v="115"/>
    <n v="107"/>
    <n v="0"/>
    <n v="229"/>
    <n v="212"/>
    <n v="0"/>
    <n v="1"/>
    <n v="2"/>
    <n v="1"/>
    <n v="11"/>
    <s v="mar"/>
  </r>
  <r>
    <x v="135"/>
    <s v="Minnesota Timberwolves @ Golden State Warriors"/>
    <s v="Minnesota Timberwolves"/>
    <n v="115"/>
    <n v="127"/>
    <n v="1"/>
    <s v="Golden State Warriors"/>
    <n v="115"/>
    <n v="117"/>
    <n v="1"/>
    <n v="230"/>
    <n v="244"/>
    <n v="1"/>
    <n v="0"/>
    <n v="-10"/>
    <n v="0"/>
    <n v="11"/>
    <s v="mar"/>
  </r>
  <r>
    <x v="135"/>
    <s v="Utah Jazz @ Portland Trail Blazers"/>
    <s v="Utah Jazz"/>
    <n v="117"/>
    <n v="114"/>
    <n v="0"/>
    <s v="Portland Trail Blazers"/>
    <n v="120"/>
    <n v="124"/>
    <n v="1"/>
    <n v="237"/>
    <n v="238"/>
    <n v="1"/>
    <n v="3"/>
    <n v="10"/>
    <n v="1"/>
    <n v="11"/>
    <s v="mar"/>
  </r>
  <r>
    <x v="135"/>
    <s v="Chicago Bulls @ LA Clippers"/>
    <s v="Chicago Bulls"/>
    <n v="108"/>
    <n v="108"/>
    <n v="0"/>
    <s v="LA Clippers"/>
    <n v="119"/>
    <n v="119"/>
    <n v="0"/>
    <n v="227"/>
    <n v="227"/>
    <n v="0"/>
    <n v="11"/>
    <n v="11"/>
    <n v="1"/>
    <n v="11"/>
    <s v="mar"/>
  </r>
  <r>
    <x v="136"/>
    <s v="Brooklyn Nets @ Philadelphia 76ers"/>
    <s v="Brooklyn Nets"/>
    <n v="106"/>
    <n v="97"/>
    <n v="0"/>
    <s v="Philadelphia 76ers"/>
    <n v="110"/>
    <n v="104"/>
    <n v="0"/>
    <n v="216"/>
    <n v="201"/>
    <n v="0"/>
    <n v="4"/>
    <n v="7"/>
    <n v="1"/>
    <n v="11"/>
    <s v="mar"/>
  </r>
  <r>
    <x v="136"/>
    <s v="Milwaukee Bucks @ Atlanta Hawks"/>
    <s v="Milwaukee Bucks"/>
    <n v="116"/>
    <n v="99"/>
    <n v="0"/>
    <s v="Atlanta Hawks"/>
    <n v="117"/>
    <n v="122"/>
    <n v="1"/>
    <n v="233"/>
    <n v="221"/>
    <n v="0"/>
    <n v="1"/>
    <n v="23"/>
    <n v="1"/>
    <n v="11"/>
    <s v="mar"/>
  </r>
  <r>
    <x v="136"/>
    <s v="Charlotte Hornets @ San Antonio Spurs"/>
    <s v="Charlotte Hornets"/>
    <n v="115"/>
    <n v="102"/>
    <n v="0"/>
    <s v="San Antonio Spurs"/>
    <n v="120"/>
    <n v="115"/>
    <n v="0"/>
    <n v="235"/>
    <n v="217"/>
    <n v="0"/>
    <n v="5"/>
    <n v="13"/>
    <n v="1"/>
    <n v="11"/>
    <s v="mar"/>
  </r>
  <r>
    <x v="136"/>
    <s v="Washington Wizards @ Boston Celtics"/>
    <s v="Washington Wizards"/>
    <n v="106"/>
    <n v="100"/>
    <n v="0"/>
    <s v="Boston Celtics"/>
    <n v="120"/>
    <n v="111"/>
    <n v="0"/>
    <n v="226"/>
    <n v="211"/>
    <n v="0"/>
    <n v="14"/>
    <n v="11"/>
    <n v="1"/>
    <n v="11"/>
    <s v="mar"/>
  </r>
  <r>
    <x v="136"/>
    <s v="Orlando Magic @ Miami Heat"/>
    <s v="Orlando Magic"/>
    <n v="109"/>
    <n v="120"/>
    <n v="1"/>
    <s v="Miami Heat"/>
    <n v="114"/>
    <n v="117"/>
    <n v="1"/>
    <n v="223"/>
    <n v="237"/>
    <n v="1"/>
    <n v="5"/>
    <n v="-3"/>
    <n v="0"/>
    <n v="11"/>
    <s v="mar"/>
  </r>
  <r>
    <x v="136"/>
    <s v="Denver Nuggets @ Los Angeles Lakers"/>
    <s v="Denver Nuggets"/>
    <n v="118"/>
    <n v="125"/>
    <n v="1"/>
    <s v="Los Angeles Lakers"/>
    <n v="117"/>
    <n v="127"/>
    <n v="1"/>
    <n v="235"/>
    <n v="252"/>
    <n v="1"/>
    <n v="-1"/>
    <n v="2"/>
    <n v="0"/>
    <n v="11"/>
    <s v="mar"/>
  </r>
  <r>
    <x v="136"/>
    <s v="Sacramento Kings @ LA Clippers"/>
    <s v="Sacramento Kings"/>
    <n v="112"/>
    <n v="118"/>
    <n v="1"/>
    <s v="LA Clippers"/>
    <n v="117"/>
    <n v="109"/>
    <n v="0"/>
    <n v="229"/>
    <n v="227"/>
    <n v="0"/>
    <n v="5"/>
    <n v="-9"/>
    <n v="0"/>
    <n v="11"/>
    <s v="mar"/>
  </r>
  <r>
    <x v="137"/>
    <s v="Minnesota Timberwolves @ Oklahoma City"/>
    <s v="Minnesota Timberwolves"/>
    <n v="114"/>
    <n v="103"/>
    <n v="0"/>
    <s v="Oklahoma City"/>
    <n v="118"/>
    <n v="116"/>
    <n v="0"/>
    <n v="232"/>
    <n v="219"/>
    <n v="0"/>
    <n v="4"/>
    <n v="13"/>
    <n v="1"/>
    <n v="11"/>
    <s v="mar"/>
  </r>
  <r>
    <x v="137"/>
    <s v="Dallas Mavericks @ Cleveland Cavaliers"/>
    <s v="Dallas Mavericks"/>
    <n v="112"/>
    <n v="130"/>
    <n v="1"/>
    <s v="Cleveland Cavaliers"/>
    <n v="118"/>
    <n v="120"/>
    <n v="1"/>
    <n v="230"/>
    <n v="250"/>
    <n v="1"/>
    <n v="6"/>
    <n v="-10"/>
    <n v="0"/>
    <n v="11"/>
    <s v="mar"/>
  </r>
  <r>
    <x v="137"/>
    <s v="Detroit Pistons @ Toronto Raptors"/>
    <s v="Detroit Pistons"/>
    <n v="111"/>
    <n v="108"/>
    <n v="0"/>
    <s v="Toronto Raptors"/>
    <n v="113"/>
    <n v="119"/>
    <n v="1"/>
    <n v="224"/>
    <n v="227"/>
    <n v="1"/>
    <n v="2"/>
    <n v="11"/>
    <n v="1"/>
    <n v="11"/>
    <s v="mar"/>
  </r>
  <r>
    <x v="137"/>
    <s v="Indiana Pacers @ Milwaukee Bucks"/>
    <s v="Indiana Pacers"/>
    <n v="108"/>
    <n v="123"/>
    <n v="1"/>
    <s v="Milwaukee Bucks"/>
    <n v="114"/>
    <n v="134"/>
    <n v="1"/>
    <n v="222"/>
    <n v="257"/>
    <n v="1"/>
    <n v="6"/>
    <n v="11"/>
    <n v="1"/>
    <n v="11"/>
    <s v="mar"/>
  </r>
  <r>
    <x v="137"/>
    <s v="Portland Trail Blazers @ Philadelphia 76ers"/>
    <s v="Portland Trail Blazers"/>
    <n v="112"/>
    <n v="103"/>
    <n v="0"/>
    <s v="Philadelphia 76ers"/>
    <n v="115"/>
    <n v="109"/>
    <n v="0"/>
    <n v="227"/>
    <n v="212"/>
    <n v="0"/>
    <n v="3"/>
    <n v="6"/>
    <n v="1"/>
    <n v="11"/>
    <s v="mar"/>
  </r>
  <r>
    <x v="137"/>
    <s v="Golden State Warriors @ New York Knicks"/>
    <s v="Golden State Warriors"/>
    <n v="118"/>
    <n v="107"/>
    <n v="0"/>
    <s v="New York Knicks"/>
    <n v="112"/>
    <n v="110"/>
    <n v="0"/>
    <n v="230"/>
    <n v="217"/>
    <n v="0"/>
    <n v="-6"/>
    <n v="3"/>
    <n v="0"/>
    <n v="11"/>
    <s v="mar"/>
  </r>
  <r>
    <x v="137"/>
    <s v="Utah Jazz @ Sacramento Kings"/>
    <s v="Utah Jazz"/>
    <n v="118"/>
    <n v="111"/>
    <n v="0"/>
    <s v="Sacramento Kings"/>
    <n v="117"/>
    <n v="116"/>
    <n v="0"/>
    <n v="235"/>
    <n v="227"/>
    <n v="0"/>
    <n v="-1"/>
    <n v="5"/>
    <n v="0"/>
    <n v="11"/>
    <s v="mar"/>
  </r>
  <r>
    <x v="138"/>
    <s v="Orlando Magic @ Atlanta Hawks"/>
    <s v="Orlando Magic"/>
    <n v="117"/>
    <n v="112"/>
    <n v="0"/>
    <s v="Atlanta Hawks"/>
    <n v="119"/>
    <n v="124"/>
    <n v="1"/>
    <n v="236"/>
    <n v="236"/>
    <n v="0"/>
    <n v="2"/>
    <n v="12"/>
    <n v="1"/>
    <n v="12"/>
    <s v="mar"/>
  </r>
  <r>
    <x v="138"/>
    <s v="Golden State Warriors @ Washington Wizards"/>
    <s v="Golden State Warriors"/>
    <n v="122"/>
    <n v="125"/>
    <n v="1"/>
    <s v="Washington Wizards"/>
    <n v="115"/>
    <n v="117"/>
    <n v="1"/>
    <n v="237"/>
    <n v="242"/>
    <n v="1"/>
    <n v="-7"/>
    <n v="-8"/>
    <n v="1"/>
    <n v="12"/>
    <s v="mar"/>
  </r>
  <r>
    <x v="138"/>
    <s v="Portland Trail Blazers @ Brooklyn Nets"/>
    <s v="Portland Trail Blazers"/>
    <n v="111"/>
    <n v="114"/>
    <n v="1"/>
    <s v="Brooklyn Nets"/>
    <n v="112"/>
    <n v="95"/>
    <n v="0"/>
    <n v="223"/>
    <n v="209"/>
    <n v="0"/>
    <n v="1"/>
    <n v="-19"/>
    <n v="0"/>
    <n v="12"/>
    <s v="mar"/>
  </r>
  <r>
    <x v="138"/>
    <s v="Phoenix Suns @ Boston Celtics"/>
    <s v="Phoenix Suns"/>
    <n v="108"/>
    <n v="112"/>
    <n v="1"/>
    <s v="Boston Celtics"/>
    <n v="116"/>
    <n v="120"/>
    <n v="1"/>
    <n v="224"/>
    <n v="232"/>
    <n v="1"/>
    <n v="8"/>
    <n v="8"/>
    <n v="1"/>
    <n v="12"/>
    <s v="mar"/>
  </r>
  <r>
    <x v="138"/>
    <s v="Memphis Grizzlies @ Chicago Bulls"/>
    <s v="Memphis Grizzlies"/>
    <n v="119"/>
    <n v="107"/>
    <n v="0"/>
    <s v="Chicago Bulls"/>
    <n v="120"/>
    <n v="132"/>
    <n v="1"/>
    <n v="239"/>
    <n v="239"/>
    <n v="0"/>
    <n v="1"/>
    <n v="25"/>
    <n v="1"/>
    <n v="12"/>
    <s v="mar"/>
  </r>
  <r>
    <x v="138"/>
    <s v="Dallas Mavericks @ New Orleans Pelicans"/>
    <s v="Dallas Mavericks"/>
    <n v="116"/>
    <n v="111"/>
    <n v="0"/>
    <s v="New Orleans Pelicans"/>
    <n v="119"/>
    <n v="129"/>
    <n v="1"/>
    <n v="235"/>
    <n v="240"/>
    <n v="1"/>
    <n v="3"/>
    <n v="18"/>
    <n v="1"/>
    <n v="12"/>
    <s v="mar"/>
  </r>
  <r>
    <x v="138"/>
    <s v="Los Angeles Lakers @ Houston Rockets"/>
    <s v="Los Angeles Lakers"/>
    <n v="114"/>
    <n v="100"/>
    <n v="0"/>
    <s v="Houston Rockets"/>
    <n v="122"/>
    <n v="92"/>
    <n v="0"/>
    <n v="236"/>
    <n v="192"/>
    <n v="0"/>
    <n v="8"/>
    <n v="-8"/>
    <n v="0"/>
    <n v="12"/>
    <s v="mar"/>
  </r>
  <r>
    <x v="138"/>
    <s v="San Antonio Spurs @ LA Clippers"/>
    <s v="San Antonio Spurs"/>
    <n v="115"/>
    <n v="119"/>
    <n v="1"/>
    <s v="LA Clippers"/>
    <n v="115"/>
    <n v="115"/>
    <n v="0"/>
    <n v="230"/>
    <n v="234"/>
    <n v="1"/>
    <n v="0"/>
    <n v="-4"/>
    <n v="0"/>
    <n v="12"/>
    <s v="mar"/>
  </r>
  <r>
    <x v="139"/>
    <s v="Miami Heat @ Charlotte Hornets"/>
    <s v="Miami Heat"/>
    <n v="114"/>
    <n v="106"/>
    <n v="0"/>
    <s v="Charlotte Hornets"/>
    <n v="112"/>
    <n v="136"/>
    <n v="1"/>
    <n v="226"/>
    <n v="242"/>
    <n v="1"/>
    <n v="-2"/>
    <n v="30"/>
    <n v="0"/>
    <n v="12"/>
    <s v="mar"/>
  </r>
  <r>
    <x v="139"/>
    <s v="Oklahoma City Thunder @ Orlando Magic"/>
    <s v="Oklahoma City Thunder"/>
    <n v="118"/>
    <n v="113"/>
    <n v="0"/>
    <s v="Orlando Magic"/>
    <n v="107"/>
    <n v="108"/>
    <n v="1"/>
    <n v="225"/>
    <n v="221"/>
    <n v="0"/>
    <n v="-11"/>
    <n v="-5"/>
    <n v="1"/>
    <n v="12"/>
    <s v="mar"/>
  </r>
  <r>
    <x v="139"/>
    <s v="Detroit Pistons @ Washington Wizards"/>
    <s v="Detroit Pistons"/>
    <n v="120"/>
    <n v="130"/>
    <n v="1"/>
    <s v="Washington Wizards"/>
    <n v="114"/>
    <n v="117"/>
    <n v="1"/>
    <n v="234"/>
    <n v="247"/>
    <n v="1"/>
    <n v="-6"/>
    <n v="-13"/>
    <n v="1"/>
    <n v="12"/>
    <s v="mar"/>
  </r>
  <r>
    <x v="139"/>
    <s v="Indiana Pacers @ New York Knicks"/>
    <s v="Indiana Pacers"/>
    <n v="113"/>
    <n v="110"/>
    <n v="0"/>
    <s v="New York Knicks"/>
    <n v="120"/>
    <n v="136"/>
    <n v="1"/>
    <n v="233"/>
    <n v="246"/>
    <n v="1"/>
    <n v="7"/>
    <n v="26"/>
    <n v="1"/>
    <n v="12"/>
    <s v="mar"/>
  </r>
  <r>
    <x v="139"/>
    <s v="Cleveland Cavaliers @ Milwaukee Bucks"/>
    <s v="Cleveland Cavaliers"/>
    <n v="110"/>
    <n v="123"/>
    <n v="1"/>
    <s v="Milwaukee Bucks"/>
    <n v="113"/>
    <n v="116"/>
    <n v="1"/>
    <n v="223"/>
    <n v="239"/>
    <n v="1"/>
    <n v="3"/>
    <n v="-7"/>
    <n v="0"/>
    <n v="12"/>
    <s v="mar"/>
  </r>
  <r>
    <x v="139"/>
    <s v="Phoenix Suns @ Minnesota Timberwolves"/>
    <s v="Phoenix Suns"/>
    <n v="112"/>
    <n v="104"/>
    <n v="0"/>
    <s v="Minnesota Timberwolves"/>
    <n v="117"/>
    <n v="116"/>
    <n v="0"/>
    <n v="229"/>
    <n v="220"/>
    <n v="0"/>
    <n v="5"/>
    <n v="12"/>
    <n v="1"/>
    <n v="12"/>
    <s v="mar"/>
  </r>
  <r>
    <x v="139"/>
    <s v="Philadelphia 76ers @ Denver Nuggets"/>
    <s v="Philadelphia 76ers"/>
    <n v="113"/>
    <n v="96"/>
    <n v="0"/>
    <s v="Denver Nuggets"/>
    <n v="116"/>
    <n v="124"/>
    <n v="1"/>
    <n v="229"/>
    <n v="220"/>
    <n v="0"/>
    <n v="3"/>
    <n v="28"/>
    <n v="1"/>
    <n v="12"/>
    <s v="mar"/>
  </r>
  <r>
    <x v="139"/>
    <s v="San Antonio Spurs @ Sacramento Kings"/>
    <s v="San Antonio Spurs"/>
    <n v="122"/>
    <n v="132"/>
    <n v="1"/>
    <s v="Sacramento Kings"/>
    <n v="116"/>
    <n v="104"/>
    <n v="0"/>
    <n v="238"/>
    <n v="236"/>
    <n v="0"/>
    <n v="-6"/>
    <n v="-28"/>
    <n v="1"/>
    <n v="12"/>
    <s v="mar"/>
  </r>
  <r>
    <x v="140"/>
    <s v="Golden State Warriors @ Boston Celtics"/>
    <s v="Golden State Warriors"/>
    <n v="111"/>
    <n v="99"/>
    <n v="0"/>
    <s v="Boston Celtics"/>
    <n v="118"/>
    <n v="120"/>
    <n v="1"/>
    <n v="229"/>
    <n v="219"/>
    <n v="0"/>
    <n v="7"/>
    <n v="21"/>
    <n v="1"/>
    <n v="12"/>
    <s v="mar"/>
  </r>
  <r>
    <x v="140"/>
    <s v="Oklahoma City Thunder @ Brooklyn Nets"/>
    <s v="Oklahoma City Thunder"/>
    <n v="114"/>
    <n v="121"/>
    <n v="1"/>
    <s v="Brooklyn Nets"/>
    <n v="110"/>
    <n v="92"/>
    <n v="0"/>
    <n v="224"/>
    <n v="213"/>
    <n v="0"/>
    <n v="-4"/>
    <n v="-29"/>
    <n v="1"/>
    <n v="12"/>
    <s v="mar"/>
  </r>
  <r>
    <x v="140"/>
    <s v="Portland Trail Blazers @ Indiana Pacers"/>
    <s v="Portland Trail Blazers"/>
    <n v="115"/>
    <n v="127"/>
    <n v="1"/>
    <s v="Indiana Pacers"/>
    <n v="115"/>
    <n v="119"/>
    <n v="1"/>
    <n v="230"/>
    <n v="246"/>
    <n v="1"/>
    <n v="0"/>
    <n v="-8"/>
    <n v="0"/>
    <n v="12"/>
    <s v="mar"/>
  </r>
  <r>
    <x v="140"/>
    <s v="Toronto Raptors @ Chicago Bulls"/>
    <s v="Toronto Raptors"/>
    <n v="113"/>
    <n v="139"/>
    <n v="1"/>
    <s v="Chicago Bulls"/>
    <n v="114"/>
    <n v="109"/>
    <n v="0"/>
    <n v="227"/>
    <n v="248"/>
    <n v="1"/>
    <n v="1"/>
    <n v="-30"/>
    <n v="0"/>
    <n v="12"/>
    <s v="mar"/>
  </r>
  <r>
    <x v="140"/>
    <s v="Utah Jazz @ Minnesota Timberwolves"/>
    <s v="Utah Jazz"/>
    <n v="116"/>
    <n v="111"/>
    <n v="0"/>
    <s v="Minnesota Timberwolves"/>
    <n v="121"/>
    <n v="147"/>
    <n v="1"/>
    <n v="237"/>
    <n v="258"/>
    <n v="1"/>
    <n v="5"/>
    <n v="36"/>
    <n v="1"/>
    <n v="12"/>
    <s v="mar"/>
  </r>
  <r>
    <x v="140"/>
    <s v="LA Clippers @ New Orleans Pelicans"/>
    <s v="LA Clippers"/>
    <n v="119"/>
    <n v="109"/>
    <n v="0"/>
    <s v="New Orleans Pelicans"/>
    <n v="119"/>
    <n v="124"/>
    <n v="1"/>
    <n v="238"/>
    <n v="233"/>
    <n v="0"/>
    <n v="0"/>
    <n v="15"/>
    <n v="0"/>
    <n v="12"/>
    <s v="mar"/>
  </r>
  <r>
    <x v="140"/>
    <s v="Atlanta Hawks @ Dallas Mavericks"/>
    <s v="Atlanta Hawks"/>
    <n v="115"/>
    <n v="135"/>
    <n v="1"/>
    <s v="Dallas Mavericks"/>
    <n v="117"/>
    <n v="120"/>
    <n v="1"/>
    <n v="232"/>
    <n v="255"/>
    <n v="1"/>
    <n v="2"/>
    <n v="-15"/>
    <n v="0"/>
    <n v="12"/>
    <s v="mar"/>
  </r>
  <r>
    <x v="140"/>
    <s v="Denver Nuggets @ Memphis Grizzlies"/>
    <s v="Denver Nuggets"/>
    <n v="117"/>
    <n v="118"/>
    <n v="1"/>
    <s v="Memphis Grizzlies"/>
    <n v="115"/>
    <n v="125"/>
    <n v="1"/>
    <n v="232"/>
    <n v="243"/>
    <n v="1"/>
    <n v="-2"/>
    <n v="7"/>
    <n v="0"/>
    <n v="12"/>
    <s v="mar"/>
  </r>
  <r>
    <x v="140"/>
    <s v="Los Angeles Lakers @ Houston Rockets"/>
    <s v="Los Angeles Lakers"/>
    <n v="112"/>
    <n v="126"/>
    <n v="1"/>
    <s v="Houston Rockets"/>
    <n v="117"/>
    <n v="116"/>
    <n v="0"/>
    <n v="229"/>
    <n v="242"/>
    <n v="1"/>
    <n v="5"/>
    <n v="-10"/>
    <n v="0"/>
    <n v="12"/>
    <s v="mar"/>
  </r>
  <r>
    <x v="141"/>
    <s v="Orlando Magic @ Charlotte Hornets"/>
    <s v="Orlando Magic"/>
    <n v="113"/>
    <n v="111"/>
    <n v="0"/>
    <s v="Charlotte Hornets"/>
    <n v="114"/>
    <n v="130"/>
    <n v="1"/>
    <n v="227"/>
    <n v="241"/>
    <n v="1"/>
    <n v="1"/>
    <n v="19"/>
    <n v="1"/>
    <n v="12"/>
    <s v="mar"/>
  </r>
  <r>
    <x v="141"/>
    <s v="Detroit Pistons @ Washington Wizards"/>
    <s v="Detroit Pistons"/>
    <n v="120"/>
    <n v="117"/>
    <n v="0"/>
    <s v="Washington Wizards"/>
    <n v="113"/>
    <n v="95"/>
    <n v="0"/>
    <n v="233"/>
    <n v="212"/>
    <n v="0"/>
    <n v="-7"/>
    <n v="-22"/>
    <n v="1"/>
    <n v="12"/>
    <s v="mar"/>
  </r>
  <r>
    <x v="141"/>
    <s v="Los Angeles Lakers @ Miami Heat"/>
    <s v="Los Angeles Lakers"/>
    <n v="111"/>
    <n v="134"/>
    <n v="1"/>
    <s v="Miami Heat"/>
    <n v="116"/>
    <n v="126"/>
    <n v="1"/>
    <n v="227"/>
    <n v="260"/>
    <n v="1"/>
    <n v="5"/>
    <n v="-8"/>
    <n v="0"/>
    <n v="12"/>
    <s v="mar"/>
  </r>
  <r>
    <x v="141"/>
    <s v="Cleveland Cavaliers @ Chicago Bulls"/>
    <s v="Cleveland Cavaliers"/>
    <n v="114"/>
    <n v="115"/>
    <n v="1"/>
    <s v="Chicago Bulls"/>
    <n v="114"/>
    <n v="110"/>
    <n v="0"/>
    <n v="228"/>
    <n v="225"/>
    <n v="0"/>
    <n v="0"/>
    <n v="-5"/>
    <n v="0"/>
    <n v="12"/>
    <s v="mar"/>
  </r>
  <r>
    <x v="141"/>
    <s v="LA Clippers @ New Orleans Pelicans"/>
    <s v="LA Clippers"/>
    <n v="118"/>
    <n v="99"/>
    <n v="0"/>
    <s v="New Orleans Pelicans"/>
    <n v="116"/>
    <n v="105"/>
    <n v="0"/>
    <n v="234"/>
    <n v="204"/>
    <n v="0"/>
    <n v="-2"/>
    <n v="6"/>
    <n v="0"/>
    <n v="12"/>
    <s v="mar"/>
  </r>
  <r>
    <x v="141"/>
    <s v="Phoenix Suns @ San Antonio Spurs"/>
    <s v="Phoenix Suns"/>
    <n v="114"/>
    <n v="100"/>
    <n v="0"/>
    <s v="San Antonio Spurs"/>
    <n v="120"/>
    <n v="101"/>
    <n v="0"/>
    <n v="234"/>
    <n v="201"/>
    <n v="0"/>
    <n v="6"/>
    <n v="1"/>
    <n v="1"/>
    <n v="12"/>
    <s v="mar"/>
  </r>
  <r>
    <x v="141"/>
    <s v="Milwaukee Bucks @ Utah Jazz"/>
    <s v="Milwaukee Bucks"/>
    <n v="113"/>
    <n v="96"/>
    <n v="0"/>
    <s v="Utah Jazz"/>
    <n v="116"/>
    <n v="128"/>
    <n v="1"/>
    <n v="229"/>
    <n v="224"/>
    <n v="0"/>
    <n v="3"/>
    <n v="32"/>
    <n v="1"/>
    <n v="12"/>
    <s v="mar"/>
  </r>
  <r>
    <x v="141"/>
    <s v="Philadelphia 76ers @ Sacramento Kings"/>
    <s v="Philadelphia 76ers"/>
    <n v="115"/>
    <n v="139"/>
    <n v="1"/>
    <s v="Sacramento Kings"/>
    <n v="113"/>
    <n v="118"/>
    <n v="1"/>
    <n v="228"/>
    <n v="257"/>
    <n v="1"/>
    <n v="-2"/>
    <n v="-21"/>
    <n v="1"/>
    <n v="12"/>
    <s v="mar"/>
  </r>
  <r>
    <x v="142"/>
    <s v="New York Knicks @ Brooklyn Nets"/>
    <s v="New York Knicks"/>
    <n v="114"/>
    <n v="93"/>
    <n v="0"/>
    <s v="Brooklyn Nets"/>
    <n v="107"/>
    <n v="92"/>
    <n v="0"/>
    <n v="221"/>
    <n v="185"/>
    <n v="0"/>
    <n v="-7"/>
    <n v="-1"/>
    <n v="1"/>
    <n v="12"/>
    <s v="mar"/>
  </r>
  <r>
    <x v="142"/>
    <s v="Golden State Warriors @ Detroit Pistons"/>
    <s v="Golden State Warriors"/>
    <n v="115"/>
    <n v="101"/>
    <n v="0"/>
    <s v="Detroit Pistons"/>
    <n v="117"/>
    <n v="115"/>
    <n v="0"/>
    <n v="232"/>
    <n v="216"/>
    <n v="0"/>
    <n v="2"/>
    <n v="14"/>
    <n v="1"/>
    <n v="12"/>
    <s v="mar"/>
  </r>
  <r>
    <x v="142"/>
    <s v="Atlanta Hawks @ Houston Rockets"/>
    <s v="Atlanta Hawks"/>
    <n v="116"/>
    <n v="95"/>
    <n v="0"/>
    <s v="Houston Rockets"/>
    <n v="119"/>
    <n v="117"/>
    <n v="0"/>
    <n v="235"/>
    <n v="212"/>
    <n v="0"/>
    <n v="3"/>
    <n v="22"/>
    <n v="1"/>
    <n v="12"/>
    <s v="mar"/>
  </r>
  <r>
    <x v="142"/>
    <s v="Boston Celtics @ Memphis Grizzlies"/>
    <s v="Boston Celtics"/>
    <n v="115"/>
    <n v="117"/>
    <n v="1"/>
    <s v="Memphis Grizzlies"/>
    <n v="108"/>
    <n v="112"/>
    <n v="1"/>
    <n v="223"/>
    <n v="229"/>
    <n v="1"/>
    <n v="-7"/>
    <n v="-5"/>
    <n v="1"/>
    <n v="12"/>
    <s v="mar"/>
  </r>
  <r>
    <x v="142"/>
    <s v="Portland Trail Blazers @ Minnesota Timberwolves"/>
    <s v="Portland Trail Blazers"/>
    <n v="114"/>
    <n v="108"/>
    <n v="0"/>
    <s v="Minnesota Timberwolves"/>
    <n v="120"/>
    <n v="104"/>
    <n v="0"/>
    <n v="234"/>
    <n v="212"/>
    <n v="0"/>
    <n v="6"/>
    <n v="-4"/>
    <n v="0"/>
    <n v="12"/>
    <s v="mar"/>
  </r>
  <r>
    <x v="142"/>
    <s v="Toronto Raptors @ Denver Nuggets"/>
    <s v="Toronto Raptors"/>
    <n v="112"/>
    <n v="115"/>
    <n v="1"/>
    <s v="Denver Nuggets"/>
    <n v="116"/>
    <n v="121"/>
    <n v="1"/>
    <n v="228"/>
    <n v="236"/>
    <n v="1"/>
    <n v="4"/>
    <n v="6"/>
    <n v="1"/>
    <n v="12"/>
    <s v="mar"/>
  </r>
  <r>
    <x v="143"/>
    <s v="Oklahoma City Thunder @ Washington Wizards"/>
    <s v="Oklahoma City Thunder"/>
    <n v="121"/>
    <n v="132"/>
    <n v="1"/>
    <s v="Washington Wizards"/>
    <n v="117"/>
    <n v="111"/>
    <n v="0"/>
    <n v="238"/>
    <n v="243"/>
    <n v="1"/>
    <n v="-4"/>
    <n v="-21"/>
    <n v="1"/>
    <n v="12"/>
    <s v="mar"/>
  </r>
  <r>
    <x v="143"/>
    <s v="Memphis Grizzlies @ Charlotte Hornets"/>
    <s v="Memphis Grizzlies"/>
    <n v="117"/>
    <n v="101"/>
    <n v="0"/>
    <s v="Charlotte Hornets"/>
    <n v="119"/>
    <n v="124"/>
    <n v="1"/>
    <n v="236"/>
    <n v="225"/>
    <n v="0"/>
    <n v="2"/>
    <n v="23"/>
    <n v="1"/>
    <n v="12"/>
    <s v="mar"/>
  </r>
  <r>
    <x v="143"/>
    <s v="Los Angeles Lakers @ Orlando Magic"/>
    <s v="Los Angeles Lakers"/>
    <n v="113"/>
    <n v="105"/>
    <n v="0"/>
    <s v="Orlando Magic"/>
    <n v="111"/>
    <n v="104"/>
    <n v="0"/>
    <n v="224"/>
    <n v="209"/>
    <n v="0"/>
    <n v="-2"/>
    <n v="-1"/>
    <n v="1"/>
    <n v="12"/>
    <s v="mar"/>
  </r>
  <r>
    <x v="143"/>
    <s v="Cleveland Cavaliers @ New Orleans Pelicans"/>
    <s v="Cleveland Cavaliers"/>
    <n v="115"/>
    <n v="111"/>
    <n v="0"/>
    <s v="New Orleans Pelicans"/>
    <n v="116"/>
    <n v="106"/>
    <n v="0"/>
    <n v="231"/>
    <n v="217"/>
    <n v="0"/>
    <n v="1"/>
    <n v="-5"/>
    <n v="0"/>
    <n v="12"/>
    <s v="mar"/>
  </r>
  <r>
    <x v="143"/>
    <s v="Golden State Warriors @ Atlanta Hawks"/>
    <s v="Golden State Warriors"/>
    <n v="120"/>
    <n v="110"/>
    <n v="0"/>
    <s v="Atlanta Hawks"/>
    <n v="120"/>
    <n v="126"/>
    <n v="1"/>
    <n v="240"/>
    <n v="236"/>
    <n v="0"/>
    <n v="0"/>
    <n v="16"/>
    <n v="0"/>
    <n v="12"/>
    <s v="mar"/>
  </r>
  <r>
    <x v="143"/>
    <s v="Miami Heat @ Houston Rockets"/>
    <s v="Miami Heat"/>
    <n v="112"/>
    <n v="122"/>
    <n v="1"/>
    <s v="Houston Rockets"/>
    <n v="114"/>
    <n v="123"/>
    <n v="1"/>
    <n v="226"/>
    <n v="245"/>
    <n v="1"/>
    <n v="2"/>
    <n v="1"/>
    <n v="1"/>
    <n v="12"/>
    <s v="mar"/>
  </r>
  <r>
    <x v="143"/>
    <s v="Indiana Pacers @ San Antonio Spurs"/>
    <s v="Indiana Pacers"/>
    <n v="115"/>
    <n v="119"/>
    <n v="1"/>
    <s v="San Antonio Spurs"/>
    <n v="120"/>
    <n v="134"/>
    <n v="1"/>
    <n v="235"/>
    <n v="253"/>
    <n v="1"/>
    <n v="5"/>
    <n v="15"/>
    <n v="1"/>
    <n v="12"/>
    <s v="mar"/>
  </r>
  <r>
    <x v="143"/>
    <s v="LA Clippers @ Dallas Mavericks"/>
    <s v="LA Clippers"/>
    <n v="112"/>
    <n v="138"/>
    <n v="1"/>
    <s v="Dallas Mavericks"/>
    <n v="111"/>
    <n v="131"/>
    <n v="1"/>
    <n v="223"/>
    <n v="269"/>
    <n v="1"/>
    <n v="-1"/>
    <n v="-7"/>
    <n v="1"/>
    <n v="12"/>
    <s v="mar"/>
  </r>
  <r>
    <x v="143"/>
    <s v="Philadelphia 76ers @ Utah Jazz"/>
    <s v="Philadelphia 76ers"/>
    <n v="115"/>
    <n v="126"/>
    <n v="1"/>
    <s v="Utah Jazz"/>
    <n v="118"/>
    <n v="116"/>
    <n v="0"/>
    <n v="233"/>
    <n v="242"/>
    <n v="1"/>
    <n v="3"/>
    <n v="-10"/>
    <n v="0"/>
    <n v="12"/>
    <s v="mar"/>
  </r>
  <r>
    <x v="143"/>
    <s v="Milwaukee Bucks @ Phoenix Suns"/>
    <s v="Milwaukee Bucks"/>
    <n v="109"/>
    <n v="108"/>
    <n v="0"/>
    <s v="Phoenix Suns"/>
    <n v="112"/>
    <n v="105"/>
    <n v="0"/>
    <n v="221"/>
    <n v="213"/>
    <n v="0"/>
    <n v="3"/>
    <n v="-3"/>
    <n v="0"/>
    <n v="12"/>
    <s v="mar"/>
  </r>
  <r>
    <x v="144"/>
    <s v="Portland Trail Blazers @ Denver Nuggets"/>
    <s v="Portland Trail Blazers"/>
    <n v="111"/>
    <n v="112"/>
    <n v="1"/>
    <s v="Denver Nuggets"/>
    <n v="119"/>
    <n v="128"/>
    <n v="1"/>
    <n v="230"/>
    <n v="240"/>
    <n v="1"/>
    <n v="8"/>
    <n v="16"/>
    <n v="1"/>
    <n v="12"/>
    <s v="mar"/>
  </r>
  <r>
    <x v="144"/>
    <s v="Brooklyn Nets @ Sacramento Kings"/>
    <s v="Brooklyn Nets"/>
    <n v="110"/>
    <n v="122"/>
    <n v="1"/>
    <s v="Sacramento Kings"/>
    <n v="112"/>
    <n v="126"/>
    <n v="1"/>
    <n v="222"/>
    <n v="248"/>
    <n v="1"/>
    <n v="2"/>
    <n v="4"/>
    <n v="1"/>
    <n v="12"/>
    <s v="mar"/>
  </r>
  <r>
    <x v="144"/>
    <s v="Washington Wizards @ New York Knicks"/>
    <s v="Washington Wizards"/>
    <n v="109"/>
    <n v="113"/>
    <n v="1"/>
    <s v="New York Knicks"/>
    <n v="120"/>
    <n v="145"/>
    <n v="1"/>
    <n v="229"/>
    <n v="258"/>
    <n v="1"/>
    <n v="11"/>
    <n v="32"/>
    <n v="1"/>
    <n v="12"/>
    <s v="mar"/>
  </r>
  <r>
    <x v="144"/>
    <s v="Minnesota Timberwolves @ Boston Celtics"/>
    <s v="Minnesota Timberwolves"/>
    <n v="110"/>
    <n v="102"/>
    <n v="0"/>
    <s v="Boston Celtics"/>
    <n v="116"/>
    <n v="92"/>
    <n v="0"/>
    <n v="226"/>
    <n v="194"/>
    <n v="0"/>
    <n v="6"/>
    <n v="-10"/>
    <n v="0"/>
    <n v="12"/>
    <s v="mar"/>
  </r>
  <r>
    <x v="144"/>
    <s v="Toronto Raptors @ Phoenix Suns"/>
    <s v="Toronto Raptors"/>
    <n v="112"/>
    <n v="98"/>
    <n v="0"/>
    <s v="Phoenix Suns"/>
    <n v="111"/>
    <n v="120"/>
    <n v="1"/>
    <n v="223"/>
    <n v="218"/>
    <n v="0"/>
    <n v="-1"/>
    <n v="22"/>
    <n v="0"/>
    <n v="12"/>
    <s v="mar"/>
  </r>
  <r>
    <x v="145"/>
    <s v="Los Angeles Lakers @ Detroit Pistons"/>
    <s v="Los Angeles Lakers"/>
    <n v="115"/>
    <n v="110"/>
    <n v="0"/>
    <s v="Detroit Pistons"/>
    <n v="118"/>
    <n v="113"/>
    <n v="0"/>
    <n v="233"/>
    <n v="223"/>
    <n v="0"/>
    <n v="3"/>
    <n v="3"/>
    <n v="1"/>
    <n v="13"/>
    <s v="mar"/>
  </r>
  <r>
    <x v="145"/>
    <s v="Indiana Pacers @ Orlando Magic"/>
    <s v="Indiana Pacers"/>
    <n v="113"/>
    <n v="128"/>
    <n v="1"/>
    <s v="Orlando Magic"/>
    <n v="117"/>
    <n v="126"/>
    <n v="1"/>
    <n v="230"/>
    <n v="254"/>
    <n v="1"/>
    <n v="4"/>
    <n v="-2"/>
    <n v="0"/>
    <n v="13"/>
    <s v="mar"/>
  </r>
  <r>
    <x v="145"/>
    <s v="Oklahoma City Thunder @ Philadelphia 76ers"/>
    <s v="Oklahoma City Thunder"/>
    <n v="115"/>
    <n v="123"/>
    <n v="1"/>
    <s v="Philadelphia 76ers"/>
    <n v="109"/>
    <n v="103"/>
    <n v="0"/>
    <n v="224"/>
    <n v="226"/>
    <n v="1"/>
    <n v="-6"/>
    <n v="-20"/>
    <n v="1"/>
    <n v="13"/>
    <s v="mar"/>
  </r>
  <r>
    <x v="145"/>
    <s v="San Antonio Spurs @ Miami Heat"/>
    <s v="San Antonio Spurs"/>
    <n v="115"/>
    <n v="136"/>
    <n v="1"/>
    <s v="Miami Heat"/>
    <n v="115"/>
    <n v="111"/>
    <n v="0"/>
    <n v="230"/>
    <n v="247"/>
    <n v="1"/>
    <n v="0"/>
    <n v="-25"/>
    <n v="0"/>
    <n v="13"/>
    <s v="mar"/>
  </r>
  <r>
    <x v="145"/>
    <s v="Memphis Grizzlies @ Atlanta Hawks"/>
    <s v="Memphis Grizzlies"/>
    <n v="116"/>
    <n v="107"/>
    <n v="0"/>
    <s v="Atlanta Hawks"/>
    <n v="119"/>
    <n v="146"/>
    <n v="1"/>
    <n v="235"/>
    <n v="253"/>
    <n v="1"/>
    <n v="3"/>
    <n v="39"/>
    <n v="1"/>
    <n v="13"/>
    <s v="mar"/>
  </r>
  <r>
    <x v="145"/>
    <s v="Houston Rockets @ Chicago Bulls"/>
    <s v="Houston Rockets"/>
    <n v="113"/>
    <n v="124"/>
    <n v="1"/>
    <s v="Chicago Bulls"/>
    <n v="115"/>
    <n v="132"/>
    <n v="1"/>
    <n v="228"/>
    <n v="256"/>
    <n v="1"/>
    <n v="2"/>
    <n v="8"/>
    <n v="1"/>
    <n v="13"/>
    <s v="mar"/>
  </r>
  <r>
    <x v="145"/>
    <s v="Toronto Raptors @ Utah Jazz"/>
    <s v="Toronto Raptors"/>
    <n v="113"/>
    <n v="143"/>
    <n v="1"/>
    <s v="Utah Jazz"/>
    <n v="116"/>
    <n v="127"/>
    <n v="1"/>
    <n v="229"/>
    <n v="270"/>
    <n v="1"/>
    <n v="3"/>
    <n v="-16"/>
    <n v="0"/>
    <n v="13"/>
    <s v="mar"/>
  </r>
  <r>
    <x v="145"/>
    <s v="Golden State Warriors @ Dallas Mavericks"/>
    <s v="Golden State Warriors"/>
    <n v="115"/>
    <n v="137"/>
    <n v="1"/>
    <s v="Dallas Mavericks"/>
    <n v="115"/>
    <n v="131"/>
    <n v="1"/>
    <n v="230"/>
    <n v="268"/>
    <n v="1"/>
    <n v="0"/>
    <n v="-6"/>
    <n v="0"/>
    <n v="13"/>
    <s v="mar"/>
  </r>
  <r>
    <x v="145"/>
    <s v="Brooklyn Nets @ Portland Trail Blazers"/>
    <s v="Brooklyn Nets"/>
    <n v="111"/>
    <n v="99"/>
    <n v="0"/>
    <s v="Portland Trail Blazers"/>
    <n v="111"/>
    <n v="134"/>
    <n v="1"/>
    <n v="222"/>
    <n v="233"/>
    <n v="1"/>
    <n v="0"/>
    <n v="35"/>
    <n v="0"/>
    <n v="13"/>
    <s v="mar"/>
  </r>
  <r>
    <x v="145"/>
    <s v="Milwaukee Bucks @ LA Clippers"/>
    <s v="Milwaukee Bucks"/>
    <n v="114"/>
    <n v="94"/>
    <n v="0"/>
    <s v="LA Clippers"/>
    <n v="113"/>
    <n v="129"/>
    <n v="1"/>
    <n v="227"/>
    <n v="223"/>
    <n v="0"/>
    <n v="-1"/>
    <n v="35"/>
    <n v="0"/>
    <n v="13"/>
    <s v="mar"/>
  </r>
  <r>
    <x v="146"/>
    <s v="Sacramento Kings @ Charlotte Hornets"/>
    <s v="Sacramento Kings"/>
    <n v="115"/>
    <n v="90"/>
    <n v="0"/>
    <s v="Charlotte Hornets"/>
    <n v="116"/>
    <n v="134"/>
    <n v="1"/>
    <n v="231"/>
    <n v="224"/>
    <n v="0"/>
    <n v="1"/>
    <n v="44"/>
    <n v="1"/>
    <n v="13"/>
    <s v="mar"/>
  </r>
  <r>
    <x v="146"/>
    <s v="New Orleans Pelicans @ New York Knicks"/>
    <s v="New Orleans Pelicans"/>
    <n v="112"/>
    <n v="116"/>
    <n v="1"/>
    <s v="New York Knicks"/>
    <n v="118"/>
    <n v="121"/>
    <n v="1"/>
    <n v="230"/>
    <n v="237"/>
    <n v="1"/>
    <n v="6"/>
    <n v="5"/>
    <n v="1"/>
    <n v="13"/>
    <s v="mar"/>
  </r>
  <r>
    <x v="146"/>
    <s v="Orlando Magic @ Cleveland Cavaliers"/>
    <s v="Orlando Magic"/>
    <n v="112"/>
    <n v="131"/>
    <n v="1"/>
    <s v="Cleveland Cavaliers"/>
    <n v="117"/>
    <n v="136"/>
    <n v="1"/>
    <n v="229"/>
    <n v="267"/>
    <n v="1"/>
    <n v="5"/>
    <n v="5"/>
    <n v="1"/>
    <n v="13"/>
    <s v="mar"/>
  </r>
  <r>
    <x v="146"/>
    <s v="Denver Nuggets @ Phoenix Suns"/>
    <s v="Denver Nuggets"/>
    <n v="113"/>
    <n v="125"/>
    <n v="1"/>
    <s v="Phoenix Suns"/>
    <n v="112"/>
    <n v="123"/>
    <n v="1"/>
    <n v="225"/>
    <n v="248"/>
    <n v="1"/>
    <n v="-1"/>
    <n v="-2"/>
    <n v="1"/>
    <n v="13"/>
    <s v="mar"/>
  </r>
  <r>
    <x v="147"/>
    <s v="Atlanta Hawks @ Detroit Pistons"/>
    <s v="Atlanta Hawks"/>
    <n v="118"/>
    <n v="130"/>
    <n v="1"/>
    <s v="Detroit Pistons"/>
    <n v="117"/>
    <n v="129"/>
    <n v="1"/>
    <n v="235"/>
    <n v="259"/>
    <n v="1"/>
    <n v="-1"/>
    <n v="-1"/>
    <n v="1"/>
    <n v="13"/>
    <s v="mar"/>
  </r>
  <r>
    <x v="147"/>
    <s v="Los Angeles Lakers @ Indiana Pacers"/>
    <s v="Los Angeles Lakers"/>
    <n v="116"/>
    <n v="137"/>
    <n v="1"/>
    <s v="Indiana Pacers"/>
    <n v="114"/>
    <n v="130"/>
    <n v="1"/>
    <n v="230"/>
    <n v="267"/>
    <n v="1"/>
    <n v="-2"/>
    <n v="-7"/>
    <n v="1"/>
    <n v="13"/>
    <s v="mar"/>
  </r>
  <r>
    <x v="147"/>
    <s v="Chicago Bulls @ Philadelphia 76ers"/>
    <s v="Chicago Bulls"/>
    <n v="110"/>
    <n v="137"/>
    <n v="1"/>
    <s v="Philadelphia 76ers"/>
    <n v="115"/>
    <n v="157"/>
    <n v="1"/>
    <n v="225"/>
    <n v="294"/>
    <n v="1"/>
    <n v="5"/>
    <n v="20"/>
    <n v="1"/>
    <n v="13"/>
    <s v="mar"/>
  </r>
  <r>
    <x v="147"/>
    <s v="Oklahoma City Thunder @ Boston Celtics"/>
    <s v="Oklahoma City Thunder"/>
    <n v="109"/>
    <n v="109"/>
    <n v="0"/>
    <s v="Boston Celtics"/>
    <n v="113"/>
    <n v="119"/>
    <n v="1"/>
    <n v="222"/>
    <n v="228"/>
    <n v="1"/>
    <n v="4"/>
    <n v="10"/>
    <n v="1"/>
    <n v="13"/>
    <s v="mar"/>
  </r>
  <r>
    <x v="147"/>
    <s v="Miami Heat @ Cleveland Cavaliers"/>
    <s v="Miami Heat"/>
    <n v="115"/>
    <n v="120"/>
    <n v="1"/>
    <s v="Cleveland Cavaliers"/>
    <n v="113"/>
    <n v="103"/>
    <n v="0"/>
    <n v="228"/>
    <n v="223"/>
    <n v="0"/>
    <n v="-2"/>
    <n v="-17"/>
    <n v="1"/>
    <n v="13"/>
    <s v="mar"/>
  </r>
  <r>
    <x v="147"/>
    <s v="San Antonio Spurs @ Memphis Grizzlies"/>
    <s v="San Antonio Spurs"/>
    <n v="119"/>
    <n v="123"/>
    <n v="1"/>
    <s v="Memphis Grizzlies"/>
    <n v="114"/>
    <n v="98"/>
    <n v="0"/>
    <n v="233"/>
    <n v="221"/>
    <n v="0"/>
    <n v="-5"/>
    <n v="-25"/>
    <n v="1"/>
    <n v="13"/>
    <s v="mar"/>
  </r>
  <r>
    <x v="147"/>
    <s v="Washington Wizards @ Utah Jazz"/>
    <s v="Washington Wizards"/>
    <n v="118"/>
    <n v="133"/>
    <n v="1"/>
    <s v="Utah Jazz"/>
    <n v="124"/>
    <n v="110"/>
    <n v="0"/>
    <n v="242"/>
    <n v="243"/>
    <n v="1"/>
    <n v="6"/>
    <n v="-23"/>
    <n v="0"/>
    <n v="13"/>
    <s v="mar"/>
  </r>
  <r>
    <x v="147"/>
    <s v="Houston Rockets @ Minnesota Timberwolves"/>
    <s v="Houston Rockets"/>
    <n v="114"/>
    <n v="108"/>
    <n v="0"/>
    <s v="Minnesota Timberwolves"/>
    <n v="114"/>
    <n v="110"/>
    <n v="0"/>
    <n v="228"/>
    <n v="218"/>
    <n v="0"/>
    <n v="0"/>
    <n v="2"/>
    <n v="0"/>
    <n v="13"/>
    <s v="mar"/>
  </r>
  <r>
    <x v="147"/>
    <s v="Dallas Mavericks @ Denver Nuggets"/>
    <s v="Dallas Mavericks"/>
    <n v="111"/>
    <n v="135"/>
    <n v="1"/>
    <s v="Denver Nuggets"/>
    <n v="120"/>
    <n v="142"/>
    <n v="1"/>
    <n v="231"/>
    <n v="277"/>
    <n v="1"/>
    <n v="9"/>
    <n v="7"/>
    <n v="1"/>
    <n v="13"/>
    <s v="mar"/>
  </r>
  <r>
    <x v="147"/>
    <s v="Brooklyn Nets @ Golden State Warriors"/>
    <s v="Brooklyn Nets"/>
    <n v="108"/>
    <n v="106"/>
    <n v="0"/>
    <s v="Golden State Warriors"/>
    <n v="110"/>
    <n v="109"/>
    <n v="0"/>
    <n v="218"/>
    <n v="215"/>
    <n v="0"/>
    <n v="2"/>
    <n v="3"/>
    <n v="1"/>
    <n v="13"/>
    <s v="mar"/>
  </r>
  <r>
    <x v="147"/>
    <s v="Milwaukee Bucks @ Portland Trail Blazers"/>
    <s v="Milwaukee Bucks"/>
    <n v="117"/>
    <n v="99"/>
    <n v="0"/>
    <s v="Portland Trail Blazers"/>
    <n v="119"/>
    <n v="130"/>
    <n v="1"/>
    <n v="236"/>
    <n v="229"/>
    <n v="0"/>
    <n v="2"/>
    <n v="31"/>
    <n v="1"/>
    <n v="13"/>
    <s v="mar"/>
  </r>
  <r>
    <x v="147"/>
    <s v="Toronto Raptors @ LA Clippers"/>
    <s v="Toronto Raptors"/>
    <n v="113"/>
    <n v="94"/>
    <n v="0"/>
    <s v="LA Clippers"/>
    <n v="112"/>
    <n v="119"/>
    <n v="1"/>
    <n v="225"/>
    <n v="213"/>
    <n v="0"/>
    <n v="-1"/>
    <n v="25"/>
    <n v="0"/>
    <n v="13"/>
    <s v="mar"/>
  </r>
  <r>
    <x v="148"/>
    <s v="New York Knicks @ Charlotte Hornets"/>
    <s v="New York Knicks"/>
    <n v="114"/>
    <n v="103"/>
    <n v="0"/>
    <s v="Charlotte Hornets"/>
    <n v="109"/>
    <n v="114"/>
    <n v="1"/>
    <n v="223"/>
    <n v="217"/>
    <n v="0"/>
    <n v="-5"/>
    <n v="11"/>
    <n v="0"/>
    <n v="13"/>
    <s v="mar"/>
  </r>
  <r>
    <x v="148"/>
    <s v="New Orleans Pelicans @ Detroit Pistons"/>
    <s v="New Orleans Pelicans"/>
    <n v="118"/>
    <n v="108"/>
    <n v="0"/>
    <s v="Detroit Pistons"/>
    <n v="118"/>
    <n v="129"/>
    <n v="1"/>
    <n v="236"/>
    <n v="237"/>
    <n v="1"/>
    <n v="0"/>
    <n v="21"/>
    <n v="0"/>
    <n v="13"/>
    <s v="mar"/>
  </r>
  <r>
    <x v="148"/>
    <s v="Sacramento Kings @ Orlando Magic"/>
    <s v="Sacramento Kings"/>
    <n v="110"/>
    <n v="117"/>
    <n v="1"/>
    <s v="Orlando Magic"/>
    <n v="116"/>
    <n v="121"/>
    <n v="1"/>
    <n v="226"/>
    <n v="238"/>
    <n v="1"/>
    <n v="6"/>
    <n v="4"/>
    <n v="1"/>
    <n v="13"/>
    <s v="mar"/>
  </r>
  <r>
    <x v="149"/>
    <s v="LA Clippers @ Indiana Pacers"/>
    <s v="LA Clippers"/>
    <n v="117"/>
    <n v="114"/>
    <n v="0"/>
    <s v="Indiana Pacers"/>
    <n v="114"/>
    <n v="113"/>
    <n v="0"/>
    <n v="231"/>
    <n v="227"/>
    <n v="0"/>
    <n v="-3"/>
    <n v="-1"/>
    <n v="1"/>
    <n v="13"/>
    <s v="mar"/>
  </r>
  <r>
    <x v="149"/>
    <s v="Atlanta Hawks @ Boston Celtics"/>
    <s v="Atlanta Hawks"/>
    <n v="113"/>
    <n v="102"/>
    <n v="0"/>
    <s v="Boston Celtics"/>
    <n v="120"/>
    <n v="109"/>
    <n v="0"/>
    <n v="233"/>
    <n v="211"/>
    <n v="0"/>
    <n v="7"/>
    <n v="7"/>
    <n v="1"/>
    <n v="13"/>
    <s v="mar"/>
  </r>
  <r>
    <x v="149"/>
    <s v="Miami Heat @ Cleveland Cavaliers"/>
    <s v="Miami Heat"/>
    <n v="114"/>
    <n v="128"/>
    <n v="1"/>
    <s v="Cleveland Cavaliers"/>
    <n v="114"/>
    <n v="149"/>
    <n v="1"/>
    <n v="228"/>
    <n v="277"/>
    <n v="1"/>
    <n v="0"/>
    <n v="21"/>
    <n v="0"/>
    <n v="13"/>
    <s v="mar"/>
  </r>
  <r>
    <x v="149"/>
    <s v="Houston Rockets @ Memphis Grizzlies"/>
    <s v="Houston Rockets"/>
    <n v="113"/>
    <n v="119"/>
    <n v="1"/>
    <s v="Memphis Grizzlies"/>
    <n v="114"/>
    <n v="109"/>
    <n v="0"/>
    <n v="227"/>
    <n v="228"/>
    <n v="1"/>
    <n v="1"/>
    <n v="-10"/>
    <n v="0"/>
    <n v="13"/>
    <s v="mar"/>
  </r>
  <r>
    <x v="149"/>
    <s v="Chicago Bulls @ Oklahoma City Thunder"/>
    <s v="Chicago Bulls"/>
    <n v="108"/>
    <n v="113"/>
    <n v="1"/>
    <s v="Oklahoma City Thunder"/>
    <n v="122"/>
    <n v="131"/>
    <n v="1"/>
    <n v="230"/>
    <n v="244"/>
    <n v="1"/>
    <n v="14"/>
    <n v="18"/>
    <n v="1"/>
    <n v="13"/>
    <s v="mar"/>
  </r>
  <r>
    <x v="149"/>
    <s v="New Orleans Pelicans @ Toronto Raptors"/>
    <s v="New Orleans Pelicans"/>
    <n v="112"/>
    <n v="106"/>
    <n v="0"/>
    <s v="Toronto Raptors"/>
    <n v="119"/>
    <n v="119"/>
    <n v="0"/>
    <n v="231"/>
    <n v="225"/>
    <n v="0"/>
    <n v="7"/>
    <n v="13"/>
    <n v="1"/>
    <n v="13"/>
    <s v="mar"/>
  </r>
  <r>
    <x v="149"/>
    <s v="Utah Jazz @ Denver Nuggets"/>
    <s v="Utah Jazz"/>
    <n v="113"/>
    <n v="129"/>
    <n v="1"/>
    <s v="Denver Nuggets"/>
    <n v="124"/>
    <n v="135"/>
    <n v="1"/>
    <n v="237"/>
    <n v="264"/>
    <n v="1"/>
    <n v="11"/>
    <n v="6"/>
    <n v="1"/>
    <n v="13"/>
    <s v="mar"/>
  </r>
  <r>
    <x v="149"/>
    <s v="Washington Wizards @ Golden State Warriors"/>
    <s v="Washington Wizards"/>
    <n v="109"/>
    <n v="126"/>
    <n v="1"/>
    <s v="Golden State Warriors"/>
    <n v="120"/>
    <n v="131"/>
    <n v="1"/>
    <n v="229"/>
    <n v="257"/>
    <n v="1"/>
    <n v="11"/>
    <n v="5"/>
    <n v="1"/>
    <n v="13"/>
    <s v="mar"/>
  </r>
  <r>
    <x v="149"/>
    <s v="Dallas Mavericks @ Portland Trail Blazers"/>
    <s v="Dallas Mavericks"/>
    <n v="118"/>
    <n v="100"/>
    <n v="0"/>
    <s v="Portland Trail Blazers"/>
    <n v="120"/>
    <n v="93"/>
    <n v="0"/>
    <n v="238"/>
    <n v="193"/>
    <n v="0"/>
    <n v="2"/>
    <n v="-7"/>
    <n v="0"/>
    <n v="13"/>
    <s v="mar"/>
  </r>
  <r>
    <x v="149"/>
    <s v="Brooklyn Nets @ Los Angeles Lakers"/>
    <s v="Brooklyn Nets"/>
    <n v="113"/>
    <n v="99"/>
    <n v="0"/>
    <s v="Los Angeles Lakers"/>
    <n v="116"/>
    <n v="116"/>
    <n v="0"/>
    <n v="229"/>
    <n v="215"/>
    <n v="0"/>
    <n v="3"/>
    <n v="17"/>
    <n v="1"/>
    <n v="13"/>
    <s v="mar"/>
  </r>
  <r>
    <x v="150"/>
    <s v="San Antonio Spurs @ Milwaukee Bucks"/>
    <s v="San Antonio Spurs"/>
    <n v="115"/>
    <n v="127"/>
    <n v="1"/>
    <s v="Milwaukee Bucks"/>
    <n v="114"/>
    <n v="95"/>
    <n v="0"/>
    <n v="229"/>
    <n v="222"/>
    <n v="0"/>
    <n v="-1"/>
    <n v="-32"/>
    <n v="1"/>
    <n v="13"/>
    <s v="mar"/>
  </r>
  <r>
    <x v="150"/>
    <s v="Detroit Pistons @ Minnesota Timberwolves"/>
    <s v="Detroit Pistons"/>
    <n v="114"/>
    <n v="109"/>
    <n v="0"/>
    <s v="Minnesota Timberwolves"/>
    <n v="116"/>
    <n v="87"/>
    <n v="0"/>
    <n v="230"/>
    <n v="196"/>
    <n v="0"/>
    <n v="2"/>
    <n v="-22"/>
    <n v="0"/>
    <n v="13"/>
    <s v="mar"/>
  </r>
  <r>
    <x v="150"/>
    <s v="Philadelphia 76ers @ Charlotte Hornets"/>
    <s v="Philadelphia 76ers"/>
    <n v="118"/>
    <n v="118"/>
    <n v="0"/>
    <s v="Charlotte Hornets"/>
    <n v="115"/>
    <n v="114"/>
    <n v="0"/>
    <n v="233"/>
    <n v="232"/>
    <n v="0"/>
    <n v="-3"/>
    <n v="-4"/>
    <n v="1"/>
    <n v="13"/>
    <s v="mar"/>
  </r>
  <r>
    <x v="150"/>
    <s v="Sacramento Kings @ Atlanta Hawks"/>
    <s v="Sacramento Kings"/>
    <n v="117"/>
    <n v="113"/>
    <n v="0"/>
    <s v="Atlanta Hawks"/>
    <n v="116"/>
    <n v="123"/>
    <n v="1"/>
    <n v="233"/>
    <n v="236"/>
    <n v="1"/>
    <n v="-1"/>
    <n v="10"/>
    <n v="0"/>
    <n v="13"/>
    <s v="mar"/>
  </r>
  <r>
    <x v="150"/>
    <s v="Chicago Bulls @ Memphis Grizzlies"/>
    <s v="Chicago Bulls"/>
    <n v="114"/>
    <n v="124"/>
    <n v="1"/>
    <s v="Memphis Grizzlies"/>
    <n v="118"/>
    <n v="125"/>
    <n v="1"/>
    <n v="232"/>
    <n v="249"/>
    <n v="1"/>
    <n v="4"/>
    <n v="1"/>
    <n v="1"/>
    <n v="13"/>
    <s v="mar"/>
  </r>
  <r>
    <x v="150"/>
    <s v="Utah Jazz @ Phoenix Suns"/>
    <s v="Utah Jazz"/>
    <n v="110"/>
    <n v="109"/>
    <n v="0"/>
    <s v="Phoenix Suns"/>
    <n v="119"/>
    <n v="134"/>
    <n v="1"/>
    <n v="229"/>
    <n v="243"/>
    <n v="1"/>
    <n v="9"/>
    <n v="25"/>
    <n v="1"/>
    <n v="13"/>
    <s v="mar"/>
  </r>
  <r>
    <x v="151"/>
    <s v="LA Clippers @ Milwaukee Bucks"/>
    <s v="LA Clippers"/>
    <n v="111"/>
    <n v="127"/>
    <n v="1"/>
    <s v="Milwaukee Bucks"/>
    <n v="109"/>
    <n v="113"/>
    <n v="1"/>
    <n v="220"/>
    <n v="240"/>
    <n v="1"/>
    <n v="-2"/>
    <n v="-14"/>
    <n v="1"/>
    <n v="13"/>
    <s v="mar"/>
  </r>
  <r>
    <x v="151"/>
    <s v="Miami Heat @ Indiana Pacers"/>
    <s v="Miami Heat"/>
    <n v="116"/>
    <n v="118"/>
    <n v="1"/>
    <s v="Indiana Pacers"/>
    <n v="114"/>
    <n v="135"/>
    <n v="1"/>
    <n v="230"/>
    <n v="253"/>
    <n v="1"/>
    <n v="-2"/>
    <n v="17"/>
    <n v="0"/>
    <n v="13"/>
    <s v="mar"/>
  </r>
  <r>
    <x v="151"/>
    <s v="Sacramento Kings @ Brooklyn Nets"/>
    <s v="Sacramento Kings"/>
    <n v="111"/>
    <n v="99"/>
    <n v="0"/>
    <s v="Brooklyn Nets"/>
    <n v="114"/>
    <n v="116"/>
    <n v="1"/>
    <n v="225"/>
    <n v="215"/>
    <n v="0"/>
    <n v="3"/>
    <n v="17"/>
    <n v="1"/>
    <n v="13"/>
    <s v="mar"/>
  </r>
  <r>
    <x v="151"/>
    <s v="Boston Celtics @ Charlotte Hornets"/>
    <s v="Boston Celtics"/>
    <n v="114"/>
    <n v="114"/>
    <n v="0"/>
    <s v="Charlotte Hornets"/>
    <n v="108"/>
    <n v="99"/>
    <n v="0"/>
    <n v="222"/>
    <n v="213"/>
    <n v="0"/>
    <n v="-6"/>
    <n v="-15"/>
    <n v="1"/>
    <n v="13"/>
    <s v="mar"/>
  </r>
  <r>
    <x v="151"/>
    <s v="Orlando Magic @ Toronto Raptors"/>
    <s v="Orlando Magic"/>
    <n v="109"/>
    <n v="87"/>
    <n v="0"/>
    <s v="Toronto Raptors"/>
    <n v="116"/>
    <n v="139"/>
    <n v="1"/>
    <n v="225"/>
    <n v="226"/>
    <n v="1"/>
    <n v="7"/>
    <n v="52"/>
    <n v="1"/>
    <n v="13"/>
    <s v="mar"/>
  </r>
  <r>
    <x v="151"/>
    <s v="Washington Wizards @ Portland Trail Blazers"/>
    <s v="Washington Wizards"/>
    <n v="117"/>
    <n v="88"/>
    <n v="0"/>
    <s v="Portland Trail Blazers"/>
    <n v="122"/>
    <n v="123"/>
    <n v="1"/>
    <n v="239"/>
    <n v="211"/>
    <n v="0"/>
    <n v="5"/>
    <n v="35"/>
    <n v="1"/>
    <n v="13"/>
    <s v="mar"/>
  </r>
  <r>
    <x v="151"/>
    <s v="Houston Rockets @ New Orleans Pelicans"/>
    <s v="Houston Rockets"/>
    <n v="118"/>
    <n v="134"/>
    <n v="1"/>
    <s v="New Orleans Pelicans"/>
    <n v="115"/>
    <n v="102"/>
    <n v="0"/>
    <n v="233"/>
    <n v="236"/>
    <n v="1"/>
    <n v="-3"/>
    <n v="-32"/>
    <n v="1"/>
    <n v="13"/>
    <s v="mar"/>
  </r>
  <r>
    <x v="151"/>
    <s v="New York Knicks @ Oklahoma City Thunder"/>
    <s v="New York Knicks"/>
    <n v="112"/>
    <n v="100"/>
    <n v="0"/>
    <s v="Oklahoma City Thunder"/>
    <n v="115"/>
    <n v="111"/>
    <n v="0"/>
    <n v="227"/>
    <n v="211"/>
    <n v="0"/>
    <n v="3"/>
    <n v="11"/>
    <n v="1"/>
    <n v="13"/>
    <s v="mar"/>
  </r>
  <r>
    <x v="151"/>
    <s v="Golden State Warriors @ Denver Nuggets"/>
    <s v="Golden State Warriors"/>
    <n v="114"/>
    <n v="93"/>
    <n v="0"/>
    <s v="Denver Nuggets"/>
    <n v="118"/>
    <n v="116"/>
    <n v="0"/>
    <n v="232"/>
    <n v="209"/>
    <n v="0"/>
    <n v="4"/>
    <n v="23"/>
    <n v="1"/>
    <n v="13"/>
    <s v="mar"/>
  </r>
  <r>
    <x v="152"/>
    <s v="Philadelphia 76ers @ Miami Heat"/>
    <s v="Philadelphia 76ers"/>
    <n v="115"/>
    <n v="109"/>
    <n v="0"/>
    <s v="Miami Heat"/>
    <n v="116"/>
    <n v="119"/>
    <n v="1"/>
    <n v="231"/>
    <n v="228"/>
    <n v="0"/>
    <n v="1"/>
    <n v="10"/>
    <n v="1"/>
    <n v="14"/>
    <s v="mar"/>
  </r>
  <r>
    <x v="152"/>
    <s v="Boston Celtics @ Atlanta Hawks"/>
    <s v="Boston Celtics"/>
    <n v="113"/>
    <n v="102"/>
    <n v="0"/>
    <s v="Atlanta Hawks"/>
    <n v="111"/>
    <n v="112"/>
    <n v="1"/>
    <n v="224"/>
    <n v="214"/>
    <n v="0"/>
    <n v="-2"/>
    <n v="10"/>
    <n v="0"/>
    <n v="14"/>
    <s v="mar"/>
  </r>
  <r>
    <x v="152"/>
    <s v="Phoenix Suns @ Memphis Grizzlies"/>
    <s v="Phoenix Suns"/>
    <n v="113"/>
    <n v="131"/>
    <n v="1"/>
    <s v="Memphis Grizzlies"/>
    <n v="116"/>
    <n v="105"/>
    <n v="0"/>
    <n v="229"/>
    <n v="236"/>
    <n v="1"/>
    <n v="3"/>
    <n v="-26"/>
    <n v="0"/>
    <n v="14"/>
    <s v="mar"/>
  </r>
  <r>
    <x v="152"/>
    <s v="Chicago Bulls @ San Antonio Spurs"/>
    <s v="Chicago Bulls"/>
    <n v="114"/>
    <n v="114"/>
    <n v="0"/>
    <s v="San Antonio Spurs"/>
    <n v="128"/>
    <n v="129"/>
    <n v="1"/>
    <n v="242"/>
    <n v="243"/>
    <n v="1"/>
    <n v="14"/>
    <n v="15"/>
    <n v="1"/>
    <n v="14"/>
    <s v="mar"/>
  </r>
  <r>
    <x v="152"/>
    <s v="Minnesota Timberwolves @ Dallas Mavericks"/>
    <s v="Minnesota Timberwolves"/>
    <n v="117"/>
    <n v="124"/>
    <n v="1"/>
    <s v="Dallas Mavericks"/>
    <n v="118"/>
    <n v="94"/>
    <n v="0"/>
    <n v="235"/>
    <n v="218"/>
    <n v="0"/>
    <n v="1"/>
    <n v="-30"/>
    <n v="0"/>
    <n v="14"/>
    <s v="mar"/>
  </r>
  <r>
    <x v="152"/>
    <s v="Cleveland Cavaliers @ Utah Jazz"/>
    <s v="Cleveland Cavaliers"/>
    <n v="117"/>
    <n v="122"/>
    <n v="1"/>
    <s v="Utah Jazz"/>
    <n v="117"/>
    <n v="113"/>
    <n v="0"/>
    <n v="234"/>
    <n v="235"/>
    <n v="1"/>
    <n v="0"/>
    <n v="-9"/>
    <n v="0"/>
    <n v="14"/>
    <s v="mar"/>
  </r>
  <r>
    <x v="152"/>
    <s v="Detroit Pistons @ Oklahoma City Thunder"/>
    <s v="Detroit Pistons"/>
    <n v="113"/>
    <n v="110"/>
    <n v="0"/>
    <s v="Oklahoma City Thunder"/>
    <n v="118"/>
    <n v="114"/>
    <n v="0"/>
    <n v="231"/>
    <n v="224"/>
    <n v="0"/>
    <n v="5"/>
    <n v="4"/>
    <n v="1"/>
    <n v="14"/>
    <s v="mar"/>
  </r>
  <r>
    <x v="152"/>
    <s v="Washington Wizards @ Los Angeles Lakers"/>
    <s v="Washington Wizards"/>
    <n v="111"/>
    <n v="101"/>
    <n v="0"/>
    <s v="Los Angeles Lakers"/>
    <n v="123"/>
    <n v="120"/>
    <n v="0"/>
    <n v="234"/>
    <n v="221"/>
    <n v="0"/>
    <n v="12"/>
    <n v="19"/>
    <n v="1"/>
    <n v="14"/>
    <s v="mar"/>
  </r>
  <r>
    <x v="153"/>
    <s v="Phoenix Suns @ Orlando Magic"/>
    <s v="Phoenix Suns"/>
    <n v="112"/>
    <n v="111"/>
    <n v="0"/>
    <s v="Orlando Magic"/>
    <n v="111"/>
    <n v="115"/>
    <n v="1"/>
    <n v="223"/>
    <n v="226"/>
    <n v="1"/>
    <n v="-1"/>
    <n v="4"/>
    <n v="0"/>
    <n v="14"/>
    <s v="mar"/>
  </r>
  <r>
    <x v="153"/>
    <s v="Charlotte Hornets @ Brooklyn Nets"/>
    <s v="Charlotte Hornets"/>
    <n v="112"/>
    <n v="117"/>
    <n v="1"/>
    <s v="Brooklyn Nets"/>
    <n v="111"/>
    <n v="86"/>
    <n v="0"/>
    <n v="223"/>
    <n v="203"/>
    <n v="0"/>
    <n v="-1"/>
    <n v="-31"/>
    <n v="1"/>
    <n v="14"/>
    <s v="mar"/>
  </r>
  <r>
    <x v="153"/>
    <s v="Toronto Raptors @ Detroit Pistons"/>
    <s v="Toronto Raptors"/>
    <n v="115"/>
    <n v="116"/>
    <n v="1"/>
    <s v="Detroit Pistons"/>
    <n v="113"/>
    <n v="127"/>
    <n v="1"/>
    <n v="228"/>
    <n v="243"/>
    <n v="1"/>
    <n v="-2"/>
    <n v="11"/>
    <n v="0"/>
    <n v="14"/>
    <s v="mar"/>
  </r>
  <r>
    <x v="153"/>
    <s v="New York Knicks @ Houston Rockets"/>
    <s v="New York Knicks"/>
    <n v="111"/>
    <n v="94"/>
    <n v="0"/>
    <s v="Houston Rockets"/>
    <n v="108"/>
    <n v="111"/>
    <n v="1"/>
    <n v="219"/>
    <n v="205"/>
    <n v="0"/>
    <n v="-3"/>
    <n v="17"/>
    <n v="0"/>
    <n v="14"/>
    <s v="mar"/>
  </r>
  <r>
    <x v="153"/>
    <s v="Dallas Mavericks @ Milwaukee Bucks"/>
    <s v="Dallas Mavericks"/>
    <n v="108"/>
    <n v="99"/>
    <n v="0"/>
    <s v="Milwaukee Bucks"/>
    <n v="116"/>
    <n v="123"/>
    <n v="1"/>
    <n v="224"/>
    <n v="222"/>
    <n v="0"/>
    <n v="8"/>
    <n v="24"/>
    <n v="1"/>
    <n v="14"/>
    <s v="mar"/>
  </r>
  <r>
    <x v="153"/>
    <s v="Cleveland Cavaliers @ Los Angeles Lakers"/>
    <s v="Cleveland Cavaliers"/>
    <n v="116"/>
    <n v="113"/>
    <n v="0"/>
    <s v="Los Angeles Lakers"/>
    <n v="118"/>
    <n v="127"/>
    <n v="1"/>
    <n v="234"/>
    <n v="240"/>
    <n v="1"/>
    <n v="2"/>
    <n v="14"/>
    <n v="1"/>
    <n v="14"/>
    <s v="mar"/>
  </r>
  <r>
    <x v="153"/>
    <s v="Portland Trail Blazers @ LA Clippers"/>
    <s v="Portland Trail Blazers"/>
    <n v="112"/>
    <n v="114"/>
    <n v="1"/>
    <s v="LA Clippers"/>
    <n v="119"/>
    <n v="104"/>
    <n v="0"/>
    <n v="231"/>
    <n v="218"/>
    <n v="0"/>
    <n v="7"/>
    <n v="-10"/>
    <n v="0"/>
    <n v="14"/>
    <s v="mar"/>
  </r>
  <r>
    <x v="154"/>
    <s v="Philadelphia 76ers @ Washington Wizards"/>
    <s v="Philadelphia 76ers"/>
    <n v="118"/>
    <n v="153"/>
    <n v="1"/>
    <s v="Washington Wizards"/>
    <n v="115"/>
    <n v="131"/>
    <n v="1"/>
    <n v="233"/>
    <n v="284"/>
    <n v="1"/>
    <n v="-3"/>
    <n v="-22"/>
    <n v="1"/>
    <n v="14"/>
    <s v="abr"/>
  </r>
  <r>
    <x v="154"/>
    <s v="Atlanta Hawks @ Orlando Magic"/>
    <s v="Atlanta Hawks"/>
    <n v="115"/>
    <n v="130"/>
    <n v="1"/>
    <s v="Orlando Magic"/>
    <n v="113"/>
    <n v="101"/>
    <n v="0"/>
    <n v="228"/>
    <n v="231"/>
    <n v="1"/>
    <n v="-2"/>
    <n v="-29"/>
    <n v="1"/>
    <n v="14"/>
    <s v="abr"/>
  </r>
  <r>
    <x v="154"/>
    <s v="Boston Celtics @ Miami Heat"/>
    <s v="Boston Celtics"/>
    <n v="111"/>
    <n v="147"/>
    <n v="1"/>
    <s v="Miami Heat"/>
    <n v="108"/>
    <n v="129"/>
    <n v="1"/>
    <n v="219"/>
    <n v="276"/>
    <n v="1"/>
    <n v="-3"/>
    <n v="-18"/>
    <n v="1"/>
    <n v="14"/>
    <s v="abr"/>
  </r>
  <r>
    <x v="154"/>
    <s v="New York Knicks @ Memphis Grizzlies"/>
    <s v="New York Knicks"/>
    <n v="110"/>
    <n v="130"/>
    <n v="1"/>
    <s v="Memphis Grizzlies"/>
    <n v="112"/>
    <n v="119"/>
    <n v="1"/>
    <n v="222"/>
    <n v="249"/>
    <n v="1"/>
    <n v="2"/>
    <n v="-11"/>
    <n v="0"/>
    <n v="14"/>
    <s v="abr"/>
  </r>
  <r>
    <x v="154"/>
    <s v="Sacramento Kings @ Toronto Raptors"/>
    <s v="Sacramento Kings"/>
    <n v="110"/>
    <n v="123"/>
    <n v="1"/>
    <s v="Toronto Raptors"/>
    <n v="119"/>
    <n v="115"/>
    <n v="0"/>
    <n v="229"/>
    <n v="238"/>
    <n v="1"/>
    <n v="9"/>
    <n v="-8"/>
    <n v="0"/>
    <n v="14"/>
    <s v="abr"/>
  </r>
  <r>
    <x v="154"/>
    <s v="Indiana Pacers @ Chicago Bulls"/>
    <s v="Indiana Pacers"/>
    <n v="118"/>
    <n v="145"/>
    <n v="1"/>
    <s v="Chicago Bulls"/>
    <n v="118"/>
    <n v="126"/>
    <n v="1"/>
    <n v="236"/>
    <n v="271"/>
    <n v="1"/>
    <n v="0"/>
    <n v="-19"/>
    <n v="0"/>
    <n v="14"/>
    <s v="abr"/>
  </r>
  <r>
    <x v="154"/>
    <s v="Milwaukee Bucks @ Houston Rockets"/>
    <s v="Milwaukee Bucks"/>
    <n v="110"/>
    <n v="113"/>
    <n v="1"/>
    <s v="Houston Rockets"/>
    <n v="119"/>
    <n v="119"/>
    <n v="0"/>
    <n v="229"/>
    <n v="232"/>
    <n v="1"/>
    <n v="9"/>
    <n v="6"/>
    <n v="1"/>
    <n v="14"/>
    <s v="abr"/>
  </r>
  <r>
    <x v="154"/>
    <s v="Denver Nuggets @ Utah Jazz"/>
    <s v="Denver Nuggets"/>
    <n v="120"/>
    <n v="130"/>
    <n v="1"/>
    <s v="Utah Jazz"/>
    <n v="117"/>
    <n v="117"/>
    <n v="0"/>
    <n v="237"/>
    <n v="247"/>
    <n v="1"/>
    <n v="-3"/>
    <n v="-13"/>
    <n v="1"/>
    <n v="14"/>
    <s v="abr"/>
  </r>
  <r>
    <x v="154"/>
    <s v="San Antonio Spurs @ Golden State Warriors"/>
    <s v="San Antonio Spurs"/>
    <n v="116"/>
    <n v="127"/>
    <n v="1"/>
    <s v="Golden State Warriors"/>
    <n v="117"/>
    <n v="113"/>
    <n v="0"/>
    <n v="233"/>
    <n v="240"/>
    <n v="1"/>
    <n v="1"/>
    <n v="-14"/>
    <n v="0"/>
    <n v="14"/>
    <s v="abr"/>
  </r>
  <r>
    <x v="155"/>
    <s v="Phoenix Suns @ Charlotte Hornets"/>
    <s v="Phoenix Suns"/>
    <n v="116"/>
    <n v="107"/>
    <n v="0"/>
    <s v="Charlotte Hornets"/>
    <n v="112"/>
    <n v="127"/>
    <n v="1"/>
    <n v="228"/>
    <n v="234"/>
    <n v="1"/>
    <n v="-4"/>
    <n v="20"/>
    <n v="0"/>
    <n v="14"/>
    <s v="abr"/>
  </r>
  <r>
    <x v="155"/>
    <s v="Minnesota Timberwolves @ Detroit Pistons"/>
    <s v="Minnesota Timberwolves"/>
    <n v="117"/>
    <n v="108"/>
    <n v="0"/>
    <s v="Detroit Pistons"/>
    <n v="117"/>
    <n v="113"/>
    <n v="0"/>
    <n v="234"/>
    <n v="221"/>
    <n v="0"/>
    <n v="0"/>
    <n v="5"/>
    <n v="0"/>
    <n v="14"/>
    <s v="abr"/>
  </r>
  <r>
    <x v="155"/>
    <s v="Los Angeles Lakers @ Oklahoma City Thunder"/>
    <s v="Los Angeles Lakers"/>
    <n v="112"/>
    <n v="96"/>
    <n v="0"/>
    <s v="Oklahoma City Thunder"/>
    <n v="121"/>
    <n v="139"/>
    <n v="1"/>
    <n v="233"/>
    <n v="235"/>
    <n v="1"/>
    <n v="9"/>
    <n v="43"/>
    <n v="1"/>
    <n v="14"/>
    <s v="abr"/>
  </r>
  <r>
    <x v="155"/>
    <s v="Cleveland Cavaliers @ Golden State Warriors"/>
    <s v="Cleveland Cavaliers"/>
    <n v="112"/>
    <n v="118"/>
    <n v="1"/>
    <s v="Golden State Warriors"/>
    <n v="115"/>
    <n v="111"/>
    <n v="0"/>
    <n v="227"/>
    <n v="229"/>
    <n v="1"/>
    <n v="3"/>
    <n v="-7"/>
    <n v="0"/>
    <n v="14"/>
    <s v="abr"/>
  </r>
  <r>
    <x v="155"/>
    <s v="New Orleans Pelicans @ Portland Trail Blazers"/>
    <s v="New Orleans Pelicans"/>
    <n v="120"/>
    <n v="106"/>
    <n v="0"/>
    <s v="Portland Trail Blazers"/>
    <n v="120"/>
    <n v="118"/>
    <n v="0"/>
    <n v="240"/>
    <n v="224"/>
    <n v="0"/>
    <n v="0"/>
    <n v="12"/>
    <n v="0"/>
    <n v="14"/>
    <s v="abr"/>
  </r>
  <r>
    <x v="155"/>
    <s v="San Antonio Spurs @ LA Clippers"/>
    <s v="San Antonio Spurs"/>
    <n v="113"/>
    <n v="118"/>
    <n v="1"/>
    <s v="LA Clippers"/>
    <n v="116"/>
    <n v="99"/>
    <n v="0"/>
    <n v="229"/>
    <n v="217"/>
    <n v="0"/>
    <n v="3"/>
    <n v="-19"/>
    <n v="0"/>
    <n v="14"/>
    <s v="abr"/>
  </r>
  <r>
    <x v="156"/>
    <s v="Indiana Pacers @ Charlotte Hornets"/>
    <s v="Indiana Pacers"/>
    <n v="117"/>
    <n v="108"/>
    <n v="0"/>
    <s v="Charlotte Hornets"/>
    <n v="116"/>
    <n v="129"/>
    <n v="1"/>
    <n v="233"/>
    <n v="237"/>
    <n v="1"/>
    <n v="-1"/>
    <n v="21"/>
    <n v="0"/>
    <n v="14"/>
    <s v="abr"/>
  </r>
  <r>
    <x v="156"/>
    <s v="Minnesota Timberwolves @ Philadelphia 76ers"/>
    <s v="Minnesota Timberwolves"/>
    <n v="114"/>
    <n v="103"/>
    <n v="0"/>
    <s v="Philadelphia 76ers"/>
    <n v="115"/>
    <n v="115"/>
    <n v="0"/>
    <n v="229"/>
    <n v="218"/>
    <n v="0"/>
    <n v="1"/>
    <n v="12"/>
    <n v="1"/>
    <n v="14"/>
    <s v="abr"/>
  </r>
  <r>
    <x v="156"/>
    <s v="Atlanta Hawks @ Brooklyn Nets"/>
    <s v="Atlanta Hawks"/>
    <n v="115"/>
    <n v="141"/>
    <n v="1"/>
    <s v="Brooklyn Nets"/>
    <n v="114"/>
    <n v="107"/>
    <n v="0"/>
    <n v="229"/>
    <n v="248"/>
    <n v="1"/>
    <n v="-1"/>
    <n v="-34"/>
    <n v="1"/>
    <n v="14"/>
    <s v="abr"/>
  </r>
  <r>
    <x v="156"/>
    <s v="Chicago Bulls @ New York Knicks"/>
    <s v="Chicago Bulls"/>
    <n v="111"/>
    <n v="96"/>
    <n v="0"/>
    <s v="New York Knicks"/>
    <n v="117"/>
    <n v="136"/>
    <n v="1"/>
    <n v="228"/>
    <n v="232"/>
    <n v="1"/>
    <n v="6"/>
    <n v="40"/>
    <n v="1"/>
    <n v="14"/>
    <s v="abr"/>
  </r>
  <r>
    <x v="156"/>
    <s v="Utah Jazz @ Houston Rockets"/>
    <s v="Utah Jazz"/>
    <n v="112"/>
    <n v="106"/>
    <n v="0"/>
    <s v="Houston Rockets"/>
    <n v="119"/>
    <n v="140"/>
    <n v="1"/>
    <n v="231"/>
    <n v="246"/>
    <n v="1"/>
    <n v="7"/>
    <n v="34"/>
    <n v="1"/>
    <n v="14"/>
    <s v="abr"/>
  </r>
  <r>
    <x v="156"/>
    <s v="Toronto Raptors @ Memphis Grizzlies"/>
    <s v="Toronto Raptors"/>
    <n v="113"/>
    <n v="128"/>
    <n v="1"/>
    <s v="Memphis Grizzlies"/>
    <n v="114"/>
    <n v="96"/>
    <n v="0"/>
    <n v="227"/>
    <n v="224"/>
    <n v="0"/>
    <n v="1"/>
    <n v="-32"/>
    <n v="0"/>
    <n v="14"/>
    <s v="abr"/>
  </r>
  <r>
    <x v="156"/>
    <s v="Boston Celtics @ Milwaukee Bucks"/>
    <s v="Boston Celtics"/>
    <n v="110"/>
    <n v="133"/>
    <n v="1"/>
    <s v="Milwaukee Bucks"/>
    <n v="107"/>
    <n v="101"/>
    <n v="0"/>
    <n v="217"/>
    <n v="234"/>
    <n v="1"/>
    <n v="-3"/>
    <n v="-32"/>
    <n v="1"/>
    <n v="14"/>
    <s v="abr"/>
  </r>
  <r>
    <x v="156"/>
    <s v="Orlando Magic @ Dallas Mavericks"/>
    <s v="Orlando Magic"/>
    <n v="112"/>
    <n v="138"/>
    <n v="1"/>
    <s v="Dallas Mavericks"/>
    <n v="113"/>
    <n v="127"/>
    <n v="1"/>
    <n v="225"/>
    <n v="265"/>
    <n v="1"/>
    <n v="1"/>
    <n v="-11"/>
    <n v="0"/>
    <n v="14"/>
    <s v="abr"/>
  </r>
  <r>
    <x v="156"/>
    <s v="New Orleans Pelicans @ Sacramento Kings"/>
    <s v="New Orleans Pelicans"/>
    <n v="116"/>
    <n v="113"/>
    <n v="0"/>
    <s v="Sacramento Kings"/>
    <n v="120"/>
    <n v="117"/>
    <n v="0"/>
    <n v="236"/>
    <n v="230"/>
    <n v="0"/>
    <n v="4"/>
    <n v="4"/>
    <n v="1"/>
    <n v="14"/>
    <s v="abr"/>
  </r>
  <r>
    <x v="157"/>
    <s v="Washington Wizards @ Miami Heat"/>
    <s v="Washington Wizards"/>
    <n v="110"/>
    <n v="136"/>
    <n v="1"/>
    <s v="Miami Heat"/>
    <n v="121"/>
    <n v="152"/>
    <n v="1"/>
    <n v="231"/>
    <n v="288"/>
    <n v="1"/>
    <n v="11"/>
    <n v="16"/>
    <n v="1"/>
    <n v="14"/>
    <s v="abr"/>
  </r>
  <r>
    <x v="157"/>
    <s v="San Antonio Spurs @ Denver Nuggets"/>
    <s v="San Antonio Spurs"/>
    <n v="115"/>
    <n v="134"/>
    <n v="1"/>
    <s v="Denver Nuggets"/>
    <n v="119"/>
    <n v="136"/>
    <n v="1"/>
    <n v="234"/>
    <n v="270"/>
    <n v="1"/>
    <n v="4"/>
    <n v="2"/>
    <n v="1"/>
    <n v="14"/>
    <s v="abr"/>
  </r>
  <r>
    <x v="157"/>
    <s v="Detroit Pistons @ Philadelphia 76ers"/>
    <s v="Detroit Pistons"/>
    <n v="113"/>
    <n v="116"/>
    <n v="1"/>
    <s v="Philadelphia 76ers"/>
    <n v="112"/>
    <n v="93"/>
    <n v="0"/>
    <n v="225"/>
    <n v="209"/>
    <n v="0"/>
    <n v="-1"/>
    <n v="-23"/>
    <n v="1"/>
    <n v="14"/>
    <s v="abr"/>
  </r>
  <r>
    <x v="158"/>
    <s v="Toronto Raptors @ Boston Celtics"/>
    <s v="Toronto Raptors"/>
    <n v="108"/>
    <n v="101"/>
    <n v="0"/>
    <s v="Boston Celtics"/>
    <n v="116"/>
    <n v="115"/>
    <n v="0"/>
    <n v="224"/>
    <n v="216"/>
    <n v="0"/>
    <n v="8"/>
    <n v="14"/>
    <n v="1"/>
    <n v="14"/>
    <s v="abr"/>
  </r>
  <r>
    <x v="158"/>
    <s v="Washington Wizards @ Brooklyn Nets"/>
    <s v="Washington Wizards"/>
    <n v="107"/>
    <n v="115"/>
    <n v="1"/>
    <s v="Brooklyn Nets"/>
    <n v="116"/>
    <n v="121"/>
    <n v="1"/>
    <n v="223"/>
    <n v="236"/>
    <n v="1"/>
    <n v="9"/>
    <n v="6"/>
    <n v="1"/>
    <n v="14"/>
    <s v="abr"/>
  </r>
  <r>
    <x v="158"/>
    <s v="Phoenix Suns @ Chicago Bulls"/>
    <s v="Phoenix Suns"/>
    <n v="115"/>
    <n v="120"/>
    <n v="1"/>
    <s v="Chicago Bulls"/>
    <n v="114"/>
    <n v="110"/>
    <n v="0"/>
    <n v="229"/>
    <n v="230"/>
    <n v="1"/>
    <n v="-1"/>
    <n v="-10"/>
    <n v="1"/>
    <n v="14"/>
    <s v="abr"/>
  </r>
  <r>
    <x v="158"/>
    <s v="Memphis Grizzlies @ Milwaukee Bucks"/>
    <s v="Memphis Grizzlies"/>
    <n v="111"/>
    <n v="115"/>
    <n v="1"/>
    <s v="Milwaukee Bucks"/>
    <n v="121"/>
    <n v="131"/>
    <n v="1"/>
    <n v="232"/>
    <n v="246"/>
    <n v="1"/>
    <n v="10"/>
    <n v="16"/>
    <n v="1"/>
    <n v="14"/>
    <s v="abr"/>
  </r>
  <r>
    <x v="158"/>
    <s v="Indiana Pacers @ Cleveland Cavaliers"/>
    <s v="Indiana Pacers"/>
    <n v="113"/>
    <n v="108"/>
    <n v="0"/>
    <s v="Cleveland Cavaliers"/>
    <n v="118"/>
    <n v="117"/>
    <n v="0"/>
    <n v="231"/>
    <n v="225"/>
    <n v="0"/>
    <n v="5"/>
    <n v="9"/>
    <n v="1"/>
    <n v="14"/>
    <s v="abr"/>
  </r>
  <r>
    <x v="158"/>
    <s v="Charlotte Hornets @ Minnesota Timberwolves"/>
    <s v="Charlotte Hornets"/>
    <n v="112"/>
    <n v="122"/>
    <n v="1"/>
    <s v="Minnesota Timberwolves"/>
    <n v="117"/>
    <n v="108"/>
    <n v="0"/>
    <n v="229"/>
    <n v="230"/>
    <n v="1"/>
    <n v="5"/>
    <n v="-14"/>
    <n v="0"/>
    <n v="14"/>
    <s v="abr"/>
  </r>
  <r>
    <x v="158"/>
    <s v="Orlando Magic @ New Orleans Pelicans"/>
    <s v="Orlando Magic"/>
    <n v="116"/>
    <n v="112"/>
    <n v="0"/>
    <s v="New Orleans Pelicans"/>
    <n v="117"/>
    <n v="108"/>
    <n v="0"/>
    <n v="233"/>
    <n v="220"/>
    <n v="0"/>
    <n v="1"/>
    <n v="-4"/>
    <n v="0"/>
    <n v="14"/>
    <s v="abr"/>
  </r>
  <r>
    <x v="158"/>
    <s v="Utah Jazz @ Oklahoma City Thunder"/>
    <s v="Utah Jazz"/>
    <n v="108"/>
    <n v="111"/>
    <n v="1"/>
    <s v="Oklahoma City Thunder"/>
    <n v="122"/>
    <n v="146"/>
    <n v="1"/>
    <n v="230"/>
    <n v="257"/>
    <n v="1"/>
    <n v="14"/>
    <n v="35"/>
    <n v="1"/>
    <n v="14"/>
    <s v="abr"/>
  </r>
  <r>
    <x v="158"/>
    <s v="Los Angeles Lakers @ Dallas Mavericks"/>
    <s v="Los Angeles Lakers"/>
    <n v="115"/>
    <n v="128"/>
    <n v="1"/>
    <s v="Dallas Mavericks"/>
    <n v="114"/>
    <n v="134"/>
    <n v="1"/>
    <n v="229"/>
    <n v="262"/>
    <n v="1"/>
    <n v="-1"/>
    <n v="6"/>
    <n v="0"/>
    <n v="14"/>
    <s v="abr"/>
  </r>
  <r>
    <x v="158"/>
    <s v="LA Clippers @ Sacramento Kings"/>
    <s v="LA Clippers"/>
    <n v="119"/>
    <n v="138"/>
    <n v="1"/>
    <s v="Sacramento Kings"/>
    <n v="116"/>
    <n v="109"/>
    <n v="0"/>
    <n v="235"/>
    <n v="247"/>
    <n v="1"/>
    <n v="-3"/>
    <n v="-29"/>
    <n v="1"/>
    <n v="14"/>
    <s v="abr"/>
  </r>
  <r>
    <x v="158"/>
    <s v="Houston Rockets @ Golden State Warriors"/>
    <s v="Houston Rockets"/>
    <n v="114"/>
    <n v="117"/>
    <n v="1"/>
    <s v="Golden State Warriors"/>
    <n v="116"/>
    <n v="116"/>
    <n v="0"/>
    <n v="230"/>
    <n v="233"/>
    <n v="1"/>
    <n v="2"/>
    <n v="-1"/>
    <n v="0"/>
    <n v="14"/>
    <s v="abr"/>
  </r>
  <r>
    <x v="159"/>
    <s v="New York Knicks @ Atlanta Hawks"/>
    <s v="New York Knicks"/>
    <n v="113"/>
    <n v="108"/>
    <n v="0"/>
    <s v="Atlanta Hawks"/>
    <n v="115"/>
    <n v="105"/>
    <n v="0"/>
    <n v="228"/>
    <n v="213"/>
    <n v="0"/>
    <n v="2"/>
    <n v="-3"/>
    <n v="0"/>
    <n v="15"/>
    <s v="abr"/>
  </r>
  <r>
    <x v="159"/>
    <s v="Detroit Pistons @ Orlando Magic"/>
    <s v="Detroit Pistons"/>
    <n v="112"/>
    <n v="107"/>
    <n v="0"/>
    <s v="Orlando Magic"/>
    <n v="109"/>
    <n v="123"/>
    <n v="1"/>
    <n v="221"/>
    <n v="230"/>
    <n v="1"/>
    <n v="-3"/>
    <n v="16"/>
    <n v="0"/>
    <n v="15"/>
    <s v="abr"/>
  </r>
  <r>
    <x v="159"/>
    <s v="Cleveland Cavaliers @ Memphis Grizzlies"/>
    <s v="Cleveland Cavaliers"/>
    <n v="114"/>
    <n v="142"/>
    <n v="1"/>
    <s v="Memphis Grizzlies"/>
    <n v="115"/>
    <n v="126"/>
    <n v="1"/>
    <n v="229"/>
    <n v="268"/>
    <n v="1"/>
    <n v="1"/>
    <n v="-16"/>
    <n v="0"/>
    <n v="15"/>
    <s v="abr"/>
  </r>
  <r>
    <x v="159"/>
    <s v="Philadelphia 76ers @ San Antonio Spurs"/>
    <s v="Philadelphia 76ers"/>
    <n v="115"/>
    <n v="102"/>
    <n v="0"/>
    <s v="San Antonio Spurs"/>
    <n v="119"/>
    <n v="115"/>
    <n v="0"/>
    <n v="234"/>
    <n v="217"/>
    <n v="0"/>
    <n v="4"/>
    <n v="13"/>
    <n v="1"/>
    <n v="15"/>
    <s v="abr"/>
  </r>
  <r>
    <x v="159"/>
    <s v="Portland Trail Blazers @ Denver Nuggets"/>
    <s v="Portland Trail Blazers"/>
    <n v="113"/>
    <n v="132"/>
    <n v="1"/>
    <s v="Denver Nuggets"/>
    <n v="120"/>
    <n v="137"/>
    <n v="1"/>
    <n v="233"/>
    <n v="269"/>
    <n v="1"/>
    <n v="7"/>
    <n v="5"/>
    <n v="1"/>
    <n v="15"/>
    <s v="abr"/>
  </r>
  <r>
    <x v="160"/>
    <s v="Chicago Bulls @ Washington Wizards"/>
    <s v="Chicago Bulls"/>
    <n v="116"/>
    <n v="129"/>
    <n v="1"/>
    <s v="Washington Wizards"/>
    <n v="119"/>
    <n v="98"/>
    <n v="0"/>
    <n v="235"/>
    <n v="227"/>
    <n v="0"/>
    <n v="3"/>
    <n v="-31"/>
    <n v="0"/>
    <n v="15"/>
    <s v="abr"/>
  </r>
  <r>
    <x v="160"/>
    <s v="Minnesota Timberwolves @ Indiana Pacers"/>
    <s v="Minnesota Timberwolves"/>
    <n v="122"/>
    <n v="124"/>
    <n v="1"/>
    <s v="Indiana Pacers"/>
    <n v="113"/>
    <n v="104"/>
    <n v="0"/>
    <n v="235"/>
    <n v="228"/>
    <n v="0"/>
    <n v="-9"/>
    <n v="-20"/>
    <n v="1"/>
    <n v="15"/>
    <s v="abr"/>
  </r>
  <r>
    <x v="160"/>
    <s v="Milwaukee Bucks @ Brooklyn Nets"/>
    <s v="Milwaukee Bucks"/>
    <n v="110"/>
    <n v="90"/>
    <n v="0"/>
    <s v="Brooklyn Nets"/>
    <n v="111"/>
    <n v="96"/>
    <n v="0"/>
    <n v="221"/>
    <n v="186"/>
    <n v="0"/>
    <n v="1"/>
    <n v="6"/>
    <n v="1"/>
    <n v="15"/>
    <s v="abr"/>
  </r>
  <r>
    <x v="160"/>
    <s v="Miami Heat @ Toronto Raptors"/>
    <s v="Miami Heat"/>
    <n v="111"/>
    <n v="95"/>
    <n v="0"/>
    <s v="Toronto Raptors"/>
    <n v="112"/>
    <n v="121"/>
    <n v="1"/>
    <n v="223"/>
    <n v="216"/>
    <n v="0"/>
    <n v="1"/>
    <n v="26"/>
    <n v="1"/>
    <n v="15"/>
    <s v="abr"/>
  </r>
  <r>
    <x v="160"/>
    <s v="Charlotte Hornets @ Boston Celtics"/>
    <s v="Charlotte Hornets"/>
    <n v="102"/>
    <n v="102"/>
    <n v="0"/>
    <s v="Boston Celtics"/>
    <n v="115"/>
    <n v="113"/>
    <n v="0"/>
    <n v="217"/>
    <n v="215"/>
    <n v="0"/>
    <n v="13"/>
    <n v="11"/>
    <n v="1"/>
    <n v="15"/>
    <s v="abr"/>
  </r>
  <r>
    <x v="160"/>
    <s v="Utah Jazz @ New Orleans Pelicans"/>
    <s v="Utah Jazz"/>
    <n v="117"/>
    <n v="137"/>
    <n v="1"/>
    <s v="New Orleans Pelicans"/>
    <n v="123"/>
    <n v="156"/>
    <n v="1"/>
    <n v="240"/>
    <n v="293"/>
    <n v="1"/>
    <n v="6"/>
    <n v="19"/>
    <n v="1"/>
    <n v="15"/>
    <s v="abr"/>
  </r>
  <r>
    <x v="160"/>
    <s v="Sacramento Kings @ Golden State Warriors"/>
    <s v="Sacramento Kings"/>
    <n v="110"/>
    <n v="105"/>
    <n v="0"/>
    <s v="Golden State Warriors"/>
    <n v="122"/>
    <n v="110"/>
    <n v="0"/>
    <n v="232"/>
    <n v="215"/>
    <n v="0"/>
    <n v="12"/>
    <n v="5"/>
    <n v="1"/>
    <n v="15"/>
    <s v="abr"/>
  </r>
  <r>
    <x v="160"/>
    <s v="Oklahoma City Thunder @ Los Angeles Lakers"/>
    <s v="Oklahoma City Thunder"/>
    <n v="116"/>
    <n v="123"/>
    <n v="1"/>
    <s v="Los Angeles Lakers"/>
    <n v="114"/>
    <n v="87"/>
    <n v="0"/>
    <n v="230"/>
    <n v="210"/>
    <n v="0"/>
    <n v="-2"/>
    <n v="-36"/>
    <n v="1"/>
    <n v="15"/>
    <s v="abr"/>
  </r>
  <r>
    <x v="160"/>
    <s v="Dallas Mavericks @ LA Clippers"/>
    <s v="Dallas Mavericks"/>
    <n v="115"/>
    <n v="103"/>
    <n v="0"/>
    <s v="LA Clippers"/>
    <n v="117"/>
    <n v="116"/>
    <n v="0"/>
    <n v="232"/>
    <n v="219"/>
    <n v="0"/>
    <n v="2"/>
    <n v="13"/>
    <n v="1"/>
    <n v="15"/>
    <s v="abr"/>
  </r>
  <r>
    <x v="160"/>
    <s v="Houston Rockets @ Phoenix Suns"/>
    <s v="Houston Rockets"/>
    <n v="112"/>
    <n v="119"/>
    <n v="1"/>
    <s v="Phoenix Suns"/>
    <n v="109"/>
    <n v="105"/>
    <n v="0"/>
    <n v="221"/>
    <n v="224"/>
    <n v="1"/>
    <n v="-3"/>
    <n v="-14"/>
    <n v="1"/>
    <n v="15"/>
    <s v="abr"/>
  </r>
  <r>
    <x v="161"/>
    <s v="Atlanta Hawks @ Cleveland Cavaliers"/>
    <s v="Atlanta Hawks"/>
    <n v="117"/>
    <n v="116"/>
    <n v="0"/>
    <s v="Cleveland Cavaliers"/>
    <n v="120"/>
    <n v="122"/>
    <n v="1"/>
    <n v="237"/>
    <n v="238"/>
    <n v="1"/>
    <n v="3"/>
    <n v="6"/>
    <n v="1"/>
    <n v="15"/>
    <s v="abr"/>
  </r>
  <r>
    <x v="161"/>
    <s v="Minnesota Timberwolves @ Orlando Magic"/>
    <s v="Minnesota Timberwolves"/>
    <n v="116"/>
    <n v="120"/>
    <n v="1"/>
    <s v="Orlando Magic"/>
    <n v="114"/>
    <n v="132"/>
    <n v="1"/>
    <n v="230"/>
    <n v="252"/>
    <n v="1"/>
    <n v="-2"/>
    <n v="12"/>
    <n v="0"/>
    <n v="15"/>
    <s v="abr"/>
  </r>
  <r>
    <x v="161"/>
    <s v="Milwaukee Bucks @ Detroit Pistons"/>
    <s v="Milwaukee Bucks"/>
    <n v="113"/>
    <n v="111"/>
    <n v="0"/>
    <s v="Detroit Pistons"/>
    <n v="116"/>
    <n v="137"/>
    <n v="1"/>
    <n v="229"/>
    <n v="248"/>
    <n v="1"/>
    <n v="3"/>
    <n v="26"/>
    <n v="1"/>
    <n v="15"/>
    <s v="abr"/>
  </r>
  <r>
    <x v="161"/>
    <s v="Memphis Grizzlies @ Denver Nuggets"/>
    <s v="Memphis Grizzlies"/>
    <n v="113"/>
    <n v="119"/>
    <n v="1"/>
    <s v="Denver Nuggets"/>
    <n v="119"/>
    <n v="136"/>
    <n v="1"/>
    <n v="232"/>
    <n v="255"/>
    <n v="1"/>
    <n v="6"/>
    <n v="17"/>
    <n v="1"/>
    <n v="15"/>
    <s v="abr"/>
  </r>
  <r>
    <x v="161"/>
    <s v="Portland Trail Blazers @ San Antonio Spurs"/>
    <s v="Portland Trail Blazers"/>
    <n v="115"/>
    <n v="101"/>
    <n v="0"/>
    <s v="San Antonio Spurs"/>
    <n v="121"/>
    <n v="112"/>
    <n v="0"/>
    <n v="236"/>
    <n v="213"/>
    <n v="0"/>
    <n v="6"/>
    <n v="11"/>
    <n v="1"/>
    <n v="15"/>
    <s v="abr"/>
  </r>
  <r>
    <x v="161"/>
    <s v="Oklahoma City Thunder @ LA Clippers"/>
    <s v="Oklahoma City Thunder"/>
    <n v="113"/>
    <n v="128"/>
    <n v="1"/>
    <s v="LA Clippers"/>
    <n v="111"/>
    <n v="110"/>
    <n v="0"/>
    <n v="224"/>
    <n v="238"/>
    <n v="1"/>
    <n v="-2"/>
    <n v="-18"/>
    <n v="1"/>
    <n v="15"/>
    <s v="abr"/>
  </r>
  <r>
    <x v="161"/>
    <s v="Dallas Mavericks @ Phoenix Suns"/>
    <s v="Dallas Mavericks"/>
    <n v="110"/>
    <n v="107"/>
    <n v="0"/>
    <s v="Phoenix Suns"/>
    <n v="115"/>
    <n v="112"/>
    <n v="0"/>
    <n v="225"/>
    <n v="219"/>
    <n v="0"/>
    <n v="5"/>
    <n v="5"/>
    <n v="1"/>
    <n v="15"/>
    <s v="abr"/>
  </r>
  <r>
    <x v="162"/>
    <s v="Miami Heat @ Toronto Raptors"/>
    <s v="Miami Heat"/>
    <n v="112"/>
    <n v="114"/>
    <n v="1"/>
    <s v="Toronto Raptors"/>
    <n v="114"/>
    <n v="128"/>
    <n v="1"/>
    <n v="226"/>
    <n v="242"/>
    <n v="1"/>
    <n v="2"/>
    <n v="14"/>
    <n v="1"/>
    <n v="15"/>
    <s v="abr"/>
  </r>
  <r>
    <x v="162"/>
    <s v="Chicago Bulls @ Washington Wizards"/>
    <s v="Chicago Bulls"/>
    <n v="117"/>
    <n v="119"/>
    <n v="1"/>
    <s v="Washington Wizards"/>
    <n v="117"/>
    <n v="108"/>
    <n v="0"/>
    <n v="234"/>
    <n v="227"/>
    <n v="0"/>
    <n v="0"/>
    <n v="-11"/>
    <n v="0"/>
    <n v="15"/>
    <s v="abr"/>
  </r>
  <r>
    <x v="162"/>
    <s v="Indiana Pacers @ Brooklyn Nets"/>
    <s v="Indiana Pacers"/>
    <n v="113"/>
    <n v="123"/>
    <n v="1"/>
    <s v="Brooklyn Nets"/>
    <n v="114"/>
    <n v="94"/>
    <n v="0"/>
    <n v="227"/>
    <n v="217"/>
    <n v="0"/>
    <n v="1"/>
    <n v="-29"/>
    <n v="0"/>
    <n v="15"/>
    <s v="abr"/>
  </r>
  <r>
    <x v="162"/>
    <s v="Boston Celtics @ New York Knicks"/>
    <s v="Boston Celtics"/>
    <n v="113"/>
    <n v="106"/>
    <n v="0"/>
    <s v="New York Knicks"/>
    <n v="108"/>
    <n v="112"/>
    <n v="1"/>
    <n v="221"/>
    <n v="218"/>
    <n v="0"/>
    <n v="-5"/>
    <n v="6"/>
    <n v="0"/>
    <n v="15"/>
    <s v="abr"/>
  </r>
  <r>
    <x v="162"/>
    <s v="Philadelphia 76ers @ Houston Rockets"/>
    <s v="Philadelphia 76ers"/>
    <n v="114"/>
    <n v="102"/>
    <n v="0"/>
    <s v="Houston Rockets"/>
    <n v="116"/>
    <n v="113"/>
    <n v="0"/>
    <n v="230"/>
    <n v="215"/>
    <n v="0"/>
    <n v="2"/>
    <n v="11"/>
    <n v="1"/>
    <n v="15"/>
    <s v="abr"/>
  </r>
  <r>
    <x v="162"/>
    <s v="Los Angeles Lakers @ Golden State Warriors"/>
    <s v="Los Angeles Lakers"/>
    <n v="113"/>
    <n v="119"/>
    <n v="1"/>
    <s v="Golden State Warriors"/>
    <n v="116"/>
    <n v="103"/>
    <n v="0"/>
    <n v="229"/>
    <n v="222"/>
    <n v="0"/>
    <n v="3"/>
    <n v="-16"/>
    <n v="0"/>
    <n v="15"/>
    <s v="abr"/>
  </r>
  <r>
    <x v="163"/>
    <s v="Detroit Pistons @ Charlotte Hornets"/>
    <s v="Detroit Pistons"/>
    <n v="114"/>
    <n v="118"/>
    <n v="1"/>
    <s v="Charlotte Hornets"/>
    <n v="111"/>
    <n v="100"/>
    <n v="0"/>
    <n v="225"/>
    <n v="218"/>
    <n v="0"/>
    <n v="-3"/>
    <n v="-18"/>
    <n v="1"/>
    <n v="15"/>
    <s v="abr"/>
  </r>
  <r>
    <x v="163"/>
    <s v="Miami Heat @ Washington Wizards"/>
    <s v="Miami Heat"/>
    <n v="118"/>
    <n v="140"/>
    <n v="1"/>
    <s v="Washington Wizards"/>
    <n v="113"/>
    <n v="117"/>
    <n v="1"/>
    <n v="231"/>
    <n v="257"/>
    <n v="1"/>
    <n v="-5"/>
    <n v="-23"/>
    <n v="1"/>
    <n v="15"/>
    <s v="abr"/>
  </r>
  <r>
    <x v="163"/>
    <s v="Cleveland Cavaliers @ Atlanta Hawks"/>
    <s v="Cleveland Cavaliers"/>
    <n v="117"/>
    <n v="102"/>
    <n v="0"/>
    <s v="Atlanta Hawks"/>
    <n v="118"/>
    <n v="124"/>
    <n v="1"/>
    <n v="235"/>
    <n v="226"/>
    <n v="0"/>
    <n v="1"/>
    <n v="22"/>
    <n v="1"/>
    <n v="15"/>
    <s v="abr"/>
  </r>
  <r>
    <x v="163"/>
    <s v="New Orleans Pelicans @ Boston Celtics"/>
    <s v="New Orleans Pelicans"/>
    <n v="108"/>
    <n v="118"/>
    <n v="1"/>
    <s v="Boston Celtics"/>
    <n v="115"/>
    <n v="144"/>
    <n v="1"/>
    <n v="223"/>
    <n v="262"/>
    <n v="1"/>
    <n v="7"/>
    <n v="26"/>
    <n v="1"/>
    <n v="15"/>
    <s v="abr"/>
  </r>
  <r>
    <x v="163"/>
    <s v="Philadelphia 76ers @ Indiana Pacers"/>
    <s v="Philadelphia 76ers"/>
    <n v="114"/>
    <n v="105"/>
    <n v="0"/>
    <s v="Indiana Pacers"/>
    <n v="113"/>
    <n v="94"/>
    <n v="0"/>
    <n v="227"/>
    <n v="199"/>
    <n v="0"/>
    <n v="-1"/>
    <n v="-11"/>
    <n v="1"/>
    <n v="15"/>
    <s v="abr"/>
  </r>
  <r>
    <x v="163"/>
    <s v="Toronto Raptors @ New York Knicks"/>
    <s v="Toronto Raptors"/>
    <n v="112"/>
    <n v="95"/>
    <n v="0"/>
    <s v="New York Knicks"/>
    <n v="114"/>
    <n v="112"/>
    <n v="0"/>
    <n v="226"/>
    <n v="207"/>
    <n v="0"/>
    <n v="2"/>
    <n v="17"/>
    <n v="1"/>
    <n v="15"/>
    <s v="abr"/>
  </r>
  <r>
    <x v="163"/>
    <s v="Orlando Magic @ Chicago Bulls"/>
    <s v="Orlando Magic"/>
    <n v="114"/>
    <n v="127"/>
    <n v="1"/>
    <s v="Chicago Bulls"/>
    <n v="114"/>
    <n v="103"/>
    <n v="0"/>
    <n v="228"/>
    <n v="230"/>
    <n v="1"/>
    <n v="0"/>
    <n v="-24"/>
    <n v="0"/>
    <n v="15"/>
    <s v="abr"/>
  </r>
  <r>
    <x v="163"/>
    <s v="Brooklyn Nets @ Milwaukee Bucks"/>
    <s v="Brooklyn Nets"/>
    <n v="106"/>
    <n v="108"/>
    <n v="1"/>
    <s v="Milwaukee Bucks"/>
    <n v="117"/>
    <n v="125"/>
    <n v="1"/>
    <n v="223"/>
    <n v="233"/>
    <n v="1"/>
    <n v="11"/>
    <n v="17"/>
    <n v="1"/>
    <n v="15"/>
    <s v="abr"/>
  </r>
  <r>
    <x v="163"/>
    <s v="Dallas Mavericks @ San Antonio Spurs"/>
    <s v="Dallas Mavericks"/>
    <n v="115"/>
    <n v="120"/>
    <n v="1"/>
    <s v="San Antonio Spurs"/>
    <n v="120"/>
    <n v="139"/>
    <n v="1"/>
    <n v="235"/>
    <n v="259"/>
    <n v="1"/>
    <n v="5"/>
    <n v="19"/>
    <n v="1"/>
    <n v="15"/>
    <s v="abr"/>
  </r>
  <r>
    <x v="163"/>
    <s v="Oklahoma City Thunder @ Denver Nuggets"/>
    <s v="Oklahoma City Thunder"/>
    <n v="113"/>
    <n v="107"/>
    <n v="0"/>
    <s v="Denver Nuggets"/>
    <n v="117"/>
    <n v="127"/>
    <n v="1"/>
    <n v="230"/>
    <n v="234"/>
    <n v="1"/>
    <n v="4"/>
    <n v="20"/>
    <n v="1"/>
    <n v="15"/>
    <s v="abr"/>
  </r>
  <r>
    <x v="163"/>
    <s v="Minnesota Timberwolves @ Houston Rockets"/>
    <s v="Minnesota Timberwolves"/>
    <n v="115"/>
    <n v="136"/>
    <n v="1"/>
    <s v="Houston Rockets"/>
    <n v="117"/>
    <n v="132"/>
    <n v="1"/>
    <n v="232"/>
    <n v="268"/>
    <n v="1"/>
    <n v="2"/>
    <n v="-4"/>
    <n v="0"/>
    <n v="15"/>
    <s v="abr"/>
  </r>
  <r>
    <x v="163"/>
    <s v="Memphis Grizzlies @ Utah Jazz"/>
    <s v="Memphis Grizzlies"/>
    <n v="117"/>
    <n v="101"/>
    <n v="0"/>
    <s v="Utah Jazz"/>
    <n v="119"/>
    <n v="147"/>
    <n v="1"/>
    <n v="236"/>
    <n v="248"/>
    <n v="1"/>
    <n v="2"/>
    <n v="46"/>
    <n v="1"/>
    <n v="15"/>
    <s v="abr"/>
  </r>
  <r>
    <x v="163"/>
    <s v="LA Clippers @ Portland Trail Blazers"/>
    <s v="LA Clippers"/>
    <n v="116"/>
    <n v="97"/>
    <n v="0"/>
    <s v="Portland Trail Blazers"/>
    <n v="114"/>
    <n v="116"/>
    <n v="1"/>
    <n v="230"/>
    <n v="213"/>
    <n v="0"/>
    <n v="-2"/>
    <n v="19"/>
    <n v="0"/>
    <n v="15"/>
    <s v="abr"/>
  </r>
  <r>
    <x v="163"/>
    <s v="Golden State Warriors @ Sacramento Kings"/>
    <s v="Golden State Warriors"/>
    <n v="118"/>
    <n v="118"/>
    <n v="0"/>
    <s v="Sacramento Kings"/>
    <n v="115"/>
    <n v="124"/>
    <n v="1"/>
    <n v="233"/>
    <n v="242"/>
    <n v="1"/>
    <n v="-3"/>
    <n v="6"/>
    <n v="0"/>
    <n v="15"/>
    <s v="abr"/>
  </r>
  <r>
    <x v="163"/>
    <s v="Phoenix Suns @ Los Angeles Lakers"/>
    <s v="Phoenix Suns"/>
    <n v="118"/>
    <n v="73"/>
    <n v="0"/>
    <s v="Los Angeles Lakers"/>
    <n v="116"/>
    <n v="101"/>
    <n v="0"/>
    <n v="234"/>
    <n v="174"/>
    <n v="0"/>
    <n v="-2"/>
    <n v="28"/>
    <n v="0"/>
    <n v="15"/>
    <s v="abr"/>
  </r>
  <r>
    <x v="164"/>
    <s v="Orlando Magic @ Boston Celtics"/>
    <s v="Orlando Magic"/>
    <n v="109"/>
    <n v="108"/>
    <n v="0"/>
    <s v="Boston Celtics"/>
    <n v="117"/>
    <n v="113"/>
    <n v="0"/>
    <n v="226"/>
    <n v="221"/>
    <n v="0"/>
    <n v="8"/>
    <n v="5"/>
    <n v="1"/>
    <n v="15"/>
    <s v="abr"/>
  </r>
  <r>
    <x v="164"/>
    <s v="Washington Wizards @ Cleveland Cavaliers"/>
    <s v="Washington Wizards"/>
    <n v="111"/>
    <n v="117"/>
    <n v="1"/>
    <s v="Cleveland Cavaliers"/>
    <n v="122"/>
    <n v="130"/>
    <n v="1"/>
    <n v="233"/>
    <n v="247"/>
    <n v="1"/>
    <n v="11"/>
    <n v="13"/>
    <n v="1"/>
    <n v="15"/>
    <s v="abr"/>
  </r>
  <r>
    <x v="164"/>
    <s v="Detroit Pistons @ Indiana Pacers"/>
    <s v="Detroit Pistons"/>
    <n v="115"/>
    <n v="133"/>
    <n v="1"/>
    <s v="Indiana Pacers"/>
    <n v="112"/>
    <n v="121"/>
    <n v="1"/>
    <n v="227"/>
    <n v="254"/>
    <n v="1"/>
    <n v="-3"/>
    <n v="-12"/>
    <n v="1"/>
    <n v="15"/>
    <s v="abr"/>
  </r>
  <r>
    <x v="164"/>
    <s v="Atlanta Hawks @ Miami Heat"/>
    <s v="Atlanta Hawks"/>
    <n v="116"/>
    <n v="117"/>
    <n v="1"/>
    <s v="Miami Heat"/>
    <n v="118"/>
    <n v="143"/>
    <n v="1"/>
    <n v="234"/>
    <n v="260"/>
    <n v="1"/>
    <n v="2"/>
    <n v="26"/>
    <n v="1"/>
    <n v="15"/>
    <s v="abr"/>
  </r>
  <r>
    <x v="164"/>
    <s v="Charlotte Hornets @ New York Knicks"/>
    <s v="Charlotte Hornets"/>
    <n v="110"/>
    <n v="110"/>
    <n v="0"/>
    <s v="New York Knicks"/>
    <n v="116"/>
    <n v="96"/>
    <n v="0"/>
    <n v="226"/>
    <n v="206"/>
    <n v="0"/>
    <n v="6"/>
    <n v="-14"/>
    <n v="0"/>
    <n v="15"/>
    <s v="abr"/>
  </r>
  <r>
    <x v="164"/>
    <s v="Milwaukee Bucks @ Philadelphia 76ers"/>
    <s v="Milwaukee Bucks"/>
    <n v="111"/>
    <n v="106"/>
    <n v="0"/>
    <s v="Philadelphia 76ers"/>
    <n v="117"/>
    <n v="126"/>
    <n v="1"/>
    <n v="228"/>
    <n v="232"/>
    <n v="1"/>
    <n v="6"/>
    <n v="20"/>
    <n v="1"/>
    <n v="15"/>
    <s v="abr"/>
  </r>
  <r>
    <x v="164"/>
    <s v="Brooklyn Nets @ Toronto Raptors"/>
    <s v="Brooklyn Nets"/>
    <n v="109"/>
    <n v="101"/>
    <n v="0"/>
    <s v="Toronto Raptors"/>
    <n v="114"/>
    <n v="136"/>
    <n v="1"/>
    <n v="223"/>
    <n v="237"/>
    <n v="1"/>
    <n v="5"/>
    <n v="35"/>
    <n v="1"/>
    <n v="15"/>
    <s v="abr"/>
  </r>
  <r>
    <x v="164"/>
    <s v="Chicago Bulls @ Dallas Mavericks"/>
    <s v="Chicago Bulls"/>
    <n v="115"/>
    <n v="128"/>
    <n v="1"/>
    <s v="Dallas Mavericks"/>
    <n v="117"/>
    <n v="149"/>
    <n v="1"/>
    <n v="232"/>
    <n v="277"/>
    <n v="1"/>
    <n v="2"/>
    <n v="21"/>
    <n v="1"/>
    <n v="15"/>
    <s v="abr"/>
  </r>
  <r>
    <x v="164"/>
    <s v="Memphis Grizzlies @ Houston Rockets"/>
    <s v="Memphis Grizzlies"/>
    <n v="111"/>
    <n v="101"/>
    <n v="0"/>
    <s v="Houston Rockets"/>
    <n v="117"/>
    <n v="132"/>
    <n v="1"/>
    <n v="228"/>
    <n v="233"/>
    <n v="1"/>
    <n v="6"/>
    <n v="31"/>
    <n v="1"/>
    <n v="15"/>
    <s v="abr"/>
  </r>
  <r>
    <x v="164"/>
    <s v="New Orleans Pelicans @ Minnesota Timberwolves"/>
    <s v="New Orleans Pelicans"/>
    <n v="113"/>
    <n v="126"/>
    <n v="1"/>
    <s v="Minnesota Timberwolves"/>
    <n v="118"/>
    <n v="132"/>
    <n v="1"/>
    <n v="231"/>
    <n v="258"/>
    <n v="1"/>
    <n v="5"/>
    <n v="6"/>
    <n v="1"/>
    <n v="15"/>
    <s v="abr"/>
  </r>
  <r>
    <x v="164"/>
    <s v="Phoenix Suns @ Oklahoma City Thunder"/>
    <s v="Phoenix Suns"/>
    <n v="112"/>
    <n v="135"/>
    <n v="1"/>
    <s v="Oklahoma City Thunder"/>
    <n v="119"/>
    <n v="103"/>
    <n v="0"/>
    <n v="231"/>
    <n v="238"/>
    <n v="1"/>
    <n v="7"/>
    <n v="-32"/>
    <n v="0"/>
    <n v="15"/>
    <s v="abr"/>
  </r>
  <r>
    <x v="164"/>
    <s v="Denver Nuggets @ San Antonio Spurs"/>
    <s v="Denver Nuggets"/>
    <n v="118"/>
    <n v="128"/>
    <n v="1"/>
    <s v="San Antonio Spurs"/>
    <n v="123"/>
    <n v="118"/>
    <n v="0"/>
    <n v="241"/>
    <n v="246"/>
    <n v="1"/>
    <n v="5"/>
    <n v="-10"/>
    <n v="0"/>
    <n v="15"/>
    <s v="abr"/>
  </r>
  <r>
    <x v="164"/>
    <s v="Utah Jazz @ Los Angeles Lakers"/>
    <s v="Utah Jazz"/>
    <n v="116"/>
    <n v="107"/>
    <n v="0"/>
    <s v="Los Angeles Lakers"/>
    <n v="122"/>
    <n v="131"/>
    <n v="1"/>
    <n v="238"/>
    <n v="238"/>
    <n v="0"/>
    <n v="6"/>
    <n v="24"/>
    <n v="1"/>
    <n v="15"/>
    <s v="abr"/>
  </r>
  <r>
    <x v="164"/>
    <s v="Golden State Warriors @ LA Clippers"/>
    <s v="Golden State Warriors"/>
    <n v="122"/>
    <n v="110"/>
    <n v="0"/>
    <s v="LA Clippers"/>
    <n v="116"/>
    <n v="115"/>
    <n v="0"/>
    <n v="238"/>
    <n v="225"/>
    <n v="0"/>
    <n v="-6"/>
    <n v="5"/>
    <n v="0"/>
    <n v="15"/>
    <s v="abr"/>
  </r>
  <r>
    <x v="164"/>
    <s v="Sacramento Kings @ Portland Trail Blazers"/>
    <s v="Sacramento Kings"/>
    <n v="115"/>
    <n v="110"/>
    <n v="0"/>
    <s v="Portland Trail Blazers"/>
    <n v="121"/>
    <n v="122"/>
    <n v="1"/>
    <n v="236"/>
    <n v="232"/>
    <n v="0"/>
    <n v="6"/>
    <n v="12"/>
    <n v="1"/>
    <n v="15"/>
    <s v="abr"/>
  </r>
  <r>
    <x v="165"/>
    <s v="Miami Heat @ Charlotte Hornets"/>
    <s v="Miami Heat"/>
    <n v="115"/>
    <n v="126"/>
    <n v="1"/>
    <s v="Charlotte Hornets"/>
    <n v="113"/>
    <n v="127"/>
    <n v="1"/>
    <n v="228"/>
    <n v="253"/>
    <n v="1"/>
    <n v="-2"/>
    <n v="1"/>
    <n v="0"/>
    <n v="16"/>
    <s v="abr"/>
  </r>
  <r>
    <x v="165"/>
    <s v="Portland Trail Blazers @ Phoenix Suns"/>
    <s v="Portland Trail Blazers"/>
    <n v="110"/>
    <n v="114"/>
    <n v="1"/>
    <s v="Phoenix Suns"/>
    <n v="117"/>
    <n v="110"/>
    <n v="0"/>
    <n v="227"/>
    <n v="224"/>
    <n v="0"/>
    <n v="7"/>
    <n v="-4"/>
    <n v="0"/>
    <n v="16"/>
    <s v="abr"/>
  </r>
  <r>
    <x v="166"/>
    <s v="Orlando Magic @ Philadelphia 76ers"/>
    <s v="Orlando Magic"/>
    <n v="112"/>
    <n v="97"/>
    <n v="0"/>
    <s v="Philadelphia 76ers"/>
    <n v="116"/>
    <n v="109"/>
    <n v="0"/>
    <n v="228"/>
    <n v="206"/>
    <n v="0"/>
    <n v="4"/>
    <n v="12"/>
    <n v="1"/>
    <n v="16"/>
    <s v="abr"/>
  </r>
  <r>
    <x v="166"/>
    <s v="Golden State Warriors @ LA Clippers"/>
    <s v="Golden State Warriors"/>
    <n v="111"/>
    <n v="126"/>
    <n v="1"/>
    <s v="LA Clippers"/>
    <n v="114"/>
    <n v="121"/>
    <n v="1"/>
    <n v="225"/>
    <n v="247"/>
    <n v="1"/>
    <n v="3"/>
    <n v="-5"/>
    <n v="0"/>
    <n v="16"/>
    <s v="abr"/>
  </r>
  <r>
    <x v="167"/>
    <s v="Charlotte Hornets @ Orlando Magic"/>
    <s v="Charlotte Hornets"/>
    <n v="110"/>
    <n v="90"/>
    <n v="0"/>
    <s v="Orlando Magic"/>
    <n v="113"/>
    <n v="121"/>
    <n v="1"/>
    <n v="223"/>
    <n v="211"/>
    <n v="0"/>
    <n v="3"/>
    <n v="31"/>
    <n v="1"/>
    <n v="16"/>
    <s v="abr"/>
  </r>
  <r>
    <x v="167"/>
    <s v="Golden State Warriors @ Phoenix Suns"/>
    <s v="Golden State Warriors"/>
    <n v="114"/>
    <n v="96"/>
    <n v="0"/>
    <s v="Phoenix Suns"/>
    <n v="115"/>
    <n v="111"/>
    <n v="0"/>
    <n v="229"/>
    <n v="207"/>
    <n v="0"/>
    <n v="1"/>
    <n v="15"/>
    <n v="1"/>
    <n v="16"/>
    <s v="abr"/>
  </r>
  <r>
    <x v="168"/>
    <s v="Toronto Raptors @ Cleveland Cavaliers"/>
    <s v="Toronto Raptors"/>
    <n v="112"/>
    <n v="113"/>
    <n v="1"/>
    <s v="Cleveland Cavaliers"/>
    <n v="115"/>
    <n v="126"/>
    <n v="1"/>
    <n v="227"/>
    <n v="239"/>
    <n v="1"/>
    <n v="3"/>
    <n v="13"/>
    <n v="1"/>
    <n v="16"/>
    <s v="abr"/>
  </r>
  <r>
    <x v="168"/>
    <s v="Minnesota Timberwolves @ Denver Nuggets"/>
    <s v="Minnesota Timberwolves"/>
    <n v="115"/>
    <n v="105"/>
    <n v="0"/>
    <s v="Denver Nuggets"/>
    <n v="118"/>
    <n v="116"/>
    <n v="0"/>
    <n v="233"/>
    <n v="221"/>
    <n v="0"/>
    <n v="3"/>
    <n v="11"/>
    <n v="1"/>
    <n v="16"/>
    <s v="abr"/>
  </r>
  <r>
    <x v="168"/>
    <s v="Atlanta Hawks @ New York Knicks"/>
    <s v="Atlanta Hawks"/>
    <n v="116"/>
    <n v="102"/>
    <n v="0"/>
    <s v="New York Knicks"/>
    <n v="120"/>
    <n v="113"/>
    <n v="0"/>
    <n v="236"/>
    <n v="215"/>
    <n v="0"/>
    <n v="4"/>
    <n v="11"/>
    <n v="1"/>
    <n v="16"/>
    <s v="abr"/>
  </r>
  <r>
    <x v="168"/>
    <s v="Houston Rockets @ Los Angeles Lakers"/>
    <s v="Houston Rockets"/>
    <n v="115"/>
    <n v="98"/>
    <n v="0"/>
    <s v="Los Angeles Lakers"/>
    <n v="118"/>
    <n v="107"/>
    <n v="0"/>
    <n v="233"/>
    <n v="205"/>
    <n v="0"/>
    <n v="3"/>
    <n v="9"/>
    <n v="1"/>
    <n v="16"/>
    <s v="abr"/>
  </r>
  <r>
    <x v="169"/>
    <s v="Philadelphia 76ers @ Boston Celtics"/>
    <s v="Philadelphia 76ers"/>
    <n v="110"/>
    <n v="91"/>
    <n v="0"/>
    <s v="Boston Celtics"/>
    <n v="120"/>
    <n v="123"/>
    <n v="1"/>
    <n v="230"/>
    <n v="214"/>
    <n v="0"/>
    <n v="10"/>
    <n v="32"/>
    <n v="1"/>
    <n v="16"/>
    <s v="abr"/>
  </r>
  <r>
    <x v="169"/>
    <s v="Phoenix Suns @ Oklahoma City Thunder"/>
    <s v="Phoenix Suns"/>
    <n v="112"/>
    <n v="84"/>
    <n v="0"/>
    <s v="Oklahoma City Thunder"/>
    <n v="120"/>
    <n v="119"/>
    <n v="0"/>
    <n v="232"/>
    <n v="203"/>
    <n v="0"/>
    <n v="8"/>
    <n v="35"/>
    <n v="1"/>
    <n v="16"/>
    <s v="abr"/>
  </r>
  <r>
    <x v="169"/>
    <s v="Orlando Magic @ Detroit Pistons"/>
    <s v="Orlando Magic"/>
    <n v="111"/>
    <n v="112"/>
    <n v="1"/>
    <s v="Detroit Pistons"/>
    <n v="117"/>
    <n v="101"/>
    <n v="0"/>
    <n v="228"/>
    <n v="213"/>
    <n v="0"/>
    <n v="6"/>
    <n v="-11"/>
    <n v="0"/>
    <n v="16"/>
    <s v="abr"/>
  </r>
  <r>
    <x v="169"/>
    <s v="Portland Trail Blazers @ San Antonio Spurs"/>
    <s v="Portland Trail Blazers"/>
    <n v="115"/>
    <n v="98"/>
    <n v="0"/>
    <s v="San Antonio Spurs"/>
    <n v="122"/>
    <n v="111"/>
    <n v="0"/>
    <n v="237"/>
    <n v="209"/>
    <n v="0"/>
    <n v="7"/>
    <n v="13"/>
    <n v="1"/>
    <n v="16"/>
    <s v="abr"/>
  </r>
  <r>
    <x v="170"/>
    <s v="Toronto Raptors @ Cleveland Cavaliers"/>
    <s v="Toronto Raptors"/>
    <n v="113"/>
    <n v="105"/>
    <n v="0"/>
    <s v="Cleveland Cavaliers"/>
    <n v="114"/>
    <n v="115"/>
    <n v="1"/>
    <n v="227"/>
    <n v="220"/>
    <n v="0"/>
    <n v="1"/>
    <n v="10"/>
    <n v="1"/>
    <n v="17"/>
    <s v="abr"/>
  </r>
  <r>
    <x v="170"/>
    <s v="Atlanta Hawks @ New York Knicks"/>
    <s v="Atlanta Hawks"/>
    <n v="116"/>
    <n v="107"/>
    <n v="0"/>
    <s v="New York Knicks"/>
    <n v="117"/>
    <n v="106"/>
    <n v="0"/>
    <n v="233"/>
    <n v="213"/>
    <n v="0"/>
    <n v="1"/>
    <n v="-1"/>
    <n v="0"/>
    <n v="17"/>
    <s v="abr"/>
  </r>
  <r>
    <x v="170"/>
    <s v="Minnesota Timberwolves @ Denver Nuggets"/>
    <s v="Minnesota Timberwolves"/>
    <n v="115"/>
    <n v="119"/>
    <n v="1"/>
    <s v="Denver Nuggets"/>
    <n v="118"/>
    <n v="114"/>
    <n v="0"/>
    <n v="233"/>
    <n v="233"/>
    <n v="0"/>
    <n v="3"/>
    <n v="-5"/>
    <n v="0"/>
    <n v="17"/>
    <s v="abr"/>
  </r>
  <r>
    <x v="171"/>
    <s v="Philadelphia 76ers @ Boston Celtics"/>
    <s v="Philadelphia 76ers"/>
    <n v="109"/>
    <n v="111"/>
    <n v="1"/>
    <s v="Boston Celtics"/>
    <n v="119"/>
    <n v="97"/>
    <n v="0"/>
    <n v="228"/>
    <n v="208"/>
    <n v="0"/>
    <n v="10"/>
    <n v="-14"/>
    <n v="0"/>
    <n v="17"/>
    <s v="abr"/>
  </r>
  <r>
    <x v="171"/>
    <s v="Portland Trail Blazers @ San Antonio Spurs"/>
    <s v="Portland Trail Blazers"/>
    <n v="114"/>
    <n v="106"/>
    <n v="0"/>
    <s v="San Antonio Spurs"/>
    <n v="120"/>
    <n v="103"/>
    <n v="0"/>
    <n v="234"/>
    <n v="209"/>
    <n v="0"/>
    <n v="6"/>
    <n v="-3"/>
    <n v="0"/>
    <n v="17"/>
    <s v="abr"/>
  </r>
  <r>
    <x v="171"/>
    <s v="Houston Rockets @ Los Angeles Lakers"/>
    <s v="Houston Rockets"/>
    <n v="114"/>
    <n v="94"/>
    <n v="0"/>
    <s v="Los Angeles Lakers"/>
    <n v="115"/>
    <n v="101"/>
    <n v="0"/>
    <n v="229"/>
    <n v="195"/>
    <n v="0"/>
    <n v="1"/>
    <n v="7"/>
    <n v="1"/>
    <n v="17"/>
    <s v="abr"/>
  </r>
  <r>
    <x v="172"/>
    <s v="Orlando Magic @ Detroit Pistons"/>
    <s v="Orlando Magic"/>
    <n v="111"/>
    <n v="83"/>
    <n v="0"/>
    <s v="Detroit Pistons"/>
    <n v="114"/>
    <n v="98"/>
    <n v="0"/>
    <n v="225"/>
    <n v="181"/>
    <n v="0"/>
    <n v="3"/>
    <n v="15"/>
    <n v="1"/>
    <n v="17"/>
    <s v="abr"/>
  </r>
  <r>
    <x v="172"/>
    <s v="Phoenix Suns @ Oklahoma City Thunder"/>
    <s v="Phoenix Suns"/>
    <n v="110"/>
    <n v="107"/>
    <n v="0"/>
    <s v="Oklahoma City Thunder"/>
    <n v="118"/>
    <n v="120"/>
    <n v="1"/>
    <n v="228"/>
    <n v="227"/>
    <n v="0"/>
    <n v="8"/>
    <n v="13"/>
    <n v="1"/>
    <n v="17"/>
    <s v="abr"/>
  </r>
  <r>
    <x v="173"/>
    <s v="New York Knicks @ Atlanta Hawks"/>
    <s v="New York Knicks"/>
    <n v="113"/>
    <n v="108"/>
    <n v="0"/>
    <s v="Atlanta Hawks"/>
    <n v="114"/>
    <n v="109"/>
    <n v="0"/>
    <n v="227"/>
    <n v="217"/>
    <n v="0"/>
    <n v="1"/>
    <n v="1"/>
    <n v="1"/>
    <n v="17"/>
    <s v="abr"/>
  </r>
  <r>
    <x v="173"/>
    <s v="Cleveland Cavaliers @ Toronto Raptors"/>
    <s v="Cleveland Cavaliers"/>
    <n v="113"/>
    <n v="104"/>
    <n v="0"/>
    <s v="Toronto Raptors"/>
    <n v="113"/>
    <n v="126"/>
    <n v="1"/>
    <n v="226"/>
    <n v="230"/>
    <n v="1"/>
    <n v="0"/>
    <n v="22"/>
    <n v="0"/>
    <n v="17"/>
    <s v="abr"/>
  </r>
  <r>
    <x v="173"/>
    <s v="Denver Nuggets @ Minnesota Timberwolves"/>
    <s v="Denver Nuggets"/>
    <n v="114"/>
    <n v="96"/>
    <n v="0"/>
    <s v="Minnesota Timberwolves"/>
    <n v="114"/>
    <n v="113"/>
    <n v="0"/>
    <n v="228"/>
    <n v="209"/>
    <n v="0"/>
    <n v="0"/>
    <n v="17"/>
    <n v="0"/>
    <n v="17"/>
    <s v="abr"/>
  </r>
  <r>
    <x v="174"/>
    <s v="Boston Celtics @ Philadelphia 76ers"/>
    <s v="Boston Celtics"/>
    <n v="113"/>
    <n v="108"/>
    <n v="0"/>
    <s v="Philadelphia 76ers"/>
    <n v="107"/>
    <n v="100"/>
    <n v="0"/>
    <n v="220"/>
    <n v="208"/>
    <n v="0"/>
    <n v="-6"/>
    <n v="-8"/>
    <n v="1"/>
    <n v="17"/>
    <s v="abr"/>
  </r>
  <r>
    <x v="174"/>
    <s v="Los Angeles Lakers @ Houston Rockets"/>
    <s v="Los Angeles Lakers"/>
    <n v="116"/>
    <n v="112"/>
    <n v="0"/>
    <s v="Houston Rockets"/>
    <n v="116"/>
    <n v="108"/>
    <n v="0"/>
    <n v="232"/>
    <n v="220"/>
    <n v="0"/>
    <n v="0"/>
    <n v="-4"/>
    <n v="0"/>
    <n v="17"/>
    <s v="abr"/>
  </r>
  <r>
    <x v="174"/>
    <s v="San Antonio Spurs @ Portland Trail Blazers"/>
    <s v="San Antonio Spurs"/>
    <n v="122"/>
    <n v="120"/>
    <n v="0"/>
    <s v="Portland Trail Blazers"/>
    <n v="114"/>
    <n v="108"/>
    <n v="0"/>
    <n v="236"/>
    <n v="228"/>
    <n v="0"/>
    <n v="-8"/>
    <n v="-12"/>
    <n v="1"/>
    <n v="17"/>
    <s v="abr"/>
  </r>
  <r>
    <x v="175"/>
    <s v="Detroit Pistons @ Orlando Magic"/>
    <s v="Detroit Pistons"/>
    <n v="114"/>
    <n v="105"/>
    <n v="0"/>
    <s v="Orlando Magic"/>
    <n v="109"/>
    <n v="113"/>
    <n v="1"/>
    <n v="223"/>
    <n v="218"/>
    <n v="0"/>
    <n v="-5"/>
    <n v="8"/>
    <n v="0"/>
    <n v="17"/>
    <s v="abr"/>
  </r>
  <r>
    <x v="175"/>
    <s v="Oklahoma City Thunder @ Phoenix Suns"/>
    <s v="Oklahoma City Thunder"/>
    <n v="112"/>
    <n v="121"/>
    <n v="1"/>
    <s v="Phoenix Suns"/>
    <n v="110"/>
    <n v="109"/>
    <n v="0"/>
    <n v="222"/>
    <n v="230"/>
    <n v="1"/>
    <n v="-2"/>
    <n v="-12"/>
    <n v="1"/>
    <n v="17"/>
    <s v="abr"/>
  </r>
  <r>
    <x v="175"/>
    <s v="New York Knicks @ Atlanta Hawks"/>
    <s v="New York Knicks"/>
    <n v="115"/>
    <n v="114"/>
    <n v="0"/>
    <s v="Atlanta Hawks"/>
    <n v="116"/>
    <n v="98"/>
    <n v="0"/>
    <n v="231"/>
    <n v="212"/>
    <n v="0"/>
    <n v="1"/>
    <n v="-16"/>
    <n v="0"/>
    <n v="17"/>
    <s v="abr"/>
  </r>
  <r>
    <x v="175"/>
    <s v="Denver Nuggets @ Minnesota Timberwolves"/>
    <s v="Denver Nuggets"/>
    <n v="115"/>
    <n v="96"/>
    <n v="0"/>
    <s v="Minnesota Timberwolves"/>
    <n v="116"/>
    <n v="112"/>
    <n v="0"/>
    <n v="231"/>
    <n v="208"/>
    <n v="0"/>
    <n v="1"/>
    <n v="16"/>
    <n v="1"/>
    <n v="17"/>
    <s v="abr"/>
  </r>
  <r>
    <x v="176"/>
    <s v="Cleveland Cavaliers @ Toronto Raptors"/>
    <s v="Cleveland Cavaliers"/>
    <n v="112"/>
    <n v="89"/>
    <n v="0"/>
    <s v="Toronto Raptors"/>
    <n v="115"/>
    <n v="93"/>
    <n v="0"/>
    <n v="227"/>
    <n v="182"/>
    <n v="0"/>
    <n v="3"/>
    <n v="4"/>
    <n v="1"/>
    <n v="17"/>
    <s v="abr"/>
  </r>
  <r>
    <x v="176"/>
    <s v="San Antonio Spurs @ Portland Trail Blazers"/>
    <s v="San Antonio Spurs"/>
    <n v="119"/>
    <n v="114"/>
    <n v="0"/>
    <s v="Portland Trail Blazers"/>
    <n v="116"/>
    <n v="93"/>
    <n v="0"/>
    <n v="235"/>
    <n v="207"/>
    <n v="0"/>
    <n v="-3"/>
    <n v="-21"/>
    <n v="1"/>
    <n v="17"/>
    <s v="abr"/>
  </r>
  <r>
    <x v="176"/>
    <s v="Boston Celtics @ Philadelphia 76ers"/>
    <s v="Boston Celtics"/>
    <n v="113"/>
    <n v="128"/>
    <n v="1"/>
    <s v="Philadelphia 76ers"/>
    <n v="109"/>
    <n v="96"/>
    <n v="0"/>
    <n v="222"/>
    <n v="224"/>
    <n v="1"/>
    <n v="-4"/>
    <n v="-32"/>
    <n v="1"/>
    <n v="17"/>
    <s v="abr"/>
  </r>
  <r>
    <x v="176"/>
    <s v="Los Angeles Lakers @ Houston Rockets"/>
    <s v="Los Angeles Lakers"/>
    <n v="115"/>
    <n v="96"/>
    <n v="0"/>
    <s v="Houston Rockets"/>
    <n v="115"/>
    <n v="115"/>
    <n v="0"/>
    <n v="230"/>
    <n v="211"/>
    <n v="0"/>
    <n v="0"/>
    <n v="19"/>
    <n v="0"/>
    <n v="17"/>
    <s v="abr"/>
  </r>
  <r>
    <x v="177"/>
    <s v="Detroit Pistons @ Orlando Magic"/>
    <s v="Detroit Pistons"/>
    <n v="113"/>
    <n v="88"/>
    <n v="0"/>
    <s v="Orlando Magic"/>
    <n v="109"/>
    <n v="94"/>
    <n v="0"/>
    <n v="222"/>
    <n v="182"/>
    <n v="0"/>
    <n v="-4"/>
    <n v="6"/>
    <n v="0"/>
    <n v="18"/>
    <s v="abr"/>
  </r>
  <r>
    <x v="177"/>
    <s v="Oklahoma City Thunder @ Phoenix Suns"/>
    <s v="Oklahoma City Thunder"/>
    <n v="113"/>
    <n v="131"/>
    <n v="1"/>
    <s v="Phoenix Suns"/>
    <n v="112"/>
    <n v="122"/>
    <n v="1"/>
    <n v="225"/>
    <n v="253"/>
    <n v="1"/>
    <n v="-1"/>
    <n v="-9"/>
    <n v="1"/>
    <n v="18"/>
    <s v="abr"/>
  </r>
  <r>
    <x v="177"/>
    <s v="Minnesota Timberwolves @ Denver Nuggets"/>
    <s v="Minnesota Timberwolves"/>
    <n v="115"/>
    <n v="113"/>
    <n v="0"/>
    <s v="Denver Nuggets"/>
    <n v="118"/>
    <n v="125"/>
    <n v="1"/>
    <n v="233"/>
    <n v="238"/>
    <n v="1"/>
    <n v="3"/>
    <n v="12"/>
    <n v="1"/>
    <n v="18"/>
    <s v="abr"/>
  </r>
  <r>
    <x v="178"/>
    <s v="Philadelphia 76ers @ Boston Celtics"/>
    <s v="Philadelphia 76ers"/>
    <n v="108"/>
    <n v="113"/>
    <n v="1"/>
    <s v="Boston Celtics"/>
    <n v="119"/>
    <n v="97"/>
    <n v="0"/>
    <n v="227"/>
    <n v="210"/>
    <n v="0"/>
    <n v="11"/>
    <n v="-16"/>
    <n v="0"/>
    <n v="18"/>
    <s v="abr"/>
  </r>
  <r>
    <x v="178"/>
    <s v="Atlanta Hawks @ New York Knicks"/>
    <s v="Atlanta Hawks"/>
    <n v="117"/>
    <n v="97"/>
    <n v="0"/>
    <s v="New York Knicks"/>
    <n v="117"/>
    <n v="126"/>
    <n v="1"/>
    <n v="234"/>
    <n v="223"/>
    <n v="0"/>
    <n v="0"/>
    <n v="29"/>
    <n v="0"/>
    <n v="18"/>
    <s v="abr"/>
  </r>
  <r>
    <x v="178"/>
    <s v="Portland Trail Blazers @ San Antonio Spurs"/>
    <s v="Portland Trail Blazers"/>
    <n v="114"/>
    <n v="95"/>
    <n v="0"/>
    <s v="San Antonio Spurs"/>
    <n v="119"/>
    <n v="114"/>
    <n v="0"/>
    <n v="233"/>
    <n v="209"/>
    <n v="0"/>
    <n v="5"/>
    <n v="19"/>
    <n v="1"/>
    <n v="18"/>
    <s v="abr"/>
  </r>
  <r>
    <x v="179"/>
    <s v="Orlando Magic @ Detroit Pistons"/>
    <s v="Orlando Magic"/>
    <n v="111"/>
    <n v="109"/>
    <n v="0"/>
    <s v="Detroit Pistons"/>
    <n v="115"/>
    <n v="116"/>
    <n v="1"/>
    <n v="226"/>
    <n v="225"/>
    <n v="0"/>
    <n v="4"/>
    <n v="7"/>
    <n v="1"/>
    <n v="18"/>
    <s v="abr"/>
  </r>
  <r>
    <x v="179"/>
    <s v="Toronto Raptors @ Cleveland Cavaliers"/>
    <s v="Toronto Raptors"/>
    <n v="112"/>
    <n v="120"/>
    <n v="1"/>
    <s v="Cleveland Cavaliers"/>
    <n v="114"/>
    <n v="125"/>
    <n v="1"/>
    <n v="226"/>
    <n v="245"/>
    <n v="1"/>
    <n v="2"/>
    <n v="5"/>
    <n v="1"/>
    <n v="18"/>
    <s v="abr"/>
  </r>
  <r>
    <x v="179"/>
    <s v="Houston Rockets @ Los Angeles Lakers"/>
    <s v="Houston Rockets"/>
    <n v="114"/>
    <n v="99"/>
    <n v="0"/>
    <s v="Los Angeles Lakers"/>
    <n v="115"/>
    <n v="93"/>
    <n v="0"/>
    <n v="229"/>
    <n v="192"/>
    <n v="0"/>
    <n v="1"/>
    <n v="-6"/>
    <n v="0"/>
    <n v="18"/>
    <s v="abr"/>
  </r>
  <r>
    <x v="180"/>
    <s v="New York Knicks @ Atlanta Hawks"/>
    <s v="New York Knicks"/>
    <n v="115"/>
    <n v="140"/>
    <n v="1"/>
    <s v="Atlanta Hawks"/>
    <n v="116"/>
    <n v="89"/>
    <n v="0"/>
    <n v="231"/>
    <n v="229"/>
    <n v="0"/>
    <n v="1"/>
    <n v="-51"/>
    <n v="0"/>
    <n v="18"/>
    <s v="abr"/>
  </r>
  <r>
    <x v="180"/>
    <s v="Boston Celtics @ Philadelphia 76ers"/>
    <s v="Boston Celtics"/>
    <n v="110"/>
    <n v="93"/>
    <n v="0"/>
    <s v="Philadelphia 76ers"/>
    <n v="105"/>
    <n v="106"/>
    <n v="1"/>
    <n v="215"/>
    <n v="199"/>
    <n v="0"/>
    <n v="-5"/>
    <n v="13"/>
    <n v="0"/>
    <n v="18"/>
    <s v="abr"/>
  </r>
  <r>
    <x v="180"/>
    <s v="Denver Nuggets @ Minnesota Timberwolves"/>
    <s v="Denver Nuggets"/>
    <n v="114"/>
    <n v="98"/>
    <n v="0"/>
    <s v="Minnesota Timberwolves"/>
    <n v="115"/>
    <n v="110"/>
    <n v="0"/>
    <n v="229"/>
    <n v="208"/>
    <n v="0"/>
    <n v="1"/>
    <n v="12"/>
    <n v="1"/>
    <n v="18"/>
    <s v="abr"/>
  </r>
  <r>
    <x v="181"/>
    <s v="Detroit Pistons @ Orlando Magic"/>
    <s v="Detroit Pistons"/>
    <n v="112"/>
    <n v="93"/>
    <n v="0"/>
    <s v="Orlando Magic"/>
    <n v="109"/>
    <n v="79"/>
    <n v="0"/>
    <n v="221"/>
    <n v="172"/>
    <n v="0"/>
    <n v="-3"/>
    <n v="-14"/>
    <n v="1"/>
    <n v="18"/>
    <s v="may"/>
  </r>
  <r>
    <x v="181"/>
    <s v="Cleveland Cavaliers @ Toronto Raptors"/>
    <s v="Cleveland Cavaliers"/>
    <n v="112"/>
    <n v="110"/>
    <n v="0"/>
    <s v="Toronto Raptors"/>
    <n v="115"/>
    <n v="112"/>
    <n v="0"/>
    <n v="227"/>
    <n v="222"/>
    <n v="0"/>
    <n v="3"/>
    <n v="2"/>
    <n v="1"/>
    <n v="18"/>
    <s v="may"/>
  </r>
  <r>
    <x v="181"/>
    <s v="Los Angeles Lakers @ Houston Rockets"/>
    <s v="Los Angeles Lakers"/>
    <n v="117"/>
    <n v="98"/>
    <n v="0"/>
    <s v="Houston Rockets"/>
    <n v="116"/>
    <n v="78"/>
    <n v="0"/>
    <n v="233"/>
    <n v="176"/>
    <n v="0"/>
    <n v="-1"/>
    <n v="-20"/>
    <n v="1"/>
    <n v="18"/>
    <s v="may"/>
  </r>
  <r>
    <x v="182"/>
    <s v="Philadelphia 76ers @ Boston Celtics"/>
    <s v="Philadelphia 76ers"/>
    <n v="107"/>
    <n v="109"/>
    <n v="1"/>
    <s v="Boston Celtics"/>
    <n v="116"/>
    <n v="100"/>
    <n v="0"/>
    <n v="223"/>
    <n v="209"/>
    <n v="0"/>
    <n v="9"/>
    <n v="-9"/>
    <n v="0"/>
    <n v="18"/>
    <s v="may"/>
  </r>
  <r>
    <x v="183"/>
    <s v="Orlando Magic @ Detroit Pistons"/>
    <s v="Orlando Magic"/>
    <n v="110"/>
    <n v="94"/>
    <n v="0"/>
    <s v="Detroit Pistons"/>
    <n v="114"/>
    <n v="116"/>
    <n v="1"/>
    <n v="224"/>
    <n v="210"/>
    <n v="0"/>
    <n v="4"/>
    <n v="22"/>
    <n v="1"/>
    <n v="18"/>
    <s v="may"/>
  </r>
  <r>
    <x v="183"/>
    <s v="Toronto Raptors @ Cleveland Cavaliers"/>
    <s v="Toronto Raptors"/>
    <n v="112"/>
    <n v="102"/>
    <n v="0"/>
    <s v="Cleveland Cavaliers"/>
    <n v="115"/>
    <n v="114"/>
    <n v="0"/>
    <n v="227"/>
    <n v="216"/>
    <n v="0"/>
    <n v="3"/>
    <n v="12"/>
    <n v="1"/>
    <n v="18"/>
    <s v="may"/>
  </r>
  <r>
    <x v="184"/>
    <s v="Philadelphia 76ers @ New York Knicks"/>
    <s v="Philadelphia 76ers"/>
    <n v="114"/>
    <n v="98"/>
    <n v="0"/>
    <s v="New York Knicks"/>
    <n v="114"/>
    <n v="137"/>
    <n v="1"/>
    <n v="228"/>
    <n v="235"/>
    <n v="1"/>
    <n v="0"/>
    <n v="39"/>
    <n v="0"/>
    <n v="19"/>
    <s v="may"/>
  </r>
  <r>
    <x v="184"/>
    <s v="Minnesota Timberwolves @ San Antonio Spurs"/>
    <s v="Minnesota Timberwolves"/>
    <n v="118"/>
    <n v="104"/>
    <n v="0"/>
    <s v="San Antonio Spurs"/>
    <n v="119"/>
    <n v="102"/>
    <n v="0"/>
    <n v="237"/>
    <n v="206"/>
    <n v="0"/>
    <n v="1"/>
    <n v="-2"/>
    <n v="0"/>
    <n v="19"/>
    <s v="may"/>
  </r>
  <r>
    <x v="185"/>
    <s v="Cleveland Cavaliers @ Detroit Pistons"/>
    <s v="Cleveland Cavaliers"/>
    <n v="114"/>
    <n v="101"/>
    <n v="0"/>
    <s v="Detroit Pistons"/>
    <n v="112"/>
    <n v="111"/>
    <n v="0"/>
    <n v="226"/>
    <n v="212"/>
    <n v="0"/>
    <n v="-2"/>
    <n v="10"/>
    <n v="0"/>
    <n v="19"/>
    <s v="may"/>
  </r>
  <r>
    <x v="185"/>
    <s v="Los Angeles Lakers @ Oklahoma City Thunder"/>
    <s v="Los Angeles Lakers"/>
    <n v="111"/>
    <n v="90"/>
    <n v="0"/>
    <s v="Oklahoma City Thunder"/>
    <n v="119"/>
    <n v="108"/>
    <n v="0"/>
    <n v="230"/>
    <n v="198"/>
    <n v="0"/>
    <n v="8"/>
    <n v="18"/>
    <n v="1"/>
    <n v="19"/>
    <s v="may"/>
  </r>
  <r>
    <x v="186"/>
    <s v="Philadelphia 76ers @ New York Knicks"/>
    <s v="Philadelphia 76ers"/>
    <n v="114"/>
    <n v="102"/>
    <n v="0"/>
    <s v="New York Knicks"/>
    <n v="113"/>
    <n v="108"/>
    <n v="0"/>
    <n v="227"/>
    <n v="210"/>
    <n v="0"/>
    <n v="-1"/>
    <n v="6"/>
    <n v="0"/>
    <n v="19"/>
    <s v="may"/>
  </r>
  <r>
    <x v="186"/>
    <s v="Minnesota Timberwolves @ San Antonio Spurs"/>
    <s v="Minnesota Timberwolves"/>
    <n v="117"/>
    <n v="95"/>
    <n v="0"/>
    <s v="San Antonio Spurs"/>
    <n v="118"/>
    <n v="133"/>
    <n v="1"/>
    <n v="235"/>
    <n v="228"/>
    <n v="0"/>
    <n v="1"/>
    <n v="38"/>
    <n v="1"/>
    <n v="19"/>
    <s v="may"/>
  </r>
  <r>
    <x v="187"/>
    <s v="Cleveland Cavaliers @ Detroit Pistons"/>
    <s v="Cleveland Cavaliers"/>
    <n v="113"/>
    <n v="97"/>
    <n v="0"/>
    <s v="Detroit Pistons"/>
    <n v="112"/>
    <n v="107"/>
    <n v="0"/>
    <n v="225"/>
    <n v="204"/>
    <n v="0"/>
    <n v="-1"/>
    <n v="10"/>
    <n v="0"/>
    <n v="19"/>
    <s v="may"/>
  </r>
  <r>
    <x v="187"/>
    <s v="Los Angeles Lakers @ Oklahoma City Thunder"/>
    <s v="Los Angeles Lakers"/>
    <n v="108"/>
    <n v="107"/>
    <n v="0"/>
    <s v="Oklahoma City Thunder"/>
    <n v="119"/>
    <n v="125"/>
    <n v="1"/>
    <n v="227"/>
    <n v="232"/>
    <n v="1"/>
    <n v="11"/>
    <n v="18"/>
    <n v="1"/>
    <n v="19"/>
    <s v="may"/>
  </r>
  <r>
    <x v="188"/>
    <s v="New York Knicks @ Philadelphia 76ers"/>
    <s v="New York Knicks"/>
    <n v="110"/>
    <n v="108"/>
    <n v="0"/>
    <s v="Philadelphia 76ers"/>
    <n v="110"/>
    <n v="94"/>
    <n v="0"/>
    <n v="220"/>
    <n v="202"/>
    <n v="0"/>
    <n v="0"/>
    <n v="-14"/>
    <n v="0"/>
    <n v="19"/>
    <s v="may"/>
  </r>
  <r>
    <x v="188"/>
    <s v="San Antonio Spurs @ Minnesota Timberwolves"/>
    <s v="San Antonio Spurs"/>
    <n v="120"/>
    <n v="115"/>
    <n v="0"/>
    <s v="Minnesota Timberwolves"/>
    <n v="118"/>
    <n v="108"/>
    <n v="0"/>
    <n v="238"/>
    <n v="223"/>
    <n v="0"/>
    <n v="-2"/>
    <n v="-7"/>
    <n v="1"/>
    <n v="19"/>
    <s v="may"/>
  </r>
  <r>
    <x v="189"/>
    <s v="Detroit Pistons @ Cleveland Cavaliers"/>
    <s v="Detroit Pistons"/>
    <n v="113"/>
    <n v="109"/>
    <n v="0"/>
    <s v="Cleveland Cavaliers"/>
    <n v="115"/>
    <n v="116"/>
    <n v="1"/>
    <n v="228"/>
    <n v="225"/>
    <n v="0"/>
    <n v="2"/>
    <n v="7"/>
    <n v="1"/>
    <n v="19"/>
    <s v="may"/>
  </r>
  <r>
    <x v="189"/>
    <s v="Oklahoma City Thunder @ Los Angeles Lakers"/>
    <s v="Oklahoma City Thunder"/>
    <n v="116"/>
    <n v="131"/>
    <n v="1"/>
    <s v="Los Angeles Lakers"/>
    <n v="113"/>
    <n v="108"/>
    <n v="0"/>
    <n v="229"/>
    <n v="239"/>
    <n v="1"/>
    <n v="-3"/>
    <n v="-23"/>
    <n v="1"/>
    <n v="19"/>
    <s v="may"/>
  </r>
  <r>
    <x v="190"/>
    <s v="New York Knicks @ Philadelphia 76ers"/>
    <s v="New York Knicks"/>
    <n v="110"/>
    <n v="144"/>
    <n v="1"/>
    <s v="Philadelphia 76ers"/>
    <n v="110"/>
    <n v="114"/>
    <n v="1"/>
    <n v="220"/>
    <n v="258"/>
    <n v="1"/>
    <n v="0"/>
    <n v="-30"/>
    <n v="0"/>
    <n v="19"/>
    <s v="may"/>
  </r>
  <r>
    <x v="190"/>
    <s v="San Antonio Spurs @ Minnesota Timberwolves"/>
    <s v="San Antonio Spurs"/>
    <n v="117"/>
    <n v="109"/>
    <n v="0"/>
    <s v="Minnesota Timberwolves"/>
    <n v="118"/>
    <n v="114"/>
    <n v="0"/>
    <n v="235"/>
    <n v="223"/>
    <n v="0"/>
    <n v="1"/>
    <n v="5"/>
    <n v="1"/>
    <n v="19"/>
    <s v="may"/>
  </r>
  <r>
    <x v="191"/>
    <s v="Detroit Pistons @ Cleveland Cavaliers"/>
    <s v="Detroit Pistons"/>
    <n v="111"/>
    <n v="103"/>
    <n v="0"/>
    <s v="Cleveland Cavaliers"/>
    <n v="115"/>
    <n v="112"/>
    <n v="0"/>
    <n v="226"/>
    <n v="215"/>
    <n v="0"/>
    <n v="4"/>
    <n v="9"/>
    <n v="1"/>
    <n v="20"/>
    <s v="may"/>
  </r>
  <r>
    <x v="191"/>
    <s v="Oklahoma City Thunder @ Los Angeles Lakers"/>
    <s v="Oklahoma City Thunder"/>
    <n v="115"/>
    <n v="110"/>
    <n v="0"/>
    <s v="Los Angeles Lakers"/>
    <n v="113"/>
    <n v="115"/>
    <n v="1"/>
    <n v="228"/>
    <n v="225"/>
    <n v="0"/>
    <n v="-2"/>
    <n v="5"/>
    <n v="0"/>
    <n v="20"/>
    <s v="may"/>
  </r>
  <r>
    <x v="192"/>
    <s v="Minnesota Timberwolves @ San Antonio Spurs"/>
    <s v="Minnesota Timberwolves"/>
    <n v="117"/>
    <n v="97"/>
    <n v="0"/>
    <s v="San Antonio Spurs"/>
    <n v="118"/>
    <n v="126"/>
    <n v="1"/>
    <n v="235"/>
    <n v="223"/>
    <n v="0"/>
    <n v="1"/>
    <n v="29"/>
    <n v="1"/>
    <n v="20"/>
    <s v="may"/>
  </r>
  <r>
    <x v="193"/>
    <s v="Cleveland Cavaliers @ Detroit Pistons"/>
    <s v="Cleveland Cavaliers"/>
    <n v="112"/>
    <n v="117"/>
    <n v="1"/>
    <s v="Detroit Pistons"/>
    <n v="112"/>
    <n v="113"/>
    <n v="1"/>
    <n v="224"/>
    <n v="230"/>
    <n v="1"/>
    <n v="0"/>
    <n v="-4"/>
    <n v="0"/>
    <n v="20"/>
    <s v="may"/>
  </r>
  <r>
    <x v="194"/>
    <s v="Detroit Pistons @ Cleveland Cavaliers"/>
    <s v="Detroit Pistons"/>
    <n v="111"/>
    <n v="115"/>
    <n v="1"/>
    <s v="Cleveland Cavaliers"/>
    <n v="114"/>
    <n v="94"/>
    <n v="0"/>
    <n v="225"/>
    <n v="209"/>
    <n v="0"/>
    <n v="3"/>
    <n v="-21"/>
    <n v="0"/>
    <n v="20"/>
    <s v="may"/>
  </r>
  <r>
    <x v="194"/>
    <s v="San Antonio Spurs @ Minnesota Timberwolves"/>
    <s v="San Antonio Spurs"/>
    <n v="117"/>
    <n v="139"/>
    <n v="1"/>
    <s v="Minnesota Timberwolves"/>
    <n v="118"/>
    <n v="109"/>
    <n v="0"/>
    <n v="235"/>
    <n v="248"/>
    <n v="1"/>
    <n v="1"/>
    <n v="-30"/>
    <n v="0"/>
    <n v="20"/>
    <s v="may"/>
  </r>
  <r>
    <x v="195"/>
    <s v="Cleveland Cavaliers @ Detroit Pistons"/>
    <s v="Cleveland Cavaliers"/>
    <n v="112"/>
    <n v="125"/>
    <n v="1"/>
    <s v="Detroit Pistons"/>
    <n v="112"/>
    <n v="94"/>
    <n v="0"/>
    <n v="224"/>
    <n v="219"/>
    <n v="0"/>
    <n v="0"/>
    <n v="-31"/>
    <n v="0"/>
    <n v="20"/>
    <s v="may"/>
  </r>
  <r>
    <x v="196"/>
    <s v="San Antonio Spurs @ Oklahoma City Thunder"/>
    <s v="San Antonio Spurs"/>
    <n v="114"/>
    <n v="122"/>
    <n v="1"/>
    <s v="Oklahoma City Thunder"/>
    <n v="122"/>
    <n v="115"/>
    <n v="0"/>
    <n v="236"/>
    <n v="237"/>
    <n v="1"/>
    <n v="8"/>
    <n v="-7"/>
    <n v="0"/>
    <n v="21"/>
    <s v="may"/>
  </r>
  <r>
    <x v="197"/>
    <s v="Cleveland Cavaliers @ New York Knicks"/>
    <s v="Cleveland Cavaliers"/>
    <n v="111"/>
    <n v="104"/>
    <n v="0"/>
    <s v="New York Knicks"/>
    <n v="113"/>
    <n v="115"/>
    <n v="1"/>
    <n v="224"/>
    <n v="219"/>
    <n v="0"/>
    <n v="2"/>
    <n v="11"/>
    <n v="1"/>
    <n v="21"/>
    <s v="may"/>
  </r>
  <r>
    <x v="198"/>
    <s v="San Antonio Spurs @ Oklahoma City Thunder"/>
    <s v="San Antonio Spurs"/>
    <n v="113"/>
    <n v="113"/>
    <n v="0"/>
    <s v="Oklahoma City Thunder"/>
    <n v="120"/>
    <n v="122"/>
    <n v="1"/>
    <n v="233"/>
    <n v="235"/>
    <n v="1"/>
    <n v="7"/>
    <n v="9"/>
    <n v="1"/>
    <n v="21"/>
    <s v="may"/>
  </r>
  <r>
    <x v="199"/>
    <s v="Cleveland Cavaliers @ New York Knicks"/>
    <s v="Cleveland Cavaliers"/>
    <n v="109"/>
    <n v="93"/>
    <n v="0"/>
    <s v="New York Knicks"/>
    <n v="114"/>
    <n v="109"/>
    <n v="0"/>
    <n v="223"/>
    <n v="202"/>
    <n v="0"/>
    <n v="5"/>
    <n v="16"/>
    <n v="1"/>
    <n v="21"/>
    <s v="may"/>
  </r>
  <r>
    <x v="200"/>
    <s v="Oklahoma City Thunder @ San Antonio Spurs"/>
    <s v="Oklahoma City Thunder"/>
    <n v="118"/>
    <n v="123"/>
    <n v="1"/>
    <s v="San Antonio Spurs"/>
    <n v="118"/>
    <n v="108"/>
    <n v="0"/>
    <n v="236"/>
    <n v="231"/>
    <n v="0"/>
    <n v="0"/>
    <n v="-15"/>
    <n v="0"/>
    <n v="21"/>
    <s v="may"/>
  </r>
  <r>
    <x v="201"/>
    <s v="New York Knicks @ Cleveland Cavaliers"/>
    <s v="New York Knicks"/>
    <n v="113"/>
    <n v="121"/>
    <n v="1"/>
    <s v="Cleveland Cavaliers"/>
    <n v="110"/>
    <n v="108"/>
    <n v="0"/>
    <n v="223"/>
    <n v="229"/>
    <n v="1"/>
    <n v="-3"/>
    <n v="-13"/>
    <n v="1"/>
    <n v="21"/>
    <s v="may"/>
  </r>
  <r>
    <x v="202"/>
    <s v="Oklahoma City Thunder @ San Antonio Spurs"/>
    <s v="Oklahoma City Thunder"/>
    <n v="116"/>
    <n v="82"/>
    <n v="0"/>
    <s v="San Antonio Spurs"/>
    <n v="115"/>
    <n v="103"/>
    <n v="0"/>
    <n v="231"/>
    <n v="185"/>
    <n v="0"/>
    <n v="-1"/>
    <n v="21"/>
    <n v="0"/>
    <n v="21"/>
    <s v="may"/>
  </r>
  <r>
    <x v="203"/>
    <s v="New York Knicks @ Cleveland Cavaliers"/>
    <s v="New York Knicks"/>
    <n v="113"/>
    <n v="130"/>
    <n v="1"/>
    <s v="Cleveland Cavaliers"/>
    <n v="111"/>
    <n v="93"/>
    <n v="0"/>
    <n v="224"/>
    <n v="223"/>
    <n v="0"/>
    <n v="-2"/>
    <n v="-37"/>
    <n v="1"/>
    <n v="22"/>
    <s v="may"/>
  </r>
  <r>
    <x v="204"/>
    <s v="San Antonio Spurs @ Oklahoma City Thunder"/>
    <s v="San Antonio Spurs"/>
    <n v="113"/>
    <n v="114"/>
    <n v="1"/>
    <s v="Oklahoma City Thunder"/>
    <n v="117"/>
    <n v="127"/>
    <n v="1"/>
    <n v="230"/>
    <n v="241"/>
    <n v="1"/>
    <n v="4"/>
    <n v="13"/>
    <n v="1"/>
    <n v="22"/>
    <s v="may"/>
  </r>
  <r>
    <x v="205"/>
    <s v="Oklahoma City Thunder @ San Antonio Spurs"/>
    <s v="Oklahoma City Thunder"/>
    <n v="116"/>
    <n v="91"/>
    <n v="0"/>
    <s v="San Antonio Spurs"/>
    <n v="114"/>
    <n v="118"/>
    <n v="1"/>
    <n v="230"/>
    <n v="209"/>
    <n v="0"/>
    <n v="-2"/>
    <n v="27"/>
    <n v="0"/>
    <n v="22"/>
    <s v="may"/>
  </r>
  <r>
    <x v="206"/>
    <s v="San Antonio Spurs @ Oklahoma City Thunder"/>
    <s v="San Antonio Spurs"/>
    <n v="113"/>
    <n v="111"/>
    <n v="0"/>
    <s v="Oklahoma City Thunder"/>
    <n v="118"/>
    <n v="103"/>
    <n v="0"/>
    <n v="231"/>
    <n v="214"/>
    <n v="0"/>
    <n v="5"/>
    <n v="-8"/>
    <n v="0"/>
    <n v="22"/>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FAF0EC-71EB-4196-AE5F-AF241A3A4E95}" name="TablaDinámica1" cacheId="26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I209" firstHeaderRow="0" firstDataRow="1" firstDataCol="1"/>
  <pivotFields count="18">
    <pivotField axis="axisRow" compact="0" numFmtId="175" outline="0" showAll="0" defaultSubtotal="0">
      <items count="2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numFmtId="176" outline="0" showAll="0"/>
    <pivotField compact="0" numFmtId="176" outline="0" showAll="0"/>
    <pivotField dataField="1" compact="0" outline="0" showAll="0"/>
    <pivotField compact="0" outline="0" showAll="0"/>
    <pivotField compact="0" outline="0" showAll="0"/>
  </pivotFields>
  <rowFields count="1">
    <field x="0"/>
  </rowFields>
  <rowItems count="20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t="grand">
      <x/>
    </i>
  </rowItems>
  <colFields count="1">
    <field x="-2"/>
  </colFields>
  <colItems count="8">
    <i>
      <x/>
    </i>
    <i i="1">
      <x v="1"/>
    </i>
    <i i="2">
      <x v="2"/>
    </i>
    <i i="3">
      <x v="3"/>
    </i>
    <i i="4">
      <x v="4"/>
    </i>
    <i i="5">
      <x v="5"/>
    </i>
    <i i="6">
      <x v="6"/>
    </i>
    <i i="7">
      <x v="7"/>
    </i>
  </colItems>
  <dataFields count="8">
    <dataField name="Suma de OU_V" fld="5" baseField="0" baseItem="0"/>
    <dataField name="Promedio de OU_V2" fld="5" subtotal="average" baseField="0" baseItem="0" numFmtId="10"/>
    <dataField name="Suma de O/U_H" fld="9" baseField="0" baseItem="0"/>
    <dataField name="Promedio de O/U_H2" fld="9" subtotal="average" baseField="0" baseItem="0" numFmtId="10"/>
    <dataField name="Suma de O/U_T" fld="12" baseField="0" baseItem="0"/>
    <dataField name="Promedio de O/U_T2" fld="12" subtotal="average" baseField="0" baseItem="0" numFmtId="10"/>
    <dataField name="Suma de W/L" fld="15" baseField="0" baseItem="0"/>
    <dataField name="Promedio de W/L2" fld="15" subtotal="average" baseField="0" baseItem="0" numFmtId="10"/>
  </dataFields>
  <formats count="7">
    <format dxfId="119">
      <pivotArea outline="0" fieldPosition="0">
        <references count="1">
          <reference field="4294967294" count="1" selected="0">
            <x v="1"/>
          </reference>
        </references>
      </pivotArea>
    </format>
    <format dxfId="120">
      <pivotArea outline="0" fieldPosition="0">
        <references count="1">
          <reference field="4294967294" count="1" selected="0">
            <x v="3"/>
          </reference>
        </references>
      </pivotArea>
    </format>
    <format dxfId="121">
      <pivotArea dataOnly="0" labelOnly="1" outline="0" fieldPosition="0">
        <references count="1">
          <reference field="4294967294" count="1">
            <x v="3"/>
          </reference>
        </references>
      </pivotArea>
    </format>
    <format dxfId="122">
      <pivotArea outline="0" fieldPosition="0">
        <references count="1">
          <reference field="4294967294" count="1" selected="0">
            <x v="5"/>
          </reference>
        </references>
      </pivotArea>
    </format>
    <format dxfId="123">
      <pivotArea dataOnly="0" labelOnly="1" outline="0" fieldPosition="0">
        <references count="1">
          <reference field="4294967294" count="1">
            <x v="5"/>
          </reference>
        </references>
      </pivotArea>
    </format>
    <format dxfId="124">
      <pivotArea outline="0" fieldPosition="0">
        <references count="1">
          <reference field="4294967294" count="1" selected="0">
            <x v="7"/>
          </reference>
        </references>
      </pivotArea>
    </format>
    <format dxfId="125">
      <pivotArea dataOnly="0" labelOnly="1" outline="0" fieldPosition="0">
        <references count="1">
          <reference field="429496729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26C3AB-C572-4FC5-829B-111E1568469F}" name="tblResultadosNBA" displayName="tblResultadosNBA" ref="A1:R1318" totalsRowShown="0" headerRowDxfId="95" tableBorderDxfId="94">
  <autoFilter ref="A1:R1318" xr:uid="{A926C3AB-C572-4FC5-829B-111E1568469F}"/>
  <tableColumns count="18">
    <tableColumn id="1" xr3:uid="{E168EA17-18EF-4F5F-BD44-5C6A4C4FE4BE}" name="Fecha" dataDxfId="93"/>
    <tableColumn id="2" xr3:uid="{32C87629-52F8-4F70-999E-CA1085015CC1}" name="Partido" dataDxfId="92"/>
    <tableColumn id="3" xr3:uid="{6F3A312C-7586-4CC0-8574-50A9721DEFBE}" name="Visitante" dataDxfId="91">
      <calculatedColumnFormula>LEFT(B2,FIND("@",B2)-2)</calculatedColumnFormula>
    </tableColumn>
    <tableColumn id="4" xr3:uid="{5AD825E0-E276-4161-82EC-E46B681A04B4}" name="Pro" dataDxfId="90"/>
    <tableColumn id="5" xr3:uid="{6CE5C59D-10AA-4E65-8D14-63FBDAE904B9}" name="Real" dataDxfId="89"/>
    <tableColumn id="6" xr3:uid="{B021D272-BF10-4E2C-BDE1-3549ADA86B5E}" name="OU_V" dataDxfId="88">
      <calculatedColumnFormula>IF(E2&gt;D2, 1, 0)</calculatedColumnFormula>
    </tableColumn>
    <tableColumn id="7" xr3:uid="{0C2B7FBE-A2A3-40A3-9664-2DBF0AE8AB4F}" name="Home" dataDxfId="87">
      <calculatedColumnFormula>MID(B2,FIND("@",B2)+2,LEN(B2)-FIND("@",B2)-1)</calculatedColumnFormula>
    </tableColumn>
    <tableColumn id="8" xr3:uid="{877CE7B3-8308-4B3C-9712-A2CEA3D213A7}" name="Pro2" dataDxfId="86"/>
    <tableColumn id="9" xr3:uid="{A33F3FAD-0D0B-449E-A136-89D8CA224CD8}" name="Real3" dataDxfId="85"/>
    <tableColumn id="10" xr3:uid="{B7ACE3A1-C8B6-4C37-8FDE-819D339D45D5}" name="O/U_H" dataDxfId="84">
      <calculatedColumnFormula>IF(I2&gt;H2, 1, 0)</calculatedColumnFormula>
    </tableColumn>
    <tableColumn id="11" xr3:uid="{B6165181-8C34-46FD-967A-1F4909D8780A}" name="Tot" dataDxfId="83">
      <calculatedColumnFormula>+D2+H2</calculatedColumnFormula>
    </tableColumn>
    <tableColumn id="12" xr3:uid="{2E4D19A4-D930-4120-BE99-1EAF6B69BBE8}" name="Tot R" dataDxfId="82">
      <calculatedColumnFormula>E2+I2</calculatedColumnFormula>
    </tableColumn>
    <tableColumn id="13" xr3:uid="{366C4CE8-8F55-43F2-AEC2-3D56D0D5882F}" name="O/U_T" dataDxfId="81">
      <calculatedColumnFormula>IF(L2&gt;K2, 1, 0)</calculatedColumnFormula>
    </tableColumn>
    <tableColumn id="14" xr3:uid="{FAF92BB6-E6FA-42A8-B4D6-B6392F82C24C}" name="Dif" dataDxfId="80">
      <calculatedColumnFormula>(+H2-D2)</calculatedColumnFormula>
    </tableColumn>
    <tableColumn id="15" xr3:uid="{0A22922F-3530-40CD-9247-809D3A4D5578}" name="Real4" dataDxfId="79">
      <calculatedColumnFormula>I2-E2</calculatedColumnFormula>
    </tableColumn>
    <tableColumn id="16" xr3:uid="{C4230C36-83A4-47D2-8CED-9237A056754B}" name="W/L">
      <calculatedColumnFormula>IF(OR(AND(N2&gt;0,O2&gt;0),AND(N2&lt;0,O2&lt;0)),1,0)</calculatedColumnFormula>
    </tableColumn>
    <tableColumn id="17" xr3:uid="{0472C5F6-0511-4787-B8F0-7CBE80548494}" name="Semana" dataDxfId="78">
      <calculatedColumnFormula>WEEKNUM(tblResultadosNBA[[#This Row],[Fecha]],2)</calculatedColumnFormula>
    </tableColumn>
    <tableColumn id="18" xr3:uid="{A5E7F369-5EC8-42B1-BC6B-C8AAC6587105}" name="Mes" dataDxfId="77">
      <calculatedColumnFormula>TEXT(tblResultadosNBA[[#This Row],[Fecha]],"mmm")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N37" totalsRowShown="0" headerRowDxfId="28" dataDxfId="27">
  <tableColumns count="14">
    <tableColumn id="1" xr3:uid="{00000000-0010-0000-0000-000001000000}" name="Period" dataDxfId="26"/>
    <tableColumn id="2" xr3:uid="{00000000-0010-0000-0000-000002000000}" name="Date of Period Start" dataDxfId="25">
      <calculatedColumnFormula>DATE(YEAR(B1),MONTH(B1)+$P$8,DAY(B1))</calculatedColumnFormula>
    </tableColumn>
    <tableColumn id="15" xr3:uid="{00000000-0010-0000-0000-00000F000000}" name=" Date of End Period " dataDxfId="24">
      <calculatedColumnFormula>DATE(YEAR(B2),MONTH(B2)+$P$8-1,DAY(B2))</calculatedColumnFormula>
    </tableColumn>
    <tableColumn id="3" xr3:uid="{00000000-0010-0000-0000-000003000000}" name="Bankroll required for Withdrawl" dataDxfId="23">
      <calculatedColumnFormula>+F1+G1</calculatedColumnFormula>
    </tableColumn>
    <tableColumn id="4" xr3:uid="{00000000-0010-0000-0000-000004000000}" name="Withdrawal" dataDxfId="22" dataCellStyle="Euro">
      <calculatedColumnFormula>+G1*$P$10</calculatedColumnFormula>
    </tableColumn>
    <tableColumn id="5" xr3:uid="{00000000-0010-0000-0000-000005000000}" name="Bankroll after Withdrawal" dataDxfId="21" dataCellStyle="Euro">
      <calculatedColumnFormula>+F1+G1-E2</calculatedColumnFormula>
    </tableColumn>
    <tableColumn id="6" xr3:uid="{00000000-0010-0000-0000-000006000000}" name="Profit required for withdawal" dataDxfId="20" dataCellStyle="Euro">
      <calculatedColumnFormula>+F2*$P$9</calculatedColumnFormula>
    </tableColumn>
    <tableColumn id="7" xr3:uid="{00000000-0010-0000-0000-000007000000}" name="Days on the Period" dataDxfId="19"/>
    <tableColumn id="8" xr3:uid="{00000000-0010-0000-0000-000008000000}" name="% Growth per day" dataDxfId="18" dataCellStyle="Percent 2"/>
    <tableColumn id="9" xr3:uid="{00000000-0010-0000-0000-000009000000}" name="$ Profit per day" dataDxfId="17"/>
    <tableColumn id="14" xr3:uid="{00000000-0010-0000-0000-00000E000000}" name="UNITS required per day to win" dataDxfId="16"/>
    <tableColumn id="11" xr3:uid="{00000000-0010-0000-0000-00000B000000}" name="Stake per pick (1 UNIT)" dataDxfId="15"/>
    <tableColumn id="12" xr3:uid="{00000000-0010-0000-0000-00000C000000}" name="Profit to look for per serie" dataDxfId="14"/>
    <tableColumn id="13" xr3:uid="{00000000-0010-0000-0000-00000D000000}" name="Max allowed lost PICK per serie" dataDxfId="13"/>
  </tableColumns>
  <tableStyleInfo name="TableStyleMedium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2CCB-DBC6-4244-9B77-F3C59CC7B318}">
  <sheetPr>
    <tabColor rgb="FF00B050"/>
  </sheetPr>
  <dimension ref="A1:P1963"/>
  <sheetViews>
    <sheetView topLeftCell="A1947" workbookViewId="0">
      <selection activeCell="E1952" sqref="E1952"/>
    </sheetView>
  </sheetViews>
  <sheetFormatPr defaultColWidth="9.140625" defaultRowHeight="15"/>
  <cols>
    <col min="1" max="1" width="4.140625" style="186" bestFit="1" customWidth="1"/>
    <col min="2" max="2" width="32.5703125" customWidth="1"/>
    <col min="3" max="3" width="8.42578125" customWidth="1"/>
    <col min="4" max="4" width="9.140625" style="186" customWidth="1"/>
    <col min="5" max="5" width="13.7109375" style="186" customWidth="1"/>
    <col min="6" max="6" width="9" style="186" customWidth="1"/>
    <col min="7" max="7" width="7.85546875" style="186" customWidth="1"/>
    <col min="8" max="8" width="46.28515625" bestFit="1" customWidth="1"/>
    <col min="9" max="9" width="8.140625" customWidth="1"/>
    <col min="10" max="10" width="9.5703125" bestFit="1" customWidth="1"/>
    <col min="11" max="11" width="14.140625" bestFit="1" customWidth="1"/>
    <col min="13" max="13" width="14" bestFit="1" customWidth="1"/>
  </cols>
  <sheetData>
    <row r="1" spans="2:16">
      <c r="B1" s="210" t="s">
        <v>0</v>
      </c>
      <c r="C1" s="366" t="s">
        <v>1</v>
      </c>
      <c r="D1" s="497" t="s">
        <v>2</v>
      </c>
      <c r="E1" s="498" t="s">
        <v>3</v>
      </c>
      <c r="F1" s="499" t="s">
        <v>4</v>
      </c>
      <c r="G1" s="500" t="s">
        <v>5</v>
      </c>
      <c r="H1" s="367" t="s">
        <v>1</v>
      </c>
      <c r="I1" s="250" t="s">
        <v>6</v>
      </c>
      <c r="J1" s="250" t="s">
        <v>7</v>
      </c>
      <c r="K1" s="250" t="s">
        <v>8</v>
      </c>
      <c r="L1" t="s">
        <v>9</v>
      </c>
    </row>
    <row r="2" spans="2:16">
      <c r="B2" s="655">
        <v>45971</v>
      </c>
      <c r="C2" s="265">
        <v>2.6</v>
      </c>
      <c r="D2" s="262">
        <v>1.8620000000000001</v>
      </c>
      <c r="E2" s="163">
        <f>(C2*D2)-C2</f>
        <v>2.2412000000000005</v>
      </c>
      <c r="F2" s="193">
        <f>SUM($E$2:E2)/SUM($C$2:C2)</f>
        <v>0.86200000000000021</v>
      </c>
      <c r="G2" s="163">
        <f>E2</f>
        <v>2.2412000000000005</v>
      </c>
      <c r="H2" s="304" t="s">
        <v>10</v>
      </c>
      <c r="I2" s="2"/>
      <c r="J2" s="2"/>
      <c r="K2" s="154"/>
      <c r="O2" s="58"/>
      <c r="P2" s="58"/>
    </row>
    <row r="3" spans="2:16">
      <c r="B3" s="655"/>
      <c r="C3" s="155">
        <v>2.6</v>
      </c>
      <c r="D3" s="152">
        <v>1.9</v>
      </c>
      <c r="E3" s="151">
        <f>(C3*D3)-C3</f>
        <v>2.3399999999999994</v>
      </c>
      <c r="F3" s="156">
        <f>SUM($E$2:E3)/SUM($C$2:C3)</f>
        <v>0.88100000000000001</v>
      </c>
      <c r="G3" s="151">
        <f>G2+E3</f>
        <v>4.5811999999999999</v>
      </c>
      <c r="H3" s="147" t="s">
        <v>11</v>
      </c>
      <c r="I3" s="2"/>
      <c r="O3" s="58"/>
      <c r="P3" s="58"/>
    </row>
    <row r="4" spans="2:16">
      <c r="B4" s="655"/>
      <c r="C4" s="155">
        <v>2.6</v>
      </c>
      <c r="D4" s="152">
        <v>1.9</v>
      </c>
      <c r="E4" s="151">
        <f>(C4*D4)-C4</f>
        <v>2.3399999999999994</v>
      </c>
      <c r="F4" s="156">
        <f>SUM($E$2:E4)/SUM($C$2:C4)</f>
        <v>0.88733333333333309</v>
      </c>
      <c r="G4" s="151">
        <f>G3+E4</f>
        <v>6.9211999999999989</v>
      </c>
      <c r="H4" s="147" t="s">
        <v>12</v>
      </c>
      <c r="I4" s="2"/>
      <c r="J4" s="2"/>
      <c r="O4" s="58"/>
      <c r="P4" s="58"/>
    </row>
    <row r="5" spans="2:16">
      <c r="B5" s="655"/>
      <c r="C5" s="155">
        <v>2.6</v>
      </c>
      <c r="D5" s="152"/>
      <c r="E5" s="151">
        <f>(C5*D5)-C5</f>
        <v>-2.6</v>
      </c>
      <c r="F5" s="156">
        <f>SUM($E$2:E5)/SUM($C$2:C5)</f>
        <v>0.41549999999999992</v>
      </c>
      <c r="G5" s="151">
        <f>G4+E5</f>
        <v>4.3211999999999993</v>
      </c>
      <c r="H5" s="147" t="s">
        <v>13</v>
      </c>
      <c r="I5" s="2"/>
      <c r="J5" s="2"/>
      <c r="O5" s="58"/>
      <c r="P5" s="58"/>
    </row>
    <row r="6" spans="2:16">
      <c r="B6" s="655"/>
      <c r="C6" s="155">
        <v>2.6</v>
      </c>
      <c r="D6" s="152"/>
      <c r="E6" s="152">
        <f>(C6*D6)-C6</f>
        <v>-2.6</v>
      </c>
      <c r="F6" s="192">
        <f>SUM($E$2:E6)/SUM($C$2:C6)</f>
        <v>0.13239999999999993</v>
      </c>
      <c r="G6" s="165">
        <f>G5+E6</f>
        <v>1.7211999999999992</v>
      </c>
      <c r="H6" s="147" t="s">
        <v>14</v>
      </c>
      <c r="I6" s="2"/>
      <c r="J6" s="2"/>
      <c r="O6" s="58"/>
      <c r="P6" s="58"/>
    </row>
    <row r="7" spans="2:16">
      <c r="B7" s="655"/>
      <c r="C7" s="265">
        <v>2.6</v>
      </c>
      <c r="D7" s="262">
        <v>1.704</v>
      </c>
      <c r="E7" s="163">
        <f>(C7*D7)-C7</f>
        <v>1.8303999999999996</v>
      </c>
      <c r="F7" s="193">
        <f>SUM($E$2:E7)/SUM($C$2:C7)</f>
        <v>0.2276666666666666</v>
      </c>
      <c r="G7" s="164">
        <f>G6+E7</f>
        <v>3.5515999999999988</v>
      </c>
      <c r="H7" s="304" t="s">
        <v>15</v>
      </c>
      <c r="I7" s="2"/>
      <c r="J7" s="2"/>
      <c r="O7" s="58"/>
      <c r="P7" s="58"/>
    </row>
    <row r="8" spans="2:16">
      <c r="B8" s="655"/>
      <c r="C8" s="155">
        <v>2.6</v>
      </c>
      <c r="D8" s="152">
        <v>1.798</v>
      </c>
      <c r="E8" s="151">
        <f>(C8*D8)-C8</f>
        <v>2.0748000000000002</v>
      </c>
      <c r="F8" s="156">
        <f>SUM($E$2:E8)/SUM($C$2:C8)</f>
        <v>0.30914285714285705</v>
      </c>
      <c r="G8" s="151">
        <f>G7+E8</f>
        <v>5.6263999999999985</v>
      </c>
      <c r="H8" s="147" t="s">
        <v>16</v>
      </c>
      <c r="I8" s="2"/>
      <c r="J8" s="2"/>
      <c r="O8" s="58"/>
      <c r="P8" s="58"/>
    </row>
    <row r="9" spans="2:16">
      <c r="B9" s="655"/>
      <c r="C9" s="155">
        <v>2.6</v>
      </c>
      <c r="D9" s="152"/>
      <c r="E9" s="151">
        <f>(C9*D9)-C9</f>
        <v>-2.6</v>
      </c>
      <c r="F9" s="156">
        <f>SUM($E$2:E9)/SUM($C$2:C9)</f>
        <v>0.14549999999999991</v>
      </c>
      <c r="G9" s="151">
        <f>G8+E9</f>
        <v>3.0263999999999984</v>
      </c>
      <c r="H9" s="147" t="s">
        <v>17</v>
      </c>
      <c r="I9" s="2"/>
      <c r="J9" s="2"/>
      <c r="O9" s="58"/>
      <c r="P9" s="58"/>
    </row>
    <row r="10" spans="2:16">
      <c r="B10" s="655"/>
      <c r="C10" s="220">
        <v>2.6</v>
      </c>
      <c r="D10" s="165"/>
      <c r="E10" s="165">
        <f>(C10*D10)-C10</f>
        <v>-2.6</v>
      </c>
      <c r="F10" s="195">
        <f>SUM($E$2:E10)/SUM($C$2:C10)</f>
        <v>1.822222222222215E-2</v>
      </c>
      <c r="G10" s="165">
        <f>G9+E10</f>
        <v>0.42639999999999834</v>
      </c>
      <c r="H10" s="141" t="s">
        <v>18</v>
      </c>
      <c r="I10" s="2"/>
      <c r="J10" s="2"/>
      <c r="O10" s="58"/>
      <c r="P10" s="58"/>
    </row>
    <row r="11" spans="2:16">
      <c r="B11" s="655"/>
      <c r="C11" s="235">
        <v>2.6</v>
      </c>
      <c r="D11" s="236">
        <v>1.6060000000000001</v>
      </c>
      <c r="E11" s="164">
        <f>(C11*D11)-C11</f>
        <v>1.5756000000000001</v>
      </c>
      <c r="F11" s="197">
        <f>SUM($E$2:E11)/SUM($C$2:C11)</f>
        <v>7.699999999999993E-2</v>
      </c>
      <c r="G11" s="164">
        <f>G10+E11</f>
        <v>2.0019999999999984</v>
      </c>
      <c r="H11" s="368" t="s">
        <v>19</v>
      </c>
      <c r="I11" s="2"/>
      <c r="J11" s="2"/>
      <c r="O11" s="58"/>
      <c r="P11" s="58"/>
    </row>
    <row r="12" spans="2:16">
      <c r="B12" s="655"/>
      <c r="C12" s="155">
        <v>2.6</v>
      </c>
      <c r="D12" s="152">
        <v>1.6060000000000001</v>
      </c>
      <c r="E12" s="151">
        <f>(C12*D12)-C12</f>
        <v>1.5756000000000001</v>
      </c>
      <c r="F12" s="156">
        <f>SUM($E$2:E12)/SUM($C$2:C12)</f>
        <v>0.12509090909090903</v>
      </c>
      <c r="G12" s="151">
        <f>G11+E12</f>
        <v>3.5775999999999986</v>
      </c>
      <c r="H12" s="147" t="s">
        <v>20</v>
      </c>
      <c r="I12" s="2"/>
      <c r="J12" s="2"/>
      <c r="O12" s="58"/>
      <c r="P12" s="58"/>
    </row>
    <row r="13" spans="2:16">
      <c r="B13" s="655"/>
      <c r="C13" s="155">
        <v>2.6</v>
      </c>
      <c r="D13" s="152">
        <v>1.6060000000000001</v>
      </c>
      <c r="E13" s="151">
        <f>(C13*D13)-C13</f>
        <v>1.5756000000000001</v>
      </c>
      <c r="F13" s="156">
        <f>SUM($E$2:E13)/SUM($C$2:C13)</f>
        <v>0.16516666666666657</v>
      </c>
      <c r="G13" s="151">
        <f>G12+E13</f>
        <v>5.1531999999999982</v>
      </c>
      <c r="H13" s="147" t="s">
        <v>21</v>
      </c>
      <c r="I13" s="2"/>
      <c r="J13" s="2"/>
      <c r="O13" s="58"/>
      <c r="P13" s="58"/>
    </row>
    <row r="14" spans="2:16">
      <c r="B14" s="655"/>
      <c r="C14" s="155">
        <v>2.6</v>
      </c>
      <c r="D14" s="152">
        <v>1.6060000000000001</v>
      </c>
      <c r="E14" s="151">
        <f>(C14*D14)-C14</f>
        <v>1.5756000000000001</v>
      </c>
      <c r="F14" s="156">
        <f>SUM($E$2:E14)/SUM($C$2:C14)</f>
        <v>0.19907692307692298</v>
      </c>
      <c r="G14" s="151">
        <f>G13+E14</f>
        <v>6.7287999999999979</v>
      </c>
      <c r="H14" s="147" t="s">
        <v>22</v>
      </c>
      <c r="I14" s="2"/>
      <c r="J14" s="2"/>
      <c r="O14" s="58"/>
      <c r="P14" s="58"/>
    </row>
    <row r="15" spans="2:16">
      <c r="B15" s="655"/>
      <c r="C15" s="155">
        <v>2.6</v>
      </c>
      <c r="D15" s="152"/>
      <c r="E15" s="151">
        <f>(C15*D15)-C15</f>
        <v>-2.6</v>
      </c>
      <c r="F15" s="156">
        <f>SUM($E$2:E15)/SUM($C$2:C15)</f>
        <v>0.11342857142857136</v>
      </c>
      <c r="G15" s="151">
        <f>G14+E15</f>
        <v>4.1287999999999982</v>
      </c>
      <c r="H15" s="147" t="s">
        <v>23</v>
      </c>
      <c r="I15" s="2"/>
      <c r="J15" s="2"/>
      <c r="O15" s="58"/>
      <c r="P15" s="58"/>
    </row>
    <row r="16" spans="2:16">
      <c r="B16" s="655"/>
      <c r="C16" s="370">
        <v>2.6</v>
      </c>
      <c r="D16" s="152"/>
      <c r="E16" s="152">
        <f>(C16*D16)-C16</f>
        <v>-2.6</v>
      </c>
      <c r="F16" s="192">
        <f>SUM($E$2:E16)/SUM($C$2:C16)</f>
        <v>3.9199999999999943E-2</v>
      </c>
      <c r="G16" s="152">
        <f>G15+E16</f>
        <v>1.5287999999999982</v>
      </c>
      <c r="H16" s="147" t="s">
        <v>24</v>
      </c>
      <c r="I16" s="2">
        <f>SUM(E2:E16)</f>
        <v>1.5287999999999982</v>
      </c>
      <c r="L16" s="2">
        <f>I16/C16</f>
        <v>0.5879999999999993</v>
      </c>
      <c r="O16" s="58"/>
      <c r="P16" s="58"/>
    </row>
    <row r="17" spans="2:16">
      <c r="B17" s="655">
        <v>45972</v>
      </c>
      <c r="C17" s="372">
        <v>3.9</v>
      </c>
      <c r="D17" s="262"/>
      <c r="E17" s="163">
        <f>(C17*D17)-C17</f>
        <v>-3.9</v>
      </c>
      <c r="F17" s="193">
        <f>SUM($E$2:E17)/SUM($C$2:C17)</f>
        <v>-5.5272727272727307E-2</v>
      </c>
      <c r="G17" s="163">
        <f>G16+E17</f>
        <v>-2.3712000000000018</v>
      </c>
      <c r="H17" s="264" t="s">
        <v>25</v>
      </c>
      <c r="I17" s="2"/>
      <c r="J17" s="2"/>
      <c r="K17" s="2"/>
      <c r="O17" s="58"/>
      <c r="P17" s="58"/>
    </row>
    <row r="18" spans="2:16">
      <c r="B18" s="656"/>
      <c r="C18" s="370">
        <v>3.9</v>
      </c>
      <c r="D18" s="152">
        <v>1.845</v>
      </c>
      <c r="E18" s="151">
        <f>(C18*D18)-C18</f>
        <v>3.2955000000000001</v>
      </c>
      <c r="F18" s="156">
        <f>SUM($E$2:E18)/SUM($C$2:C18)</f>
        <v>1.9749999999999962E-2</v>
      </c>
      <c r="G18" s="151">
        <f>G17+E18</f>
        <v>0.92429999999999835</v>
      </c>
      <c r="H18" s="157" t="s">
        <v>26</v>
      </c>
      <c r="I18" s="2"/>
      <c r="J18" s="2"/>
      <c r="K18" s="2"/>
      <c r="O18" s="58"/>
      <c r="P18" s="58"/>
    </row>
    <row r="19" spans="2:16">
      <c r="B19" s="656"/>
      <c r="C19" s="370">
        <v>3.9</v>
      </c>
      <c r="D19" s="152"/>
      <c r="E19" s="152">
        <f>(C19*D19)-C19</f>
        <v>-3.9</v>
      </c>
      <c r="F19" s="192">
        <f>SUM($E$2:E19)/SUM($C$2:C19)</f>
        <v>-5.8692307692307717E-2</v>
      </c>
      <c r="G19" s="152">
        <f>G18+E19</f>
        <v>-2.9757000000000016</v>
      </c>
      <c r="H19" s="157" t="s">
        <v>27</v>
      </c>
      <c r="I19" s="2"/>
      <c r="J19" s="2"/>
      <c r="K19" s="2"/>
      <c r="O19" s="58"/>
      <c r="P19" s="58"/>
    </row>
    <row r="20" spans="2:16">
      <c r="B20" s="656"/>
      <c r="C20" s="372">
        <v>3.9</v>
      </c>
      <c r="D20" s="262"/>
      <c r="E20" s="163">
        <f>(C20*D20)-C20</f>
        <v>-3.9</v>
      </c>
      <c r="F20" s="193">
        <f>SUM($E$2:E20)/SUM($C$2:C20)</f>
        <v>-0.12592857142857147</v>
      </c>
      <c r="G20" s="163">
        <f>G19+E20</f>
        <v>-6.8757000000000019</v>
      </c>
      <c r="H20" s="304" t="s">
        <v>28</v>
      </c>
      <c r="I20" s="2"/>
      <c r="J20" s="2"/>
      <c r="K20" s="2"/>
      <c r="O20" s="58"/>
      <c r="P20" s="58"/>
    </row>
    <row r="21" spans="2:16">
      <c r="B21" s="656"/>
      <c r="C21" s="370">
        <v>3.9</v>
      </c>
      <c r="D21" s="152">
        <v>1.764</v>
      </c>
      <c r="E21" s="151">
        <f>(C21*D21)-C21</f>
        <v>2.9796</v>
      </c>
      <c r="F21" s="156">
        <f>SUM($E$2:E21)/SUM($C$2:C21)</f>
        <v>-6.6600000000000034E-2</v>
      </c>
      <c r="G21" s="151">
        <f>G20+E21</f>
        <v>-3.8961000000000019</v>
      </c>
      <c r="H21" s="147" t="s">
        <v>29</v>
      </c>
      <c r="I21" s="2"/>
      <c r="J21" s="2"/>
      <c r="K21" s="2"/>
      <c r="O21" s="58"/>
      <c r="P21" s="58"/>
    </row>
    <row r="22" spans="2:16">
      <c r="B22" s="656"/>
      <c r="C22" s="370">
        <v>3.9</v>
      </c>
      <c r="D22" s="152">
        <v>1.9</v>
      </c>
      <c r="E22" s="152">
        <f>(C22*D22)-C22</f>
        <v>3.5099999999999993</v>
      </c>
      <c r="F22" s="192">
        <f>SUM($E$2:E22)/SUM($C$2:C22)</f>
        <v>-6.1875000000000411E-3</v>
      </c>
      <c r="G22" s="152">
        <f>G21+E22</f>
        <v>-0.38610000000000255</v>
      </c>
      <c r="H22" s="147" t="s">
        <v>30</v>
      </c>
      <c r="I22" s="2"/>
      <c r="O22" s="58"/>
      <c r="P22" s="58"/>
    </row>
    <row r="23" spans="2:16">
      <c r="B23" s="656"/>
      <c r="C23" s="372">
        <v>3.9</v>
      </c>
      <c r="D23" s="262"/>
      <c r="E23" s="163">
        <f>(C23*D23)-C23</f>
        <v>-3.9</v>
      </c>
      <c r="F23" s="193">
        <f>SUM($E$2:E23)/SUM($C$2:C23)</f>
        <v>-6.464705882352946E-2</v>
      </c>
      <c r="G23" s="163">
        <f>G22+E23</f>
        <v>-4.2861000000000029</v>
      </c>
      <c r="H23" s="304" t="s">
        <v>31</v>
      </c>
      <c r="I23" s="2"/>
      <c r="J23" s="2"/>
      <c r="K23" s="2"/>
      <c r="O23" s="58"/>
      <c r="P23" s="58"/>
    </row>
    <row r="24" spans="2:16">
      <c r="B24" s="656"/>
      <c r="C24" s="370">
        <v>3.9</v>
      </c>
      <c r="D24" s="152">
        <v>1.6060000000000001</v>
      </c>
      <c r="E24" s="151">
        <f>(C24*D24)-C24</f>
        <v>2.3633999999999999</v>
      </c>
      <c r="F24" s="156">
        <f>SUM($E$2:E24)/SUM($C$2:C24)</f>
        <v>-2.7388888888888931E-2</v>
      </c>
      <c r="G24" s="151">
        <f>G23+E24</f>
        <v>-1.922700000000003</v>
      </c>
      <c r="H24" s="147" t="s">
        <v>32</v>
      </c>
      <c r="I24" s="2"/>
      <c r="J24" s="2"/>
      <c r="K24" s="2"/>
      <c r="O24" s="58"/>
      <c r="P24" s="58"/>
    </row>
    <row r="25" spans="2:16">
      <c r="B25" s="657"/>
      <c r="C25" s="370">
        <v>3.9</v>
      </c>
      <c r="D25" s="152">
        <v>1.6060000000000001</v>
      </c>
      <c r="E25" s="152">
        <f>(C25*D25)-C25</f>
        <v>2.3633999999999999</v>
      </c>
      <c r="F25" s="192">
        <f>SUM($E$2:E25)/SUM($C$2:C25)</f>
        <v>5.9473684210525901E-3</v>
      </c>
      <c r="G25" s="152">
        <f>G24+E25</f>
        <v>0.44069999999999698</v>
      </c>
      <c r="H25" s="147" t="s">
        <v>33</v>
      </c>
      <c r="I25" s="2">
        <f>SUM(E17:E25)</f>
        <v>-1.0881000000000016</v>
      </c>
      <c r="L25" s="2">
        <f>I25/C25</f>
        <v>-0.27900000000000041</v>
      </c>
      <c r="O25" s="58"/>
      <c r="P25" s="58"/>
    </row>
    <row r="26" spans="2:16">
      <c r="B26" s="658">
        <v>45973</v>
      </c>
      <c r="C26" s="372">
        <v>1.95</v>
      </c>
      <c r="D26" s="262"/>
      <c r="E26" s="163">
        <f>(C26*D26)-C26</f>
        <v>-1.95</v>
      </c>
      <c r="F26" s="193">
        <f>SUM($E$2:E26)/SUM($C$2:C26)</f>
        <v>-1.9846153846153881E-2</v>
      </c>
      <c r="G26" s="163">
        <f>G25+E26</f>
        <v>-1.509300000000003</v>
      </c>
      <c r="H26" s="304" t="s">
        <v>34</v>
      </c>
      <c r="I26" s="2"/>
      <c r="J26" s="2"/>
      <c r="K26" s="2"/>
      <c r="O26" s="58"/>
      <c r="P26" s="58"/>
    </row>
    <row r="27" spans="2:16">
      <c r="B27" s="656"/>
      <c r="C27" s="370">
        <v>1.95</v>
      </c>
      <c r="D27" s="152"/>
      <c r="E27" s="151">
        <f>(C27*D27)-C27</f>
        <v>-1.95</v>
      </c>
      <c r="F27" s="156">
        <f>SUM($E$2:E27)/SUM($C$2:C27)</f>
        <v>-4.4350000000000028E-2</v>
      </c>
      <c r="G27" s="151">
        <f>G26+E27</f>
        <v>-3.4593000000000029</v>
      </c>
      <c r="H27" s="147" t="s">
        <v>35</v>
      </c>
      <c r="I27" s="2"/>
      <c r="J27" s="2"/>
      <c r="K27" s="2"/>
      <c r="O27" s="58"/>
      <c r="P27" s="58"/>
    </row>
    <row r="28" spans="2:16">
      <c r="B28" s="656"/>
      <c r="C28" s="370">
        <v>1.95</v>
      </c>
      <c r="D28" s="152">
        <v>1.774</v>
      </c>
      <c r="E28" s="151">
        <f>(C28*D28)-C28</f>
        <v>1.5092999999999999</v>
      </c>
      <c r="F28" s="156">
        <f>SUM($E$2:E28)/SUM($C$2:C28)</f>
        <v>-2.4390243902439056E-2</v>
      </c>
      <c r="G28" s="151">
        <f>G27+E28</f>
        <v>-1.9500000000000031</v>
      </c>
      <c r="H28" s="147" t="s">
        <v>11</v>
      </c>
      <c r="I28" s="2"/>
      <c r="J28" s="2"/>
      <c r="K28" s="2"/>
      <c r="O28" s="58"/>
      <c r="P28" s="58"/>
    </row>
    <row r="29" spans="2:16">
      <c r="B29" s="656"/>
      <c r="C29" s="370">
        <v>1.95</v>
      </c>
      <c r="D29" s="152">
        <v>1.784</v>
      </c>
      <c r="E29" s="152">
        <f>(C29*D29)-C29</f>
        <v>1.5288000000000002</v>
      </c>
      <c r="F29" s="192">
        <f>SUM($E$2:E29)/SUM($C$2:C29)</f>
        <v>-5.1428571428571773E-3</v>
      </c>
      <c r="G29" s="152">
        <f>G28+E29</f>
        <v>-0.42120000000000291</v>
      </c>
      <c r="H29" s="147" t="s">
        <v>36</v>
      </c>
      <c r="I29" s="2"/>
      <c r="J29" s="2"/>
      <c r="K29" s="2"/>
      <c r="O29" s="58"/>
      <c r="P29" s="58"/>
    </row>
    <row r="30" spans="2:16">
      <c r="B30" s="656"/>
      <c r="C30" s="372">
        <v>1.95</v>
      </c>
      <c r="D30" s="262"/>
      <c r="E30" s="163">
        <f>(C30*D30)-C30</f>
        <v>-1.95</v>
      </c>
      <c r="F30" s="193">
        <f>SUM($E$2:E30)/SUM($C$2:C30)</f>
        <v>-2.8279069767441885E-2</v>
      </c>
      <c r="G30" s="163">
        <f>G29+E30</f>
        <v>-2.3712000000000026</v>
      </c>
      <c r="H30" s="304" t="s">
        <v>15</v>
      </c>
      <c r="I30" s="2"/>
      <c r="J30" s="2"/>
      <c r="K30" s="2"/>
      <c r="O30" s="58"/>
      <c r="P30" s="58"/>
    </row>
    <row r="31" spans="2:16">
      <c r="B31" s="656"/>
      <c r="C31" s="370">
        <v>1.95</v>
      </c>
      <c r="D31" s="152">
        <v>1.9390000000000001</v>
      </c>
      <c r="E31" s="151">
        <f>(C31*D31)-C31</f>
        <v>1.8310500000000001</v>
      </c>
      <c r="F31" s="156">
        <f>SUM($E$2:E31)/SUM($C$2:C31)</f>
        <v>-6.2954545454545737E-3</v>
      </c>
      <c r="G31" s="151">
        <f>G30+E31</f>
        <v>-0.54015000000000257</v>
      </c>
      <c r="H31" s="147" t="s">
        <v>37</v>
      </c>
      <c r="I31" s="2"/>
      <c r="J31" s="2"/>
      <c r="K31" s="2"/>
      <c r="O31" s="58"/>
      <c r="P31" s="58"/>
    </row>
    <row r="32" spans="2:16">
      <c r="B32" s="656"/>
      <c r="C32" s="370">
        <v>1.95</v>
      </c>
      <c r="D32" s="152">
        <v>1.65</v>
      </c>
      <c r="E32" s="151">
        <f>(C32*D32)-C32</f>
        <v>1.2674999999999998</v>
      </c>
      <c r="F32" s="156">
        <f>SUM($E$2:E32)/SUM($C$2:C32)</f>
        <v>8.2888888888888543E-3</v>
      </c>
      <c r="G32" s="151">
        <f>G31+E32</f>
        <v>0.72734999999999728</v>
      </c>
      <c r="H32" s="147" t="s">
        <v>13</v>
      </c>
      <c r="I32" s="2"/>
      <c r="J32" s="2"/>
      <c r="K32" s="2"/>
      <c r="O32" s="58"/>
      <c r="P32" s="58"/>
    </row>
    <row r="33" spans="2:16">
      <c r="B33" s="656"/>
      <c r="C33" s="370">
        <v>1.95</v>
      </c>
      <c r="D33" s="152">
        <v>1.9</v>
      </c>
      <c r="E33" s="151">
        <f>(C33*D33)-C33</f>
        <v>1.7549999999999997</v>
      </c>
      <c r="F33" s="156">
        <f>SUM($E$2:E33)/SUM($C$2:C33)</f>
        <v>2.7673913043478215E-2</v>
      </c>
      <c r="G33" s="151">
        <f>G32+E33</f>
        <v>2.4823499999999967</v>
      </c>
      <c r="H33" s="147" t="s">
        <v>17</v>
      </c>
      <c r="I33" s="2"/>
      <c r="J33" s="2"/>
      <c r="K33" s="2"/>
      <c r="O33" s="58"/>
      <c r="P33" s="58"/>
    </row>
    <row r="34" spans="2:16">
      <c r="B34" s="656"/>
      <c r="C34" s="370">
        <v>1.95</v>
      </c>
      <c r="D34" s="152">
        <v>1.9</v>
      </c>
      <c r="E34" s="151">
        <f>(C34*D34)-C34</f>
        <v>1.7549999999999997</v>
      </c>
      <c r="F34" s="156">
        <f>SUM($E$2:E34)/SUM($C$2:C34)</f>
        <v>4.6234042553191433E-2</v>
      </c>
      <c r="G34" s="151">
        <f>G33+E34</f>
        <v>4.2373499999999966</v>
      </c>
      <c r="H34" s="147" t="s">
        <v>30</v>
      </c>
      <c r="I34" s="2"/>
      <c r="J34" s="2"/>
      <c r="K34" s="2"/>
      <c r="O34" s="58"/>
      <c r="P34" s="58"/>
    </row>
    <row r="35" spans="2:16">
      <c r="B35" s="656"/>
      <c r="C35" s="220">
        <v>1.95</v>
      </c>
      <c r="D35" s="165"/>
      <c r="E35" s="165">
        <f>(C35*D35)-C35</f>
        <v>-1.95</v>
      </c>
      <c r="F35" s="195">
        <f>SUM($E$2:E35)/SUM($C$2:C35)</f>
        <v>2.4437499999999952E-2</v>
      </c>
      <c r="G35" s="165">
        <f>G34+E35</f>
        <v>2.2873499999999964</v>
      </c>
      <c r="H35" s="141" t="s">
        <v>38</v>
      </c>
      <c r="I35" s="2"/>
      <c r="J35" s="2"/>
      <c r="K35" s="2"/>
      <c r="O35" s="58"/>
      <c r="P35" s="58"/>
    </row>
    <row r="36" spans="2:16">
      <c r="B36" s="656"/>
      <c r="C36" s="373">
        <v>1.95</v>
      </c>
      <c r="D36" s="164"/>
      <c r="E36" s="164">
        <f>(C36*D36)-C36</f>
        <v>-1.95</v>
      </c>
      <c r="F36" s="197">
        <f>SUM($E$2:E36)/SUM($C$2:C36)</f>
        <v>3.5306122448979208E-3</v>
      </c>
      <c r="G36" s="164">
        <f>G35+E36</f>
        <v>0.33734999999999649</v>
      </c>
      <c r="H36" s="354" t="s">
        <v>39</v>
      </c>
      <c r="I36" s="2"/>
      <c r="J36" s="2"/>
      <c r="K36" s="2"/>
      <c r="O36" s="58"/>
      <c r="P36" s="58"/>
    </row>
    <row r="37" spans="2:16">
      <c r="B37" s="656"/>
      <c r="C37" s="374">
        <v>1.95</v>
      </c>
      <c r="D37" s="236">
        <v>1.6060000000000001</v>
      </c>
      <c r="E37" s="164">
        <f>(C37*D37)-C37</f>
        <v>1.1817</v>
      </c>
      <c r="F37" s="197">
        <f>SUM($E$2:E37)/SUM($C$2:C37)</f>
        <v>1.5579999999999957E-2</v>
      </c>
      <c r="G37" s="164">
        <f>G36+E37</f>
        <v>1.5190499999999965</v>
      </c>
      <c r="H37" s="368" t="s">
        <v>40</v>
      </c>
      <c r="I37" s="2"/>
      <c r="J37" s="2"/>
      <c r="K37" s="2"/>
      <c r="O37" s="58"/>
      <c r="P37" s="58"/>
    </row>
    <row r="38" spans="2:16">
      <c r="B38" s="656"/>
      <c r="C38" s="370">
        <v>1.95</v>
      </c>
      <c r="D38" s="152">
        <v>1</v>
      </c>
      <c r="E38" s="151">
        <f>(C38*D38)-C38</f>
        <v>0</v>
      </c>
      <c r="F38" s="156">
        <f>SUM($E$2:E38)/SUM($C$2:C38)</f>
        <v>1.5274509803921525E-2</v>
      </c>
      <c r="G38" s="151">
        <f>G37+E38</f>
        <v>1.5190499999999965</v>
      </c>
      <c r="H38" s="147" t="s">
        <v>41</v>
      </c>
      <c r="I38" s="2"/>
      <c r="J38" s="2"/>
      <c r="K38" s="2"/>
      <c r="O38" s="58"/>
      <c r="P38" s="58"/>
    </row>
    <row r="39" spans="2:16">
      <c r="B39" s="656"/>
      <c r="C39" s="370">
        <v>1.95</v>
      </c>
      <c r="D39" s="152">
        <v>1.6060000000000001</v>
      </c>
      <c r="E39" s="151">
        <f>(C39*D39)-C39</f>
        <v>1.1817</v>
      </c>
      <c r="F39" s="156">
        <f>SUM($E$2:E39)/SUM($C$2:C39)</f>
        <v>2.663461538461534E-2</v>
      </c>
      <c r="G39" s="151">
        <f>G38+E39</f>
        <v>2.7007499999999967</v>
      </c>
      <c r="H39" s="147" t="s">
        <v>42</v>
      </c>
      <c r="I39" s="2"/>
      <c r="J39" s="2"/>
      <c r="K39" s="2"/>
      <c r="O39" s="58"/>
      <c r="P39" s="58"/>
    </row>
    <row r="40" spans="2:16">
      <c r="B40" s="656"/>
      <c r="C40" s="370">
        <v>1.95</v>
      </c>
      <c r="D40" s="152">
        <v>1.6060000000000001</v>
      </c>
      <c r="E40" s="151">
        <f>(C40*D40)-C40</f>
        <v>1.1817</v>
      </c>
      <c r="F40" s="156">
        <f>SUM($E$2:E40)/SUM($C$2:C40)</f>
        <v>3.756603773584901E-2</v>
      </c>
      <c r="G40" s="151">
        <f>G39+E40</f>
        <v>3.8824499999999968</v>
      </c>
      <c r="H40" s="147" t="s">
        <v>43</v>
      </c>
      <c r="I40" s="2"/>
      <c r="J40" s="2"/>
      <c r="K40" s="2"/>
      <c r="O40" s="58"/>
      <c r="P40" s="58"/>
    </row>
    <row r="41" spans="2:16">
      <c r="B41" s="656"/>
      <c r="C41" s="370">
        <v>1.95</v>
      </c>
      <c r="D41" s="152"/>
      <c r="E41" s="151">
        <f>(C41*D41)-C41</f>
        <v>-1.95</v>
      </c>
      <c r="F41" s="156">
        <f>SUM($E$2:E41)/SUM($C$2:C41)</f>
        <v>1.8351851851851814E-2</v>
      </c>
      <c r="G41" s="151">
        <f>G40+E41</f>
        <v>1.9324499999999969</v>
      </c>
      <c r="H41" s="147" t="s">
        <v>44</v>
      </c>
      <c r="I41" s="2"/>
      <c r="J41" s="2"/>
      <c r="K41" s="2"/>
      <c r="O41" s="58"/>
      <c r="P41" s="58"/>
    </row>
    <row r="42" spans="2:16">
      <c r="B42" s="656"/>
      <c r="C42" s="370">
        <v>1.95</v>
      </c>
      <c r="D42" s="152">
        <v>1.6060000000000001</v>
      </c>
      <c r="E42" s="152">
        <f>(C42*D42)-C42</f>
        <v>1.1817</v>
      </c>
      <c r="F42" s="192">
        <f>SUM($E$2:E42)/SUM($C$2:C42)</f>
        <v>2.9036363636363593E-2</v>
      </c>
      <c r="G42" s="152">
        <f>G41+E42</f>
        <v>3.1141499999999969</v>
      </c>
      <c r="H42" s="147" t="s">
        <v>45</v>
      </c>
      <c r="I42" s="2">
        <f>SUM(E26:E42)</f>
        <v>2.6734499999999999</v>
      </c>
      <c r="L42" s="2">
        <f>I42/C42</f>
        <v>1.371</v>
      </c>
      <c r="O42" s="58"/>
      <c r="P42" s="58"/>
    </row>
    <row r="43" spans="2:16">
      <c r="B43" s="655">
        <v>45974</v>
      </c>
      <c r="C43" s="218">
        <v>7.81</v>
      </c>
      <c r="D43" s="265">
        <v>1.9</v>
      </c>
      <c r="E43" s="262">
        <f>(C43*D43)-C43</f>
        <v>7.028999999999999</v>
      </c>
      <c r="F43" s="269">
        <f>SUM($E$2:E43)/SUM($C$2:C43)</f>
        <v>8.8155310272901008E-2</v>
      </c>
      <c r="G43" s="262">
        <f>G42+E43</f>
        <v>10.143149999999995</v>
      </c>
      <c r="H43" s="304" t="s">
        <v>25</v>
      </c>
      <c r="I43" s="2"/>
      <c r="J43" s="2"/>
      <c r="K43" s="2"/>
      <c r="O43" s="58"/>
      <c r="P43" s="58"/>
    </row>
    <row r="44" spans="2:16">
      <c r="B44" s="658"/>
      <c r="C44" s="218">
        <v>7.81</v>
      </c>
      <c r="D44" s="265"/>
      <c r="E44" s="262">
        <f>(C44*D44)-C44</f>
        <v>-7.81</v>
      </c>
      <c r="F44" s="269">
        <f>SUM($E$2:E44)/SUM($C$2:C44)</f>
        <v>1.8988768617237684E-2</v>
      </c>
      <c r="G44" s="262">
        <f>G43+E44</f>
        <v>2.3331499999999954</v>
      </c>
      <c r="H44" s="304" t="s">
        <v>46</v>
      </c>
      <c r="I44" s="2"/>
      <c r="J44" s="2"/>
      <c r="K44" s="2"/>
      <c r="O44" s="58"/>
      <c r="P44" s="58"/>
    </row>
    <row r="45" spans="2:16">
      <c r="B45" s="658"/>
      <c r="C45" s="41">
        <v>7.81</v>
      </c>
      <c r="D45" s="155">
        <v>1.9</v>
      </c>
      <c r="E45" s="152">
        <f>(C45*D45)-C45</f>
        <v>7.028999999999999</v>
      </c>
      <c r="F45" s="192">
        <f>SUM($E$2:E45)/SUM($C$2:C45)</f>
        <v>7.1641796755433043E-2</v>
      </c>
      <c r="G45" s="152">
        <f>G44+E45</f>
        <v>9.3621499999999944</v>
      </c>
      <c r="H45" s="147" t="s">
        <v>36</v>
      </c>
      <c r="I45" s="2"/>
      <c r="J45" s="2"/>
      <c r="K45" s="2"/>
      <c r="O45" s="58"/>
      <c r="P45" s="58"/>
    </row>
    <row r="46" spans="2:16">
      <c r="B46" s="658"/>
      <c r="C46" s="370">
        <v>7.81</v>
      </c>
      <c r="D46" s="155">
        <v>1.9</v>
      </c>
      <c r="E46" s="152">
        <f>(C46*D46)-C46</f>
        <v>7.028999999999999</v>
      </c>
      <c r="F46" s="192">
        <f>SUM($E$2:E46)/SUM($C$2:C46)</f>
        <v>0.11835619900353805</v>
      </c>
      <c r="G46" s="152">
        <f>G45+E46</f>
        <v>16.391149999999993</v>
      </c>
      <c r="H46" s="147" t="s">
        <v>47</v>
      </c>
      <c r="I46" s="2"/>
      <c r="J46" s="2"/>
      <c r="K46" s="2"/>
      <c r="O46" s="58"/>
      <c r="P46" s="58"/>
    </row>
    <row r="47" spans="2:16">
      <c r="B47" s="658"/>
      <c r="C47" s="218">
        <v>7.81</v>
      </c>
      <c r="D47" s="265">
        <v>1.6060000000000001</v>
      </c>
      <c r="E47" s="262">
        <f>(C47*D47)-C47</f>
        <v>4.7328599999999996</v>
      </c>
      <c r="F47" s="269">
        <f>SUM($E$2:E47)/SUM($C$2:C47)</f>
        <v>0.14438831168831157</v>
      </c>
      <c r="G47" s="262">
        <f>G46+E47</f>
        <v>21.124009999999991</v>
      </c>
      <c r="H47" s="304" t="s">
        <v>48</v>
      </c>
      <c r="I47" s="2"/>
      <c r="J47" s="2"/>
      <c r="K47" s="2"/>
      <c r="O47" s="58"/>
      <c r="P47" s="58"/>
    </row>
    <row r="48" spans="2:16">
      <c r="B48" s="658"/>
      <c r="C48" s="41">
        <v>7.81</v>
      </c>
      <c r="D48" s="155">
        <v>1.6060000000000001</v>
      </c>
      <c r="E48" s="152">
        <f>(C48*D48)-C48</f>
        <v>4.7328599999999996</v>
      </c>
      <c r="F48" s="192">
        <f>SUM($E$2:E48)/SUM($C$2:C48)</f>
        <v>0.16778190902602022</v>
      </c>
      <c r="G48" s="152">
        <f>G47+E48</f>
        <v>25.85686999999999</v>
      </c>
      <c r="H48" s="147" t="s">
        <v>49</v>
      </c>
      <c r="I48" s="2"/>
      <c r="J48" s="2"/>
      <c r="K48" s="2"/>
      <c r="O48" s="58"/>
      <c r="P48" s="58"/>
    </row>
    <row r="49" spans="2:16">
      <c r="B49" s="658"/>
      <c r="C49" s="370">
        <v>7.81</v>
      </c>
      <c r="D49" s="155">
        <v>1.6060000000000001</v>
      </c>
      <c r="E49" s="152">
        <f>(C49*D49)-C49</f>
        <v>4.7328599999999996</v>
      </c>
      <c r="F49" s="192">
        <f>SUM($E$2:E49)/SUM($C$2:C49)</f>
        <v>0.18891878705533582</v>
      </c>
      <c r="G49" s="152">
        <f>G48+E49</f>
        <v>30.589729999999989</v>
      </c>
      <c r="H49" s="147" t="s">
        <v>50</v>
      </c>
      <c r="I49" s="2">
        <f>SUM(E43:E49)</f>
        <v>27.475579999999994</v>
      </c>
      <c r="L49" s="2">
        <f>I49/C49</f>
        <v>3.5179999999999993</v>
      </c>
      <c r="O49" s="58"/>
      <c r="P49" s="58"/>
    </row>
    <row r="50" spans="2:16">
      <c r="B50" s="655">
        <v>45975</v>
      </c>
      <c r="C50" s="218">
        <v>2.71</v>
      </c>
      <c r="D50" s="265">
        <v>1.9</v>
      </c>
      <c r="E50" s="262">
        <f>(C50*D50)-C50</f>
        <v>2.4390000000000001</v>
      </c>
      <c r="F50" s="269">
        <f>SUM($E$2:E50)/SUM($C$2:C50)</f>
        <v>0.20062400534531963</v>
      </c>
      <c r="G50" s="262">
        <f>G49+E50</f>
        <v>33.028729999999989</v>
      </c>
      <c r="H50" s="304" t="s">
        <v>16</v>
      </c>
      <c r="I50" s="2"/>
      <c r="J50" s="2"/>
      <c r="K50" s="2"/>
      <c r="O50" s="58"/>
      <c r="P50" s="58"/>
    </row>
    <row r="51" spans="2:16">
      <c r="B51" s="658"/>
      <c r="C51" s="41">
        <v>2.71</v>
      </c>
      <c r="D51" s="155"/>
      <c r="E51" s="152">
        <f>(C51*D51)-C51</f>
        <v>-2.71</v>
      </c>
      <c r="F51" s="192">
        <f>SUM($E$2:E51)/SUM($C$2:C51)</f>
        <v>0.18118041113899827</v>
      </c>
      <c r="G51" s="152">
        <f>G50+E51</f>
        <v>30.318729999999988</v>
      </c>
      <c r="H51" s="147" t="s">
        <v>28</v>
      </c>
      <c r="I51" s="2"/>
      <c r="J51" s="2"/>
      <c r="K51" s="2"/>
      <c r="O51" s="58"/>
      <c r="P51" s="58"/>
    </row>
    <row r="52" spans="2:16">
      <c r="B52" s="658"/>
      <c r="C52" s="41">
        <v>2.71</v>
      </c>
      <c r="D52" s="155"/>
      <c r="E52" s="152">
        <f>(C52*D52)-C52</f>
        <v>-2.71</v>
      </c>
      <c r="F52" s="192">
        <f>SUM($E$2:E52)/SUM($C$2:C52)</f>
        <v>0.16235654219347234</v>
      </c>
      <c r="G52" s="152">
        <f>G51+E52</f>
        <v>27.608729999999987</v>
      </c>
      <c r="H52" s="147" t="s">
        <v>51</v>
      </c>
      <c r="I52" s="2"/>
      <c r="J52" s="2"/>
      <c r="K52" s="2"/>
      <c r="O52" s="58"/>
      <c r="P52" s="58"/>
    </row>
    <row r="53" spans="2:16">
      <c r="B53" s="658"/>
      <c r="C53" s="41">
        <v>2.71</v>
      </c>
      <c r="D53" s="155">
        <v>1.784</v>
      </c>
      <c r="E53" s="152">
        <f>(C53*D53)-C53</f>
        <v>2.1246400000000003</v>
      </c>
      <c r="F53" s="192">
        <f>SUM($E$2:E53)/SUM($C$2:C53)</f>
        <v>0.17210795322991415</v>
      </c>
      <c r="G53" s="152">
        <f>G52+E53</f>
        <v>29.733369999999987</v>
      </c>
      <c r="H53" s="147" t="s">
        <v>52</v>
      </c>
      <c r="I53" s="2"/>
      <c r="J53" s="2"/>
      <c r="K53" s="2"/>
      <c r="O53" s="58"/>
      <c r="P53" s="58"/>
    </row>
    <row r="54" spans="2:16">
      <c r="B54" s="658"/>
      <c r="C54" s="220">
        <v>2.71</v>
      </c>
      <c r="D54" s="208"/>
      <c r="E54" s="165">
        <f>(C54*D54)-C54</f>
        <v>-2.71</v>
      </c>
      <c r="F54" s="195">
        <f>SUM($E$2:E54)/SUM($C$2:C54)</f>
        <v>0.1540056419900836</v>
      </c>
      <c r="G54" s="165">
        <f>G53+E54</f>
        <v>27.023369999999986</v>
      </c>
      <c r="H54" s="141" t="s">
        <v>27</v>
      </c>
      <c r="I54" s="2"/>
      <c r="J54" s="2"/>
      <c r="K54" s="2"/>
      <c r="O54" s="58"/>
      <c r="P54" s="58"/>
    </row>
    <row r="55" spans="2:16">
      <c r="B55" s="658"/>
      <c r="C55" s="373">
        <v>2.71</v>
      </c>
      <c r="D55" s="235">
        <v>1.768</v>
      </c>
      <c r="E55" s="236">
        <f>(C55*D55)-C55</f>
        <v>2.0812799999999996</v>
      </c>
      <c r="F55" s="496">
        <f>SUM($E$2:E55)/SUM($C$2:C55)</f>
        <v>0.16334409024581864</v>
      </c>
      <c r="G55" s="236">
        <f>G54+E55</f>
        <v>29.104649999999985</v>
      </c>
      <c r="H55" s="368" t="s">
        <v>53</v>
      </c>
      <c r="I55" s="2"/>
      <c r="J55" s="2"/>
      <c r="K55" s="2"/>
      <c r="O55" s="58"/>
      <c r="P55" s="58"/>
    </row>
    <row r="56" spans="2:16">
      <c r="B56" s="658"/>
      <c r="C56" s="41">
        <v>2.71</v>
      </c>
      <c r="D56" s="155"/>
      <c r="E56" s="152">
        <f>(C56*D56)-C56</f>
        <v>-2.71</v>
      </c>
      <c r="F56" s="192">
        <f>SUM($E$2:E56)/SUM($C$2:C56)</f>
        <v>0.14591547349217737</v>
      </c>
      <c r="G56" s="152">
        <f>G55+E56</f>
        <v>26.394649999999984</v>
      </c>
      <c r="H56" s="147" t="s">
        <v>13</v>
      </c>
      <c r="I56" s="2"/>
      <c r="J56" s="2"/>
      <c r="K56" s="2"/>
      <c r="O56" s="58"/>
      <c r="P56" s="58"/>
    </row>
    <row r="57" spans="2:16">
      <c r="B57" s="658"/>
      <c r="C57" s="41">
        <v>2.71</v>
      </c>
      <c r="D57" s="155">
        <v>1.9</v>
      </c>
      <c r="E57" s="152">
        <f>(C57*D57)-C57</f>
        <v>2.4390000000000001</v>
      </c>
      <c r="F57" s="192">
        <f>SUM($E$2:E57)/SUM($C$2:C57)</f>
        <v>0.15704602396514142</v>
      </c>
      <c r="G57" s="152">
        <f>G56+E57</f>
        <v>28.833649999999984</v>
      </c>
      <c r="H57" s="147" t="s">
        <v>17</v>
      </c>
      <c r="I57" s="2"/>
      <c r="O57" s="58"/>
      <c r="P57" s="58"/>
    </row>
    <row r="58" spans="2:16">
      <c r="B58" s="658"/>
      <c r="C58" s="370">
        <v>2.71</v>
      </c>
      <c r="D58" s="155"/>
      <c r="E58" s="152">
        <f>(C58*D58)-C58</f>
        <v>-2.71</v>
      </c>
      <c r="F58" s="192">
        <f>SUM($E$2:E58)/SUM($C$2:C58)</f>
        <v>0.1402160377864847</v>
      </c>
      <c r="G58" s="152">
        <f>G57+E58</f>
        <v>26.123649999999984</v>
      </c>
      <c r="H58" s="147" t="s">
        <v>12</v>
      </c>
      <c r="I58" s="2"/>
      <c r="J58" s="2"/>
      <c r="K58" s="2"/>
      <c r="O58" s="58"/>
      <c r="P58" s="58"/>
    </row>
    <row r="59" spans="2:16">
      <c r="B59" s="658"/>
      <c r="C59" s="218">
        <v>2.71</v>
      </c>
      <c r="D59" s="265">
        <v>1.6060000000000001</v>
      </c>
      <c r="E59" s="262">
        <f>(C59*D59)-C59</f>
        <v>1.6422600000000003</v>
      </c>
      <c r="F59" s="269">
        <f>SUM($E$2:E59)/SUM($C$2:C59)</f>
        <v>0.14689403237752599</v>
      </c>
      <c r="G59" s="262">
        <f>G58+E59</f>
        <v>27.765909999999984</v>
      </c>
      <c r="H59" s="304" t="s">
        <v>54</v>
      </c>
      <c r="I59" s="2"/>
      <c r="J59" s="2"/>
      <c r="K59" s="2"/>
      <c r="O59" s="58"/>
      <c r="P59" s="58"/>
    </row>
    <row r="60" spans="2:16">
      <c r="B60" s="658"/>
      <c r="C60" s="41">
        <v>2.71</v>
      </c>
      <c r="D60" s="155">
        <v>1.61</v>
      </c>
      <c r="E60" s="152">
        <f>(C60*D60)-C60</f>
        <v>1.6531000000000002</v>
      </c>
      <c r="F60" s="192">
        <f>SUM($E$2:E60)/SUM($C$2:C60)</f>
        <v>0.1534397851144837</v>
      </c>
      <c r="G60" s="152">
        <f>G59+E60</f>
        <v>29.419009999999986</v>
      </c>
      <c r="H60" s="147" t="s">
        <v>55</v>
      </c>
      <c r="I60" s="2"/>
      <c r="J60" s="2"/>
      <c r="K60" s="2"/>
      <c r="O60" s="58"/>
      <c r="P60" s="58"/>
    </row>
    <row r="61" spans="2:16">
      <c r="B61" s="658"/>
      <c r="C61" s="41">
        <v>2.71</v>
      </c>
      <c r="D61" s="155"/>
      <c r="E61" s="152">
        <f>(C61*D61)-C61</f>
        <v>-2.71</v>
      </c>
      <c r="F61" s="192">
        <f>SUM($E$2:E61)/SUM($C$2:C61)</f>
        <v>0.13736376260028782</v>
      </c>
      <c r="G61" s="152">
        <f>G60+E61</f>
        <v>26.709009999999985</v>
      </c>
      <c r="H61" s="147" t="s">
        <v>56</v>
      </c>
      <c r="I61" s="2"/>
      <c r="J61" s="2"/>
      <c r="K61" s="2"/>
      <c r="O61" s="58"/>
      <c r="P61" s="58"/>
    </row>
    <row r="62" spans="2:16">
      <c r="B62" s="658"/>
      <c r="C62" s="41">
        <v>2.71</v>
      </c>
      <c r="D62" s="155">
        <v>1.6060000000000001</v>
      </c>
      <c r="E62" s="152">
        <f>(C62*D62)-C62</f>
        <v>1.6422600000000003</v>
      </c>
      <c r="F62" s="192">
        <f>SUM($E$2:E62)/SUM($C$2:C62)</f>
        <v>0.14380557950798864</v>
      </c>
      <c r="G62" s="152">
        <f>G61+E62</f>
        <v>28.351269999999985</v>
      </c>
      <c r="H62" s="147" t="s">
        <v>57</v>
      </c>
      <c r="I62" s="2"/>
      <c r="J62" s="2"/>
      <c r="K62" s="2"/>
      <c r="O62" s="58"/>
      <c r="P62" s="58"/>
    </row>
    <row r="63" spans="2:16">
      <c r="B63" s="658"/>
      <c r="C63" s="370">
        <v>2.71</v>
      </c>
      <c r="D63" s="155"/>
      <c r="E63" s="152">
        <f>(C63*D63)-C63</f>
        <v>-2.71</v>
      </c>
      <c r="F63" s="192">
        <f>SUM($E$2:E63)/SUM($C$2:C63)</f>
        <v>0.1282961573101169</v>
      </c>
      <c r="G63" s="152">
        <f>G62+E63</f>
        <v>25.641269999999984</v>
      </c>
      <c r="H63" s="147" t="s">
        <v>58</v>
      </c>
      <c r="I63" s="2">
        <f>SUM(E50:E63)</f>
        <v>-4.948459999999999</v>
      </c>
      <c r="L63" s="2">
        <f>I63/C63</f>
        <v>-1.8259999999999996</v>
      </c>
      <c r="O63" s="58"/>
      <c r="P63" s="58"/>
    </row>
    <row r="64" spans="2:16">
      <c r="B64" s="655">
        <v>45976</v>
      </c>
      <c r="C64" s="218">
        <v>4.84</v>
      </c>
      <c r="D64" s="206"/>
      <c r="E64" s="163">
        <f>(C64*D64)-C64</f>
        <v>-4.84</v>
      </c>
      <c r="F64" s="193">
        <f>SUM($E$2:E64)/SUM($C$2:C64)</f>
        <v>0.10161831949193925</v>
      </c>
      <c r="G64" s="163">
        <f>G63+E64</f>
        <v>20.801269999999985</v>
      </c>
      <c r="H64" s="219" t="s">
        <v>26</v>
      </c>
      <c r="I64" s="2"/>
      <c r="J64" s="2"/>
      <c r="K64" s="2"/>
      <c r="O64" s="58"/>
      <c r="P64" s="58"/>
    </row>
    <row r="65" spans="2:16">
      <c r="B65" s="658"/>
      <c r="C65" s="41">
        <v>4.84</v>
      </c>
      <c r="D65" s="155">
        <v>1.8160000000000001</v>
      </c>
      <c r="E65" s="152">
        <f>(C65*D65)-C65</f>
        <v>3.9494400000000009</v>
      </c>
      <c r="F65" s="192">
        <f>SUM($E$2:E65)/SUM($C$2:C65)</f>
        <v>0.11811926123890408</v>
      </c>
      <c r="G65" s="152">
        <f>G64+E65</f>
        <v>24.750709999999984</v>
      </c>
      <c r="H65" s="147" t="s">
        <v>10</v>
      </c>
      <c r="I65" s="2"/>
      <c r="J65" s="2"/>
      <c r="K65" s="2"/>
      <c r="O65" s="58"/>
      <c r="P65" s="58"/>
    </row>
    <row r="66" spans="2:16">
      <c r="B66" s="658"/>
      <c r="C66" s="370">
        <v>4.84</v>
      </c>
      <c r="D66" s="155">
        <v>2</v>
      </c>
      <c r="E66" s="152">
        <f>(C66*D66)-C66</f>
        <v>4.84</v>
      </c>
      <c r="F66" s="192">
        <f>SUM($E$2:E66)/SUM($C$2:C66)</f>
        <v>0.13802924713126205</v>
      </c>
      <c r="G66" s="152">
        <f>G65+E66</f>
        <v>29.590709999999984</v>
      </c>
      <c r="H66" s="147" t="s">
        <v>59</v>
      </c>
      <c r="I66" s="2"/>
      <c r="J66" s="2"/>
      <c r="K66" s="2"/>
      <c r="O66" s="58"/>
      <c r="P66" s="58"/>
    </row>
    <row r="67" spans="2:16">
      <c r="B67" s="658"/>
      <c r="C67" s="218">
        <v>4.84</v>
      </c>
      <c r="D67" s="265"/>
      <c r="E67" s="262">
        <f>(C67*D67)-C67</f>
        <v>-4.84</v>
      </c>
      <c r="F67" s="269">
        <f>SUM($E$2:E67)/SUM($C$2:C67)</f>
        <v>0.11290352157649831</v>
      </c>
      <c r="G67" s="262">
        <f>G66+E67</f>
        <v>24.750709999999984</v>
      </c>
      <c r="H67" s="304" t="s">
        <v>15</v>
      </c>
      <c r="I67" s="2"/>
      <c r="J67" s="2"/>
      <c r="K67" s="2"/>
      <c r="O67" s="58"/>
      <c r="P67" s="58"/>
    </row>
    <row r="68" spans="2:16">
      <c r="B68" s="658"/>
      <c r="C68" s="41">
        <v>4.84</v>
      </c>
      <c r="D68" s="155"/>
      <c r="E68" s="152">
        <f>(C68*D68)-C68</f>
        <v>-4.84</v>
      </c>
      <c r="F68" s="192">
        <f>SUM($E$2:E68)/SUM($C$2:C68)</f>
        <v>8.8863295545835788E-2</v>
      </c>
      <c r="G68" s="152">
        <f>G67+E68</f>
        <v>19.910709999999984</v>
      </c>
      <c r="H68" s="147" t="s">
        <v>60</v>
      </c>
      <c r="I68" s="2"/>
      <c r="J68" s="2"/>
      <c r="K68" s="2"/>
      <c r="O68" s="58"/>
      <c r="P68" s="58"/>
    </row>
    <row r="69" spans="2:16">
      <c r="B69" s="658"/>
      <c r="C69" s="383">
        <v>4.84</v>
      </c>
      <c r="D69" s="152"/>
      <c r="E69" s="152">
        <f>(C69*D69)-C69</f>
        <v>-4.84</v>
      </c>
      <c r="F69" s="192">
        <f>SUM($E$2:E69)/SUM($C$2:C69)</f>
        <v>6.5839711664482173E-2</v>
      </c>
      <c r="G69" s="152">
        <f>G68+E69</f>
        <v>15.070709999999984</v>
      </c>
      <c r="H69" s="376" t="s">
        <v>34</v>
      </c>
      <c r="I69" s="2"/>
      <c r="J69" s="2"/>
      <c r="K69" s="2"/>
      <c r="O69" s="58"/>
      <c r="P69" s="58"/>
    </row>
    <row r="70" spans="2:16">
      <c r="B70" s="658"/>
      <c r="C70" s="384">
        <v>4.84</v>
      </c>
      <c r="D70" s="262"/>
      <c r="E70" s="262">
        <f>(C70*D70)-C70</f>
        <v>-4.84</v>
      </c>
      <c r="F70" s="269">
        <f>SUM($E$2:E70)/SUM($C$2:C70)</f>
        <v>4.3769615812441071E-2</v>
      </c>
      <c r="G70" s="262">
        <f>G69+E70</f>
        <v>10.230709999999984</v>
      </c>
      <c r="H70" s="378" t="s">
        <v>61</v>
      </c>
      <c r="I70" s="2"/>
      <c r="J70" s="2"/>
      <c r="K70" s="2"/>
      <c r="O70" s="58"/>
      <c r="P70" s="58"/>
    </row>
    <row r="71" spans="2:16">
      <c r="B71" s="658"/>
      <c r="C71" s="385">
        <v>4.84</v>
      </c>
      <c r="D71" s="151"/>
      <c r="E71" s="151">
        <f>(C71*D71)-C71</f>
        <v>-4.84</v>
      </c>
      <c r="F71" s="156">
        <f>SUM($E$2:E71)/SUM($C$2:C71)</f>
        <v>2.2594978623522423E-2</v>
      </c>
      <c r="G71" s="151">
        <f>G70+E71</f>
        <v>5.3907099999999843</v>
      </c>
      <c r="H71" s="376" t="s">
        <v>62</v>
      </c>
      <c r="I71" s="2"/>
      <c r="J71" s="2"/>
      <c r="K71" s="2"/>
      <c r="O71" s="58"/>
      <c r="P71" s="58"/>
    </row>
    <row r="72" spans="2:16">
      <c r="B72" s="658"/>
      <c r="C72" s="383">
        <v>4.84</v>
      </c>
      <c r="D72" s="152"/>
      <c r="E72" s="152">
        <f>(C72*D72)-C72</f>
        <v>-4.84</v>
      </c>
      <c r="F72" s="192">
        <f>SUM($E$2:E72)/SUM($C$2:C72)</f>
        <v>2.262385999506959E-3</v>
      </c>
      <c r="G72" s="152">
        <f>G71+E72</f>
        <v>0.55070999999998449</v>
      </c>
      <c r="H72" s="376" t="s">
        <v>63</v>
      </c>
      <c r="I72" s="2">
        <f>SUM(E64:E72)</f>
        <v>-25.09056</v>
      </c>
      <c r="L72" s="2">
        <f>I72/C72</f>
        <v>-5.1840000000000002</v>
      </c>
      <c r="O72" s="58"/>
      <c r="P72" s="58"/>
    </row>
    <row r="73" spans="2:16">
      <c r="B73" s="655">
        <v>45977</v>
      </c>
      <c r="C73" s="384">
        <v>2.92</v>
      </c>
      <c r="D73" s="163">
        <v>1.9390000000000001</v>
      </c>
      <c r="E73" s="163">
        <f>(C73*D73)-C73</f>
        <v>2.7418800000000001</v>
      </c>
      <c r="F73" s="193">
        <f>SUM($E$2:E73)/SUM($C$2:C73)</f>
        <v>1.3366038808151261E-2</v>
      </c>
      <c r="G73" s="163">
        <f>G72+E73</f>
        <v>3.2925899999999846</v>
      </c>
      <c r="H73" s="378" t="s">
        <v>18</v>
      </c>
      <c r="I73" s="2"/>
      <c r="J73" s="2"/>
      <c r="K73" s="2"/>
      <c r="O73" s="58"/>
      <c r="P73" s="58"/>
    </row>
    <row r="74" spans="2:16">
      <c r="B74" s="658"/>
      <c r="C74" s="385">
        <v>2.92</v>
      </c>
      <c r="D74" s="151">
        <v>1.8260000000000001</v>
      </c>
      <c r="E74" s="151">
        <f>(C74*D74)-C74</f>
        <v>2.4119200000000003</v>
      </c>
      <c r="F74" s="156">
        <f>SUM($E$2:E74)/SUM($C$2:C74)</f>
        <v>2.2885781914466743E-2</v>
      </c>
      <c r="G74" s="151">
        <f>G73+E74</f>
        <v>5.7045099999999849</v>
      </c>
      <c r="H74" s="376" t="s">
        <v>64</v>
      </c>
      <c r="I74" s="2"/>
      <c r="J74" s="2"/>
      <c r="K74" s="2"/>
      <c r="O74" s="58"/>
      <c r="P74" s="58"/>
    </row>
    <row r="75" spans="2:16">
      <c r="B75" s="658"/>
      <c r="C75" s="385">
        <v>2.92</v>
      </c>
      <c r="D75" s="151">
        <v>1.784</v>
      </c>
      <c r="E75" s="151">
        <f>(C75*D75)-C75</f>
        <v>2.2892799999999998</v>
      </c>
      <c r="F75" s="156">
        <f>SUM($E$2:E75)/SUM($C$2:C75)</f>
        <v>3.1698746926798235E-2</v>
      </c>
      <c r="G75" s="151">
        <f>G74+E75</f>
        <v>7.9937899999999846</v>
      </c>
      <c r="H75" s="376" t="s">
        <v>52</v>
      </c>
      <c r="I75" s="2"/>
      <c r="J75" s="2"/>
      <c r="K75" s="2"/>
      <c r="O75" s="58"/>
      <c r="P75" s="58"/>
    </row>
    <row r="76" spans="2:16">
      <c r="B76" s="658"/>
      <c r="C76" s="386">
        <v>2.92</v>
      </c>
      <c r="D76" s="165">
        <v>1.784</v>
      </c>
      <c r="E76" s="165">
        <f>(C76*D76)-C76</f>
        <v>2.2892799999999998</v>
      </c>
      <c r="F76" s="195">
        <f>SUM($E$2:E76)/SUM($C$2:C76)</f>
        <v>4.0309956879654947E-2</v>
      </c>
      <c r="G76" s="165">
        <f>G75+E76</f>
        <v>10.283069999999984</v>
      </c>
      <c r="H76" s="377" t="s">
        <v>14</v>
      </c>
      <c r="I76" s="2"/>
      <c r="J76" s="2"/>
      <c r="K76" s="2"/>
      <c r="O76" s="58"/>
      <c r="P76" s="58"/>
    </row>
    <row r="77" spans="2:16">
      <c r="B77" s="658"/>
      <c r="C77" s="384">
        <v>2.92</v>
      </c>
      <c r="D77" s="163">
        <v>1.9390000000000001</v>
      </c>
      <c r="E77" s="163">
        <f>(C77*D77)-C77</f>
        <v>2.7418800000000001</v>
      </c>
      <c r="F77" s="193">
        <f>SUM($E$2:E77)/SUM($C$2:C77)</f>
        <v>5.0480389117122611E-2</v>
      </c>
      <c r="G77" s="163">
        <f>G76+E77</f>
        <v>13.024949999999984</v>
      </c>
      <c r="H77" s="378" t="s">
        <v>37</v>
      </c>
      <c r="I77" s="2"/>
      <c r="J77" s="2"/>
      <c r="K77" s="2"/>
      <c r="O77" s="58"/>
      <c r="P77" s="58"/>
    </row>
    <row r="78" spans="2:16">
      <c r="B78" s="658"/>
      <c r="C78" s="385">
        <v>2.92</v>
      </c>
      <c r="D78" s="151"/>
      <c r="E78" s="151">
        <f>(C78*D78)-C78</f>
        <v>-2.92</v>
      </c>
      <c r="F78" s="156">
        <f>SUM($E$2:E78)/SUM($C$2:C78)</f>
        <v>3.8725185866482631E-2</v>
      </c>
      <c r="G78" s="151">
        <f>G77+E78</f>
        <v>10.104949999999985</v>
      </c>
      <c r="H78" s="376" t="s">
        <v>11</v>
      </c>
      <c r="I78" s="2"/>
      <c r="J78" s="2"/>
      <c r="K78" s="2"/>
      <c r="O78" s="58"/>
      <c r="P78" s="58"/>
    </row>
    <row r="79" spans="2:16">
      <c r="B79" s="658"/>
      <c r="C79" s="385">
        <v>2.92</v>
      </c>
      <c r="D79" s="151">
        <v>1.9</v>
      </c>
      <c r="E79" s="151">
        <f>(C79*D79)-C79</f>
        <v>2.6280000000000001</v>
      </c>
      <c r="F79" s="156">
        <f>SUM($E$2:E79)/SUM($C$2:C79)</f>
        <v>4.8256461760024162E-2</v>
      </c>
      <c r="G79" s="151">
        <f>G78+E79</f>
        <v>12.732949999999985</v>
      </c>
      <c r="H79" s="376" t="s">
        <v>53</v>
      </c>
      <c r="I79" s="2"/>
      <c r="J79" s="2"/>
      <c r="K79" s="2"/>
      <c r="O79" s="58"/>
      <c r="P79" s="58"/>
    </row>
    <row r="80" spans="2:16">
      <c r="B80" s="658"/>
      <c r="C80" s="385">
        <v>2.92</v>
      </c>
      <c r="D80" s="151"/>
      <c r="E80" s="151">
        <f>(C80*D80)-C80</f>
        <v>-2.92</v>
      </c>
      <c r="F80" s="156">
        <f>SUM($E$2:E80)/SUM($C$2:C80)</f>
        <v>3.6782929754854102E-2</v>
      </c>
      <c r="G80" s="151">
        <f>G79+E80</f>
        <v>9.8129499999999847</v>
      </c>
      <c r="H80" s="376" t="s">
        <v>13</v>
      </c>
      <c r="I80" s="2"/>
      <c r="J80" s="2"/>
      <c r="K80" s="2"/>
      <c r="O80" s="58"/>
      <c r="P80" s="58"/>
    </row>
    <row r="81" spans="2:16">
      <c r="B81" s="658"/>
      <c r="C81" s="385">
        <v>2.92</v>
      </c>
      <c r="D81" s="151">
        <v>1.798</v>
      </c>
      <c r="E81" s="151">
        <f>(C81*D81)-C81</f>
        <v>2.3301600000000002</v>
      </c>
      <c r="F81" s="156">
        <f>SUM($E$2:E81)/SUM($C$2:C81)</f>
        <v>4.5024508713385154E-2</v>
      </c>
      <c r="G81" s="151">
        <f>G80+E81</f>
        <v>12.143109999999986</v>
      </c>
      <c r="H81" s="376" t="s">
        <v>17</v>
      </c>
      <c r="I81" s="2"/>
      <c r="J81" s="2"/>
      <c r="K81" s="2"/>
      <c r="O81" s="58"/>
      <c r="P81" s="58"/>
    </row>
    <row r="82" spans="2:16">
      <c r="B82" s="658"/>
      <c r="C82" s="386">
        <v>2.92</v>
      </c>
      <c r="D82" s="165">
        <v>1.7749999999999999</v>
      </c>
      <c r="E82" s="165">
        <f>(C82*D82)-C82</f>
        <v>2.2629999999999999</v>
      </c>
      <c r="F82" s="195">
        <f>SUM($E$2:E82)/SUM($C$2:C82)</f>
        <v>5.2843188320739393E-2</v>
      </c>
      <c r="G82" s="165">
        <f>G81+E82</f>
        <v>14.406109999999986</v>
      </c>
      <c r="H82" s="377" t="s">
        <v>36</v>
      </c>
      <c r="I82" s="2"/>
      <c r="J82" s="2"/>
      <c r="K82" s="2"/>
      <c r="O82" s="58"/>
      <c r="P82" s="58"/>
    </row>
    <row r="83" spans="2:16">
      <c r="B83" s="658"/>
      <c r="C83" s="384">
        <v>2.92</v>
      </c>
      <c r="D83" s="163">
        <v>1.667</v>
      </c>
      <c r="E83" s="163">
        <f>(C83*D83)-C83</f>
        <v>1.9476399999999998</v>
      </c>
      <c r="F83" s="193">
        <f>SUM($E$2:E83)/SUM($C$2:C83)</f>
        <v>5.935163678594748E-2</v>
      </c>
      <c r="G83" s="163">
        <f>G82+E83</f>
        <v>16.353749999999984</v>
      </c>
      <c r="H83" s="378" t="s">
        <v>65</v>
      </c>
      <c r="I83" s="2"/>
      <c r="J83" s="2"/>
      <c r="K83" s="2"/>
      <c r="O83" s="58"/>
      <c r="P83" s="58"/>
    </row>
    <row r="84" spans="2:16">
      <c r="B84" s="658"/>
      <c r="C84" s="385">
        <v>2.92</v>
      </c>
      <c r="D84" s="151">
        <v>1.7</v>
      </c>
      <c r="E84" s="151">
        <f>(C84*D84)-C84</f>
        <v>2.0439999999999996</v>
      </c>
      <c r="F84" s="156">
        <f>SUM($E$2:E84)/SUM($C$2:C84)</f>
        <v>6.6069632981397564E-2</v>
      </c>
      <c r="G84" s="151">
        <f>G83+E84</f>
        <v>18.397749999999984</v>
      </c>
      <c r="H84" s="376" t="s">
        <v>66</v>
      </c>
      <c r="I84" s="2"/>
      <c r="J84" s="2"/>
      <c r="K84" s="2"/>
      <c r="O84" s="58"/>
      <c r="P84" s="58"/>
    </row>
    <row r="85" spans="2:16">
      <c r="B85" s="658"/>
      <c r="C85" s="385">
        <v>2.92</v>
      </c>
      <c r="D85" s="151">
        <v>1.625</v>
      </c>
      <c r="E85" s="151">
        <f>(C85*D85)-C85</f>
        <v>1.8250000000000002</v>
      </c>
      <c r="F85" s="156">
        <f>SUM($E$2:E85)/SUM($C$2:C85)</f>
        <v>7.186989125026641E-2</v>
      </c>
      <c r="G85" s="151">
        <f>G84+E85</f>
        <v>20.222749999999984</v>
      </c>
      <c r="H85" s="376" t="s">
        <v>67</v>
      </c>
      <c r="I85" s="2"/>
      <c r="J85" s="2"/>
      <c r="K85" s="2"/>
      <c r="O85" s="58"/>
      <c r="P85" s="58"/>
    </row>
    <row r="86" spans="2:16">
      <c r="B86" s="658"/>
      <c r="C86" s="385">
        <v>2.92</v>
      </c>
      <c r="D86" s="151">
        <v>1.67</v>
      </c>
      <c r="E86" s="151">
        <f>(C86*D86)-C86</f>
        <v>1.9563999999999995</v>
      </c>
      <c r="F86" s="156">
        <f>SUM($E$2:E86)/SUM($C$2:C86)</f>
        <v>7.8013190291944978E-2</v>
      </c>
      <c r="G86" s="151">
        <f>G85+E86</f>
        <v>22.179149999999982</v>
      </c>
      <c r="H86" s="376" t="s">
        <v>68</v>
      </c>
      <c r="I86" s="2"/>
      <c r="J86" s="2"/>
      <c r="K86" s="2"/>
      <c r="O86" s="58"/>
      <c r="P86" s="58"/>
    </row>
    <row r="87" spans="2:16">
      <c r="B87" s="658"/>
      <c r="C87" s="383">
        <v>2.92</v>
      </c>
      <c r="D87" s="152">
        <v>1.6879999999999999</v>
      </c>
      <c r="E87" s="152">
        <f>(C87*D87)-C87</f>
        <v>2.0089600000000001</v>
      </c>
      <c r="F87" s="192">
        <f>SUM($E$2:E87)/SUM($C$2:C87)</f>
        <v>8.4214574193997471E-2</v>
      </c>
      <c r="G87" s="152">
        <f>G86+E87</f>
        <v>24.18810999999998</v>
      </c>
      <c r="H87" s="376" t="s">
        <v>69</v>
      </c>
      <c r="I87" s="380">
        <f>SUM(E73:E87)</f>
        <v>23.6374</v>
      </c>
      <c r="J87" s="380">
        <f>SUM(E2:E87)</f>
        <v>24.18810999999998</v>
      </c>
      <c r="L87" s="2">
        <f>I87/C87</f>
        <v>8.0950000000000006</v>
      </c>
      <c r="O87" s="58"/>
      <c r="P87" s="58"/>
    </row>
    <row r="88" spans="2:16">
      <c r="B88" s="655">
        <v>45978</v>
      </c>
      <c r="C88" s="384">
        <v>3.02</v>
      </c>
      <c r="D88" s="163"/>
      <c r="E88" s="163">
        <f>(C88*D88)-C88</f>
        <v>-3.02</v>
      </c>
      <c r="F88" s="193">
        <f>SUM($E$2:E88)/SUM($C$2:C88)</f>
        <v>7.2933124310914962E-2</v>
      </c>
      <c r="G88" s="163">
        <f>G87+E88</f>
        <v>21.168109999999981</v>
      </c>
      <c r="H88" s="381" t="s">
        <v>34</v>
      </c>
      <c r="I88" s="2"/>
      <c r="J88" s="2"/>
      <c r="K88" s="2"/>
      <c r="O88" s="58"/>
      <c r="P88" s="58"/>
    </row>
    <row r="89" spans="2:16">
      <c r="B89" s="658"/>
      <c r="C89" s="387">
        <v>3.02</v>
      </c>
      <c r="D89" s="164">
        <v>1.83</v>
      </c>
      <c r="E89" s="164">
        <f>(C89*D89)-C89</f>
        <v>2.5066000000000002</v>
      </c>
      <c r="F89" s="197">
        <f>SUM($E$2:E89)/SUM($C$2:C89)</f>
        <v>8.07294209916114E-2</v>
      </c>
      <c r="G89" s="164">
        <f>G88+E89</f>
        <v>23.67470999999998</v>
      </c>
      <c r="H89" s="379" t="s">
        <v>60</v>
      </c>
      <c r="I89" s="2"/>
      <c r="J89" s="2"/>
      <c r="K89" s="2"/>
      <c r="O89" s="58"/>
      <c r="P89" s="58"/>
    </row>
    <row r="90" spans="2:16">
      <c r="B90" s="658"/>
      <c r="C90" s="385">
        <v>3.02</v>
      </c>
      <c r="D90" s="151">
        <v>1.768</v>
      </c>
      <c r="E90" s="151">
        <f>(C90*D90)-C90</f>
        <v>2.3193600000000001</v>
      </c>
      <c r="F90" s="156">
        <f>SUM($E$2:E90)/SUM($C$2:C90)</f>
        <v>8.7734811664641407E-2</v>
      </c>
      <c r="G90" s="151">
        <f>G89+E90</f>
        <v>25.994069999999979</v>
      </c>
      <c r="H90" s="376" t="s">
        <v>18</v>
      </c>
      <c r="I90" s="2"/>
      <c r="J90" s="2"/>
      <c r="K90" s="2"/>
      <c r="O90" s="58"/>
      <c r="P90" s="58"/>
    </row>
    <row r="91" spans="2:16">
      <c r="B91" s="658"/>
      <c r="C91" s="386">
        <v>3.02</v>
      </c>
      <c r="D91" s="165"/>
      <c r="E91" s="165">
        <f>(C91*D91)-C91</f>
        <v>-3.02</v>
      </c>
      <c r="F91" s="195">
        <f>SUM($E$2:E91)/SUM($C$2:C91)</f>
        <v>7.6759338456398138E-2</v>
      </c>
      <c r="G91" s="165">
        <f>G90+E91</f>
        <v>22.97406999999998</v>
      </c>
      <c r="H91" s="377" t="s">
        <v>17</v>
      </c>
      <c r="I91" s="2"/>
      <c r="J91" s="2"/>
      <c r="K91" s="2"/>
      <c r="O91" s="58"/>
      <c r="P91" s="58"/>
    </row>
    <row r="92" spans="2:16">
      <c r="B92" s="658"/>
      <c r="C92" s="384">
        <v>3.02</v>
      </c>
      <c r="D92" s="163"/>
      <c r="E92" s="163">
        <f>(C92*D92)-C92</f>
        <v>-3.02</v>
      </c>
      <c r="F92" s="193">
        <f>SUM($E$2:E92)/SUM($C$2:C92)</f>
        <v>6.6003142365705106E-2</v>
      </c>
      <c r="G92" s="163">
        <f>G91+E92</f>
        <v>19.95406999999998</v>
      </c>
      <c r="H92" s="378" t="s">
        <v>46</v>
      </c>
      <c r="I92" s="2"/>
      <c r="J92" s="2"/>
      <c r="K92" s="2"/>
      <c r="O92" s="58"/>
      <c r="P92" s="58"/>
    </row>
    <row r="93" spans="2:16">
      <c r="B93" s="658"/>
      <c r="C93" s="385">
        <v>3.02</v>
      </c>
      <c r="D93" s="151"/>
      <c r="E93" s="151">
        <f>(C93*D93)-C93</f>
        <v>-3.02</v>
      </c>
      <c r="F93" s="156">
        <f>SUM($E$2:E93)/SUM($C$2:C93)</f>
        <v>5.545971703674582E-2</v>
      </c>
      <c r="G93" s="151">
        <f>G92+E93</f>
        <v>16.934069999999981</v>
      </c>
      <c r="H93" s="376" t="s">
        <v>16</v>
      </c>
      <c r="I93" s="2"/>
      <c r="J93" s="2"/>
      <c r="K93" s="2"/>
      <c r="O93" s="58"/>
      <c r="P93" s="58"/>
    </row>
    <row r="94" spans="2:16">
      <c r="B94" s="658"/>
      <c r="C94" s="386">
        <v>3.02</v>
      </c>
      <c r="D94" s="165">
        <v>1.768</v>
      </c>
      <c r="E94" s="165">
        <f>(C94*D94)-C94</f>
        <v>2.3193600000000001</v>
      </c>
      <c r="F94" s="195">
        <f>SUM($E$2:E94)/SUM($C$2:C94)</f>
        <v>6.2438156699960987E-2</v>
      </c>
      <c r="G94" s="165">
        <f>G93+E94</f>
        <v>19.25342999999998</v>
      </c>
      <c r="H94" s="377" t="s">
        <v>13</v>
      </c>
      <c r="I94" s="2"/>
      <c r="J94" s="2"/>
      <c r="K94" s="2"/>
      <c r="O94" s="58"/>
      <c r="P94" s="58"/>
    </row>
    <row r="95" spans="2:16">
      <c r="B95" s="658"/>
      <c r="C95" s="387">
        <v>3.02</v>
      </c>
      <c r="D95" s="164"/>
      <c r="E95" s="164">
        <f>(C95*D95)-C95</f>
        <v>-3.02</v>
      </c>
      <c r="F95" s="197">
        <f>SUM($E$2:E95)/SUM($C$2:C95)</f>
        <v>5.2133823623867856E-2</v>
      </c>
      <c r="G95" s="164">
        <f>G94+E95</f>
        <v>16.233429999999981</v>
      </c>
      <c r="H95" s="379" t="s">
        <v>70</v>
      </c>
      <c r="I95" s="2"/>
      <c r="J95" s="2"/>
      <c r="K95" s="2"/>
      <c r="O95" s="58"/>
      <c r="P95" s="58"/>
    </row>
    <row r="96" spans="2:16">
      <c r="B96" s="658"/>
      <c r="C96" s="385">
        <v>3.02</v>
      </c>
      <c r="D96" s="151">
        <v>1.6060000000000001</v>
      </c>
      <c r="E96" s="151">
        <f>(C96*D96)-C96</f>
        <v>1.8301200000000004</v>
      </c>
      <c r="F96" s="156">
        <f>SUM($E$2:E96)/SUM($C$2:C96)</f>
        <v>5.7454039440203476E-2</v>
      </c>
      <c r="G96" s="151">
        <f>G95+E96</f>
        <v>18.063549999999982</v>
      </c>
      <c r="H96" s="376" t="s">
        <v>71</v>
      </c>
      <c r="I96" s="2"/>
      <c r="J96" s="2"/>
      <c r="K96" s="2"/>
      <c r="O96" s="58"/>
      <c r="P96" s="58"/>
    </row>
    <row r="97" spans="2:16">
      <c r="B97" s="658"/>
      <c r="C97" s="385">
        <v>3.02</v>
      </c>
      <c r="D97" s="151">
        <v>1.625</v>
      </c>
      <c r="E97" s="151">
        <f>(C97*D97)-C97</f>
        <v>1.8874999999999997</v>
      </c>
      <c r="F97" s="156">
        <f>SUM($E$2:E97)/SUM($C$2:C97)</f>
        <v>6.2853789931321194E-2</v>
      </c>
      <c r="G97" s="151">
        <f>G96+E97</f>
        <v>19.951049999999981</v>
      </c>
      <c r="H97" s="376" t="s">
        <v>72</v>
      </c>
      <c r="I97" s="2"/>
      <c r="J97" s="2"/>
      <c r="K97" s="2"/>
      <c r="O97" s="58"/>
      <c r="P97" s="58"/>
    </row>
    <row r="98" spans="2:16">
      <c r="B98" s="658"/>
      <c r="C98" s="385">
        <v>3.02</v>
      </c>
      <c r="D98" s="151"/>
      <c r="E98" s="151">
        <f>(C98*D98)-C98</f>
        <v>-3.02</v>
      </c>
      <c r="F98" s="156">
        <f>SUM($E$2:E98)/SUM($C$2:C98)</f>
        <v>5.2836880539258446E-2</v>
      </c>
      <c r="G98" s="151">
        <f>G97+E98</f>
        <v>16.931049999999981</v>
      </c>
      <c r="H98" s="376" t="s">
        <v>73</v>
      </c>
      <c r="I98" s="2"/>
      <c r="J98" s="2"/>
      <c r="K98" s="2"/>
      <c r="O98" s="58"/>
      <c r="P98" s="58"/>
    </row>
    <row r="99" spans="2:16">
      <c r="B99" s="658"/>
      <c r="C99" s="383">
        <v>3.02</v>
      </c>
      <c r="D99" s="152">
        <v>1.7090000000000001</v>
      </c>
      <c r="E99" s="152">
        <f>(C99*D99)-C99</f>
        <v>2.1411799999999999</v>
      </c>
      <c r="F99" s="192">
        <f>SUM($E$2:E99)/SUM($C$2:C99)</f>
        <v>5.8963179373029043E-2</v>
      </c>
      <c r="G99" s="152">
        <f>G98+E99</f>
        <v>19.07222999999998</v>
      </c>
      <c r="H99" s="376" t="s">
        <v>74</v>
      </c>
      <c r="I99" s="2">
        <f>SUM(E88:E99)</f>
        <v>-5.1158799999999989</v>
      </c>
      <c r="L99" s="2">
        <f>I99/C99</f>
        <v>-1.6939999999999995</v>
      </c>
      <c r="O99" s="58"/>
      <c r="P99" s="58"/>
    </row>
    <row r="100" spans="2:16">
      <c r="B100" s="655">
        <v>45979</v>
      </c>
      <c r="C100" s="384">
        <v>3.99</v>
      </c>
      <c r="D100" s="163">
        <v>1.7749999999999999</v>
      </c>
      <c r="E100" s="163">
        <f>(C100*D100)-C100</f>
        <v>3.0922499999999999</v>
      </c>
      <c r="F100" s="193">
        <f>SUM($E$2:E100)/SUM($C$2:C100)</f>
        <v>6.7688135593220261E-2</v>
      </c>
      <c r="G100" s="163">
        <f>G99+E100</f>
        <v>22.16447999999998</v>
      </c>
      <c r="H100" s="392" t="s">
        <v>27</v>
      </c>
      <c r="I100" s="2"/>
      <c r="J100" s="2"/>
      <c r="K100" s="2"/>
      <c r="O100" s="58"/>
      <c r="P100" s="58"/>
    </row>
    <row r="101" spans="2:16">
      <c r="B101" s="658"/>
      <c r="C101" s="386">
        <v>3.99</v>
      </c>
      <c r="D101" s="165"/>
      <c r="E101" s="165">
        <f>(C101*D101)-C101</f>
        <v>-3.99</v>
      </c>
      <c r="F101" s="195">
        <f>SUM($E$2:E101)/SUM($C$2:C101)</f>
        <v>5.4834902244750107E-2</v>
      </c>
      <c r="G101" s="165">
        <f>G100+E101</f>
        <v>18.174479999999981</v>
      </c>
      <c r="H101" s="393" t="s">
        <v>26</v>
      </c>
      <c r="I101" s="2"/>
      <c r="J101" s="2"/>
      <c r="K101" s="2"/>
      <c r="O101" s="58"/>
      <c r="P101" s="58"/>
    </row>
    <row r="102" spans="2:16">
      <c r="B102" s="658"/>
      <c r="C102" s="384">
        <v>3.99</v>
      </c>
      <c r="D102" s="163">
        <v>1.784</v>
      </c>
      <c r="E102" s="163">
        <f>(C102*D102)-C102</f>
        <v>3.1281600000000003</v>
      </c>
      <c r="F102" s="193">
        <f>SUM($E$2:E102)/SUM($C$2:C102)</f>
        <v>6.3508451837939281E-2</v>
      </c>
      <c r="G102" s="163">
        <f>G101+E102</f>
        <v>21.302639999999982</v>
      </c>
      <c r="H102" s="392" t="s">
        <v>64</v>
      </c>
      <c r="I102" s="2"/>
      <c r="J102" s="2"/>
      <c r="K102" s="2"/>
      <c r="O102" s="58"/>
      <c r="P102" s="58"/>
    </row>
    <row r="103" spans="2:16">
      <c r="B103" s="658"/>
      <c r="C103" s="385">
        <v>3.99</v>
      </c>
      <c r="D103" s="151"/>
      <c r="E103" s="151">
        <f>(C103*D103)-C103</f>
        <v>-3.99</v>
      </c>
      <c r="F103" s="156">
        <f>SUM($E$2:E103)/SUM($C$2:C103)</f>
        <v>5.1006540569206213E-2</v>
      </c>
      <c r="G103" s="151">
        <f>G102+E103</f>
        <v>17.31263999999998</v>
      </c>
      <c r="H103" s="394" t="s">
        <v>28</v>
      </c>
      <c r="I103" s="2"/>
      <c r="J103" s="2"/>
      <c r="K103" s="2"/>
      <c r="O103" s="58"/>
      <c r="P103" s="58"/>
    </row>
    <row r="104" spans="2:16">
      <c r="B104" s="658"/>
      <c r="C104" s="385">
        <v>3.99</v>
      </c>
      <c r="D104" s="151"/>
      <c r="E104" s="151">
        <f>(C104*D104)-C104</f>
        <v>-3.99</v>
      </c>
      <c r="F104" s="156">
        <f>SUM($E$2:E104)/SUM($C$2:C104)</f>
        <v>3.8795142832183029E-2</v>
      </c>
      <c r="G104" s="151">
        <f>G103+E104</f>
        <v>13.32263999999998</v>
      </c>
      <c r="H104" s="394" t="s">
        <v>14</v>
      </c>
      <c r="I104" s="2"/>
      <c r="J104" s="2"/>
      <c r="K104" s="2"/>
      <c r="O104" s="58"/>
      <c r="P104" s="58"/>
    </row>
    <row r="105" spans="2:16">
      <c r="B105" s="658"/>
      <c r="C105" s="386">
        <v>3.99</v>
      </c>
      <c r="D105" s="165"/>
      <c r="E105" s="165">
        <f>(C105*D105)-C105</f>
        <v>-3.99</v>
      </c>
      <c r="F105" s="195">
        <f>SUM($E$2:E105)/SUM($C$2:C105)</f>
        <v>2.6864248704663144E-2</v>
      </c>
      <c r="G105" s="165">
        <f>G104+E105</f>
        <v>9.3326399999999801</v>
      </c>
      <c r="H105" s="393" t="s">
        <v>12</v>
      </c>
      <c r="I105" s="2"/>
      <c r="J105" s="2"/>
      <c r="K105" s="2"/>
      <c r="O105" s="58"/>
      <c r="P105" s="58"/>
    </row>
    <row r="106" spans="2:16">
      <c r="B106" s="658"/>
      <c r="C106" s="384">
        <v>3.99</v>
      </c>
      <c r="D106" s="163">
        <v>1.615</v>
      </c>
      <c r="E106" s="163">
        <f>(C106*D106)-C106</f>
        <v>2.4538500000000001</v>
      </c>
      <c r="F106" s="193">
        <f>SUM($E$2:E106)/SUM($C$2:C106)</f>
        <v>3.3542474173994634E-2</v>
      </c>
      <c r="G106" s="163">
        <f>G105+E106</f>
        <v>11.786489999999979</v>
      </c>
      <c r="H106" s="392" t="s">
        <v>75</v>
      </c>
      <c r="I106" s="2"/>
      <c r="J106" s="2"/>
      <c r="K106" s="2"/>
      <c r="O106" s="58"/>
      <c r="P106" s="58"/>
    </row>
    <row r="107" spans="2:16">
      <c r="B107" s="658"/>
      <c r="C107" s="385">
        <v>3.99</v>
      </c>
      <c r="D107" s="151"/>
      <c r="E107" s="151">
        <f>(C107*D107)-C107</f>
        <v>-3.99</v>
      </c>
      <c r="F107" s="156">
        <f>SUM($E$2:E107)/SUM($C$2:C107)</f>
        <v>2.1938460239743305E-2</v>
      </c>
      <c r="G107" s="151">
        <f>G106+E107</f>
        <v>7.796489999999979</v>
      </c>
      <c r="H107" s="394" t="s">
        <v>76</v>
      </c>
      <c r="I107" s="2"/>
      <c r="J107" s="2"/>
      <c r="K107" s="2"/>
      <c r="O107" s="58"/>
      <c r="P107" s="58"/>
    </row>
    <row r="108" spans="2:16">
      <c r="B108" s="658"/>
      <c r="C108" s="385">
        <v>3.99</v>
      </c>
      <c r="D108" s="151">
        <v>1.67</v>
      </c>
      <c r="E108" s="151">
        <f>(C108*D108)-C108</f>
        <v>2.6733000000000002</v>
      </c>
      <c r="F108" s="156">
        <f>SUM($E$2:E108)/SUM($C$2:C108)</f>
        <v>2.9133734034560408E-2</v>
      </c>
      <c r="G108" s="151">
        <f>G107+E108</f>
        <v>10.469789999999978</v>
      </c>
      <c r="H108" s="394" t="s">
        <v>77</v>
      </c>
      <c r="I108" s="2"/>
      <c r="J108" s="2"/>
      <c r="K108" s="2"/>
      <c r="O108" s="58"/>
      <c r="P108" s="58"/>
    </row>
    <row r="109" spans="2:16">
      <c r="B109" s="658"/>
      <c r="C109" s="383">
        <v>3.99</v>
      </c>
      <c r="D109" s="152"/>
      <c r="E109" s="152">
        <f>(C109*D109)-C109</f>
        <v>-3.99</v>
      </c>
      <c r="F109" s="192">
        <f>SUM($E$2:E109)/SUM($C$2:C109)</f>
        <v>1.7832975561426614E-2</v>
      </c>
      <c r="G109" s="152">
        <f>G108+E109</f>
        <v>6.4797899999999782</v>
      </c>
      <c r="H109" s="394" t="s">
        <v>78</v>
      </c>
      <c r="I109" s="2">
        <f>SUM(E100:E109)</f>
        <v>-12.592439999999998</v>
      </c>
      <c r="L109" s="2">
        <f>I109/C109</f>
        <v>-3.1559999999999993</v>
      </c>
      <c r="O109" s="58"/>
      <c r="P109" s="58"/>
    </row>
    <row r="110" spans="2:16">
      <c r="B110" s="655">
        <v>45980</v>
      </c>
      <c r="C110" s="384">
        <v>2.62</v>
      </c>
      <c r="D110" s="163"/>
      <c r="E110" s="163">
        <f>(C110*D110)-C110</f>
        <v>-2.62</v>
      </c>
      <c r="F110" s="193">
        <f>SUM($E$2:E110)/SUM($C$2:C110)</f>
        <v>1.0546450625717187E-2</v>
      </c>
      <c r="G110" s="163">
        <f>G109+E110</f>
        <v>3.8597899999999781</v>
      </c>
      <c r="H110" s="378" t="s">
        <v>53</v>
      </c>
      <c r="I110" s="2"/>
      <c r="J110" s="2"/>
      <c r="K110" s="2"/>
      <c r="O110" s="58"/>
      <c r="P110" s="58"/>
    </row>
    <row r="111" spans="2:16">
      <c r="B111" s="658"/>
      <c r="C111" s="383">
        <v>2.62</v>
      </c>
      <c r="D111" s="152"/>
      <c r="E111" s="152">
        <f>(C111*D111)-C111</f>
        <v>-2.62</v>
      </c>
      <c r="F111" s="192">
        <f>SUM($E$2:E111)/SUM($C$2:C111)</f>
        <v>3.3635105805750877E-3</v>
      </c>
      <c r="G111" s="152">
        <f>G110+E111</f>
        <v>1.239789999999978</v>
      </c>
      <c r="H111" s="376" t="s">
        <v>38</v>
      </c>
      <c r="I111" s="2"/>
      <c r="J111" s="2"/>
      <c r="K111" s="2"/>
      <c r="O111" s="58"/>
      <c r="P111" s="58"/>
    </row>
    <row r="112" spans="2:16">
      <c r="B112" s="658"/>
      <c r="C112" s="384">
        <v>2.62</v>
      </c>
      <c r="D112" s="163"/>
      <c r="E112" s="163">
        <f>(C112*D112)-C112</f>
        <v>-2.62</v>
      </c>
      <c r="F112" s="193">
        <f>SUM($E$2:E112)/SUM($C$2:C112)</f>
        <v>-3.7180378212381374E-3</v>
      </c>
      <c r="G112" s="163">
        <f>G111+E112</f>
        <v>-1.3802100000000221</v>
      </c>
      <c r="H112" s="378" t="s">
        <v>46</v>
      </c>
      <c r="I112" s="2"/>
      <c r="J112" s="2"/>
      <c r="K112" s="2"/>
      <c r="O112" s="58"/>
      <c r="P112" s="58"/>
    </row>
    <row r="113" spans="2:16">
      <c r="B113" s="658"/>
      <c r="C113" s="402">
        <v>2.62</v>
      </c>
      <c r="D113" s="151">
        <v>1.798</v>
      </c>
      <c r="E113" s="151">
        <f>(C113*D113)-C113</f>
        <v>2.0907600000000004</v>
      </c>
      <c r="F113" s="156">
        <f>SUM($E$2:E113)/SUM($C$2:C113)</f>
        <v>1.9006794350523697E-3</v>
      </c>
      <c r="G113" s="151">
        <f>G112+E113</f>
        <v>0.71054999999997825</v>
      </c>
      <c r="H113" s="394" t="s">
        <v>60</v>
      </c>
      <c r="I113" s="2"/>
      <c r="J113" s="2"/>
      <c r="K113" s="2"/>
      <c r="O113" s="58"/>
      <c r="P113" s="58"/>
    </row>
    <row r="114" spans="2:16">
      <c r="B114" s="658"/>
      <c r="C114" s="402">
        <v>2.62</v>
      </c>
      <c r="D114" s="151"/>
      <c r="E114" s="151">
        <f>(C114*D114)-C114</f>
        <v>-2.62</v>
      </c>
      <c r="F114" s="156">
        <f>SUM($E$2:E114)/SUM($C$2:C114)</f>
        <v>-5.0721192158530012E-3</v>
      </c>
      <c r="G114" s="151">
        <f>G113+E114</f>
        <v>-1.9094500000000219</v>
      </c>
      <c r="H114" s="394" t="s">
        <v>16</v>
      </c>
      <c r="I114" s="2"/>
      <c r="J114" s="2"/>
      <c r="K114" s="2"/>
      <c r="O114" s="58"/>
      <c r="P114" s="58"/>
    </row>
    <row r="115" spans="2:16">
      <c r="B115" s="658"/>
      <c r="C115" s="402">
        <v>2.62</v>
      </c>
      <c r="D115" s="151">
        <v>1.798</v>
      </c>
      <c r="E115" s="151">
        <f>(C115*D115)-C115</f>
        <v>2.0907600000000004</v>
      </c>
      <c r="F115" s="156">
        <f>SUM($E$2:E115)/SUM($C$2:C115)</f>
        <v>4.7828954310430108E-4</v>
      </c>
      <c r="G115" s="151">
        <f>G114+E115</f>
        <v>0.18130999999997854</v>
      </c>
      <c r="H115" s="394" t="s">
        <v>13</v>
      </c>
      <c r="I115" s="2"/>
      <c r="J115" s="2"/>
      <c r="K115" s="2"/>
      <c r="O115" s="58"/>
      <c r="P115" s="58"/>
    </row>
    <row r="116" spans="2:16">
      <c r="B116" s="658"/>
      <c r="C116" s="403">
        <v>2.62</v>
      </c>
      <c r="D116" s="152"/>
      <c r="E116" s="152">
        <f>(C116*D116)-C116</f>
        <v>-2.62</v>
      </c>
      <c r="F116" s="192">
        <f>SUM($E$2:E116)/SUM($C$2:C116)</f>
        <v>-6.3890227927692438E-3</v>
      </c>
      <c r="G116" s="152">
        <f>G115+E116</f>
        <v>-2.4386900000000216</v>
      </c>
      <c r="H116" s="394" t="s">
        <v>17</v>
      </c>
      <c r="I116" s="2"/>
      <c r="J116" s="2"/>
      <c r="K116" s="2"/>
      <c r="O116" s="58"/>
      <c r="P116" s="58"/>
    </row>
    <row r="117" spans="2:16">
      <c r="B117" s="658"/>
      <c r="C117" s="384">
        <v>2.62</v>
      </c>
      <c r="D117" s="163"/>
      <c r="E117" s="163">
        <f>(C117*D117)-C117</f>
        <v>-2.62</v>
      </c>
      <c r="F117" s="193">
        <f>SUM($E$2:E117)/SUM($C$2:C117)</f>
        <v>-1.3162702955870157E-2</v>
      </c>
      <c r="G117" s="163">
        <f>G116+E117</f>
        <v>-5.0586900000000217</v>
      </c>
      <c r="H117" s="381" t="s">
        <v>79</v>
      </c>
      <c r="I117" s="2"/>
      <c r="J117" s="2"/>
      <c r="K117" s="2"/>
      <c r="O117" s="58"/>
      <c r="P117" s="58"/>
    </row>
    <row r="118" spans="2:16">
      <c r="B118" s="658"/>
      <c r="C118" s="387">
        <v>2.62</v>
      </c>
      <c r="D118" s="164">
        <v>1.63</v>
      </c>
      <c r="E118" s="164">
        <f>(C118*D118)-C118</f>
        <v>1.6505999999999998</v>
      </c>
      <c r="F118" s="197">
        <f>SUM($E$2:E118)/SUM($C$2:C118)</f>
        <v>-8.8077996588618902E-3</v>
      </c>
      <c r="G118" s="164">
        <f>G117+E118</f>
        <v>-3.4080900000000218</v>
      </c>
      <c r="H118" s="379" t="s">
        <v>80</v>
      </c>
      <c r="I118" s="2"/>
      <c r="J118" s="2"/>
      <c r="K118" s="2"/>
      <c r="O118" s="58"/>
      <c r="P118" s="58"/>
    </row>
    <row r="119" spans="2:16">
      <c r="B119" s="658"/>
      <c r="C119" s="383">
        <v>2.62</v>
      </c>
      <c r="D119" s="152"/>
      <c r="E119" s="152">
        <f>(C119*D119)-C119</f>
        <v>-2.62</v>
      </c>
      <c r="F119" s="192">
        <f>SUM($E$2:E119)/SUM($C$2:C119)</f>
        <v>-1.5474098983468576E-2</v>
      </c>
      <c r="G119" s="152">
        <f>G118+E119</f>
        <v>-6.0280900000000219</v>
      </c>
      <c r="H119" s="376" t="s">
        <v>81</v>
      </c>
      <c r="I119" s="2">
        <f>SUM(E110:E119)</f>
        <v>-12.50788</v>
      </c>
      <c r="L119" s="2">
        <f>I119/C119</f>
        <v>-4.774</v>
      </c>
      <c r="O119" s="58"/>
      <c r="P119" s="58"/>
    </row>
    <row r="120" spans="2:16">
      <c r="B120" s="659">
        <v>45981</v>
      </c>
      <c r="C120" s="389">
        <v>5.78</v>
      </c>
      <c r="D120" s="163"/>
      <c r="E120" s="163">
        <f>(C120*D120)-C120</f>
        <v>-5.78</v>
      </c>
      <c r="F120" s="193">
        <f>SUM($E$2:E120)/SUM($C$2:C120)</f>
        <v>-2.9868189406586775E-2</v>
      </c>
      <c r="G120" s="163">
        <f t="shared" ref="G120:G128" si="0">G119+E120</f>
        <v>-11.808090000000021</v>
      </c>
      <c r="H120" s="378" t="s">
        <v>18</v>
      </c>
      <c r="I120" s="2"/>
      <c r="J120" s="2"/>
      <c r="K120" s="2"/>
      <c r="O120" s="58"/>
      <c r="P120" s="58"/>
    </row>
    <row r="121" spans="2:16">
      <c r="B121" s="660"/>
      <c r="C121" s="417">
        <v>5.78</v>
      </c>
      <c r="D121" s="165">
        <v>1.9</v>
      </c>
      <c r="E121" s="165">
        <f>(C121*D121)-C121</f>
        <v>5.2019999999999991</v>
      </c>
      <c r="F121" s="195">
        <f>SUM($E$2:E121)/SUM($C$2:C121)</f>
        <v>-1.6469111487834111E-2</v>
      </c>
      <c r="G121" s="165">
        <f t="shared" si="0"/>
        <v>-6.6060900000000222</v>
      </c>
      <c r="H121" s="377" t="s">
        <v>14</v>
      </c>
      <c r="I121" s="2"/>
      <c r="J121" s="2"/>
      <c r="K121" s="2"/>
      <c r="O121" s="58"/>
      <c r="P121" s="58"/>
    </row>
    <row r="122" spans="2:16">
      <c r="B122" s="660"/>
      <c r="C122" s="418">
        <v>5.78</v>
      </c>
      <c r="D122" s="164">
        <v>1.9</v>
      </c>
      <c r="E122" s="164">
        <f>(C122*D122)-C122</f>
        <v>5.2019999999999991</v>
      </c>
      <c r="F122" s="197">
        <f>SUM($E$2:E122)/SUM($C$2:C122)</f>
        <v>-3.4507004177931253E-3</v>
      </c>
      <c r="G122" s="164">
        <f t="shared" si="0"/>
        <v>-1.4040900000000232</v>
      </c>
      <c r="H122" s="379" t="s">
        <v>26</v>
      </c>
      <c r="I122" s="2"/>
      <c r="J122" s="2"/>
      <c r="K122" s="2"/>
      <c r="O122" s="58"/>
      <c r="P122" s="58"/>
    </row>
    <row r="123" spans="2:16">
      <c r="B123" s="660"/>
      <c r="C123" s="390">
        <v>5.78</v>
      </c>
      <c r="D123" s="151">
        <v>1.9</v>
      </c>
      <c r="E123" s="151">
        <f>(C123*D123)-C123</f>
        <v>5.2019999999999991</v>
      </c>
      <c r="F123" s="156">
        <f>SUM($E$2:E123)/SUM($C$2:C123)</f>
        <v>9.2030386740330882E-3</v>
      </c>
      <c r="G123" s="151">
        <f t="shared" si="0"/>
        <v>3.7979099999999759</v>
      </c>
      <c r="H123" s="376" t="s">
        <v>34</v>
      </c>
      <c r="I123" s="2"/>
      <c r="J123" s="2"/>
      <c r="K123" s="2"/>
      <c r="O123" s="58"/>
      <c r="P123" s="58"/>
    </row>
    <row r="124" spans="2:16">
      <c r="B124" s="660"/>
      <c r="C124" s="391">
        <v>5.78</v>
      </c>
      <c r="D124" s="152">
        <v>1.9</v>
      </c>
      <c r="E124" s="152">
        <f>(C124*D124)-C124</f>
        <v>5.2019999999999991</v>
      </c>
      <c r="F124" s="192">
        <f>SUM($E$2:E124)/SUM($C$2:C124)</f>
        <v>2.1507216938297501E-2</v>
      </c>
      <c r="G124" s="152">
        <f t="shared" si="0"/>
        <v>8.999909999999975</v>
      </c>
      <c r="H124" s="376" t="s">
        <v>12</v>
      </c>
      <c r="I124" s="2"/>
      <c r="J124" s="2"/>
      <c r="K124" s="2"/>
      <c r="O124" s="58"/>
      <c r="P124" s="58"/>
    </row>
    <row r="125" spans="2:16">
      <c r="B125" s="660"/>
      <c r="C125" s="389">
        <v>5.78</v>
      </c>
      <c r="D125" s="163">
        <v>1.605</v>
      </c>
      <c r="E125" s="163">
        <f>(C125*D125)-C125</f>
        <v>3.4968999999999992</v>
      </c>
      <c r="F125" s="193">
        <f>SUM($E$2:E125)/SUM($C$2:C125)</f>
        <v>2.9456934753912815E-2</v>
      </c>
      <c r="G125" s="163">
        <f t="shared" si="0"/>
        <v>12.496809999999975</v>
      </c>
      <c r="H125" s="378" t="s">
        <v>82</v>
      </c>
      <c r="I125" s="2"/>
      <c r="J125" s="2"/>
      <c r="K125" s="2"/>
      <c r="O125" s="58"/>
      <c r="P125" s="58"/>
    </row>
    <row r="126" spans="2:16">
      <c r="B126" s="660"/>
      <c r="C126" s="390">
        <v>5.78</v>
      </c>
      <c r="D126" s="151">
        <v>1.6060000000000001</v>
      </c>
      <c r="E126" s="151">
        <f>(C126*D126)-C126</f>
        <v>3.5026800000000007</v>
      </c>
      <c r="F126" s="156">
        <f>SUM($E$2:E126)/SUM($C$2:C126)</f>
        <v>3.7206385749499964E-2</v>
      </c>
      <c r="G126" s="151">
        <f t="shared" si="0"/>
        <v>15.999489999999977</v>
      </c>
      <c r="H126" s="376" t="s">
        <v>83</v>
      </c>
      <c r="I126" s="2"/>
      <c r="J126" s="2"/>
      <c r="K126" s="2"/>
      <c r="O126" s="58"/>
      <c r="P126" s="58"/>
    </row>
    <row r="127" spans="2:16">
      <c r="B127" s="660"/>
      <c r="C127" s="390">
        <v>5.78</v>
      </c>
      <c r="D127" s="151">
        <v>1.6060000000000001</v>
      </c>
      <c r="E127" s="151">
        <f>(C127*D127)-C127</f>
        <v>3.5026800000000007</v>
      </c>
      <c r="F127" s="156">
        <f>SUM($E$2:E127)/SUM($C$2:C127)</f>
        <v>4.4750275355667689E-2</v>
      </c>
      <c r="G127" s="151">
        <f t="shared" si="0"/>
        <v>19.502169999999978</v>
      </c>
      <c r="H127" s="388" t="s">
        <v>84</v>
      </c>
      <c r="I127" s="2"/>
      <c r="J127" s="2"/>
      <c r="K127" s="2"/>
      <c r="O127" s="58"/>
      <c r="P127" s="58"/>
    </row>
    <row r="128" spans="2:16">
      <c r="B128" s="661"/>
      <c r="C128" s="464">
        <v>5.78</v>
      </c>
      <c r="D128" s="236">
        <v>1.6060000000000001</v>
      </c>
      <c r="E128" s="236">
        <f>(C128*D128)-C128</f>
        <v>3.5026800000000007</v>
      </c>
      <c r="F128" s="496">
        <f>SUM($E$2:E128)/SUM($C$2:C128)</f>
        <v>5.2096675574074866E-2</v>
      </c>
      <c r="G128" s="236">
        <f t="shared" si="0"/>
        <v>23.00484999999998</v>
      </c>
      <c r="H128" s="379" t="s">
        <v>85</v>
      </c>
      <c r="I128" s="2">
        <f>SUM(E120:E128)</f>
        <v>29.03294</v>
      </c>
      <c r="L128" s="2">
        <f>I128/C128</f>
        <v>5.0229999999999997</v>
      </c>
      <c r="O128" s="58"/>
      <c r="P128" s="58"/>
    </row>
    <row r="129" spans="2:16">
      <c r="B129" s="653">
        <v>45982</v>
      </c>
      <c r="C129" s="389">
        <v>3.01</v>
      </c>
      <c r="D129" s="163"/>
      <c r="E129" s="163">
        <f>(C129*D129)-C129</f>
        <v>-3.01</v>
      </c>
      <c r="F129" s="193">
        <f>SUM($E$2:E129)/SUM($C$2:C129)</f>
        <v>4.4973683618614854E-2</v>
      </c>
      <c r="G129" s="163">
        <f t="shared" ref="G129:G130" si="1">G128+E129</f>
        <v>19.994849999999978</v>
      </c>
      <c r="H129" s="378" t="s">
        <v>60</v>
      </c>
      <c r="I129" s="2"/>
      <c r="J129" s="2"/>
      <c r="K129" s="2"/>
      <c r="O129" s="58"/>
      <c r="P129" s="58"/>
    </row>
    <row r="130" spans="2:16">
      <c r="B130" s="654"/>
      <c r="C130" s="390">
        <v>3.01</v>
      </c>
      <c r="D130" s="151">
        <v>1.9</v>
      </c>
      <c r="E130" s="151">
        <f>(C130*D130)-C130</f>
        <v>2.7089999999999996</v>
      </c>
      <c r="F130" s="156">
        <f>SUM($E$2:E130)/SUM($C$2:C130)</f>
        <v>5.0723525469168855E-2</v>
      </c>
      <c r="G130" s="151">
        <f t="shared" si="1"/>
        <v>22.703849999999978</v>
      </c>
      <c r="H130" s="376" t="s">
        <v>28</v>
      </c>
      <c r="I130" s="2"/>
      <c r="J130" s="2"/>
      <c r="K130" s="2"/>
      <c r="O130" s="58"/>
      <c r="P130" s="58"/>
    </row>
    <row r="131" spans="2:16">
      <c r="B131" s="654"/>
      <c r="C131" s="390">
        <v>3.01</v>
      </c>
      <c r="D131" s="151"/>
      <c r="E131" s="151">
        <f>(C131*D131)-C131</f>
        <v>-3.01</v>
      </c>
      <c r="F131" s="156">
        <f>SUM($E$2:E131)/SUM($C$2:C131)</f>
        <v>4.370486673620199E-2</v>
      </c>
      <c r="G131" s="151">
        <f t="shared" ref="G131:G139" si="2">G130+E131</f>
        <v>19.693849999999976</v>
      </c>
      <c r="H131" s="376" t="s">
        <v>59</v>
      </c>
      <c r="I131" s="2"/>
      <c r="J131" s="2"/>
      <c r="K131" s="2"/>
      <c r="O131" s="58"/>
      <c r="P131" s="58"/>
    </row>
    <row r="132" spans="2:16">
      <c r="B132" s="654"/>
      <c r="C132" s="390">
        <v>3.01</v>
      </c>
      <c r="D132" s="151">
        <v>1.798</v>
      </c>
      <c r="E132" s="151">
        <f>(C132*D132)-C132</f>
        <v>2.40198</v>
      </c>
      <c r="F132" s="156">
        <f>SUM($E$2:E132)/SUM($C$2:C132)</f>
        <v>4.8709999559102289E-2</v>
      </c>
      <c r="G132" s="151">
        <f t="shared" si="2"/>
        <v>22.095829999999978</v>
      </c>
      <c r="H132" s="388" t="s">
        <v>30</v>
      </c>
      <c r="I132" s="2"/>
      <c r="J132" s="2"/>
      <c r="K132" s="2"/>
      <c r="O132" s="58"/>
      <c r="P132" s="58"/>
    </row>
    <row r="133" spans="2:16">
      <c r="B133" s="654"/>
      <c r="C133" s="404">
        <v>3.01</v>
      </c>
      <c r="D133" s="257">
        <v>1.8</v>
      </c>
      <c r="E133" s="257">
        <f>(C133*D133)-C133</f>
        <v>2.4080000000000004</v>
      </c>
      <c r="F133" s="256">
        <f>SUM($E$2:E133)/SUM($C$2:C133)</f>
        <v>5.3662330552088085E-2</v>
      </c>
      <c r="G133" s="257">
        <f t="shared" si="2"/>
        <v>24.503829999999979</v>
      </c>
      <c r="H133" s="401" t="s">
        <v>52</v>
      </c>
      <c r="I133" s="2"/>
      <c r="J133" s="2"/>
      <c r="K133" s="2"/>
      <c r="O133" s="58"/>
      <c r="P133" s="58"/>
    </row>
    <row r="134" spans="2:16">
      <c r="B134" s="652"/>
      <c r="C134" s="418">
        <v>3.01</v>
      </c>
      <c r="D134" s="164"/>
      <c r="E134" s="164">
        <f>(C134*D134)-C134</f>
        <v>-3.01</v>
      </c>
      <c r="F134" s="197">
        <f>SUM($E$2:E134)/SUM($C$2:C134)</f>
        <v>4.6762313984857681E-2</v>
      </c>
      <c r="G134" s="164">
        <f t="shared" si="2"/>
        <v>21.493829999999981</v>
      </c>
      <c r="H134" s="379" t="s">
        <v>37</v>
      </c>
      <c r="I134" s="2"/>
      <c r="J134" s="2"/>
      <c r="K134" s="2"/>
      <c r="O134" s="58"/>
      <c r="P134" s="58"/>
    </row>
    <row r="135" spans="2:16">
      <c r="B135" s="652"/>
      <c r="C135" s="390">
        <v>3.01</v>
      </c>
      <c r="D135" s="151"/>
      <c r="E135" s="151">
        <f>(C135*D135)-C135</f>
        <v>-3.01</v>
      </c>
      <c r="F135" s="156">
        <f>SUM($E$2:E135)/SUM($C$2:C135)</f>
        <v>3.9952080406354666E-2</v>
      </c>
      <c r="G135" s="151">
        <f t="shared" si="2"/>
        <v>18.483829999999983</v>
      </c>
      <c r="H135" s="376" t="s">
        <v>36</v>
      </c>
      <c r="I135" s="2"/>
      <c r="J135" s="2"/>
      <c r="K135" s="2"/>
      <c r="O135" s="58"/>
      <c r="P135" s="58"/>
    </row>
    <row r="136" spans="2:16">
      <c r="B136" s="652"/>
      <c r="C136" s="417">
        <v>3.01</v>
      </c>
      <c r="D136" s="165">
        <v>1.9</v>
      </c>
      <c r="E136" s="165">
        <f>(C136*D136)-C136</f>
        <v>2.7089999999999996</v>
      </c>
      <c r="F136" s="195">
        <f>SUM($E$2:E136)/SUM($C$2:C136)</f>
        <v>4.551138169479875E-2</v>
      </c>
      <c r="G136" s="165">
        <f t="shared" si="2"/>
        <v>21.192829999999983</v>
      </c>
      <c r="H136" s="377" t="s">
        <v>27</v>
      </c>
      <c r="I136" s="2"/>
      <c r="J136" s="2"/>
      <c r="K136" s="2"/>
      <c r="O136" s="58"/>
      <c r="P136" s="58"/>
    </row>
    <row r="137" spans="2:16">
      <c r="B137" s="652"/>
      <c r="C137" s="418">
        <v>3.01</v>
      </c>
      <c r="D137" s="164"/>
      <c r="E137" s="164">
        <f>(C137*D137)-C137</f>
        <v>-3.01</v>
      </c>
      <c r="F137" s="197">
        <f>SUM($E$2:E137)/SUM($C$2:C137)</f>
        <v>3.8796658629739446E-2</v>
      </c>
      <c r="G137" s="164">
        <f t="shared" si="2"/>
        <v>18.182829999999981</v>
      </c>
      <c r="H137" s="379" t="s">
        <v>86</v>
      </c>
      <c r="I137" s="2"/>
      <c r="J137" s="2"/>
      <c r="K137" s="2"/>
      <c r="O137" s="58"/>
      <c r="P137" s="58"/>
    </row>
    <row r="138" spans="2:16">
      <c r="B138" s="652"/>
      <c r="C138" s="390">
        <v>3.01</v>
      </c>
      <c r="D138" s="151"/>
      <c r="E138" s="151">
        <f>(C138*D138)-C138</f>
        <v>-3.01</v>
      </c>
      <c r="F138" s="156">
        <f>SUM($E$2:E138)/SUM($C$2:C138)</f>
        <v>3.2167634837177717E-2</v>
      </c>
      <c r="G138" s="151">
        <f t="shared" si="2"/>
        <v>15.172829999999982</v>
      </c>
      <c r="H138" s="388" t="s">
        <v>87</v>
      </c>
      <c r="I138" s="2"/>
      <c r="J138" s="2"/>
      <c r="K138" s="2"/>
      <c r="O138" s="58"/>
      <c r="P138" s="58"/>
    </row>
    <row r="139" spans="2:16">
      <c r="B139" s="652"/>
      <c r="C139" s="464">
        <v>3.01</v>
      </c>
      <c r="D139" s="236">
        <v>1.6060000000000001</v>
      </c>
      <c r="E139" s="236">
        <f>(C139*D139)-C139</f>
        <v>1.8240600000000002</v>
      </c>
      <c r="F139" s="496">
        <f>SUM($E$2:E139)/SUM($C$2:C139)</f>
        <v>3.5806294634392943E-2</v>
      </c>
      <c r="G139" s="236">
        <f t="shared" si="2"/>
        <v>16.996889999999983</v>
      </c>
      <c r="H139" s="379" t="s">
        <v>88</v>
      </c>
      <c r="I139" s="2">
        <f>SUM(E129:E139)</f>
        <v>-6.0079599999999989</v>
      </c>
      <c r="L139" s="2">
        <f>I139/C139</f>
        <v>-1.9959999999999998</v>
      </c>
      <c r="O139" s="58"/>
      <c r="P139" s="58"/>
    </row>
    <row r="140" spans="2:16">
      <c r="B140" s="650">
        <v>45983</v>
      </c>
      <c r="C140" s="384">
        <v>3.41</v>
      </c>
      <c r="D140" s="163">
        <v>1.9</v>
      </c>
      <c r="E140" s="163">
        <f>(C140*D140)-C140</f>
        <v>3.069</v>
      </c>
      <c r="F140" s="193">
        <f>SUM($E$2:E140)/SUM($C$2:C140)</f>
        <v>4.1970069023216872E-2</v>
      </c>
      <c r="G140" s="163">
        <f t="shared" ref="G140:G149" si="3">G139+E140</f>
        <v>20.065889999999982</v>
      </c>
      <c r="H140" s="378" t="s">
        <v>18</v>
      </c>
      <c r="I140" s="2"/>
      <c r="J140" s="2"/>
      <c r="K140" s="2"/>
      <c r="O140" s="58"/>
      <c r="P140" s="58"/>
    </row>
    <row r="141" spans="2:16">
      <c r="B141" s="652"/>
      <c r="C141" s="383">
        <v>3.41</v>
      </c>
      <c r="D141" s="152">
        <v>1.91</v>
      </c>
      <c r="E141" s="152">
        <f>(C141*D141)-C141</f>
        <v>3.1030999999999995</v>
      </c>
      <c r="F141" s="192">
        <f>SUM($E$2:E141)/SUM($C$2:C141)</f>
        <v>4.811735997175548E-2</v>
      </c>
      <c r="G141" s="152">
        <f t="shared" si="3"/>
        <v>23.16898999999998</v>
      </c>
      <c r="H141" s="376" t="s">
        <v>11</v>
      </c>
      <c r="I141" s="2"/>
      <c r="J141" s="2"/>
      <c r="K141" s="2"/>
      <c r="O141" s="58"/>
      <c r="P141" s="58"/>
    </row>
    <row r="142" spans="2:16">
      <c r="B142" s="652"/>
      <c r="C142" s="384">
        <v>3.41</v>
      </c>
      <c r="D142" s="163">
        <v>1.9</v>
      </c>
      <c r="E142" s="163">
        <f>(C142*D142)-C142</f>
        <v>3.069</v>
      </c>
      <c r="F142" s="193">
        <f>SUM($E$2:E142)/SUM($C$2:C142)</f>
        <v>5.4107873463664073E-2</v>
      </c>
      <c r="G142" s="163">
        <f t="shared" si="3"/>
        <v>26.237989999999979</v>
      </c>
      <c r="H142" s="378" t="s">
        <v>15</v>
      </c>
      <c r="I142" s="2"/>
      <c r="J142" s="2"/>
      <c r="K142" s="2"/>
      <c r="O142" s="58"/>
      <c r="P142" s="58"/>
    </row>
    <row r="143" spans="2:16">
      <c r="B143" s="652"/>
      <c r="C143" s="385">
        <v>3.41</v>
      </c>
      <c r="D143" s="151"/>
      <c r="E143" s="151">
        <f>(C143*D143)-C143</f>
        <v>-3.41</v>
      </c>
      <c r="F143" s="156">
        <f>SUM($E$2:E143)/SUM($C$2:C143)</f>
        <v>4.6747056293899573E-2</v>
      </c>
      <c r="G143" s="151">
        <f t="shared" si="3"/>
        <v>22.827989999999978</v>
      </c>
      <c r="H143" s="394" t="s">
        <v>13</v>
      </c>
      <c r="I143" s="2"/>
      <c r="J143" s="2"/>
      <c r="K143" s="2"/>
      <c r="O143" s="58"/>
      <c r="P143" s="58"/>
    </row>
    <row r="144" spans="2:16">
      <c r="B144" s="652"/>
      <c r="C144" s="385">
        <v>3.41</v>
      </c>
      <c r="D144" s="151">
        <v>1.8</v>
      </c>
      <c r="E144" s="151">
        <f>(C144*D144)-C144</f>
        <v>2.7280000000000006</v>
      </c>
      <c r="F144" s="156">
        <f>SUM($E$2:E144)/SUM($C$2:C144)</f>
        <v>5.1970533208606132E-2</v>
      </c>
      <c r="G144" s="151">
        <f t="shared" si="3"/>
        <v>25.55598999999998</v>
      </c>
      <c r="H144" s="376" t="s">
        <v>34</v>
      </c>
      <c r="I144" s="2"/>
      <c r="J144" s="2"/>
      <c r="K144" s="2"/>
      <c r="O144" s="58"/>
      <c r="P144" s="58"/>
    </row>
    <row r="145" spans="2:16">
      <c r="B145" s="652"/>
      <c r="C145" s="383">
        <v>3.41</v>
      </c>
      <c r="D145" s="152"/>
      <c r="E145" s="152">
        <f>(C145*D145)-C145</f>
        <v>-3.41</v>
      </c>
      <c r="F145" s="192">
        <f>SUM($E$2:E145)/SUM($C$2:C145)</f>
        <v>4.4725820458446891E-2</v>
      </c>
      <c r="G145" s="152">
        <f t="shared" si="3"/>
        <v>22.14598999999998</v>
      </c>
      <c r="H145" s="376" t="s">
        <v>17</v>
      </c>
      <c r="I145" s="2"/>
      <c r="J145" s="2"/>
      <c r="K145" s="2"/>
      <c r="O145" s="58"/>
      <c r="P145" s="58"/>
    </row>
    <row r="146" spans="2:16">
      <c r="B146" s="652"/>
      <c r="C146" s="384">
        <v>3.41</v>
      </c>
      <c r="D146" s="163">
        <v>1.625</v>
      </c>
      <c r="E146" s="163">
        <f>(C146*D146)-C146</f>
        <v>2.1312499999999996</v>
      </c>
      <c r="F146" s="193">
        <f>SUM($E$2:E146)/SUM($C$2:C146)</f>
        <v>4.869472079589212E-2</v>
      </c>
      <c r="G146" s="163">
        <f t="shared" si="3"/>
        <v>24.277239999999978</v>
      </c>
      <c r="H146" s="392" t="s">
        <v>89</v>
      </c>
      <c r="I146" s="2"/>
      <c r="J146" s="2"/>
      <c r="K146" s="2"/>
      <c r="O146" s="58"/>
      <c r="P146" s="58"/>
    </row>
    <row r="147" spans="2:16">
      <c r="B147" s="652"/>
      <c r="C147" s="385">
        <v>3.41</v>
      </c>
      <c r="D147" s="151"/>
      <c r="E147" s="151">
        <f>(C147*D147)-C147</f>
        <v>-3.41</v>
      </c>
      <c r="F147" s="156">
        <f>SUM($E$2:E147)/SUM($C$2:C147)</f>
        <v>4.157069147558614E-2</v>
      </c>
      <c r="G147" s="151">
        <f t="shared" si="3"/>
        <v>20.867239999999978</v>
      </c>
      <c r="H147" s="376" t="s">
        <v>90</v>
      </c>
      <c r="I147" s="2"/>
      <c r="J147" s="2"/>
      <c r="K147" s="2"/>
      <c r="O147" s="58"/>
      <c r="P147" s="58"/>
    </row>
    <row r="148" spans="2:16">
      <c r="B148" s="652"/>
      <c r="C148" s="385">
        <v>3.41</v>
      </c>
      <c r="D148" s="151">
        <v>1.7</v>
      </c>
      <c r="E148" s="151">
        <f>(C148*D148)-C148</f>
        <v>2.3869999999999996</v>
      </c>
      <c r="F148" s="156">
        <f>SUM($E$2:E148)/SUM($C$2:C148)</f>
        <v>4.601337607344963E-2</v>
      </c>
      <c r="G148" s="151">
        <f t="shared" si="3"/>
        <v>23.254239999999978</v>
      </c>
      <c r="H148" s="388" t="s">
        <v>91</v>
      </c>
      <c r="I148" s="2"/>
      <c r="J148" s="2"/>
      <c r="K148" s="2"/>
      <c r="O148" s="58"/>
      <c r="P148" s="58"/>
    </row>
    <row r="149" spans="2:16">
      <c r="B149" s="652"/>
      <c r="C149" s="473">
        <v>3.41</v>
      </c>
      <c r="D149" s="257"/>
      <c r="E149" s="257">
        <f>(C149*D149)-C149</f>
        <v>-3.41</v>
      </c>
      <c r="F149" s="256">
        <f>SUM($E$2:E149)/SUM($C$2:C149)</f>
        <v>3.9002810589830718E-2</v>
      </c>
      <c r="G149" s="257">
        <f t="shared" si="3"/>
        <v>19.844239999999978</v>
      </c>
      <c r="H149" s="401" t="s">
        <v>92</v>
      </c>
      <c r="I149" s="2">
        <f>SUM(E140:E149)</f>
        <v>2.8473499999999996</v>
      </c>
      <c r="L149" s="2">
        <f>I149/C149</f>
        <v>0.83499999999999985</v>
      </c>
      <c r="O149" s="58"/>
      <c r="P149" s="58"/>
    </row>
    <row r="150" spans="2:16">
      <c r="B150" s="650">
        <v>45984</v>
      </c>
      <c r="C150" s="387">
        <v>3</v>
      </c>
      <c r="D150" s="164"/>
      <c r="E150" s="164">
        <f>(C150*D150)-C150</f>
        <v>-3</v>
      </c>
      <c r="F150" s="197">
        <f>SUM($E$2:E150)/SUM($C$2:C150)</f>
        <v>3.2912405478809616E-2</v>
      </c>
      <c r="G150" s="164">
        <f t="shared" ref="G150:G162" si="4">G149+E150</f>
        <v>16.844239999999978</v>
      </c>
      <c r="H150" s="379" t="s">
        <v>15</v>
      </c>
      <c r="I150" s="2"/>
      <c r="J150" s="2"/>
      <c r="K150" s="2"/>
      <c r="O150" s="58"/>
      <c r="P150" s="58"/>
    </row>
    <row r="151" spans="2:16">
      <c r="B151" s="652"/>
      <c r="C151" s="385">
        <v>3</v>
      </c>
      <c r="D151" s="151"/>
      <c r="E151" s="151">
        <f>(C151*D151)-C151</f>
        <v>-3</v>
      </c>
      <c r="F151" s="156">
        <f>SUM($E$2:E151)/SUM($C$2:C151)</f>
        <v>2.6892985489228565E-2</v>
      </c>
      <c r="G151" s="151">
        <f t="shared" si="4"/>
        <v>13.844239999999978</v>
      </c>
      <c r="H151" s="376" t="s">
        <v>18</v>
      </c>
      <c r="I151" s="2"/>
      <c r="J151" s="2"/>
      <c r="K151" s="2"/>
      <c r="O151" s="58"/>
      <c r="P151" s="58"/>
    </row>
    <row r="152" spans="2:16">
      <c r="B152" s="652"/>
      <c r="C152" s="386">
        <v>3</v>
      </c>
      <c r="D152" s="165"/>
      <c r="E152" s="165">
        <f>(C152*D152)-C152</f>
        <v>-3</v>
      </c>
      <c r="F152" s="195">
        <f>SUM($E$2:E152)/SUM($C$2:C152)</f>
        <v>2.0943316788659443E-2</v>
      </c>
      <c r="G152" s="165">
        <f t="shared" si="4"/>
        <v>10.844239999999978</v>
      </c>
      <c r="H152" s="377" t="s">
        <v>52</v>
      </c>
      <c r="I152" s="2"/>
      <c r="J152" s="2"/>
      <c r="K152" s="2"/>
      <c r="O152" s="58"/>
      <c r="P152" s="58"/>
    </row>
    <row r="153" spans="2:16">
      <c r="B153" s="652"/>
      <c r="C153" s="384">
        <v>3</v>
      </c>
      <c r="D153" s="163"/>
      <c r="E153" s="163">
        <f>(C153*D153)-C153</f>
        <v>-3</v>
      </c>
      <c r="F153" s="193">
        <f>SUM($E$2:E153)/SUM($C$2:C153)</f>
        <v>1.5062193974538634E-2</v>
      </c>
      <c r="G153" s="163">
        <f t="shared" si="4"/>
        <v>7.8442399999999779</v>
      </c>
      <c r="H153" s="378" t="s">
        <v>51</v>
      </c>
      <c r="I153" s="2"/>
      <c r="J153" s="2"/>
      <c r="K153" s="2"/>
      <c r="O153" s="58"/>
      <c r="P153" s="58"/>
    </row>
    <row r="154" spans="2:16">
      <c r="B154" s="652"/>
      <c r="C154" s="385">
        <v>3</v>
      </c>
      <c r="D154" s="151"/>
      <c r="E154" s="151">
        <f>(C154*D154)-C154</f>
        <v>-3</v>
      </c>
      <c r="F154" s="156">
        <f>SUM($E$2:E154)/SUM($C$2:C154)</f>
        <v>9.2484392600087374E-3</v>
      </c>
      <c r="G154" s="151">
        <f t="shared" si="4"/>
        <v>4.8442399999999779</v>
      </c>
      <c r="H154" s="376" t="s">
        <v>14</v>
      </c>
      <c r="I154" s="2"/>
      <c r="J154" s="2"/>
      <c r="K154" s="2"/>
      <c r="O154" s="58"/>
      <c r="P154" s="58"/>
    </row>
    <row r="155" spans="2:16">
      <c r="B155" s="652"/>
      <c r="C155" s="385">
        <v>3</v>
      </c>
      <c r="D155" s="151">
        <v>1.9</v>
      </c>
      <c r="E155" s="151">
        <f>(C155*D155)-C155</f>
        <v>2.6999999999999993</v>
      </c>
      <c r="F155" s="156">
        <f>SUM($E$2:E155)/SUM($C$2:C155)</f>
        <v>1.4321152641469987E-2</v>
      </c>
      <c r="G155" s="151">
        <f t="shared" si="4"/>
        <v>7.5442399999999772</v>
      </c>
      <c r="H155" s="376" t="s">
        <v>37</v>
      </c>
      <c r="I155" s="2"/>
      <c r="J155" s="2"/>
      <c r="K155" s="2"/>
      <c r="O155" s="58"/>
      <c r="P155" s="58"/>
    </row>
    <row r="156" spans="2:16">
      <c r="B156" s="652"/>
      <c r="C156" s="385">
        <v>3</v>
      </c>
      <c r="D156" s="151">
        <v>1.9</v>
      </c>
      <c r="E156" s="151">
        <f>(C156*D156)-C156</f>
        <v>2.6999999999999993</v>
      </c>
      <c r="F156" s="156">
        <f>SUM($E$2:E156)/SUM($C$2:C156)</f>
        <v>1.9336416315898702E-2</v>
      </c>
      <c r="G156" s="151">
        <f t="shared" si="4"/>
        <v>10.244239999999976</v>
      </c>
      <c r="H156" s="376" t="s">
        <v>46</v>
      </c>
      <c r="I156" s="2"/>
      <c r="J156" s="2"/>
      <c r="K156" s="2"/>
      <c r="O156" s="58"/>
      <c r="P156" s="58"/>
    </row>
    <row r="157" spans="2:16">
      <c r="B157" s="652"/>
      <c r="C157" s="385">
        <v>3</v>
      </c>
      <c r="D157" s="151"/>
      <c r="E157" s="151">
        <f>(C157*D157)-C157</f>
        <v>-3</v>
      </c>
      <c r="F157" s="156">
        <f>SUM($E$2:E157)/SUM($C$2:C157)</f>
        <v>1.3596801741774384E-2</v>
      </c>
      <c r="G157" s="151">
        <f t="shared" si="4"/>
        <v>7.2442399999999765</v>
      </c>
      <c r="H157" s="376" t="s">
        <v>36</v>
      </c>
      <c r="I157" s="2"/>
      <c r="J157" s="2"/>
      <c r="K157" s="2"/>
      <c r="O157" s="58"/>
      <c r="P157" s="58"/>
    </row>
    <row r="158" spans="2:16">
      <c r="B158" s="652"/>
      <c r="C158" s="383">
        <v>3</v>
      </c>
      <c r="D158" s="152"/>
      <c r="E158" s="152">
        <f>(C158*D158)-C158</f>
        <v>-3</v>
      </c>
      <c r="F158" s="192">
        <f>SUM($E$2:E158)/SUM($C$2:C158)</f>
        <v>7.9214617667369217E-3</v>
      </c>
      <c r="G158" s="152">
        <f t="shared" si="4"/>
        <v>4.2442399999999765</v>
      </c>
      <c r="H158" s="376" t="s">
        <v>47</v>
      </c>
      <c r="I158" s="2"/>
      <c r="J158" s="2"/>
      <c r="K158" s="2"/>
      <c r="O158" s="58"/>
      <c r="P158" s="58"/>
    </row>
    <row r="159" spans="2:16">
      <c r="B159" s="654"/>
      <c r="C159" s="389">
        <v>3</v>
      </c>
      <c r="D159" s="163"/>
      <c r="E159" s="163">
        <f>(C159*D159)-C159</f>
        <v>-3</v>
      </c>
      <c r="F159" s="193">
        <f>SUM($E$2:E159)/SUM($C$2:C159)</f>
        <v>2.3093227416989479E-3</v>
      </c>
      <c r="G159" s="163">
        <f t="shared" si="4"/>
        <v>1.2442399999999765</v>
      </c>
      <c r="H159" s="378" t="s">
        <v>93</v>
      </c>
      <c r="I159" s="2"/>
      <c r="J159" s="2"/>
      <c r="K159" s="2"/>
      <c r="O159" s="58"/>
      <c r="P159" s="58"/>
    </row>
    <row r="160" spans="2:16">
      <c r="B160" s="654"/>
      <c r="C160" s="390">
        <v>3</v>
      </c>
      <c r="D160" s="151"/>
      <c r="E160" s="151">
        <f>(C160*D160)-C160</f>
        <v>-3</v>
      </c>
      <c r="F160" s="156">
        <f>SUM($E$2:E160)/SUM($C$2:C160)</f>
        <v>-3.2406652023847303E-3</v>
      </c>
      <c r="G160" s="151">
        <f t="shared" si="4"/>
        <v>-1.7557600000000235</v>
      </c>
      <c r="H160" s="376" t="s">
        <v>94</v>
      </c>
      <c r="I160" s="2"/>
      <c r="J160" s="2"/>
      <c r="K160" s="2"/>
      <c r="O160" s="58"/>
      <c r="P160" s="58"/>
    </row>
    <row r="161" spans="2:16">
      <c r="B161" s="654"/>
      <c r="C161" s="390">
        <v>3</v>
      </c>
      <c r="D161" s="151"/>
      <c r="E161" s="151">
        <f>(C161*D161)-C161</f>
        <v>-3</v>
      </c>
      <c r="F161" s="156">
        <f>SUM($E$2:E161)/SUM($C$2:C161)</f>
        <v>-8.7295288092659965E-3</v>
      </c>
      <c r="G161" s="151">
        <f t="shared" si="4"/>
        <v>-4.7557600000000235</v>
      </c>
      <c r="H161" s="376" t="s">
        <v>95</v>
      </c>
      <c r="I161" s="2"/>
      <c r="J161" s="2"/>
      <c r="K161" s="2"/>
      <c r="O161" s="58"/>
      <c r="P161" s="58"/>
    </row>
    <row r="162" spans="2:16">
      <c r="B162" s="654"/>
      <c r="C162" s="391">
        <v>3</v>
      </c>
      <c r="D162" s="152"/>
      <c r="E162" s="152">
        <f>(C162*D162)-C162</f>
        <v>-3</v>
      </c>
      <c r="F162" s="192">
        <f>SUM($E$2:E162)/SUM($C$2:C162)</f>
        <v>-1.415827233063769E-2</v>
      </c>
      <c r="G162" s="152">
        <f t="shared" si="4"/>
        <v>-7.7557600000000235</v>
      </c>
      <c r="H162" s="376" t="s">
        <v>96</v>
      </c>
      <c r="I162" s="2">
        <f>SUM(E150:E162)</f>
        <v>-27.6</v>
      </c>
      <c r="J162" s="2">
        <f>SUM(E88:E162)</f>
        <v>-31.943870000000008</v>
      </c>
      <c r="L162" s="2">
        <f>I162/C162</f>
        <v>-9.2000000000000011</v>
      </c>
      <c r="O162" s="58"/>
      <c r="P162" s="58"/>
    </row>
    <row r="163" spans="2:16">
      <c r="B163" s="653">
        <v>45985</v>
      </c>
      <c r="C163" s="389">
        <v>2.31</v>
      </c>
      <c r="D163" s="163"/>
      <c r="E163" s="163">
        <f>(C163*D163)-C163</f>
        <v>-2.31</v>
      </c>
      <c r="F163" s="193">
        <f>SUM($E$2:E163)/SUM($C$2:C163)</f>
        <v>-1.8298054899109292E-2</v>
      </c>
      <c r="G163" s="163">
        <f t="shared" ref="G163:G174" si="5">G162+E163</f>
        <v>-10.065760000000024</v>
      </c>
      <c r="H163" s="378" t="s">
        <v>97</v>
      </c>
      <c r="I163" s="2"/>
      <c r="J163" s="2"/>
      <c r="K163" s="2"/>
      <c r="O163" s="58"/>
      <c r="P163" s="58"/>
    </row>
    <row r="164" spans="2:16">
      <c r="B164" s="654"/>
      <c r="C164" s="417">
        <v>2.31</v>
      </c>
      <c r="D164" s="165">
        <v>1.9</v>
      </c>
      <c r="E164" s="165">
        <f>(C164*D164)-C164</f>
        <v>2.0790000000000002</v>
      </c>
      <c r="F164" s="195">
        <f>SUM($E$2:E164)/SUM($C$2:C164)</f>
        <v>-1.4458029362249094E-2</v>
      </c>
      <c r="G164" s="165">
        <f t="shared" si="5"/>
        <v>-7.9867600000000234</v>
      </c>
      <c r="H164" s="377" t="s">
        <v>47</v>
      </c>
      <c r="I164" s="2"/>
      <c r="J164" s="2"/>
      <c r="K164" s="2"/>
      <c r="O164" s="58"/>
      <c r="P164" s="58"/>
    </row>
    <row r="165" spans="2:16">
      <c r="B165" s="654"/>
      <c r="C165" s="418">
        <v>2.31</v>
      </c>
      <c r="D165" s="164">
        <v>1.9</v>
      </c>
      <c r="E165" s="164">
        <f>(C165*D165)-C165</f>
        <v>2.0790000000000002</v>
      </c>
      <c r="F165" s="197">
        <f>SUM($E$2:E165)/SUM($C$2:C165)</f>
        <v>-1.0649985578309819E-2</v>
      </c>
      <c r="G165" s="164">
        <f t="shared" si="5"/>
        <v>-5.9077600000000228</v>
      </c>
      <c r="H165" s="474" t="s">
        <v>60</v>
      </c>
      <c r="I165" s="2"/>
      <c r="J165" s="2"/>
      <c r="K165" s="2"/>
      <c r="O165" s="58"/>
      <c r="P165" s="58"/>
    </row>
    <row r="166" spans="2:16">
      <c r="B166" s="654"/>
      <c r="C166" s="418">
        <v>2.31</v>
      </c>
      <c r="D166" s="164"/>
      <c r="E166" s="164">
        <f>(C166*D166)-C166</f>
        <v>-2.31</v>
      </c>
      <c r="F166" s="197">
        <f>SUM($E$2:E166)/SUM($C$2:C166)</f>
        <v>-1.4752814031560282E-2</v>
      </c>
      <c r="G166" s="164">
        <f t="shared" si="5"/>
        <v>-8.2177600000000233</v>
      </c>
      <c r="H166" s="379" t="s">
        <v>25</v>
      </c>
      <c r="I166" s="2"/>
      <c r="J166" s="2"/>
      <c r="K166" s="2"/>
      <c r="O166" s="58"/>
      <c r="P166" s="58"/>
    </row>
    <row r="167" spans="2:16">
      <c r="B167" s="654"/>
      <c r="C167" s="390">
        <v>2.31</v>
      </c>
      <c r="D167" s="151"/>
      <c r="E167" s="151">
        <f>(C167*D167)-C167</f>
        <v>-2.31</v>
      </c>
      <c r="F167" s="156">
        <f>SUM($E$2:E167)/SUM($C$2:C167)</f>
        <v>-1.8821754210319352E-2</v>
      </c>
      <c r="G167" s="151">
        <f t="shared" si="5"/>
        <v>-10.527760000000024</v>
      </c>
      <c r="H167" s="376" t="s">
        <v>28</v>
      </c>
      <c r="I167" s="2"/>
      <c r="J167" s="2"/>
      <c r="K167" s="2"/>
      <c r="O167" s="58"/>
      <c r="P167" s="58"/>
    </row>
    <row r="168" spans="2:16">
      <c r="B168" s="654"/>
      <c r="C168" s="390">
        <v>2.31</v>
      </c>
      <c r="D168" s="151"/>
      <c r="E168" s="151">
        <f>(C168*D168)-C168</f>
        <v>-2.31</v>
      </c>
      <c r="F168" s="156">
        <f>SUM($E$2:E168)/SUM($C$2:C168)</f>
        <v>-2.2857224249977794E-2</v>
      </c>
      <c r="G168" s="151">
        <f t="shared" si="5"/>
        <v>-12.837760000000024</v>
      </c>
      <c r="H168" s="376" t="s">
        <v>34</v>
      </c>
      <c r="I168" s="2"/>
      <c r="J168" s="2"/>
      <c r="K168" s="2"/>
      <c r="O168" s="58"/>
      <c r="P168" s="58"/>
    </row>
    <row r="169" spans="2:16">
      <c r="B169" s="654"/>
      <c r="C169" s="390">
        <v>2.31</v>
      </c>
      <c r="D169" s="151"/>
      <c r="E169" s="151">
        <f>(C169*D169)-C169</f>
        <v>-2.31</v>
      </c>
      <c r="F169" s="156">
        <f>SUM($E$2:E169)/SUM($C$2:C169)</f>
        <v>-2.6859635435137297E-2</v>
      </c>
      <c r="G169" s="151">
        <f t="shared" si="5"/>
        <v>-15.147760000000025</v>
      </c>
      <c r="H169" s="376" t="s">
        <v>36</v>
      </c>
      <c r="I169" s="2"/>
      <c r="J169" s="2"/>
      <c r="K169" s="2"/>
      <c r="O169" s="58"/>
      <c r="P169" s="58"/>
    </row>
    <row r="170" spans="2:16">
      <c r="B170" s="654"/>
      <c r="C170" s="417">
        <v>2.31</v>
      </c>
      <c r="D170" s="165">
        <v>1.774</v>
      </c>
      <c r="E170" s="165">
        <f>(C170*D170)-C170</f>
        <v>1.7879400000000003</v>
      </c>
      <c r="F170" s="195">
        <f>SUM($E$2:E170)/SUM($C$2:C170)</f>
        <v>-2.3592667808642574E-2</v>
      </c>
      <c r="G170" s="165">
        <f t="shared" si="5"/>
        <v>-13.359820000000024</v>
      </c>
      <c r="H170" s="377" t="s">
        <v>38</v>
      </c>
      <c r="I170" s="2"/>
      <c r="J170" s="2"/>
      <c r="K170" s="2"/>
      <c r="O170" s="58"/>
      <c r="P170" s="58"/>
    </row>
    <row r="171" spans="2:16">
      <c r="B171" s="654"/>
      <c r="C171" s="418">
        <v>2.31</v>
      </c>
      <c r="D171" s="164">
        <v>1.6859999999999999</v>
      </c>
      <c r="E171" s="164">
        <f>(C171*D171)-C171</f>
        <v>1.58466</v>
      </c>
      <c r="F171" s="197">
        <f>SUM($E$2:E171)/SUM($C$2:C171)</f>
        <v>-2.0709768194449384E-2</v>
      </c>
      <c r="G171" s="164">
        <f t="shared" si="5"/>
        <v>-11.775160000000024</v>
      </c>
      <c r="H171" s="474" t="s">
        <v>98</v>
      </c>
      <c r="I171" s="2"/>
      <c r="J171" s="2"/>
      <c r="K171" s="2"/>
      <c r="O171" s="58"/>
      <c r="P171" s="58"/>
    </row>
    <row r="172" spans="2:16">
      <c r="B172" s="652"/>
      <c r="C172" s="385">
        <v>2.31</v>
      </c>
      <c r="D172" s="151"/>
      <c r="E172" s="151">
        <f>(C172*D172)-C172</f>
        <v>-2.31</v>
      </c>
      <c r="F172" s="156">
        <f>SUM($E$2:E172)/SUM($C$2:C172)</f>
        <v>-2.4672283627318808E-2</v>
      </c>
      <c r="G172" s="151">
        <f t="shared" si="5"/>
        <v>-14.085160000000025</v>
      </c>
      <c r="H172" s="376" t="s">
        <v>99</v>
      </c>
      <c r="I172" s="2"/>
      <c r="J172" s="2"/>
      <c r="K172" s="2"/>
      <c r="O172" s="58"/>
      <c r="P172" s="58"/>
    </row>
    <row r="173" spans="2:16">
      <c r="B173" s="652"/>
      <c r="C173" s="385">
        <v>2.31</v>
      </c>
      <c r="D173" s="151"/>
      <c r="E173" s="151">
        <f>(C173*D173)-C173</f>
        <v>-2.31</v>
      </c>
      <c r="F173" s="156">
        <f>SUM($E$2:E173)/SUM($C$2:C173)</f>
        <v>-2.8602861130495528E-2</v>
      </c>
      <c r="G173" s="151">
        <f t="shared" si="5"/>
        <v>-16.395160000000025</v>
      </c>
      <c r="H173" s="376" t="s">
        <v>100</v>
      </c>
      <c r="I173" s="2"/>
      <c r="J173" s="2"/>
      <c r="K173" s="2"/>
      <c r="O173" s="58"/>
      <c r="P173" s="58"/>
    </row>
    <row r="174" spans="2:16">
      <c r="B174" s="651"/>
      <c r="C174" s="475">
        <v>2.31</v>
      </c>
      <c r="D174" s="236"/>
      <c r="E174" s="236">
        <f>(C174*D174)-C174</f>
        <v>-2.31</v>
      </c>
      <c r="F174" s="496">
        <f>SUM($E$2:E174)/SUM($C$2:C174)</f>
        <v>-3.2501885284356553E-2</v>
      </c>
      <c r="G174" s="236">
        <f t="shared" si="5"/>
        <v>-18.705160000000024</v>
      </c>
      <c r="H174" s="376" t="s">
        <v>101</v>
      </c>
      <c r="I174" s="2">
        <f>SUM(E163:E174)</f>
        <v>-10.949400000000001</v>
      </c>
      <c r="L174" s="2">
        <f>I174/C174</f>
        <v>-4.74</v>
      </c>
      <c r="O174" s="58"/>
      <c r="P174" s="58"/>
    </row>
    <row r="175" spans="2:16">
      <c r="B175" s="653">
        <v>45986</v>
      </c>
      <c r="C175" s="479">
        <v>7.57</v>
      </c>
      <c r="D175" s="228"/>
      <c r="E175" s="228">
        <f t="shared" ref="E175:E179" si="6">(C175*D175)-C175</f>
        <v>-7.57</v>
      </c>
      <c r="F175" s="227">
        <f>SUM($E$2:E175)/SUM($C$2:C175)</f>
        <v>-4.5062701516087059E-2</v>
      </c>
      <c r="G175" s="228">
        <f t="shared" ref="G175:G179" si="7">G174+E175</f>
        <v>-26.275160000000024</v>
      </c>
      <c r="H175" s="116" t="s">
        <v>14</v>
      </c>
      <c r="I175" s="2"/>
      <c r="J175" s="2"/>
      <c r="K175" s="2"/>
      <c r="O175" s="58"/>
      <c r="P175" s="58"/>
    </row>
    <row r="176" spans="2:16">
      <c r="B176" s="654"/>
      <c r="C176" s="389">
        <v>7.57</v>
      </c>
      <c r="D176" s="163">
        <v>1.798</v>
      </c>
      <c r="E176" s="163">
        <f t="shared" si="6"/>
        <v>6.0408600000000003</v>
      </c>
      <c r="F176" s="193">
        <f>SUM($E$2:E176)/SUM($C$2:C176)</f>
        <v>-3.4257682214509505E-2</v>
      </c>
      <c r="G176" s="163">
        <f t="shared" si="7"/>
        <v>-20.234300000000026</v>
      </c>
      <c r="H176" s="378" t="s">
        <v>11</v>
      </c>
      <c r="I176" s="2"/>
      <c r="J176" s="2"/>
      <c r="K176" s="2"/>
      <c r="O176" s="58"/>
      <c r="P176" s="58"/>
    </row>
    <row r="177" spans="2:16">
      <c r="B177" s="654"/>
      <c r="C177" s="417">
        <v>7.57</v>
      </c>
      <c r="D177" s="165"/>
      <c r="E177" s="165">
        <f t="shared" si="6"/>
        <v>-7.57</v>
      </c>
      <c r="F177" s="195">
        <f>SUM($E$2:E177)/SUM($C$2:C177)</f>
        <v>-4.6478385878105113E-2</v>
      </c>
      <c r="G177" s="165">
        <f t="shared" si="7"/>
        <v>-27.804300000000026</v>
      </c>
      <c r="H177" s="377" t="s">
        <v>51</v>
      </c>
      <c r="I177" s="2"/>
      <c r="J177" s="2"/>
      <c r="K177" s="2"/>
      <c r="O177" s="58"/>
      <c r="P177" s="58"/>
    </row>
    <row r="178" spans="2:16">
      <c r="B178" s="654"/>
      <c r="C178" s="389">
        <v>7.57</v>
      </c>
      <c r="D178" s="163">
        <v>1.69</v>
      </c>
      <c r="E178" s="163">
        <f t="shared" si="6"/>
        <v>5.2233000000000001</v>
      </c>
      <c r="F178" s="193">
        <f>SUM($E$2:E178)/SUM($C$2:C178)</f>
        <v>-3.7275293418511421E-2</v>
      </c>
      <c r="G178" s="163">
        <f t="shared" si="7"/>
        <v>-22.581000000000024</v>
      </c>
      <c r="H178" s="378" t="s">
        <v>102</v>
      </c>
      <c r="I178" s="2"/>
      <c r="J178" s="2"/>
      <c r="K178" s="2"/>
      <c r="O178" s="58"/>
      <c r="P178" s="58"/>
    </row>
    <row r="179" spans="2:16">
      <c r="B179" s="654"/>
      <c r="C179" s="391">
        <v>7.57</v>
      </c>
      <c r="D179" s="152">
        <v>1.714</v>
      </c>
      <c r="E179" s="152">
        <f t="shared" si="6"/>
        <v>5.4049800000000001</v>
      </c>
      <c r="F179" s="192">
        <f>SUM($E$2:E179)/SUM($C$2:C179)</f>
        <v>-2.8003162905960655E-2</v>
      </c>
      <c r="G179" s="152">
        <f t="shared" si="7"/>
        <v>-17.176020000000022</v>
      </c>
      <c r="H179" s="376" t="s">
        <v>103</v>
      </c>
      <c r="I179" s="2">
        <f>SUM(E175:E179)</f>
        <v>1.5291399999999999</v>
      </c>
      <c r="L179" s="2">
        <f>I179/C179</f>
        <v>0.20199999999999999</v>
      </c>
      <c r="O179" s="58"/>
      <c r="P179" s="58"/>
    </row>
    <row r="180" spans="2:16">
      <c r="B180" s="650">
        <v>45987</v>
      </c>
      <c r="C180" s="384">
        <v>2.5299999999999998</v>
      </c>
      <c r="D180" s="163"/>
      <c r="E180" s="163">
        <f t="shared" ref="E180:E197" si="8">(C180*D180)-C180</f>
        <v>-2.5299999999999998</v>
      </c>
      <c r="F180" s="193">
        <f>SUM($E$2:E180)/SUM($C$2:C180)</f>
        <v>-3.1996005780253016E-2</v>
      </c>
      <c r="G180" s="163">
        <f t="shared" ref="G180:G197" si="9">G179+E180</f>
        <v>-19.706020000000024</v>
      </c>
      <c r="H180" s="381" t="s">
        <v>97</v>
      </c>
      <c r="I180" s="2"/>
      <c r="J180" s="2"/>
      <c r="K180" s="2"/>
      <c r="O180" s="58"/>
      <c r="P180" s="58"/>
    </row>
    <row r="181" spans="2:16">
      <c r="B181" s="652"/>
      <c r="C181" s="402">
        <v>5</v>
      </c>
      <c r="D181" s="151"/>
      <c r="E181" s="151">
        <f t="shared" si="8"/>
        <v>-5</v>
      </c>
      <c r="F181" s="156">
        <f>SUM($E$2:E181)/SUM($C$2:C181)</f>
        <v>-3.9791299586078105E-2</v>
      </c>
      <c r="G181" s="151">
        <f t="shared" si="9"/>
        <v>-24.706020000000024</v>
      </c>
      <c r="H181" s="481" t="s">
        <v>60</v>
      </c>
      <c r="I181" s="2"/>
      <c r="J181" s="2"/>
      <c r="K181" s="2"/>
      <c r="O181" s="58"/>
      <c r="P181" s="58"/>
    </row>
    <row r="182" spans="2:16">
      <c r="B182" s="652"/>
      <c r="C182" s="402">
        <v>2.5299999999999998</v>
      </c>
      <c r="D182" s="151"/>
      <c r="E182" s="151">
        <f t="shared" si="8"/>
        <v>-2.5299999999999998</v>
      </c>
      <c r="F182" s="156">
        <f>SUM($E$2:E182)/SUM($C$2:C182)</f>
        <v>-4.3688075454749668E-2</v>
      </c>
      <c r="G182" s="151">
        <f t="shared" si="9"/>
        <v>-27.236020000000025</v>
      </c>
      <c r="H182" s="481" t="s">
        <v>104</v>
      </c>
      <c r="I182" s="2"/>
      <c r="J182" s="2"/>
      <c r="K182" s="2"/>
      <c r="O182" s="58"/>
      <c r="P182" s="58"/>
    </row>
    <row r="183" spans="2:16">
      <c r="B183" s="652"/>
      <c r="C183" s="402">
        <v>2.5299999999999998</v>
      </c>
      <c r="D183" s="151">
        <v>1.798</v>
      </c>
      <c r="E183" s="151">
        <f t="shared" si="8"/>
        <v>2.0189400000000002</v>
      </c>
      <c r="F183" s="156">
        <f>SUM($E$2:E183)/SUM($C$2:C183)</f>
        <v>-4.0286093138429645E-2</v>
      </c>
      <c r="G183" s="151">
        <f t="shared" si="9"/>
        <v>-25.217080000000024</v>
      </c>
      <c r="H183" s="481" t="s">
        <v>26</v>
      </c>
      <c r="I183" s="2"/>
      <c r="J183" s="2"/>
      <c r="K183" s="2"/>
      <c r="O183" s="58"/>
      <c r="P183" s="58"/>
    </row>
    <row r="184" spans="2:16">
      <c r="B184" s="652"/>
      <c r="C184" s="402">
        <v>2.5299999999999998</v>
      </c>
      <c r="D184" s="151"/>
      <c r="E184" s="151">
        <f t="shared" si="8"/>
        <v>-2.5299999999999998</v>
      </c>
      <c r="F184" s="156">
        <f>SUM($E$2:E184)/SUM($C$2:C184)</f>
        <v>-4.4149503564154848E-2</v>
      </c>
      <c r="G184" s="151">
        <f t="shared" si="9"/>
        <v>-27.747080000000025</v>
      </c>
      <c r="H184" s="481" t="s">
        <v>53</v>
      </c>
      <c r="I184" s="2"/>
      <c r="J184" s="2"/>
      <c r="K184" s="2"/>
      <c r="O184" s="58"/>
      <c r="P184" s="58"/>
    </row>
    <row r="185" spans="2:16">
      <c r="B185" s="652"/>
      <c r="C185" s="403">
        <v>2.5299999999999998</v>
      </c>
      <c r="D185" s="152"/>
      <c r="E185" s="152">
        <f t="shared" si="8"/>
        <v>-2.5299999999999998</v>
      </c>
      <c r="F185" s="192">
        <f>SUM($E$2:E185)/SUM($C$2:C185)</f>
        <v>-4.7981933725297604E-2</v>
      </c>
      <c r="G185" s="152">
        <f t="shared" si="9"/>
        <v>-30.277080000000026</v>
      </c>
      <c r="H185" s="394" t="s">
        <v>36</v>
      </c>
      <c r="I185" s="2"/>
      <c r="J185" s="2"/>
      <c r="K185" s="2"/>
      <c r="O185" s="58"/>
      <c r="P185" s="58"/>
    </row>
    <row r="186" spans="2:16">
      <c r="B186" s="652"/>
      <c r="C186" s="487">
        <v>2.5299999999999998</v>
      </c>
      <c r="D186" s="163">
        <v>1.784</v>
      </c>
      <c r="E186" s="163">
        <f t="shared" si="8"/>
        <v>1.9835199999999999</v>
      </c>
      <c r="F186" s="193">
        <f>SUM($E$2:E186)/SUM($C$2:C186)</f>
        <v>-4.4659469015374001E-2</v>
      </c>
      <c r="G186" s="163">
        <f t="shared" si="9"/>
        <v>-28.293560000000028</v>
      </c>
      <c r="H186" s="482" t="s">
        <v>37</v>
      </c>
      <c r="I186" s="2"/>
      <c r="J186" s="2"/>
      <c r="K186" s="2"/>
      <c r="O186" s="58"/>
      <c r="P186" s="58"/>
    </row>
    <row r="187" spans="2:16">
      <c r="B187" s="652"/>
      <c r="C187" s="402">
        <v>2.5299999999999998</v>
      </c>
      <c r="D187" s="151"/>
      <c r="E187" s="151">
        <f t="shared" si="8"/>
        <v>-2.5299999999999998</v>
      </c>
      <c r="F187" s="156">
        <f>SUM($E$2:E187)/SUM($C$2:C187)</f>
        <v>-4.8459383401198056E-2</v>
      </c>
      <c r="G187" s="151">
        <f t="shared" si="9"/>
        <v>-30.823560000000029</v>
      </c>
      <c r="H187" s="481" t="s">
        <v>15</v>
      </c>
      <c r="I187" s="2"/>
      <c r="J187" s="2"/>
      <c r="K187" s="2"/>
      <c r="O187" s="58"/>
      <c r="P187" s="58"/>
    </row>
    <row r="188" spans="2:16">
      <c r="B188" s="652"/>
      <c r="C188" s="402">
        <v>2.5299999999999998</v>
      </c>
      <c r="D188" s="151"/>
      <c r="E188" s="151">
        <f t="shared" si="8"/>
        <v>-2.5299999999999998</v>
      </c>
      <c r="F188" s="156">
        <f>SUM($E$2:E188)/SUM($C$2:C188)</f>
        <v>-5.2229188850610793E-2</v>
      </c>
      <c r="G188" s="151">
        <f t="shared" si="9"/>
        <v>-33.35356000000003</v>
      </c>
      <c r="H188" s="481" t="s">
        <v>16</v>
      </c>
      <c r="I188" s="2"/>
      <c r="J188" s="2"/>
      <c r="K188" s="2"/>
      <c r="O188" s="58"/>
      <c r="P188" s="58"/>
    </row>
    <row r="189" spans="2:16">
      <c r="B189" s="652"/>
      <c r="C189" s="402">
        <v>2.5299999999999998</v>
      </c>
      <c r="D189" s="151"/>
      <c r="E189" s="151">
        <f t="shared" si="8"/>
        <v>-2.5299999999999998</v>
      </c>
      <c r="F189" s="156">
        <f>SUM($E$2:E189)/SUM($C$2:C189)</f>
        <v>-5.5969241807433838E-2</v>
      </c>
      <c r="G189" s="151">
        <f t="shared" si="9"/>
        <v>-35.883560000000031</v>
      </c>
      <c r="H189" s="481" t="s">
        <v>25</v>
      </c>
      <c r="I189" s="2"/>
      <c r="J189" s="2"/>
      <c r="K189" s="2"/>
      <c r="O189" s="58"/>
      <c r="P189" s="58"/>
    </row>
    <row r="190" spans="2:16">
      <c r="B190" s="652"/>
      <c r="C190" s="402">
        <v>2.5299999999999998</v>
      </c>
      <c r="D190" s="151">
        <v>1.754</v>
      </c>
      <c r="E190" s="151">
        <f t="shared" si="8"/>
        <v>1.9076200000000001</v>
      </c>
      <c r="F190" s="156">
        <f>SUM($E$2:E190)/SUM($C$2:C190)</f>
        <v>-5.2785538949134722E-2</v>
      </c>
      <c r="G190" s="151">
        <f t="shared" si="9"/>
        <v>-33.97594000000003</v>
      </c>
      <c r="H190" s="481" t="s">
        <v>13</v>
      </c>
      <c r="I190" s="2"/>
      <c r="J190" s="2"/>
      <c r="K190" s="2"/>
      <c r="O190" s="58"/>
      <c r="P190" s="58"/>
    </row>
    <row r="191" spans="2:16">
      <c r="B191" s="652"/>
      <c r="C191" s="488">
        <v>2.5299999999999998</v>
      </c>
      <c r="D191" s="165"/>
      <c r="E191" s="165">
        <f t="shared" si="8"/>
        <v>-2.5299999999999998</v>
      </c>
      <c r="F191" s="195">
        <f>SUM($E$2:E191)/SUM($C$2:C191)</f>
        <v>-5.6494127114316318E-2</v>
      </c>
      <c r="G191" s="165">
        <f t="shared" si="9"/>
        <v>-36.505940000000031</v>
      </c>
      <c r="H191" s="393" t="s">
        <v>38</v>
      </c>
      <c r="I191" s="2"/>
      <c r="J191" s="2"/>
      <c r="K191" s="2"/>
      <c r="O191" s="58"/>
      <c r="P191" s="58"/>
    </row>
    <row r="192" spans="2:16">
      <c r="B192" s="652"/>
      <c r="C192" s="484">
        <v>2.5299999999999998</v>
      </c>
      <c r="D192" s="164">
        <v>1.714</v>
      </c>
      <c r="E192" s="164">
        <f t="shared" si="8"/>
        <v>1.8064199999999997</v>
      </c>
      <c r="F192" s="197">
        <f>SUM($E$2:E192)/SUM($C$2:C192)</f>
        <v>-5.3489209520286192E-2</v>
      </c>
      <c r="G192" s="164">
        <f t="shared" si="9"/>
        <v>-34.699520000000028</v>
      </c>
      <c r="H192" s="485" t="s">
        <v>105</v>
      </c>
      <c r="I192" s="2"/>
      <c r="J192" s="2"/>
      <c r="K192" s="2"/>
      <c r="O192" s="58"/>
      <c r="P192" s="58"/>
    </row>
    <row r="193" spans="2:16">
      <c r="B193" s="652"/>
      <c r="C193" s="402">
        <v>2.5299999999999998</v>
      </c>
      <c r="D193" s="151"/>
      <c r="E193" s="151">
        <f t="shared" si="8"/>
        <v>-2.5299999999999998</v>
      </c>
      <c r="F193" s="156">
        <f>SUM($E$2:E193)/SUM($C$2:C193)</f>
        <v>-5.7166249520153645E-2</v>
      </c>
      <c r="G193" s="151">
        <f t="shared" si="9"/>
        <v>-37.229520000000029</v>
      </c>
      <c r="H193" s="481" t="s">
        <v>106</v>
      </c>
      <c r="I193" s="2"/>
      <c r="J193" s="2"/>
      <c r="K193" s="2"/>
      <c r="O193" s="58"/>
      <c r="P193" s="58"/>
    </row>
    <row r="194" spans="2:16">
      <c r="B194" s="652"/>
      <c r="C194" s="402">
        <v>2.5299999999999998</v>
      </c>
      <c r="D194" s="151"/>
      <c r="E194" s="151">
        <f t="shared" si="8"/>
        <v>-2.5299999999999998</v>
      </c>
      <c r="F194" s="156">
        <f>SUM($E$2:E194)/SUM($C$2:C194)</f>
        <v>-6.0814830676986245E-2</v>
      </c>
      <c r="G194" s="151">
        <f t="shared" si="9"/>
        <v>-39.75952000000003</v>
      </c>
      <c r="H194" s="481" t="s">
        <v>107</v>
      </c>
      <c r="I194" s="2"/>
      <c r="J194" s="2"/>
      <c r="K194" s="2"/>
      <c r="O194" s="58"/>
      <c r="P194" s="58"/>
    </row>
    <row r="195" spans="2:16">
      <c r="B195" s="652"/>
      <c r="C195" s="402">
        <v>2.5299999999999998</v>
      </c>
      <c r="D195" s="151">
        <v>1.69</v>
      </c>
      <c r="E195" s="151">
        <f t="shared" si="8"/>
        <v>1.7456999999999998</v>
      </c>
      <c r="F195" s="156">
        <f>SUM($E$2:E195)/SUM($C$2:C195)</f>
        <v>-5.7920525361490859E-2</v>
      </c>
      <c r="G195" s="151">
        <f t="shared" si="9"/>
        <v>-38.013820000000031</v>
      </c>
      <c r="H195" s="481" t="s">
        <v>108</v>
      </c>
      <c r="I195" s="2"/>
      <c r="J195" s="2"/>
      <c r="K195" s="2"/>
      <c r="O195" s="58"/>
      <c r="P195" s="58"/>
    </row>
    <row r="196" spans="2:16">
      <c r="B196" s="652"/>
      <c r="C196" s="385">
        <v>2.5299999999999998</v>
      </c>
      <c r="D196" s="151"/>
      <c r="E196" s="151">
        <f t="shared" si="8"/>
        <v>-2.5299999999999998</v>
      </c>
      <c r="F196" s="156">
        <f>SUM($E$2:E196)/SUM($C$2:C196)</f>
        <v>-6.1538188331006119E-2</v>
      </c>
      <c r="G196" s="151">
        <f t="shared" si="9"/>
        <v>-40.543820000000032</v>
      </c>
      <c r="H196" s="388" t="s">
        <v>109</v>
      </c>
      <c r="I196" s="2"/>
      <c r="J196" s="2"/>
      <c r="K196" s="2"/>
      <c r="O196" s="58"/>
      <c r="P196" s="58"/>
    </row>
    <row r="197" spans="2:16">
      <c r="B197" s="652"/>
      <c r="C197" s="475">
        <v>2.5299999999999998</v>
      </c>
      <c r="D197" s="236"/>
      <c r="E197" s="236">
        <f t="shared" si="8"/>
        <v>-2.5299999999999998</v>
      </c>
      <c r="F197" s="496">
        <f>SUM($E$2:E197)/SUM($C$2:C197)</f>
        <v>-6.5128173337163878E-2</v>
      </c>
      <c r="G197" s="236">
        <f t="shared" si="9"/>
        <v>-43.073820000000033</v>
      </c>
      <c r="H197" s="379" t="s">
        <v>110</v>
      </c>
      <c r="I197" s="2">
        <f>SUM(E180:E197)</f>
        <v>-25.897800000000004</v>
      </c>
      <c r="L197" s="2">
        <f>I197/C197</f>
        <v>-10.23628458498024</v>
      </c>
      <c r="O197" s="58"/>
      <c r="P197" s="58"/>
    </row>
    <row r="198" spans="2:16">
      <c r="B198" s="653">
        <v>45989</v>
      </c>
      <c r="C198" s="389">
        <v>1.99</v>
      </c>
      <c r="D198" s="163">
        <v>1.73</v>
      </c>
      <c r="E198" s="163">
        <f t="shared" ref="E198:E215" si="10">(C198*D198)-C198</f>
        <v>1.4526999999999999</v>
      </c>
      <c r="F198" s="193">
        <f>SUM($E$2:E198)/SUM($C$2:C198)</f>
        <v>-6.2742884708152549E-2</v>
      </c>
      <c r="G198" s="163">
        <f t="shared" ref="G198:G215" si="11">G197+E198</f>
        <v>-41.621120000000033</v>
      </c>
      <c r="H198" s="381" t="s">
        <v>46</v>
      </c>
      <c r="I198" s="2"/>
      <c r="J198" s="2"/>
      <c r="K198" s="2"/>
      <c r="O198" s="58"/>
      <c r="P198" s="58"/>
    </row>
    <row r="199" spans="2:16">
      <c r="B199" s="654"/>
      <c r="C199" s="480">
        <v>1.99</v>
      </c>
      <c r="D199" s="151"/>
      <c r="E199" s="151">
        <f t="shared" si="10"/>
        <v>-1.99</v>
      </c>
      <c r="F199" s="156">
        <f>SUM($E$2:E199)/SUM($C$2:C199)</f>
        <v>-6.5546133613887544E-2</v>
      </c>
      <c r="G199" s="151">
        <f t="shared" si="11"/>
        <v>-43.611120000000035</v>
      </c>
      <c r="H199" s="481" t="s">
        <v>51</v>
      </c>
      <c r="I199" s="2"/>
      <c r="J199" s="2"/>
      <c r="K199" s="2"/>
      <c r="O199" s="58"/>
      <c r="P199" s="58"/>
    </row>
    <row r="200" spans="2:16">
      <c r="B200" s="654"/>
      <c r="C200" s="480">
        <v>1.99</v>
      </c>
      <c r="D200" s="151"/>
      <c r="E200" s="151">
        <f t="shared" si="10"/>
        <v>-1.99</v>
      </c>
      <c r="F200" s="156">
        <f>SUM($E$2:E200)/SUM($C$2:C200)</f>
        <v>-6.8332664009350674E-2</v>
      </c>
      <c r="G200" s="151">
        <f t="shared" si="11"/>
        <v>-45.601120000000037</v>
      </c>
      <c r="H200" s="481" t="s">
        <v>64</v>
      </c>
      <c r="I200" s="2"/>
      <c r="J200" s="2"/>
      <c r="K200" s="2"/>
      <c r="O200" s="58"/>
      <c r="P200" s="58"/>
    </row>
    <row r="201" spans="2:16">
      <c r="B201" s="654"/>
      <c r="C201" s="480">
        <v>1.99</v>
      </c>
      <c r="D201" s="151"/>
      <c r="E201" s="151">
        <f t="shared" si="10"/>
        <v>-1.99</v>
      </c>
      <c r="F201" s="156">
        <f>SUM($E$2:E201)/SUM($C$2:C201)</f>
        <v>-7.1102625013072907E-2</v>
      </c>
      <c r="G201" s="151">
        <f t="shared" si="11"/>
        <v>-47.591120000000039</v>
      </c>
      <c r="H201" s="481" t="s">
        <v>11</v>
      </c>
      <c r="I201" s="2"/>
      <c r="J201" s="2"/>
      <c r="K201" s="2"/>
      <c r="O201" s="58"/>
      <c r="P201" s="58"/>
    </row>
    <row r="202" spans="2:16">
      <c r="B202" s="654"/>
      <c r="C202" s="480">
        <v>1.99</v>
      </c>
      <c r="D202" s="151"/>
      <c r="E202" s="151">
        <f t="shared" si="10"/>
        <v>-1.99</v>
      </c>
      <c r="F202" s="156">
        <f>SUM($E$2:E202)/SUM($C$2:C202)</f>
        <v>-7.3856163975451486E-2</v>
      </c>
      <c r="G202" s="151">
        <f t="shared" si="11"/>
        <v>-49.581120000000041</v>
      </c>
      <c r="H202" s="481" t="s">
        <v>34</v>
      </c>
      <c r="I202" s="2"/>
      <c r="J202" s="2"/>
      <c r="K202" s="2"/>
      <c r="O202" s="58"/>
      <c r="P202" s="58"/>
    </row>
    <row r="203" spans="2:16">
      <c r="B203" s="654"/>
      <c r="C203" s="480">
        <v>1.99</v>
      </c>
      <c r="D203" s="151">
        <v>1.798</v>
      </c>
      <c r="E203" s="151">
        <f t="shared" si="10"/>
        <v>1.58802</v>
      </c>
      <c r="F203" s="156">
        <f>SUM($E$2:E203)/SUM($C$2:C203)</f>
        <v>-7.1279351264647905E-2</v>
      </c>
      <c r="G203" s="151">
        <f t="shared" si="11"/>
        <v>-47.993100000000041</v>
      </c>
      <c r="H203" s="481" t="s">
        <v>12</v>
      </c>
      <c r="I203" s="2"/>
      <c r="J203" s="2"/>
      <c r="K203" s="2"/>
      <c r="O203" s="58"/>
      <c r="P203" s="58"/>
    </row>
    <row r="204" spans="2:16">
      <c r="B204" s="654"/>
      <c r="C204" s="483">
        <v>1.99</v>
      </c>
      <c r="D204" s="165">
        <v>1.9</v>
      </c>
      <c r="E204" s="165">
        <f t="shared" si="10"/>
        <v>1.7909999999999997</v>
      </c>
      <c r="F204" s="195">
        <f>SUM($E$2:E204)/SUM($C$2:C204)</f>
        <v>-6.8417147934251576E-2</v>
      </c>
      <c r="G204" s="165">
        <f t="shared" si="11"/>
        <v>-46.202100000000044</v>
      </c>
      <c r="H204" s="393" t="s">
        <v>26</v>
      </c>
      <c r="I204" s="2"/>
      <c r="J204" s="2"/>
      <c r="K204" s="2"/>
      <c r="O204" s="58"/>
      <c r="P204" s="58"/>
    </row>
    <row r="205" spans="2:16">
      <c r="B205" s="652"/>
      <c r="C205" s="484">
        <v>1.99</v>
      </c>
      <c r="D205" s="164">
        <v>1.91</v>
      </c>
      <c r="E205" s="164">
        <f t="shared" si="10"/>
        <v>1.8109</v>
      </c>
      <c r="F205" s="197">
        <f>SUM($E$2:E205)/SUM($C$2:C205)</f>
        <v>-6.5542382140589828E-2</v>
      </c>
      <c r="G205" s="164">
        <f t="shared" si="11"/>
        <v>-44.391200000000048</v>
      </c>
      <c r="H205" s="485" t="s">
        <v>14</v>
      </c>
      <c r="I205" s="2"/>
      <c r="J205" s="2"/>
      <c r="K205" s="2"/>
      <c r="O205" s="58"/>
      <c r="P205" s="58"/>
    </row>
    <row r="206" spans="2:16">
      <c r="B206" s="652"/>
      <c r="C206" s="402">
        <v>1.99</v>
      </c>
      <c r="D206" s="151"/>
      <c r="E206" s="151">
        <f t="shared" si="10"/>
        <v>-1.99</v>
      </c>
      <c r="F206" s="156">
        <f>SUM($E$2:E206)/SUM($C$2:C206)</f>
        <v>-6.827994346955614E-2</v>
      </c>
      <c r="G206" s="151">
        <f t="shared" si="11"/>
        <v>-46.381200000000049</v>
      </c>
      <c r="H206" s="481" t="s">
        <v>28</v>
      </c>
      <c r="I206" s="2"/>
      <c r="J206" s="2"/>
      <c r="K206" s="2"/>
      <c r="O206" s="58"/>
      <c r="P206" s="58"/>
    </row>
    <row r="207" spans="2:16">
      <c r="B207" s="652"/>
      <c r="C207" s="402">
        <v>1.99</v>
      </c>
      <c r="D207" s="151"/>
      <c r="E207" s="151">
        <f t="shared" si="10"/>
        <v>-1.99</v>
      </c>
      <c r="F207" s="156">
        <f>SUM($E$2:E207)/SUM($C$2:C207)</f>
        <v>-7.1001511882220106E-2</v>
      </c>
      <c r="G207" s="151">
        <f t="shared" si="11"/>
        <v>-48.371200000000051</v>
      </c>
      <c r="H207" s="481" t="s">
        <v>97</v>
      </c>
      <c r="I207" s="2"/>
      <c r="J207" s="2"/>
      <c r="K207" s="2"/>
      <c r="O207" s="58"/>
      <c r="P207" s="58"/>
    </row>
    <row r="208" spans="2:16">
      <c r="B208" s="652"/>
      <c r="C208" s="402">
        <v>1.99</v>
      </c>
      <c r="D208" s="151">
        <v>1.76</v>
      </c>
      <c r="E208" s="151">
        <f t="shared" si="10"/>
        <v>1.5124000000000002</v>
      </c>
      <c r="F208" s="156">
        <f>SUM($E$2:E208)/SUM($C$2:C208)</f>
        <v>-6.8581213593654086E-2</v>
      </c>
      <c r="G208" s="151">
        <f t="shared" si="11"/>
        <v>-46.858800000000052</v>
      </c>
      <c r="H208" s="481" t="s">
        <v>47</v>
      </c>
      <c r="I208" s="2"/>
      <c r="J208" s="2"/>
      <c r="K208" s="2"/>
      <c r="O208" s="58"/>
      <c r="P208" s="58"/>
    </row>
    <row r="209" spans="2:16">
      <c r="B209" s="652"/>
      <c r="C209" s="488">
        <v>1.99</v>
      </c>
      <c r="D209" s="165"/>
      <c r="E209" s="165">
        <f t="shared" si="10"/>
        <v>-1.99</v>
      </c>
      <c r="F209" s="195">
        <f>SUM($E$2:E209)/SUM($C$2:C209)</f>
        <v>-7.1286099963517105E-2</v>
      </c>
      <c r="G209" s="165">
        <f t="shared" si="11"/>
        <v>-48.848800000000054</v>
      </c>
      <c r="H209" s="393" t="s">
        <v>18</v>
      </c>
      <c r="I209" s="2"/>
      <c r="J209" s="2"/>
      <c r="K209" s="2"/>
      <c r="O209" s="58"/>
      <c r="P209" s="58"/>
    </row>
    <row r="210" spans="2:16">
      <c r="B210" s="652"/>
      <c r="C210" s="484">
        <v>1.99</v>
      </c>
      <c r="D210" s="164">
        <v>1.7</v>
      </c>
      <c r="E210" s="164">
        <f t="shared" si="10"/>
        <v>1.393</v>
      </c>
      <c r="F210" s="197">
        <f>SUM($E$2:E210)/SUM($C$2:C210)</f>
        <v>-6.905273266980981E-2</v>
      </c>
      <c r="G210" s="164">
        <f t="shared" si="11"/>
        <v>-47.455800000000053</v>
      </c>
      <c r="H210" s="485" t="s">
        <v>111</v>
      </c>
      <c r="I210" s="2"/>
      <c r="J210" s="2"/>
      <c r="K210" s="2"/>
      <c r="O210" s="58"/>
      <c r="P210" s="58"/>
    </row>
    <row r="211" spans="2:16">
      <c r="B211" s="652"/>
      <c r="C211" s="402">
        <v>1.99</v>
      </c>
      <c r="D211" s="151"/>
      <c r="E211" s="151">
        <f t="shared" si="10"/>
        <v>-1.99</v>
      </c>
      <c r="F211" s="156">
        <f>SUM($E$2:E211)/SUM($C$2:C211)</f>
        <v>-7.1740638103390875E-2</v>
      </c>
      <c r="G211" s="151">
        <f t="shared" si="11"/>
        <v>-49.445800000000055</v>
      </c>
      <c r="H211" s="481" t="s">
        <v>112</v>
      </c>
      <c r="I211" s="2"/>
      <c r="J211" s="2"/>
      <c r="K211" s="2"/>
      <c r="O211" s="58"/>
      <c r="P211" s="58"/>
    </row>
    <row r="212" spans="2:16">
      <c r="B212" s="652"/>
      <c r="C212" s="402">
        <v>1.99</v>
      </c>
      <c r="D212" s="151"/>
      <c r="E212" s="151">
        <f t="shared" si="10"/>
        <v>-1.99</v>
      </c>
      <c r="F212" s="156">
        <f>SUM($E$2:E212)/SUM($C$2:C212)</f>
        <v>-7.4413066751540899E-2</v>
      </c>
      <c r="G212" s="151">
        <f t="shared" si="11"/>
        <v>-51.435800000000057</v>
      </c>
      <c r="H212" s="481" t="s">
        <v>113</v>
      </c>
      <c r="I212" s="2"/>
      <c r="J212" s="2"/>
      <c r="K212" s="2"/>
      <c r="O212" s="58"/>
      <c r="P212" s="58"/>
    </row>
    <row r="213" spans="2:16">
      <c r="B213" s="652"/>
      <c r="C213" s="402">
        <v>1.99</v>
      </c>
      <c r="D213" s="151">
        <v>1.7310000000000001</v>
      </c>
      <c r="E213" s="151">
        <f t="shared" si="10"/>
        <v>1.45469</v>
      </c>
      <c r="F213" s="156">
        <f>SUM($E$2:E213)/SUM($C$2:C213)</f>
        <v>-7.2100965075518386E-2</v>
      </c>
      <c r="G213" s="151">
        <f t="shared" si="11"/>
        <v>-49.981110000000058</v>
      </c>
      <c r="H213" s="481" t="s">
        <v>114</v>
      </c>
      <c r="I213" s="2"/>
      <c r="J213" s="2"/>
      <c r="K213" s="2"/>
      <c r="O213" s="58"/>
      <c r="P213" s="58"/>
    </row>
    <row r="214" spans="2:16">
      <c r="B214" s="652"/>
      <c r="C214" s="402">
        <v>1.99</v>
      </c>
      <c r="D214" s="151">
        <v>1.712</v>
      </c>
      <c r="E214" s="151">
        <f t="shared" si="10"/>
        <v>1.4168800000000001</v>
      </c>
      <c r="F214" s="156">
        <f>SUM($E$2:E214)/SUM($C$2:C214)</f>
        <v>-6.9856487341772286E-2</v>
      </c>
      <c r="G214" s="151">
        <f t="shared" si="11"/>
        <v>-48.564230000000059</v>
      </c>
      <c r="H214" s="481" t="s">
        <v>115</v>
      </c>
      <c r="I214" s="2"/>
      <c r="J214" s="2"/>
      <c r="K214" s="2"/>
      <c r="O214" s="58"/>
      <c r="P214" s="58"/>
    </row>
    <row r="215" spans="2:16">
      <c r="B215" s="652"/>
      <c r="C215" s="473">
        <v>1.99</v>
      </c>
      <c r="D215" s="257"/>
      <c r="E215" s="257">
        <f t="shared" si="10"/>
        <v>-1.99</v>
      </c>
      <c r="F215" s="256">
        <f>SUM($E$2:E215)/SUM($C$2:C215)</f>
        <v>-7.2511410089071984E-2</v>
      </c>
      <c r="G215" s="257">
        <f t="shared" si="11"/>
        <v>-50.554230000000061</v>
      </c>
      <c r="H215" s="401" t="s">
        <v>116</v>
      </c>
      <c r="I215" s="2">
        <f>SUM(E198:E215)</f>
        <v>-7.4804100000000009</v>
      </c>
      <c r="L215" s="2">
        <f>I215/C215</f>
        <v>-3.7590000000000003</v>
      </c>
      <c r="O215" s="58"/>
      <c r="P215" s="58"/>
    </row>
    <row r="216" spans="2:16">
      <c r="B216" s="650">
        <v>45990</v>
      </c>
      <c r="C216" s="384">
        <v>2.71</v>
      </c>
      <c r="D216" s="163">
        <v>1.83</v>
      </c>
      <c r="E216" s="163">
        <f t="shared" ref="E216:E227" si="12">(C216*D216)-C216</f>
        <v>2.2492999999999999</v>
      </c>
      <c r="F216" s="193">
        <f>SUM($E$2:E216)/SUM($C$2:C216)</f>
        <v>-6.9016902414630793E-2</v>
      </c>
      <c r="G216" s="163">
        <f t="shared" ref="G216:G227" si="13">G215+E216</f>
        <v>-48.304930000000063</v>
      </c>
      <c r="H216" s="381" t="s">
        <v>37</v>
      </c>
      <c r="I216" s="2"/>
      <c r="J216" s="2"/>
      <c r="K216" s="2"/>
      <c r="O216" s="58"/>
      <c r="P216" s="58"/>
    </row>
    <row r="217" spans="2:16">
      <c r="B217" s="652"/>
      <c r="C217" s="402">
        <v>2.71</v>
      </c>
      <c r="D217" s="151"/>
      <c r="E217" s="151">
        <f t="shared" si="12"/>
        <v>-2.71</v>
      </c>
      <c r="F217" s="156">
        <f>SUM($E$2:E217)/SUM($C$2:C217)</f>
        <v>-7.2607748252942736E-2</v>
      </c>
      <c r="G217" s="151">
        <f t="shared" si="13"/>
        <v>-51.014930000000064</v>
      </c>
      <c r="H217" s="481" t="s">
        <v>25</v>
      </c>
      <c r="I217" s="2"/>
      <c r="J217" s="2"/>
      <c r="K217" s="2"/>
      <c r="O217" s="58"/>
      <c r="P217" s="58"/>
    </row>
    <row r="218" spans="2:16">
      <c r="B218" s="652"/>
      <c r="C218" s="402">
        <v>2.71</v>
      </c>
      <c r="D218" s="151"/>
      <c r="E218" s="151">
        <f t="shared" si="12"/>
        <v>-2.71</v>
      </c>
      <c r="F218" s="156">
        <f>SUM($E$2:E218)/SUM($C$2:C218)</f>
        <v>-7.617100039698306E-2</v>
      </c>
      <c r="G218" s="151">
        <f t="shared" si="13"/>
        <v>-53.724930000000064</v>
      </c>
      <c r="H218" s="481" t="s">
        <v>28</v>
      </c>
      <c r="I218" s="2"/>
      <c r="J218" s="2"/>
      <c r="K218" s="2"/>
      <c r="O218" s="58"/>
      <c r="P218" s="58"/>
    </row>
    <row r="219" spans="2:16">
      <c r="B219" s="652"/>
      <c r="C219" s="402">
        <v>2.71</v>
      </c>
      <c r="D219" s="151"/>
      <c r="E219" s="151">
        <f t="shared" si="12"/>
        <v>-2.71</v>
      </c>
      <c r="F219" s="156">
        <f>SUM($E$2:E219)/SUM($C$2:C219)</f>
        <v>-7.9706975693120477E-2</v>
      </c>
      <c r="G219" s="151">
        <f t="shared" si="13"/>
        <v>-56.434930000000065</v>
      </c>
      <c r="H219" s="481" t="s">
        <v>13</v>
      </c>
      <c r="I219" s="2"/>
      <c r="J219" s="2"/>
      <c r="K219" s="2"/>
      <c r="O219" s="58"/>
      <c r="P219" s="58"/>
    </row>
    <row r="220" spans="2:16">
      <c r="B220" s="652"/>
      <c r="C220" s="488">
        <v>2.71</v>
      </c>
      <c r="D220" s="165">
        <v>1.9</v>
      </c>
      <c r="E220" s="165">
        <f t="shared" si="12"/>
        <v>2.4390000000000001</v>
      </c>
      <c r="F220" s="195">
        <f>SUM($E$2:E220)/SUM($C$2:C220)</f>
        <v>-7.5971424149478134E-2</v>
      </c>
      <c r="G220" s="165">
        <f t="shared" si="13"/>
        <v>-53.995930000000065</v>
      </c>
      <c r="H220" s="393" t="s">
        <v>59</v>
      </c>
      <c r="I220" s="2"/>
      <c r="J220" s="2"/>
      <c r="K220" s="2"/>
      <c r="O220" s="58"/>
      <c r="P220" s="58"/>
    </row>
    <row r="221" spans="2:16">
      <c r="B221" s="652"/>
      <c r="C221" s="484">
        <v>2.71</v>
      </c>
      <c r="D221" s="151">
        <v>1.73</v>
      </c>
      <c r="E221" s="151">
        <f t="shared" si="12"/>
        <v>1.9782999999999999</v>
      </c>
      <c r="F221" s="156">
        <f>SUM($E$2:E221)/SUM($C$2:C221)</f>
        <v>-7.2909986684420891E-2</v>
      </c>
      <c r="G221" s="151">
        <f t="shared" si="13"/>
        <v>-52.017630000000068</v>
      </c>
      <c r="H221" s="481" t="s">
        <v>15</v>
      </c>
      <c r="I221" s="2"/>
      <c r="J221" s="2"/>
      <c r="K221" s="2"/>
      <c r="O221" s="58"/>
      <c r="P221" s="58"/>
    </row>
    <row r="222" spans="2:16">
      <c r="B222" s="652"/>
      <c r="C222" s="402">
        <v>2.71</v>
      </c>
      <c r="D222" s="151">
        <v>1.9</v>
      </c>
      <c r="E222" s="151">
        <f t="shared" si="12"/>
        <v>2.4390000000000001</v>
      </c>
      <c r="F222" s="156">
        <f>SUM($E$2:E222)/SUM($C$2:C222)</f>
        <v>-6.922842660857921E-2</v>
      </c>
      <c r="G222" s="151">
        <f t="shared" si="13"/>
        <v>-49.578630000000068</v>
      </c>
      <c r="H222" s="481" t="s">
        <v>16</v>
      </c>
      <c r="I222" s="2"/>
      <c r="J222" s="2"/>
      <c r="K222" s="2"/>
      <c r="O222" s="58"/>
      <c r="P222" s="58"/>
    </row>
    <row r="223" spans="2:16">
      <c r="B223" s="652"/>
      <c r="C223" s="488">
        <v>2.71</v>
      </c>
      <c r="D223" s="165"/>
      <c r="E223" s="165">
        <f t="shared" si="12"/>
        <v>-2.71</v>
      </c>
      <c r="F223" s="195">
        <f>SUM($E$2:E223)/SUM($C$2:C223)</f>
        <v>-7.2737254301890583E-2</v>
      </c>
      <c r="G223" s="165">
        <f t="shared" si="13"/>
        <v>-52.288630000000069</v>
      </c>
      <c r="H223" s="393" t="s">
        <v>27</v>
      </c>
      <c r="I223" s="2"/>
      <c r="J223" s="2"/>
      <c r="K223" s="2"/>
      <c r="O223" s="58"/>
      <c r="P223" s="58"/>
    </row>
    <row r="224" spans="2:16">
      <c r="B224" s="652"/>
      <c r="C224" s="484">
        <v>2.71</v>
      </c>
      <c r="D224" s="164">
        <v>1.6859999999999999</v>
      </c>
      <c r="E224" s="164">
        <f t="shared" si="12"/>
        <v>1.8590599999999995</v>
      </c>
      <c r="F224" s="197">
        <f>SUM($E$2:E224)/SUM($C$2:C224)</f>
        <v>-6.988770475900119E-2</v>
      </c>
      <c r="G224" s="164">
        <f t="shared" si="13"/>
        <v>-50.429570000000069</v>
      </c>
      <c r="H224" s="485" t="s">
        <v>117</v>
      </c>
      <c r="I224" s="2"/>
      <c r="J224" s="2"/>
      <c r="K224" s="2"/>
      <c r="O224" s="58"/>
      <c r="P224" s="58"/>
    </row>
    <row r="225" spans="2:16">
      <c r="B225" s="652"/>
      <c r="C225" s="402">
        <v>2.71</v>
      </c>
      <c r="D225" s="151"/>
      <c r="E225" s="151">
        <f t="shared" si="12"/>
        <v>-2.71</v>
      </c>
      <c r="F225" s="156">
        <f>SUM($E$2:E225)/SUM($C$2:C225)</f>
        <v>-7.3367808474506177E-2</v>
      </c>
      <c r="G225" s="151">
        <f t="shared" si="13"/>
        <v>-53.13957000000007</v>
      </c>
      <c r="H225" s="481" t="s">
        <v>118</v>
      </c>
      <c r="I225" s="2"/>
      <c r="J225" s="2"/>
      <c r="K225" s="2"/>
      <c r="O225" s="58"/>
      <c r="P225" s="58"/>
    </row>
    <row r="226" spans="2:16">
      <c r="B226" s="652"/>
      <c r="C226" s="402">
        <v>2.71</v>
      </c>
      <c r="D226" s="151"/>
      <c r="E226" s="151">
        <f t="shared" si="12"/>
        <v>-2.71</v>
      </c>
      <c r="F226" s="156">
        <f>SUM($E$2:E226)/SUM($C$2:C226)</f>
        <v>-7.6821966987620463E-2</v>
      </c>
      <c r="G226" s="151">
        <f t="shared" si="13"/>
        <v>-55.849570000000071</v>
      </c>
      <c r="H226" s="481" t="s">
        <v>119</v>
      </c>
      <c r="I226" s="2"/>
      <c r="J226" s="2"/>
      <c r="K226" s="2"/>
      <c r="O226" s="58"/>
      <c r="P226" s="58"/>
    </row>
    <row r="227" spans="2:16">
      <c r="B227" s="652"/>
      <c r="C227" s="488">
        <v>2.71</v>
      </c>
      <c r="D227" s="165"/>
      <c r="E227" s="165">
        <f t="shared" si="12"/>
        <v>-2.71</v>
      </c>
      <c r="F227" s="195">
        <f>SUM($E$2:E227)/SUM($C$2:C227)</f>
        <v>-8.0250469364542179E-2</v>
      </c>
      <c r="G227" s="165">
        <f t="shared" si="13"/>
        <v>-58.559570000000072</v>
      </c>
      <c r="H227" s="393" t="s">
        <v>120</v>
      </c>
      <c r="I227" s="2">
        <f>SUM(E216:E227)</f>
        <v>-8.0053400000000003</v>
      </c>
      <c r="L227" s="2">
        <f>I227/C227</f>
        <v>-2.9540000000000002</v>
      </c>
      <c r="O227" s="58"/>
      <c r="P227" s="58"/>
    </row>
    <row r="228" spans="2:16">
      <c r="B228" s="650">
        <v>45991</v>
      </c>
      <c r="C228" s="384">
        <v>2.67</v>
      </c>
      <c r="D228" s="163">
        <v>1.9</v>
      </c>
      <c r="E228" s="163">
        <f t="shared" ref="E228:E238" si="14">(C228*D228)-C228</f>
        <v>2.4029999999999996</v>
      </c>
      <c r="F228" s="193">
        <f>SUM($E$2:E228)/SUM($C$2:C228)</f>
        <v>-7.6676820776099955E-2</v>
      </c>
      <c r="G228" s="163">
        <f t="shared" ref="G228:G238" si="15">G227+E228</f>
        <v>-56.156570000000073</v>
      </c>
      <c r="H228" s="381" t="s">
        <v>53</v>
      </c>
      <c r="I228" s="2"/>
      <c r="J228" s="2"/>
      <c r="K228" s="2"/>
      <c r="O228" s="58"/>
      <c r="P228" s="58"/>
    </row>
    <row r="229" spans="2:16">
      <c r="B229" s="652"/>
      <c r="C229" s="402">
        <v>2.67</v>
      </c>
      <c r="D229" s="151">
        <v>1.9</v>
      </c>
      <c r="E229" s="151">
        <f t="shared" si="14"/>
        <v>2.4029999999999996</v>
      </c>
      <c r="F229" s="156">
        <f>SUM($E$2:E229)/SUM($C$2:C229)</f>
        <v>-7.3129134072512189E-2</v>
      </c>
      <c r="G229" s="151">
        <f t="shared" si="15"/>
        <v>-53.753570000000074</v>
      </c>
      <c r="H229" s="481" t="s">
        <v>37</v>
      </c>
      <c r="I229" s="2"/>
      <c r="J229" s="2"/>
      <c r="K229" s="2"/>
      <c r="O229" s="58"/>
      <c r="P229" s="58"/>
    </row>
    <row r="230" spans="2:16">
      <c r="B230" s="652"/>
      <c r="C230" s="402">
        <v>2.67</v>
      </c>
      <c r="D230" s="151">
        <v>1.9</v>
      </c>
      <c r="E230" s="151">
        <f t="shared" si="14"/>
        <v>2.4029999999999996</v>
      </c>
      <c r="F230" s="156">
        <f>SUM($E$2:E230)/SUM($C$2:C230)</f>
        <v>-6.9607127365396204E-2</v>
      </c>
      <c r="G230" s="151">
        <f t="shared" si="15"/>
        <v>-51.350570000000076</v>
      </c>
      <c r="H230" s="481" t="s">
        <v>14</v>
      </c>
      <c r="I230" s="2"/>
      <c r="J230" s="2"/>
      <c r="K230" s="2"/>
      <c r="O230" s="58"/>
      <c r="P230" s="58"/>
    </row>
    <row r="231" spans="2:16">
      <c r="B231" s="652"/>
      <c r="C231" s="402">
        <v>2.67</v>
      </c>
      <c r="D231" s="151"/>
      <c r="E231" s="151">
        <f t="shared" si="14"/>
        <v>-2.67</v>
      </c>
      <c r="F231" s="156">
        <f>SUM($E$2:E231)/SUM($C$2:C231)</f>
        <v>-7.296231715717405E-2</v>
      </c>
      <c r="G231" s="151">
        <f t="shared" si="15"/>
        <v>-54.020570000000077</v>
      </c>
      <c r="H231" s="481" t="s">
        <v>12</v>
      </c>
      <c r="I231" s="2"/>
      <c r="J231" s="2"/>
      <c r="K231" s="2"/>
      <c r="O231" s="58"/>
      <c r="P231" s="58"/>
    </row>
    <row r="232" spans="2:16">
      <c r="B232" s="652"/>
      <c r="C232" s="488">
        <v>2.67</v>
      </c>
      <c r="D232" s="165"/>
      <c r="E232" s="165">
        <f t="shared" si="14"/>
        <v>-2.67</v>
      </c>
      <c r="F232" s="195">
        <f>SUM($E$2:E232)/SUM($C$2:C232)</f>
        <v>-7.629339488062889E-2</v>
      </c>
      <c r="G232" s="165">
        <f t="shared" si="15"/>
        <v>-56.690570000000079</v>
      </c>
      <c r="H232" s="393" t="s">
        <v>26</v>
      </c>
      <c r="I232" s="2"/>
      <c r="J232" s="2"/>
      <c r="K232" s="2"/>
      <c r="O232" s="58"/>
      <c r="P232" s="58"/>
    </row>
    <row r="233" spans="2:16">
      <c r="B233" s="652"/>
      <c r="C233" s="484">
        <v>2.67</v>
      </c>
      <c r="D233" s="164"/>
      <c r="E233" s="164">
        <f t="shared" si="14"/>
        <v>-2.67</v>
      </c>
      <c r="F233" s="197">
        <f>SUM($E$2:E233)/SUM($C$2:C233)</f>
        <v>-7.9600619527174857E-2</v>
      </c>
      <c r="G233" s="164">
        <f t="shared" si="15"/>
        <v>-59.360570000000081</v>
      </c>
      <c r="H233" s="485" t="s">
        <v>47</v>
      </c>
      <c r="I233" s="2"/>
      <c r="J233" s="2"/>
      <c r="K233" s="2"/>
      <c r="O233" s="58"/>
      <c r="P233" s="58"/>
    </row>
    <row r="234" spans="2:16">
      <c r="B234" s="652"/>
      <c r="C234" s="488">
        <v>2.67</v>
      </c>
      <c r="D234" s="165">
        <v>1.9</v>
      </c>
      <c r="E234" s="165">
        <f t="shared" si="14"/>
        <v>2.4029999999999996</v>
      </c>
      <c r="F234" s="195">
        <f>SUM($E$2:E234)/SUM($C$2:C234)</f>
        <v>-7.6105785676109178E-2</v>
      </c>
      <c r="G234" s="165">
        <f t="shared" si="15"/>
        <v>-56.957570000000082</v>
      </c>
      <c r="H234" s="393" t="s">
        <v>51</v>
      </c>
      <c r="I234" s="2"/>
      <c r="J234" s="2"/>
      <c r="K234" s="2"/>
      <c r="O234" s="58"/>
      <c r="P234" s="58"/>
    </row>
    <row r="235" spans="2:16">
      <c r="B235" s="652"/>
      <c r="C235" s="484">
        <v>2.67</v>
      </c>
      <c r="D235" s="164"/>
      <c r="E235" s="164">
        <f t="shared" si="14"/>
        <v>-2.67</v>
      </c>
      <c r="F235" s="197">
        <f>SUM($E$2:E235)/SUM($C$2:C235)</f>
        <v>-7.939016336693E-2</v>
      </c>
      <c r="G235" s="164">
        <f t="shared" si="15"/>
        <v>-59.627570000000084</v>
      </c>
      <c r="H235" s="485" t="s">
        <v>121</v>
      </c>
      <c r="I235" s="2"/>
      <c r="J235" s="2"/>
      <c r="K235" s="2"/>
      <c r="O235" s="58"/>
      <c r="P235" s="58"/>
    </row>
    <row r="236" spans="2:16">
      <c r="B236" s="652"/>
      <c r="C236" s="402">
        <v>2.67</v>
      </c>
      <c r="D236" s="151">
        <v>1.712</v>
      </c>
      <c r="E236" s="151">
        <f t="shared" si="14"/>
        <v>1.9010400000000001</v>
      </c>
      <c r="F236" s="156">
        <f>SUM($E$2:E236)/SUM($C$2:C236)</f>
        <v>-7.6586793854644994E-2</v>
      </c>
      <c r="G236" s="151">
        <f t="shared" si="15"/>
        <v>-57.726530000000082</v>
      </c>
      <c r="H236" s="481" t="s">
        <v>122</v>
      </c>
      <c r="I236" s="2"/>
      <c r="J236" s="2"/>
      <c r="K236" s="2"/>
      <c r="O236" s="58"/>
      <c r="P236" s="58"/>
    </row>
    <row r="237" spans="2:16">
      <c r="B237" s="652"/>
      <c r="C237" s="402">
        <v>2.67</v>
      </c>
      <c r="D237" s="151">
        <v>1.714</v>
      </c>
      <c r="E237" s="151">
        <f t="shared" si="14"/>
        <v>1.9063799999999995</v>
      </c>
      <c r="F237" s="156">
        <f>SUM($E$2:E237)/SUM($C$2:C237)</f>
        <v>-7.379615552412068E-2</v>
      </c>
      <c r="G237" s="151">
        <f t="shared" si="15"/>
        <v>-55.820150000000083</v>
      </c>
      <c r="H237" s="481" t="s">
        <v>123</v>
      </c>
      <c r="I237" s="2"/>
      <c r="J237" s="2"/>
      <c r="K237" s="2"/>
      <c r="O237" s="58"/>
      <c r="P237" s="58"/>
    </row>
    <row r="238" spans="2:16">
      <c r="B238" s="652"/>
      <c r="C238" s="488">
        <v>2.67</v>
      </c>
      <c r="D238" s="165"/>
      <c r="E238" s="165">
        <f t="shared" si="14"/>
        <v>-2.67</v>
      </c>
      <c r="F238" s="195">
        <f>SUM($E$2:E238)/SUM($C$2:C238)</f>
        <v>-7.7053999578437227E-2</v>
      </c>
      <c r="G238" s="165">
        <f t="shared" si="15"/>
        <v>-58.490150000000085</v>
      </c>
      <c r="H238" s="393" t="s">
        <v>124</v>
      </c>
      <c r="I238" s="490">
        <f>SUM(E228:E238)</f>
        <v>6.9419999999998261E-2</v>
      </c>
      <c r="J238" s="490">
        <f>SUM(E163:E238)</f>
        <v>-50.734390000000062</v>
      </c>
      <c r="K238" s="490">
        <f>SUM(E2:E238)</f>
        <v>-58.490150000000085</v>
      </c>
      <c r="L238" s="2">
        <f>I238/C238</f>
        <v>2.599999999999935E-2</v>
      </c>
      <c r="M238" s="529" t="s">
        <v>125</v>
      </c>
      <c r="O238" s="58"/>
      <c r="P238" s="58"/>
    </row>
    <row r="239" spans="2:16">
      <c r="B239" s="650">
        <v>45992</v>
      </c>
      <c r="C239" s="484">
        <v>2.38</v>
      </c>
      <c r="D239" s="164"/>
      <c r="E239" s="164">
        <f t="shared" ref="E239:E258" si="16">(C239*D239)-C239</f>
        <v>-2.38</v>
      </c>
      <c r="F239" s="197">
        <f>SUM($E$2:E239)/SUM($C$2:C239)</f>
        <v>-7.9938736112205672E-2</v>
      </c>
      <c r="G239" s="164">
        <f>G238+E239</f>
        <v>-60.870150000000088</v>
      </c>
      <c r="H239" s="485" t="s">
        <v>14</v>
      </c>
      <c r="I239" s="2"/>
      <c r="J239" s="2"/>
      <c r="K239" s="2"/>
      <c r="O239" s="58"/>
      <c r="P239" s="58"/>
    </row>
    <row r="240" spans="2:16">
      <c r="B240" s="652"/>
      <c r="C240" s="402">
        <v>2.38</v>
      </c>
      <c r="D240" s="151">
        <v>2</v>
      </c>
      <c r="E240" s="151">
        <f t="shared" si="16"/>
        <v>2.38</v>
      </c>
      <c r="F240" s="156">
        <f>SUM($E$2:E240)/SUM($C$2:C240)</f>
        <v>-7.6573824361122908E-2</v>
      </c>
      <c r="G240" s="151">
        <f t="shared" ref="G240:G258" si="17">G239+E240</f>
        <v>-58.490150000000085</v>
      </c>
      <c r="H240" s="481" t="s">
        <v>46</v>
      </c>
      <c r="I240" s="2"/>
      <c r="J240" s="2"/>
      <c r="K240" s="2"/>
      <c r="O240" s="58"/>
      <c r="P240" s="58"/>
    </row>
    <row r="241" spans="2:16">
      <c r="B241" s="652"/>
      <c r="C241" s="402">
        <v>2.38</v>
      </c>
      <c r="D241" s="151">
        <v>1.8</v>
      </c>
      <c r="E241" s="151">
        <f t="shared" si="16"/>
        <v>1.9039999999999999</v>
      </c>
      <c r="F241" s="156">
        <f>SUM($E$2:E241)/SUM($C$2:C241)</f>
        <v>-7.3851048001879527E-2</v>
      </c>
      <c r="G241" s="151">
        <f t="shared" si="17"/>
        <v>-56.586150000000089</v>
      </c>
      <c r="H241" s="481" t="s">
        <v>18</v>
      </c>
      <c r="I241" s="2"/>
      <c r="J241" s="2"/>
      <c r="K241" s="2"/>
      <c r="O241" s="58"/>
      <c r="P241" s="58"/>
    </row>
    <row r="242" spans="2:16">
      <c r="B242" s="652"/>
      <c r="C242" s="402">
        <v>2.38</v>
      </c>
      <c r="D242" s="151">
        <v>1.91</v>
      </c>
      <c r="E242" s="151">
        <f t="shared" si="16"/>
        <v>2.1657999999999999</v>
      </c>
      <c r="F242" s="156">
        <f>SUM($E$2:E242)/SUM($C$2:C242)</f>
        <v>-7.0804514702055857E-2</v>
      </c>
      <c r="G242" s="151">
        <f t="shared" si="17"/>
        <v>-54.420350000000091</v>
      </c>
      <c r="H242" s="481" t="s">
        <v>35</v>
      </c>
      <c r="I242" s="2"/>
      <c r="J242" s="2"/>
      <c r="K242" s="2"/>
      <c r="O242" s="58"/>
      <c r="P242" s="58"/>
    </row>
    <row r="243" spans="2:16">
      <c r="B243" s="652"/>
      <c r="C243" s="402">
        <v>2.38</v>
      </c>
      <c r="D243" s="151">
        <v>1.9</v>
      </c>
      <c r="E243" s="151">
        <f t="shared" si="16"/>
        <v>2.1419999999999995</v>
      </c>
      <c r="F243" s="156">
        <f>SUM($E$2:E243)/SUM($C$2:C243)</f>
        <v>-6.780766038029537E-2</v>
      </c>
      <c r="G243" s="151">
        <f t="shared" si="17"/>
        <v>-52.278350000000088</v>
      </c>
      <c r="H243" s="481" t="s">
        <v>17</v>
      </c>
      <c r="I243" s="2"/>
      <c r="J243" s="2"/>
      <c r="K243" s="2"/>
      <c r="O243" s="58"/>
      <c r="P243" s="58"/>
    </row>
    <row r="244" spans="2:16">
      <c r="B244" s="652"/>
      <c r="C244" s="402">
        <v>2.38</v>
      </c>
      <c r="D244" s="151">
        <v>1.9</v>
      </c>
      <c r="E244" s="151">
        <f t="shared" si="16"/>
        <v>2.1419999999999995</v>
      </c>
      <c r="F244" s="156">
        <f>SUM($E$2:E244)/SUM($C$2:C244)</f>
        <v>-6.4829251577531971E-2</v>
      </c>
      <c r="G244" s="151">
        <f t="shared" si="17"/>
        <v>-50.136350000000093</v>
      </c>
      <c r="H244" s="481" t="s">
        <v>53</v>
      </c>
      <c r="I244" s="2"/>
      <c r="J244" s="2"/>
      <c r="K244" s="2"/>
      <c r="O244" s="58"/>
      <c r="P244" s="58"/>
    </row>
    <row r="245" spans="2:16">
      <c r="B245" s="652"/>
      <c r="C245" s="488">
        <v>2.38</v>
      </c>
      <c r="D245" s="165">
        <v>1.9</v>
      </c>
      <c r="E245" s="165">
        <f t="shared" si="16"/>
        <v>2.1419999999999995</v>
      </c>
      <c r="F245" s="195">
        <f>SUM($E$2:E245)/SUM($C$2:C245)</f>
        <v>-6.1869118519091618E-2</v>
      </c>
      <c r="G245" s="165">
        <f t="shared" si="17"/>
        <v>-47.994350000000097</v>
      </c>
      <c r="H245" s="393" t="s">
        <v>36</v>
      </c>
      <c r="I245" s="2"/>
      <c r="J245" s="2"/>
      <c r="K245" s="2"/>
      <c r="O245" s="58"/>
      <c r="P245" s="58"/>
    </row>
    <row r="246" spans="2:16">
      <c r="B246" s="652"/>
      <c r="C246" s="484">
        <v>2.38</v>
      </c>
      <c r="D246" s="164"/>
      <c r="E246" s="164">
        <f t="shared" si="16"/>
        <v>-2.38</v>
      </c>
      <c r="F246" s="197">
        <f>SUM($E$2:E246)/SUM($C$2:C246)</f>
        <v>-6.4738536472523686E-2</v>
      </c>
      <c r="G246" s="164">
        <f t="shared" si="17"/>
        <v>-50.374350000000099</v>
      </c>
      <c r="H246" s="485" t="s">
        <v>97</v>
      </c>
      <c r="I246" s="2"/>
      <c r="J246" s="2"/>
      <c r="K246" s="2"/>
      <c r="O246" s="58"/>
      <c r="P246" s="58"/>
    </row>
    <row r="247" spans="2:16">
      <c r="B247" s="652"/>
      <c r="C247" s="402">
        <v>2.38</v>
      </c>
      <c r="D247" s="151">
        <v>1.9</v>
      </c>
      <c r="E247" s="151">
        <f t="shared" si="16"/>
        <v>2.1419999999999995</v>
      </c>
      <c r="F247" s="156">
        <f>SUM($E$2:E247)/SUM($C$2:C247)</f>
        <v>-6.1796732863549177E-2</v>
      </c>
      <c r="G247" s="151">
        <f t="shared" si="17"/>
        <v>-48.232350000000096</v>
      </c>
      <c r="H247" s="481" t="s">
        <v>60</v>
      </c>
      <c r="I247" s="2"/>
      <c r="J247" s="2"/>
      <c r="K247" s="2"/>
      <c r="O247" s="58"/>
      <c r="P247" s="58"/>
    </row>
    <row r="248" spans="2:16">
      <c r="B248" s="652"/>
      <c r="C248" s="402">
        <v>2.38</v>
      </c>
      <c r="D248" s="151">
        <v>1.9</v>
      </c>
      <c r="E248" s="151">
        <f t="shared" si="16"/>
        <v>2.1419999999999995</v>
      </c>
      <c r="F248" s="156">
        <f>SUM($E$2:E248)/SUM($C$2:C248)</f>
        <v>-5.8872815757204343E-2</v>
      </c>
      <c r="G248" s="151">
        <f t="shared" si="17"/>
        <v>-46.0903500000001</v>
      </c>
      <c r="H248" s="481" t="s">
        <v>11</v>
      </c>
      <c r="I248" s="2"/>
      <c r="J248" s="2"/>
      <c r="K248" s="2"/>
      <c r="O248" s="58"/>
      <c r="P248" s="58"/>
    </row>
    <row r="249" spans="2:16">
      <c r="B249" s="652"/>
      <c r="C249" s="402">
        <v>2.38</v>
      </c>
      <c r="D249" s="151">
        <v>1.9</v>
      </c>
      <c r="E249" s="151">
        <f t="shared" si="16"/>
        <v>2.1419999999999995</v>
      </c>
      <c r="F249" s="156">
        <f>SUM($E$2:E249)/SUM($C$2:C249)</f>
        <v>-5.5966622519929878E-2</v>
      </c>
      <c r="G249" s="151">
        <f t="shared" si="17"/>
        <v>-43.948350000000104</v>
      </c>
      <c r="H249" s="481" t="s">
        <v>28</v>
      </c>
      <c r="I249" s="2"/>
      <c r="J249" s="2"/>
      <c r="K249" s="2"/>
      <c r="O249" s="58"/>
      <c r="P249" s="58"/>
    </row>
    <row r="250" spans="2:16">
      <c r="B250" s="652"/>
      <c r="C250" s="402">
        <v>2.38</v>
      </c>
      <c r="D250" s="151">
        <v>1.764</v>
      </c>
      <c r="E250" s="151">
        <f t="shared" si="16"/>
        <v>1.8183199999999999</v>
      </c>
      <c r="F250" s="156">
        <f>SUM($E$2:E250)/SUM($C$2:C250)</f>
        <v>-5.3488941648469013E-2</v>
      </c>
      <c r="G250" s="151">
        <f t="shared" si="17"/>
        <v>-42.130030000000104</v>
      </c>
      <c r="H250" s="481" t="s">
        <v>47</v>
      </c>
      <c r="I250" s="2"/>
      <c r="J250" s="2"/>
      <c r="K250" s="2"/>
      <c r="O250" s="58"/>
      <c r="P250" s="58"/>
    </row>
    <row r="251" spans="2:16">
      <c r="B251" s="652"/>
      <c r="C251" s="488">
        <v>2.38</v>
      </c>
      <c r="D251" s="165"/>
      <c r="E251" s="165">
        <f t="shared" si="16"/>
        <v>-2.38</v>
      </c>
      <c r="F251" s="195">
        <f>SUM($E$2:E251)/SUM($C$2:C251)</f>
        <v>-5.6340383787752385E-2</v>
      </c>
      <c r="G251" s="165">
        <f t="shared" si="17"/>
        <v>-44.510030000000107</v>
      </c>
      <c r="H251" s="393" t="s">
        <v>10</v>
      </c>
      <c r="I251" s="2"/>
      <c r="J251" s="2"/>
      <c r="K251" s="2"/>
      <c r="O251" s="58"/>
      <c r="P251" s="58"/>
    </row>
    <row r="252" spans="2:16">
      <c r="B252" s="652"/>
      <c r="C252" s="484">
        <v>2.38</v>
      </c>
      <c r="D252" s="164"/>
      <c r="E252" s="164">
        <f t="shared" si="16"/>
        <v>-2.38</v>
      </c>
      <c r="F252" s="197">
        <f>SUM($E$2:E252)/SUM($C$2:C252)</f>
        <v>-5.9174697122665501E-2</v>
      </c>
      <c r="G252" s="164">
        <f t="shared" si="17"/>
        <v>-46.89003000000011</v>
      </c>
      <c r="H252" s="485" t="s">
        <v>126</v>
      </c>
      <c r="I252" s="2"/>
      <c r="J252" s="2"/>
      <c r="K252" s="2"/>
      <c r="O252" s="58"/>
      <c r="P252" s="58"/>
    </row>
    <row r="253" spans="2:16">
      <c r="B253" s="652"/>
      <c r="C253" s="402">
        <v>2.38</v>
      </c>
      <c r="D253" s="151">
        <v>1.73</v>
      </c>
      <c r="E253" s="151">
        <f t="shared" si="16"/>
        <v>1.7374000000000001</v>
      </c>
      <c r="F253" s="156">
        <f>SUM($E$2:E253)/SUM($C$2:C253)</f>
        <v>-5.6811482422809007E-2</v>
      </c>
      <c r="G253" s="151">
        <f t="shared" si="17"/>
        <v>-45.152630000000109</v>
      </c>
      <c r="H253" s="481" t="s">
        <v>127</v>
      </c>
      <c r="I253" s="2"/>
      <c r="J253" s="2"/>
      <c r="K253" s="2"/>
      <c r="O253" s="58"/>
      <c r="P253" s="58"/>
    </row>
    <row r="254" spans="2:16">
      <c r="B254" s="652"/>
      <c r="C254" s="402">
        <v>2.38</v>
      </c>
      <c r="D254" s="151">
        <v>1.714</v>
      </c>
      <c r="E254" s="151">
        <f t="shared" si="16"/>
        <v>1.6993200000000002</v>
      </c>
      <c r="F254" s="156">
        <f>SUM($E$2:E254)/SUM($C$2:C254)</f>
        <v>-5.4510148527271991E-2</v>
      </c>
      <c r="G254" s="151">
        <f t="shared" si="17"/>
        <v>-43.453310000000108</v>
      </c>
      <c r="H254" s="481" t="s">
        <v>128</v>
      </c>
      <c r="I254" s="2"/>
      <c r="J254" s="2"/>
      <c r="K254" s="2"/>
      <c r="O254" s="58"/>
      <c r="P254" s="58"/>
    </row>
    <row r="255" spans="2:16">
      <c r="B255" s="652"/>
      <c r="C255" s="402">
        <v>2.38</v>
      </c>
      <c r="D255" s="151"/>
      <c r="E255" s="151">
        <f t="shared" si="16"/>
        <v>-2.38</v>
      </c>
      <c r="F255" s="156">
        <f>SUM($E$2:E255)/SUM($C$2:C255)</f>
        <v>-5.7324599144508277E-2</v>
      </c>
      <c r="G255" s="151">
        <f t="shared" si="17"/>
        <v>-45.833310000000111</v>
      </c>
      <c r="H255" s="481" t="s">
        <v>129</v>
      </c>
      <c r="I255" s="2"/>
      <c r="J255" s="2"/>
      <c r="K255" s="2"/>
      <c r="O255" s="58"/>
      <c r="P255" s="58"/>
    </row>
    <row r="256" spans="2:16">
      <c r="B256" s="652"/>
      <c r="C256" s="402">
        <v>2.38</v>
      </c>
      <c r="D256" s="151">
        <v>1.73</v>
      </c>
      <c r="E256" s="151">
        <f t="shared" si="16"/>
        <v>1.7374000000000001</v>
      </c>
      <c r="F256" s="156">
        <f>SUM($E$2:E256)/SUM($C$2:C256)</f>
        <v>-5.498791650039922E-2</v>
      </c>
      <c r="G256" s="151">
        <f t="shared" si="17"/>
        <v>-44.09591000000011</v>
      </c>
      <c r="H256" s="481" t="s">
        <v>130</v>
      </c>
      <c r="I256" s="2"/>
      <c r="J256" s="2"/>
      <c r="K256" s="2"/>
      <c r="O256" s="58"/>
      <c r="P256" s="58"/>
    </row>
    <row r="257" spans="2:16">
      <c r="B257" s="652"/>
      <c r="C257" s="402">
        <v>2.38</v>
      </c>
      <c r="D257" s="151">
        <v>1.712</v>
      </c>
      <c r="E257" s="151">
        <f t="shared" si="16"/>
        <v>1.6945600000000001</v>
      </c>
      <c r="F257" s="156">
        <f>SUM($E$2:E257)/SUM($C$2:C257)</f>
        <v>-5.271832649508907E-2</v>
      </c>
      <c r="G257" s="151">
        <f t="shared" si="17"/>
        <v>-42.401350000000107</v>
      </c>
      <c r="H257" s="481" t="s">
        <v>121</v>
      </c>
      <c r="I257" s="2"/>
      <c r="J257" s="2"/>
      <c r="K257" s="2"/>
      <c r="O257" s="58"/>
      <c r="P257" s="58"/>
    </row>
    <row r="258" spans="2:16">
      <c r="B258" s="652"/>
      <c r="C258" s="488">
        <v>2.38</v>
      </c>
      <c r="D258" s="165">
        <v>1.712</v>
      </c>
      <c r="E258" s="165">
        <f t="shared" si="16"/>
        <v>1.6945600000000001</v>
      </c>
      <c r="F258" s="195">
        <f>SUM($E$2:E258)/SUM($C$2:C258)</f>
        <v>-5.046212872514521E-2</v>
      </c>
      <c r="G258" s="165">
        <f t="shared" si="17"/>
        <v>-40.706790000000105</v>
      </c>
      <c r="H258" s="393" t="s">
        <v>131</v>
      </c>
      <c r="I258" s="2">
        <f>SUM(E239:E258)</f>
        <v>17.783360000000002</v>
      </c>
      <c r="L258" s="2">
        <f>I258/C258</f>
        <v>7.4720000000000013</v>
      </c>
      <c r="O258" s="58"/>
      <c r="P258" s="58"/>
    </row>
    <row r="259" spans="2:16">
      <c r="B259" s="650">
        <v>45993</v>
      </c>
      <c r="C259" s="484">
        <v>3.66</v>
      </c>
      <c r="D259" s="164"/>
      <c r="E259" s="164">
        <f t="shared" ref="E259:E275" si="18">(C259*D259)-C259</f>
        <v>-3.66</v>
      </c>
      <c r="F259" s="197">
        <f>SUM($E$2:E259)/SUM($C$2:C259)</f>
        <v>-5.4750832983686035E-2</v>
      </c>
      <c r="G259" s="164">
        <f t="shared" ref="G259:G275" si="19">G258+E259</f>
        <v>-44.366790000000108</v>
      </c>
      <c r="H259" s="485" t="s">
        <v>11</v>
      </c>
      <c r="I259" s="2"/>
      <c r="J259" s="2"/>
      <c r="K259" s="2"/>
      <c r="O259" s="58"/>
      <c r="P259" s="58"/>
    </row>
    <row r="260" spans="2:16">
      <c r="B260" s="652"/>
      <c r="C260" s="402">
        <v>3.66</v>
      </c>
      <c r="D260" s="151">
        <v>1.798</v>
      </c>
      <c r="E260" s="151">
        <f t="shared" si="18"/>
        <v>2.9206799999999999</v>
      </c>
      <c r="F260" s="156">
        <f>SUM($E$2:E260)/SUM($C$2:C260)</f>
        <v>-5.0916597051597227E-2</v>
      </c>
      <c r="G260" s="151">
        <f t="shared" si="19"/>
        <v>-41.446110000000111</v>
      </c>
      <c r="H260" s="481" t="s">
        <v>52</v>
      </c>
      <c r="I260" s="2"/>
      <c r="J260" s="2"/>
      <c r="K260" s="2"/>
      <c r="O260" s="58"/>
      <c r="P260" s="58"/>
    </row>
    <row r="261" spans="2:16">
      <c r="B261" s="652"/>
      <c r="C261" s="402">
        <v>3.66</v>
      </c>
      <c r="D261" s="151">
        <v>1.9</v>
      </c>
      <c r="E261" s="151">
        <f t="shared" si="18"/>
        <v>3.2939999999999996</v>
      </c>
      <c r="F261" s="156">
        <f>SUM($E$2:E261)/SUM($C$2:C261)</f>
        <v>-4.66601154514103E-2</v>
      </c>
      <c r="G261" s="151">
        <f t="shared" si="19"/>
        <v>-38.152110000000114</v>
      </c>
      <c r="H261" s="481" t="s">
        <v>104</v>
      </c>
      <c r="I261" s="2"/>
      <c r="J261" s="2"/>
      <c r="K261" s="2"/>
      <c r="O261" s="58"/>
      <c r="P261" s="58"/>
    </row>
    <row r="262" spans="2:16">
      <c r="B262" s="652"/>
      <c r="C262" s="402">
        <v>3.66</v>
      </c>
      <c r="D262" s="151">
        <v>1.9</v>
      </c>
      <c r="E262" s="151">
        <f t="shared" si="18"/>
        <v>3.2939999999999996</v>
      </c>
      <c r="F262" s="156">
        <f>SUM($E$2:E262)/SUM($C$2:C262)</f>
        <v>-4.2441569668338952E-2</v>
      </c>
      <c r="G262" s="151">
        <f t="shared" si="19"/>
        <v>-34.858110000000117</v>
      </c>
      <c r="H262" s="481" t="s">
        <v>26</v>
      </c>
      <c r="I262" s="2"/>
      <c r="J262" s="2"/>
      <c r="K262" s="2"/>
      <c r="O262" s="58"/>
      <c r="P262" s="58"/>
    </row>
    <row r="263" spans="2:16">
      <c r="B263" s="652"/>
      <c r="C263" s="488">
        <v>3.66</v>
      </c>
      <c r="D263" s="165">
        <v>1.8069999999999999</v>
      </c>
      <c r="E263" s="165">
        <f t="shared" si="18"/>
        <v>2.9536199999999999</v>
      </c>
      <c r="F263" s="195">
        <f>SUM($E$2:E263)/SUM($C$2:C263)</f>
        <v>-3.867304661931216E-2</v>
      </c>
      <c r="G263" s="165">
        <f t="shared" si="19"/>
        <v>-31.904490000000116</v>
      </c>
      <c r="H263" s="393" t="s">
        <v>30</v>
      </c>
      <c r="I263" s="2"/>
      <c r="J263" s="2"/>
      <c r="K263" s="2"/>
      <c r="O263" s="58"/>
      <c r="P263" s="58"/>
    </row>
    <row r="264" spans="2:16">
      <c r="B264" s="652"/>
      <c r="C264" s="484">
        <v>3.66</v>
      </c>
      <c r="D264" s="164"/>
      <c r="E264" s="164">
        <f t="shared" si="18"/>
        <v>-3.66</v>
      </c>
      <c r="F264" s="197">
        <f>SUM($E$2:E264)/SUM($C$2:C264)</f>
        <v>-4.2919108418613822E-2</v>
      </c>
      <c r="G264" s="164">
        <f t="shared" si="19"/>
        <v>-35.56449000000012</v>
      </c>
      <c r="H264" s="485" t="s">
        <v>51</v>
      </c>
      <c r="I264" s="2"/>
      <c r="J264" s="2"/>
      <c r="K264" s="2"/>
      <c r="O264" s="58"/>
      <c r="P264" s="58"/>
    </row>
    <row r="265" spans="2:16">
      <c r="B265" s="652"/>
      <c r="C265" s="402">
        <v>3.66</v>
      </c>
      <c r="D265" s="151">
        <v>1.9</v>
      </c>
      <c r="E265" s="151">
        <f t="shared" si="18"/>
        <v>3.2939999999999996</v>
      </c>
      <c r="F265" s="156">
        <f>SUM($E$2:E265)/SUM($C$2:C265)</f>
        <v>-3.877266610597159E-2</v>
      </c>
      <c r="G265" s="151">
        <f t="shared" si="19"/>
        <v>-32.270490000000123</v>
      </c>
      <c r="H265" s="481" t="s">
        <v>25</v>
      </c>
      <c r="I265" s="2"/>
      <c r="J265" s="2"/>
      <c r="K265" s="2"/>
      <c r="O265" s="58"/>
      <c r="P265" s="58"/>
    </row>
    <row r="266" spans="2:16">
      <c r="B266" s="652"/>
      <c r="C266" s="402">
        <v>3.66</v>
      </c>
      <c r="D266" s="151">
        <v>1.9390000000000001</v>
      </c>
      <c r="E266" s="151">
        <f t="shared" si="18"/>
        <v>3.4367400000000004</v>
      </c>
      <c r="F266" s="156">
        <f>SUM($E$2:E266)/SUM($C$2:C266)</f>
        <v>-3.4491781903440537E-2</v>
      </c>
      <c r="G266" s="151">
        <f t="shared" si="19"/>
        <v>-28.833750000000123</v>
      </c>
      <c r="H266" s="481" t="s">
        <v>37</v>
      </c>
      <c r="I266" s="2"/>
      <c r="J266" s="2"/>
      <c r="K266" s="2"/>
      <c r="O266" s="58"/>
      <c r="P266" s="58"/>
    </row>
    <row r="267" spans="2:16">
      <c r="B267" s="652"/>
      <c r="C267" s="402">
        <v>3.66</v>
      </c>
      <c r="D267" s="151">
        <v>1.9</v>
      </c>
      <c r="E267" s="151">
        <f t="shared" si="18"/>
        <v>3.2939999999999996</v>
      </c>
      <c r="F267" s="156">
        <f>SUM($E$2:E267)/SUM($C$2:C267)</f>
        <v>-3.0418224911269564E-2</v>
      </c>
      <c r="G267" s="151">
        <f t="shared" si="19"/>
        <v>-25.539750000000122</v>
      </c>
      <c r="H267" s="481" t="s">
        <v>13</v>
      </c>
      <c r="I267" s="2"/>
      <c r="J267" s="2"/>
      <c r="K267" s="2"/>
      <c r="O267" s="58"/>
      <c r="P267" s="58"/>
    </row>
    <row r="268" spans="2:16">
      <c r="B268" s="652"/>
      <c r="C268" s="402">
        <v>3.66</v>
      </c>
      <c r="D268" s="151">
        <v>1.9390000000000001</v>
      </c>
      <c r="E268" s="151">
        <f t="shared" si="18"/>
        <v>3.4367400000000004</v>
      </c>
      <c r="F268" s="156">
        <f>SUM($E$2:E268)/SUM($C$2:C268)</f>
        <v>-2.6210760364291985E-2</v>
      </c>
      <c r="G268" s="151">
        <f t="shared" si="19"/>
        <v>-22.103010000000122</v>
      </c>
      <c r="H268" s="481" t="s">
        <v>12</v>
      </c>
      <c r="I268" s="2"/>
      <c r="J268" s="2"/>
      <c r="K268" s="2"/>
      <c r="O268" s="58"/>
      <c r="P268" s="58"/>
    </row>
    <row r="269" spans="2:16">
      <c r="B269" s="652"/>
      <c r="C269" s="488">
        <v>3.66</v>
      </c>
      <c r="D269" s="165">
        <v>1.798</v>
      </c>
      <c r="E269" s="165">
        <f t="shared" si="18"/>
        <v>2.9206799999999999</v>
      </c>
      <c r="F269" s="195">
        <f>SUM($E$2:E269)/SUM($C$2:C269)</f>
        <v>-2.2648983399060314E-2</v>
      </c>
      <c r="G269" s="165">
        <f t="shared" si="19"/>
        <v>-19.182330000000121</v>
      </c>
      <c r="H269" s="393" t="s">
        <v>27</v>
      </c>
      <c r="I269" s="2"/>
      <c r="J269" s="2"/>
      <c r="K269" s="2"/>
      <c r="O269" s="58"/>
      <c r="P269" s="58"/>
    </row>
    <row r="270" spans="2:16">
      <c r="B270" s="652"/>
      <c r="C270" s="484">
        <v>3.66</v>
      </c>
      <c r="D270" s="164"/>
      <c r="E270" s="164">
        <f t="shared" si="18"/>
        <v>-3.66</v>
      </c>
      <c r="F270" s="197">
        <f>SUM($E$2:E270)/SUM($C$2:C270)</f>
        <v>-2.6854373383494178E-2</v>
      </c>
      <c r="G270" s="164">
        <f t="shared" si="19"/>
        <v>-22.842330000000121</v>
      </c>
      <c r="H270" s="485" t="s">
        <v>132</v>
      </c>
      <c r="I270" s="2"/>
      <c r="J270" s="2"/>
      <c r="K270" s="2"/>
      <c r="O270" s="58"/>
      <c r="P270" s="58"/>
    </row>
    <row r="271" spans="2:16">
      <c r="B271" s="652"/>
      <c r="C271" s="402">
        <v>3.66</v>
      </c>
      <c r="D271" s="151">
        <v>1.714</v>
      </c>
      <c r="E271" s="151">
        <f t="shared" si="18"/>
        <v>2.6132400000000002</v>
      </c>
      <c r="F271" s="156">
        <f>SUM($E$2:E271)/SUM($C$2:C271)</f>
        <v>-2.3680249572729784E-2</v>
      </c>
      <c r="G271" s="151">
        <f t="shared" si="19"/>
        <v>-20.22909000000012</v>
      </c>
      <c r="H271" s="481" t="s">
        <v>133</v>
      </c>
      <c r="I271" s="2"/>
      <c r="J271" s="2"/>
      <c r="K271" s="2"/>
      <c r="O271" s="58"/>
      <c r="P271" s="58"/>
    </row>
    <row r="272" spans="2:16">
      <c r="B272" s="652"/>
      <c r="C272" s="402">
        <v>3.66</v>
      </c>
      <c r="D272" s="151">
        <v>1.712</v>
      </c>
      <c r="E272" s="151">
        <f t="shared" si="18"/>
        <v>2.6059200000000002</v>
      </c>
      <c r="F272" s="156">
        <f>SUM($E$2:E272)/SUM($C$2:C272)</f>
        <v>-2.0541740488623811E-2</v>
      </c>
      <c r="G272" s="151">
        <f t="shared" si="19"/>
        <v>-17.623170000000119</v>
      </c>
      <c r="H272" s="481" t="s">
        <v>134</v>
      </c>
      <c r="I272" s="2"/>
      <c r="J272" s="2"/>
      <c r="K272" s="2"/>
      <c r="O272" s="58"/>
      <c r="P272" s="58"/>
    </row>
    <row r="273" spans="2:16">
      <c r="B273" s="652"/>
      <c r="C273" s="402">
        <v>3.66</v>
      </c>
      <c r="D273" s="151">
        <v>1.712</v>
      </c>
      <c r="E273" s="151">
        <f t="shared" si="18"/>
        <v>2.6059200000000002</v>
      </c>
      <c r="F273" s="156">
        <f>SUM($E$2:E273)/SUM($C$2:C273)</f>
        <v>-1.7429896237145869E-2</v>
      </c>
      <c r="G273" s="151">
        <f t="shared" si="19"/>
        <v>-15.017250000000118</v>
      </c>
      <c r="H273" s="481" t="s">
        <v>135</v>
      </c>
      <c r="I273" s="2"/>
      <c r="J273" s="2"/>
      <c r="K273" s="2"/>
      <c r="O273" s="58"/>
      <c r="P273" s="58"/>
    </row>
    <row r="274" spans="2:16">
      <c r="B274" s="652"/>
      <c r="C274" s="402">
        <v>3.66</v>
      </c>
      <c r="D274" s="151">
        <v>1.714</v>
      </c>
      <c r="E274" s="151">
        <f t="shared" si="18"/>
        <v>2.6132400000000002</v>
      </c>
      <c r="F274" s="156">
        <f>SUM($E$2:E274)/SUM($C$2:C274)</f>
        <v>-1.4335918357912409E-2</v>
      </c>
      <c r="G274" s="151">
        <f t="shared" si="19"/>
        <v>-12.404010000000117</v>
      </c>
      <c r="H274" s="481" t="s">
        <v>78</v>
      </c>
      <c r="I274" s="2"/>
      <c r="J274" s="2"/>
      <c r="K274" s="2"/>
      <c r="O274" s="58"/>
      <c r="P274" s="58"/>
    </row>
    <row r="275" spans="2:16">
      <c r="B275" s="652"/>
      <c r="C275" s="491">
        <v>3.66</v>
      </c>
      <c r="D275" s="257">
        <v>1.726</v>
      </c>
      <c r="E275" s="257">
        <f t="shared" si="18"/>
        <v>2.6571600000000002</v>
      </c>
      <c r="F275" s="256">
        <f>SUM($E$2:E275)/SUM($C$2:C275)</f>
        <v>-1.1217458856025007E-2</v>
      </c>
      <c r="G275" s="257">
        <f t="shared" si="19"/>
        <v>-9.7468500000001157</v>
      </c>
      <c r="H275" s="492" t="s">
        <v>136</v>
      </c>
      <c r="I275" s="2">
        <f>SUM(E259:E275)</f>
        <v>30.959940000000007</v>
      </c>
      <c r="L275" s="2">
        <f>I275/C275</f>
        <v>8.4590000000000014</v>
      </c>
      <c r="O275" s="58"/>
      <c r="P275" s="58"/>
    </row>
    <row r="276" spans="2:16">
      <c r="B276" s="650">
        <v>45994</v>
      </c>
      <c r="C276" s="484">
        <v>2.56</v>
      </c>
      <c r="D276" s="164">
        <v>1.798</v>
      </c>
      <c r="E276" s="164">
        <f t="shared" ref="E276:E293" si="20">(C276*D276)-C276</f>
        <v>2.0428799999999998</v>
      </c>
      <c r="F276" s="197">
        <f>SUM($E$2:E276)/SUM($C$2:C276)</f>
        <v>-8.8403024808942771E-3</v>
      </c>
      <c r="G276" s="164">
        <f t="shared" ref="G276:G284" si="21">G275+E276</f>
        <v>-7.7039700000001154</v>
      </c>
      <c r="H276" s="485" t="s">
        <v>52</v>
      </c>
      <c r="I276" s="2"/>
      <c r="J276" s="2"/>
      <c r="K276" s="2"/>
      <c r="O276" s="58"/>
      <c r="P276" s="58"/>
    </row>
    <row r="277" spans="2:16">
      <c r="B277" s="652"/>
      <c r="C277" s="402">
        <v>2.56</v>
      </c>
      <c r="D277" s="151">
        <v>1.9</v>
      </c>
      <c r="E277" s="151">
        <f t="shared" si="20"/>
        <v>2.3039999999999998</v>
      </c>
      <c r="F277" s="156">
        <f>SUM($E$2:E277)/SUM($C$2:C277)</f>
        <v>-6.1783139973915048E-3</v>
      </c>
      <c r="G277" s="151">
        <f t="shared" si="21"/>
        <v>-5.3999700000001152</v>
      </c>
      <c r="H277" s="481" t="s">
        <v>12</v>
      </c>
      <c r="I277" s="2"/>
      <c r="J277" s="2"/>
      <c r="K277" s="2"/>
      <c r="O277" s="58"/>
      <c r="P277" s="58"/>
    </row>
    <row r="278" spans="2:16">
      <c r="B278" s="652"/>
      <c r="C278" s="402">
        <v>2.56</v>
      </c>
      <c r="D278" s="151">
        <v>1.9</v>
      </c>
      <c r="E278" s="151">
        <f t="shared" si="20"/>
        <v>2.3039999999999998</v>
      </c>
      <c r="F278" s="156">
        <f>SUM($E$2:E278)/SUM($C$2:C278)</f>
        <v>-3.5318738734629127E-3</v>
      </c>
      <c r="G278" s="151">
        <f t="shared" si="21"/>
        <v>-3.0959700000001154</v>
      </c>
      <c r="H278" s="481" t="s">
        <v>18</v>
      </c>
      <c r="I278" s="2"/>
      <c r="J278" s="2"/>
      <c r="K278" s="2"/>
      <c r="O278" s="58"/>
      <c r="P278" s="58"/>
    </row>
    <row r="279" spans="2:16">
      <c r="B279" s="652"/>
      <c r="C279" s="402">
        <v>2.56</v>
      </c>
      <c r="D279" s="151"/>
      <c r="E279" s="151">
        <f t="shared" si="20"/>
        <v>-2.56</v>
      </c>
      <c r="F279" s="156">
        <f>SUM($E$2:E279)/SUM($C$2:C279)</f>
        <v>-6.4335259458108201E-3</v>
      </c>
      <c r="G279" s="151">
        <f t="shared" si="21"/>
        <v>-5.6559700000001154</v>
      </c>
      <c r="H279" s="481" t="s">
        <v>15</v>
      </c>
      <c r="I279" s="2"/>
      <c r="J279" s="2"/>
      <c r="K279" s="2"/>
      <c r="O279" s="58"/>
      <c r="P279" s="58"/>
    </row>
    <row r="280" spans="2:16">
      <c r="B280" s="652"/>
      <c r="C280" s="402">
        <v>2.56</v>
      </c>
      <c r="D280" s="151">
        <v>1.8620000000000001</v>
      </c>
      <c r="E280" s="151">
        <f t="shared" si="20"/>
        <v>2.2067200000000002</v>
      </c>
      <c r="F280" s="156">
        <f>SUM($E$2:E280)/SUM($C$2:C280)</f>
        <v>-3.9120449132359313E-3</v>
      </c>
      <c r="G280" s="151">
        <f t="shared" si="21"/>
        <v>-3.4492500000001152</v>
      </c>
      <c r="H280" s="481" t="s">
        <v>28</v>
      </c>
      <c r="I280" s="2"/>
      <c r="J280" s="2"/>
      <c r="K280" s="2"/>
      <c r="O280" s="58"/>
      <c r="P280" s="58"/>
    </row>
    <row r="281" spans="2:16">
      <c r="B281" s="652"/>
      <c r="C281" s="402">
        <v>2.56</v>
      </c>
      <c r="D281" s="151"/>
      <c r="E281" s="151">
        <f t="shared" si="20"/>
        <v>-2.56</v>
      </c>
      <c r="F281" s="156">
        <f>SUM($E$2:E281)/SUM($C$2:C281)</f>
        <v>-6.7957953543076981E-3</v>
      </c>
      <c r="G281" s="151">
        <f t="shared" si="21"/>
        <v>-6.0092500000001152</v>
      </c>
      <c r="H281" s="481" t="s">
        <v>38</v>
      </c>
      <c r="I281" s="2"/>
      <c r="J281" s="2"/>
      <c r="K281" s="2"/>
      <c r="O281" s="58"/>
      <c r="P281" s="58"/>
    </row>
    <row r="282" spans="2:16">
      <c r="B282" s="652"/>
      <c r="C282" s="403">
        <v>2.56</v>
      </c>
      <c r="D282" s="152"/>
      <c r="E282" s="152">
        <f t="shared" si="20"/>
        <v>-2.56</v>
      </c>
      <c r="F282" s="192">
        <f>SUM($E$2:E282)/SUM($C$2:C282)</f>
        <v>-9.6628966419342495E-3</v>
      </c>
      <c r="G282" s="152">
        <f t="shared" si="21"/>
        <v>-8.5692500000001157</v>
      </c>
      <c r="H282" s="394" t="s">
        <v>16</v>
      </c>
      <c r="I282" s="2"/>
      <c r="J282" s="2"/>
      <c r="K282" s="2"/>
      <c r="O282" s="58"/>
      <c r="P282" s="58"/>
    </row>
    <row r="283" spans="2:16">
      <c r="B283" s="654"/>
      <c r="C283" s="493">
        <v>2.56</v>
      </c>
      <c r="D283" s="163">
        <v>1.8620000000000001</v>
      </c>
      <c r="E283" s="163">
        <f t="shared" si="20"/>
        <v>2.2067200000000002</v>
      </c>
      <c r="F283" s="193">
        <f>SUM($E$2:E283)/SUM($C$2:C283)</f>
        <v>-7.1538937237177885E-3</v>
      </c>
      <c r="G283" s="163">
        <f t="shared" si="21"/>
        <v>-6.362530000000115</v>
      </c>
      <c r="H283" s="482" t="s">
        <v>60</v>
      </c>
      <c r="I283" s="2"/>
      <c r="J283" s="2"/>
      <c r="K283" s="2"/>
      <c r="O283" s="58"/>
      <c r="P283" s="58"/>
    </row>
    <row r="284" spans="2:16">
      <c r="B284" s="654"/>
      <c r="C284" s="480">
        <v>2.56</v>
      </c>
      <c r="D284" s="151"/>
      <c r="E284" s="151">
        <f t="shared" si="20"/>
        <v>-2.56</v>
      </c>
      <c r="F284" s="156">
        <f>SUM($E$2:E284)/SUM($C$2:C284)</f>
        <v>-1.000350920465517E-2</v>
      </c>
      <c r="G284" s="151">
        <f t="shared" si="21"/>
        <v>-8.9225300000001155</v>
      </c>
      <c r="H284" s="481" t="s">
        <v>14</v>
      </c>
      <c r="I284" s="2"/>
      <c r="J284" s="2"/>
      <c r="K284" s="2"/>
      <c r="O284" s="58"/>
      <c r="P284" s="58"/>
    </row>
    <row r="285" spans="2:16">
      <c r="B285" s="654"/>
      <c r="C285" s="480">
        <v>2.56</v>
      </c>
      <c r="D285" s="151"/>
      <c r="E285" s="151">
        <f t="shared" si="20"/>
        <v>-2.56</v>
      </c>
      <c r="F285" s="156">
        <f>SUM($E$2:E285)/SUM($C$2:C285)</f>
        <v>-1.2836813862493168E-2</v>
      </c>
      <c r="G285" s="151">
        <f>G284+E285</f>
        <v>-11.482530000000116</v>
      </c>
      <c r="H285" s="481" t="s">
        <v>29</v>
      </c>
      <c r="I285" s="2"/>
      <c r="J285" s="2"/>
      <c r="K285" s="2"/>
      <c r="O285" s="58"/>
      <c r="P285" s="58"/>
    </row>
    <row r="286" spans="2:16">
      <c r="B286" s="654"/>
      <c r="C286" s="483">
        <v>2.56</v>
      </c>
      <c r="D286" s="165"/>
      <c r="E286" s="165">
        <f t="shared" si="20"/>
        <v>-2.56</v>
      </c>
      <c r="F286" s="195">
        <f>SUM($E$2:E286)/SUM($C$2:C286)</f>
        <v>-1.5653947339085619E-2</v>
      </c>
      <c r="G286" s="165">
        <f t="shared" ref="G286:G293" si="22">G285+E286</f>
        <v>-14.042530000000117</v>
      </c>
      <c r="H286" s="393" t="s">
        <v>34</v>
      </c>
      <c r="I286" s="2"/>
      <c r="J286" s="2"/>
      <c r="K286" s="2"/>
      <c r="O286" s="58"/>
      <c r="P286" s="58"/>
    </row>
    <row r="287" spans="2:16">
      <c r="B287" s="652"/>
      <c r="C287" s="484">
        <v>2.56</v>
      </c>
      <c r="D287" s="164"/>
      <c r="E287" s="164">
        <f t="shared" si="20"/>
        <v>-2.56</v>
      </c>
      <c r="F287" s="197">
        <f>SUM($E$2:E287)/SUM($C$2:C287)</f>
        <v>-1.845504768680126E-2</v>
      </c>
      <c r="G287" s="164">
        <f t="shared" si="22"/>
        <v>-16.602530000000115</v>
      </c>
      <c r="H287" s="485" t="s">
        <v>137</v>
      </c>
      <c r="I287" s="2"/>
      <c r="J287" s="2"/>
      <c r="K287" s="2"/>
      <c r="O287" s="58"/>
      <c r="P287" s="58"/>
    </row>
    <row r="288" spans="2:16">
      <c r="B288" s="652"/>
      <c r="C288" s="402">
        <v>2.56</v>
      </c>
      <c r="D288" s="151">
        <v>1.712</v>
      </c>
      <c r="E288" s="151">
        <f t="shared" si="20"/>
        <v>1.8227199999999999</v>
      </c>
      <c r="F288" s="156">
        <f>SUM($E$2:E288)/SUM($C$2:C288)</f>
        <v>-1.6382329468620616E-2</v>
      </c>
      <c r="G288" s="151">
        <f t="shared" si="22"/>
        <v>-14.779810000000115</v>
      </c>
      <c r="H288" s="481" t="s">
        <v>138</v>
      </c>
      <c r="I288" s="2"/>
      <c r="J288" s="2"/>
      <c r="K288" s="2"/>
      <c r="O288" s="58"/>
      <c r="P288" s="58"/>
    </row>
    <row r="289" spans="1:16">
      <c r="B289" s="652"/>
      <c r="C289" s="402">
        <v>2.56</v>
      </c>
      <c r="D289" s="151"/>
      <c r="E289" s="151">
        <f t="shared" si="20"/>
        <v>-2.56</v>
      </c>
      <c r="F289" s="156">
        <f>SUM($E$2:E289)/SUM($C$2:C289)</f>
        <v>-1.9165517165152586E-2</v>
      </c>
      <c r="G289" s="151">
        <f t="shared" si="22"/>
        <v>-17.339810000000114</v>
      </c>
      <c r="H289" s="481" t="s">
        <v>139</v>
      </c>
      <c r="I289" s="2"/>
      <c r="J289" s="2"/>
      <c r="K289" s="2"/>
      <c r="O289" s="58"/>
      <c r="P289" s="58"/>
    </row>
    <row r="290" spans="1:16">
      <c r="B290" s="652"/>
      <c r="C290" s="402">
        <v>2.56</v>
      </c>
      <c r="D290" s="151"/>
      <c r="E290" s="151">
        <f t="shared" si="20"/>
        <v>-2.56</v>
      </c>
      <c r="F290" s="156">
        <f>SUM($E$2:E290)/SUM($C$2:C290)</f>
        <v>-2.193299900804602E-2</v>
      </c>
      <c r="G290" s="151">
        <f t="shared" si="22"/>
        <v>-19.899810000000112</v>
      </c>
      <c r="H290" s="481" t="s">
        <v>140</v>
      </c>
      <c r="I290" s="2"/>
      <c r="J290" s="2"/>
      <c r="K290" s="2"/>
      <c r="O290" s="58"/>
      <c r="P290" s="58"/>
    </row>
    <row r="291" spans="1:16">
      <c r="B291" s="652"/>
      <c r="C291" s="402">
        <v>2.56</v>
      </c>
      <c r="D291" s="151"/>
      <c r="E291" s="151">
        <f t="shared" si="20"/>
        <v>-2.56</v>
      </c>
      <c r="F291" s="156">
        <f>SUM($E$2:E291)/SUM($C$2:C291)</f>
        <v>-2.4684907568197481E-2</v>
      </c>
      <c r="G291" s="151">
        <f t="shared" si="22"/>
        <v>-22.459810000000111</v>
      </c>
      <c r="H291" s="481" t="s">
        <v>141</v>
      </c>
      <c r="I291" s="2"/>
      <c r="J291" s="2"/>
      <c r="K291" s="2"/>
      <c r="O291" s="58"/>
      <c r="P291" s="58"/>
    </row>
    <row r="292" spans="1:16">
      <c r="B292" s="652"/>
      <c r="C292" s="402">
        <v>2.56</v>
      </c>
      <c r="D292" s="151"/>
      <c r="E292" s="151">
        <f t="shared" si="20"/>
        <v>-2.56</v>
      </c>
      <c r="F292" s="156">
        <f>SUM($E$2:E292)/SUM($C$2:C292)</f>
        <v>-2.742137392867338E-2</v>
      </c>
      <c r="G292" s="151">
        <f t="shared" si="22"/>
        <v>-25.01981000000011</v>
      </c>
      <c r="H292" s="481" t="s">
        <v>142</v>
      </c>
      <c r="I292" s="2"/>
      <c r="J292" s="2"/>
      <c r="K292" s="2"/>
      <c r="O292" s="58"/>
      <c r="P292" s="58"/>
    </row>
    <row r="293" spans="1:16">
      <c r="B293" s="652"/>
      <c r="C293" s="491">
        <v>2.56</v>
      </c>
      <c r="D293" s="257"/>
      <c r="E293" s="257">
        <f t="shared" si="20"/>
        <v>-2.56</v>
      </c>
      <c r="F293" s="256">
        <f>SUM($E$2:E293)/SUM($C$2:C293)</f>
        <v>-3.0142527705523808E-2</v>
      </c>
      <c r="G293" s="257">
        <f t="shared" si="22"/>
        <v>-27.579810000000109</v>
      </c>
      <c r="H293" s="492" t="s">
        <v>143</v>
      </c>
      <c r="I293" s="2">
        <f>SUM(E276:E293)</f>
        <v>-17.832960000000003</v>
      </c>
      <c r="L293" s="2">
        <f>I293/C293</f>
        <v>-6.9660000000000011</v>
      </c>
      <c r="O293" s="58"/>
      <c r="P293" s="58"/>
    </row>
    <row r="294" spans="1:16">
      <c r="B294" s="650">
        <v>45995</v>
      </c>
      <c r="C294" s="484">
        <v>4.4800000000000004</v>
      </c>
      <c r="D294" s="164"/>
      <c r="E294" s="164">
        <f t="shared" ref="E294:E306" si="23">(C294*D294)-C294</f>
        <v>-4.4800000000000004</v>
      </c>
      <c r="F294" s="197">
        <f>SUM($E$2:E294)/SUM($C$2:C294)</f>
        <v>-3.4868085615470154E-2</v>
      </c>
      <c r="G294" s="164">
        <f t="shared" ref="G294:G306" si="24">G293+E294</f>
        <v>-32.059810000000112</v>
      </c>
      <c r="H294" s="485" t="s">
        <v>27</v>
      </c>
      <c r="I294" s="2"/>
      <c r="J294" s="2"/>
      <c r="K294" s="2"/>
      <c r="O294" s="58"/>
      <c r="P294" s="58"/>
    </row>
    <row r="295" spans="1:16">
      <c r="B295" s="652"/>
      <c r="C295" s="402">
        <v>4.4800000000000004</v>
      </c>
      <c r="D295" s="151">
        <v>1.768</v>
      </c>
      <c r="E295" s="151">
        <f t="shared" si="23"/>
        <v>3.4406400000000001</v>
      </c>
      <c r="F295" s="156">
        <f>SUM($E$2:E295)/SUM($C$2:C295)</f>
        <v>-3.0975139078295317E-2</v>
      </c>
      <c r="G295" s="151">
        <f t="shared" si="24"/>
        <v>-28.619170000000111</v>
      </c>
      <c r="H295" s="481" t="s">
        <v>37</v>
      </c>
      <c r="I295" s="2"/>
      <c r="J295" s="2"/>
      <c r="K295" s="2"/>
      <c r="O295" s="58"/>
      <c r="P295" s="58"/>
    </row>
    <row r="296" spans="1:16">
      <c r="A296" s="494"/>
      <c r="B296" s="652"/>
      <c r="C296" s="488">
        <v>4.4800000000000004</v>
      </c>
      <c r="D296" s="165">
        <v>1.9</v>
      </c>
      <c r="E296" s="165">
        <f t="shared" si="23"/>
        <v>4.032</v>
      </c>
      <c r="F296" s="195">
        <f>SUM($E$2:E296)/SUM($C$2:C296)</f>
        <v>-2.6482809504319346E-2</v>
      </c>
      <c r="G296" s="165">
        <f t="shared" si="24"/>
        <v>-24.587170000000111</v>
      </c>
      <c r="H296" s="393" t="s">
        <v>10</v>
      </c>
      <c r="I296" s="2"/>
      <c r="J296" s="2"/>
      <c r="K296" s="2"/>
      <c r="O296" s="58"/>
      <c r="P296" s="58"/>
    </row>
    <row r="297" spans="1:16">
      <c r="B297" s="652"/>
      <c r="C297" s="484">
        <v>4.4800000000000004</v>
      </c>
      <c r="D297" s="164"/>
      <c r="E297" s="164">
        <f t="shared" si="23"/>
        <v>-4.4800000000000004</v>
      </c>
      <c r="F297" s="197">
        <f>SUM($E$2:E297)/SUM($C$2:C297)</f>
        <v>-3.115786257905475E-2</v>
      </c>
      <c r="G297" s="164">
        <f t="shared" si="24"/>
        <v>-29.067170000000111</v>
      </c>
      <c r="H297" s="485" t="s">
        <v>51</v>
      </c>
      <c r="I297" s="2"/>
      <c r="J297" s="2"/>
      <c r="K297" s="2"/>
      <c r="O297" s="58"/>
      <c r="P297" s="58"/>
    </row>
    <row r="298" spans="1:16">
      <c r="A298" s="495"/>
      <c r="B298" s="652"/>
      <c r="C298" s="402">
        <v>4.4800000000000004</v>
      </c>
      <c r="D298" s="151"/>
      <c r="E298" s="151">
        <f t="shared" si="23"/>
        <v>-4.4800000000000004</v>
      </c>
      <c r="F298" s="156">
        <f>SUM($E$2:E298)/SUM($C$2:C298)</f>
        <v>-3.5788228893298538E-2</v>
      </c>
      <c r="G298" s="151">
        <f t="shared" si="24"/>
        <v>-33.547170000000108</v>
      </c>
      <c r="H298" s="481" t="s">
        <v>11</v>
      </c>
      <c r="I298" s="2"/>
      <c r="J298" s="2"/>
      <c r="K298" s="2"/>
      <c r="O298" s="58"/>
      <c r="P298" s="58"/>
    </row>
    <row r="299" spans="1:16">
      <c r="B299" s="652"/>
      <c r="C299" s="402">
        <v>4.4800000000000004</v>
      </c>
      <c r="D299" s="151"/>
      <c r="E299" s="151">
        <f t="shared" si="23"/>
        <v>-4.4800000000000004</v>
      </c>
      <c r="F299" s="156">
        <f>SUM($E$2:E299)/SUM($C$2:C299)</f>
        <v>-4.0374546110887172E-2</v>
      </c>
      <c r="G299" s="151">
        <f t="shared" si="24"/>
        <v>-38.027170000000112</v>
      </c>
      <c r="H299" s="481" t="s">
        <v>28</v>
      </c>
      <c r="I299" s="2"/>
      <c r="J299" s="2"/>
      <c r="K299" s="2"/>
      <c r="O299" s="58"/>
      <c r="P299" s="58"/>
    </row>
    <row r="300" spans="1:16">
      <c r="B300" s="652"/>
      <c r="C300" s="402">
        <v>4.4800000000000004</v>
      </c>
      <c r="D300" s="151">
        <v>1.9</v>
      </c>
      <c r="E300" s="151">
        <f t="shared" si="23"/>
        <v>4.032</v>
      </c>
      <c r="F300" s="156">
        <f>SUM($E$2:E300)/SUM($C$2:C300)</f>
        <v>-3.592278673626835E-2</v>
      </c>
      <c r="G300" s="151">
        <f t="shared" si="24"/>
        <v>-33.995170000000115</v>
      </c>
      <c r="H300" s="481" t="s">
        <v>25</v>
      </c>
      <c r="I300" s="2"/>
      <c r="J300" s="2"/>
      <c r="K300" s="2"/>
      <c r="O300" s="58"/>
      <c r="P300" s="58"/>
    </row>
    <row r="301" spans="1:16">
      <c r="B301" s="652"/>
      <c r="C301" s="488">
        <v>4.4800000000000004</v>
      </c>
      <c r="D301" s="165">
        <v>1.9</v>
      </c>
      <c r="E301" s="165">
        <f t="shared" si="23"/>
        <v>4.032</v>
      </c>
      <c r="F301" s="195">
        <f>SUM($E$2:E301)/SUM($C$2:C301)</f>
        <v>-3.1512978271386993E-2</v>
      </c>
      <c r="G301" s="165">
        <f t="shared" si="24"/>
        <v>-29.963170000000115</v>
      </c>
      <c r="H301" s="393" t="s">
        <v>13</v>
      </c>
      <c r="I301" s="2"/>
      <c r="J301" s="2"/>
      <c r="K301" s="2"/>
      <c r="O301" s="58"/>
      <c r="P301" s="58"/>
    </row>
    <row r="302" spans="1:16">
      <c r="B302" s="652"/>
      <c r="C302" s="484">
        <v>4.4800000000000004</v>
      </c>
      <c r="D302" s="164"/>
      <c r="E302" s="164">
        <f t="shared" si="23"/>
        <v>-4.4800000000000004</v>
      </c>
      <c r="F302" s="197">
        <f>SUM($E$2:E302)/SUM($C$2:C302)</f>
        <v>-3.6054820475243575E-2</v>
      </c>
      <c r="G302" s="164">
        <f t="shared" si="24"/>
        <v>-34.443170000000116</v>
      </c>
      <c r="H302" s="485" t="s">
        <v>144</v>
      </c>
      <c r="I302" s="2"/>
      <c r="J302" s="2"/>
      <c r="K302" s="2"/>
      <c r="O302" s="58"/>
      <c r="P302" s="58"/>
    </row>
    <row r="303" spans="1:16">
      <c r="B303" s="652"/>
      <c r="C303" s="402">
        <v>4.4800000000000004</v>
      </c>
      <c r="D303" s="151">
        <v>1.74</v>
      </c>
      <c r="E303" s="151">
        <f t="shared" si="23"/>
        <v>3.3151999999999999</v>
      </c>
      <c r="F303" s="156">
        <f>SUM($E$2:E303)/SUM($C$2:C303)</f>
        <v>-3.2432401175269521E-2</v>
      </c>
      <c r="G303" s="151">
        <f t="shared" si="24"/>
        <v>-31.127970000000115</v>
      </c>
      <c r="H303" s="481" t="s">
        <v>145</v>
      </c>
      <c r="I303" s="2"/>
      <c r="J303" s="2"/>
      <c r="K303" s="2"/>
      <c r="O303" s="58"/>
      <c r="P303" s="58"/>
    </row>
    <row r="304" spans="1:16">
      <c r="A304" s="494"/>
      <c r="B304" s="652"/>
      <c r="C304" s="402">
        <v>4.4800000000000004</v>
      </c>
      <c r="D304" s="151">
        <v>1.752</v>
      </c>
      <c r="E304" s="151">
        <f t="shared" si="23"/>
        <v>3.3689600000000004</v>
      </c>
      <c r="F304" s="156">
        <f>SUM($E$2:E304)/SUM($C$2:C304)</f>
        <v>-2.8787889158525884E-2</v>
      </c>
      <c r="G304" s="151">
        <f t="shared" si="24"/>
        <v>-27.759010000000114</v>
      </c>
      <c r="H304" s="481" t="s">
        <v>146</v>
      </c>
      <c r="I304" s="2"/>
      <c r="J304" s="2"/>
      <c r="K304" s="2"/>
      <c r="O304" s="58"/>
      <c r="P304" s="58"/>
    </row>
    <row r="305" spans="2:16">
      <c r="B305" s="652"/>
      <c r="C305" s="402">
        <v>4.4800000000000004</v>
      </c>
      <c r="D305" s="151">
        <v>1.744</v>
      </c>
      <c r="E305" s="151">
        <f t="shared" si="23"/>
        <v>3.3331200000000001</v>
      </c>
      <c r="F305" s="156">
        <f>SUM($E$2:E305)/SUM($C$2:C305)</f>
        <v>-2.5214082209881042E-2</v>
      </c>
      <c r="G305" s="151">
        <f t="shared" si="24"/>
        <v>-24.425890000000113</v>
      </c>
      <c r="H305" s="481" t="s">
        <v>147</v>
      </c>
      <c r="I305" s="2"/>
      <c r="J305" s="2"/>
      <c r="K305" s="2"/>
      <c r="O305" s="58"/>
      <c r="P305" s="58"/>
    </row>
    <row r="306" spans="2:16">
      <c r="B306" s="652"/>
      <c r="C306" s="491">
        <v>4.4800000000000004</v>
      </c>
      <c r="D306" s="257">
        <v>1.744</v>
      </c>
      <c r="E306" s="257">
        <f t="shared" si="23"/>
        <v>3.3331200000000001</v>
      </c>
      <c r="F306" s="256">
        <f>SUM($E$2:E306)/SUM($C$2:C306)</f>
        <v>-2.1673177698773301E-2</v>
      </c>
      <c r="G306" s="257">
        <f t="shared" si="24"/>
        <v>-21.092770000000112</v>
      </c>
      <c r="H306" s="492" t="s">
        <v>135</v>
      </c>
      <c r="I306" s="2">
        <f>SUM(E294:E306)</f>
        <v>6.4870399999999986</v>
      </c>
      <c r="L306" s="2">
        <f>I306/C306</f>
        <v>1.4479999999999995</v>
      </c>
      <c r="O306" s="58"/>
      <c r="P306" s="58"/>
    </row>
    <row r="307" spans="2:16">
      <c r="B307" s="650">
        <v>45996</v>
      </c>
      <c r="C307" s="484">
        <v>1.89</v>
      </c>
      <c r="D307" s="164"/>
      <c r="E307" s="164">
        <f t="shared" ref="E307:E329" si="25">(C307*D307)-C307</f>
        <v>-1.89</v>
      </c>
      <c r="F307" s="197">
        <f>SUM($E$2:E307)/SUM($C$2:C307)</f>
        <v>-2.3569412681646335E-2</v>
      </c>
      <c r="G307" s="164">
        <f t="shared" ref="G307:G329" si="26">G306+E307</f>
        <v>-22.982770000000112</v>
      </c>
      <c r="H307" s="485" t="s">
        <v>10</v>
      </c>
      <c r="I307" s="2"/>
      <c r="J307" s="2"/>
      <c r="K307" s="2"/>
      <c r="O307" s="58"/>
      <c r="P307" s="58"/>
    </row>
    <row r="308" spans="2:16">
      <c r="B308" s="652"/>
      <c r="C308" s="402">
        <v>1.89</v>
      </c>
      <c r="D308" s="151"/>
      <c r="E308" s="151">
        <f t="shared" si="25"/>
        <v>-1.89</v>
      </c>
      <c r="F308" s="156">
        <f>SUM($E$2:E308)/SUM($C$2:C308)</f>
        <v>-2.545831115660201E-2</v>
      </c>
      <c r="G308" s="151">
        <f t="shared" si="26"/>
        <v>-24.872770000000113</v>
      </c>
      <c r="H308" s="481" t="s">
        <v>12</v>
      </c>
      <c r="I308" s="2"/>
      <c r="J308" s="2"/>
      <c r="K308" s="2"/>
      <c r="O308" s="58"/>
      <c r="P308" s="58"/>
    </row>
    <row r="309" spans="2:16">
      <c r="B309" s="652"/>
      <c r="C309" s="402">
        <v>1.89</v>
      </c>
      <c r="D309" s="151">
        <v>1.8620000000000001</v>
      </c>
      <c r="E309" s="151">
        <f t="shared" si="25"/>
        <v>1.6291800000000001</v>
      </c>
      <c r="F309" s="156">
        <f>SUM($E$2:E309)/SUM($C$2:C309)</f>
        <v>-2.3744843649439833E-2</v>
      </c>
      <c r="G309" s="151">
        <f t="shared" si="26"/>
        <v>-23.243590000000111</v>
      </c>
      <c r="H309" s="481" t="s">
        <v>52</v>
      </c>
      <c r="I309" s="2"/>
      <c r="J309" s="2"/>
      <c r="K309" s="2"/>
      <c r="O309" s="58"/>
      <c r="P309" s="58"/>
    </row>
    <row r="310" spans="2:16">
      <c r="B310" s="652"/>
      <c r="C310" s="402">
        <v>1.89</v>
      </c>
      <c r="D310" s="151">
        <v>1.8</v>
      </c>
      <c r="E310" s="151">
        <f t="shared" si="25"/>
        <v>1.5119999999999998</v>
      </c>
      <c r="F310" s="156">
        <f>SUM($E$2:E310)/SUM($C$2:C310)</f>
        <v>-2.2157456310283808E-2</v>
      </c>
      <c r="G310" s="151">
        <f t="shared" si="26"/>
        <v>-21.731590000000111</v>
      </c>
      <c r="H310" s="481" t="s">
        <v>47</v>
      </c>
      <c r="I310" s="2"/>
      <c r="J310" s="2"/>
      <c r="K310" s="2"/>
      <c r="O310" s="58"/>
      <c r="P310" s="58"/>
    </row>
    <row r="311" spans="2:16">
      <c r="B311" s="652"/>
      <c r="C311" s="402">
        <v>1.89</v>
      </c>
      <c r="D311" s="151"/>
      <c r="E311" s="151">
        <f t="shared" si="25"/>
        <v>-1.89</v>
      </c>
      <c r="F311" s="156">
        <f>SUM($E$2:E311)/SUM($C$2:C311)</f>
        <v>-2.4038171512308464E-2</v>
      </c>
      <c r="G311" s="151">
        <f t="shared" si="26"/>
        <v>-23.621590000000111</v>
      </c>
      <c r="H311" s="481" t="s">
        <v>15</v>
      </c>
      <c r="I311" s="2"/>
      <c r="J311" s="2"/>
      <c r="K311" s="2"/>
      <c r="O311" s="58"/>
      <c r="P311" s="58"/>
    </row>
    <row r="312" spans="2:16">
      <c r="B312" s="652"/>
      <c r="C312" s="402">
        <v>1.89</v>
      </c>
      <c r="D312" s="151"/>
      <c r="E312" s="151">
        <f t="shared" si="25"/>
        <v>-1.89</v>
      </c>
      <c r="F312" s="156">
        <f>SUM($E$2:E312)/SUM($C$2:C312)</f>
        <v>-2.5911666124969694E-2</v>
      </c>
      <c r="G312" s="151">
        <f t="shared" si="26"/>
        <v>-25.511590000000112</v>
      </c>
      <c r="H312" s="481" t="s">
        <v>36</v>
      </c>
      <c r="I312" s="2"/>
      <c r="J312" s="2"/>
      <c r="K312" s="2"/>
      <c r="O312" s="58"/>
      <c r="P312" s="58"/>
    </row>
    <row r="313" spans="2:16">
      <c r="B313" s="652"/>
      <c r="C313" s="402">
        <v>1.89</v>
      </c>
      <c r="D313" s="151"/>
      <c r="E313" s="151">
        <f t="shared" si="25"/>
        <v>-1.89</v>
      </c>
      <c r="F313" s="156">
        <f>SUM($E$2:E313)/SUM($C$2:C313)</f>
        <v>-2.7777981651376318E-2</v>
      </c>
      <c r="G313" s="151">
        <f t="shared" si="26"/>
        <v>-27.401590000000112</v>
      </c>
      <c r="H313" s="481" t="s">
        <v>18</v>
      </c>
      <c r="I313" s="2"/>
      <c r="J313" s="2"/>
      <c r="K313" s="2"/>
      <c r="O313" s="58"/>
      <c r="P313" s="58"/>
    </row>
    <row r="314" spans="2:16">
      <c r="B314" s="652"/>
      <c r="C314" s="488">
        <v>1.89</v>
      </c>
      <c r="D314" s="165">
        <v>1.9</v>
      </c>
      <c r="E314" s="165">
        <f t="shared" si="25"/>
        <v>1.7009999999999998</v>
      </c>
      <c r="F314" s="195">
        <f>SUM($E$2:E314)/SUM($C$2:C314)</f>
        <v>-2.6003794240848456E-2</v>
      </c>
      <c r="G314" s="165">
        <f t="shared" si="26"/>
        <v>-25.700590000000112</v>
      </c>
      <c r="H314" s="393" t="s">
        <v>17</v>
      </c>
      <c r="I314" s="2"/>
      <c r="J314" s="2"/>
      <c r="K314" s="2"/>
      <c r="O314" s="58"/>
      <c r="P314" s="58"/>
    </row>
    <row r="315" spans="2:16">
      <c r="B315" s="652"/>
      <c r="C315" s="484">
        <v>1.89</v>
      </c>
      <c r="D315" s="164">
        <v>2</v>
      </c>
      <c r="E315" s="164">
        <f t="shared" si="25"/>
        <v>1.89</v>
      </c>
      <c r="F315" s="197">
        <f>SUM($E$2:E315)/SUM($C$2:C315)</f>
        <v>-2.4045514678408209E-2</v>
      </c>
      <c r="G315" s="164">
        <f t="shared" si="26"/>
        <v>-23.810590000000111</v>
      </c>
      <c r="H315" s="485" t="s">
        <v>37</v>
      </c>
      <c r="I315" s="2"/>
      <c r="J315" s="2"/>
      <c r="K315" s="2"/>
      <c r="O315" s="58"/>
      <c r="P315" s="58"/>
    </row>
    <row r="316" spans="2:16">
      <c r="B316" s="652"/>
      <c r="C316" s="402">
        <v>1.89</v>
      </c>
      <c r="D316" s="151">
        <v>1.9</v>
      </c>
      <c r="E316" s="151">
        <f t="shared" si="25"/>
        <v>1.7009999999999998</v>
      </c>
      <c r="F316" s="156">
        <f>SUM($E$2:E316)/SUM($C$2:C316)</f>
        <v>-2.2285197355158808E-2</v>
      </c>
      <c r="G316" s="151">
        <f t="shared" si="26"/>
        <v>-22.109590000000111</v>
      </c>
      <c r="H316" s="481" t="s">
        <v>14</v>
      </c>
      <c r="I316" s="2"/>
      <c r="J316" s="2"/>
      <c r="K316" s="2"/>
      <c r="O316" s="58"/>
      <c r="P316" s="58"/>
    </row>
    <row r="317" spans="2:16">
      <c r="B317" s="652"/>
      <c r="C317" s="402">
        <v>1.89</v>
      </c>
      <c r="D317" s="151">
        <v>1.9</v>
      </c>
      <c r="E317" s="151">
        <f t="shared" si="25"/>
        <v>1.7009999999999998</v>
      </c>
      <c r="F317" s="156">
        <f>SUM($E$2:E317)/SUM($C$2:C317)</f>
        <v>-2.0531574129033059E-2</v>
      </c>
      <c r="G317" s="151">
        <f t="shared" si="26"/>
        <v>-20.40859000000011</v>
      </c>
      <c r="H317" s="481" t="s">
        <v>46</v>
      </c>
      <c r="I317" s="2"/>
      <c r="J317" s="2"/>
      <c r="K317" s="2"/>
      <c r="O317" s="58"/>
      <c r="P317" s="58"/>
    </row>
    <row r="318" spans="2:16">
      <c r="B318" s="652"/>
      <c r="C318" s="402">
        <v>1.89</v>
      </c>
      <c r="D318" s="151">
        <v>1.83</v>
      </c>
      <c r="E318" s="151">
        <f t="shared" si="25"/>
        <v>1.5687</v>
      </c>
      <c r="F318" s="156">
        <f>SUM($E$2:E318)/SUM($C$2:C318)</f>
        <v>-1.891745155136073E-2</v>
      </c>
      <c r="G318" s="151">
        <f t="shared" si="26"/>
        <v>-18.839890000000111</v>
      </c>
      <c r="H318" s="481" t="s">
        <v>29</v>
      </c>
      <c r="I318" s="2"/>
      <c r="J318" s="2"/>
      <c r="K318" s="2"/>
      <c r="O318" s="58"/>
      <c r="P318" s="58"/>
    </row>
    <row r="319" spans="2:16">
      <c r="B319" s="652"/>
      <c r="C319" s="402">
        <v>1.89</v>
      </c>
      <c r="D319" s="151">
        <v>1.768</v>
      </c>
      <c r="E319" s="151">
        <f t="shared" si="25"/>
        <v>1.4515200000000001</v>
      </c>
      <c r="F319" s="156">
        <f>SUM($E$2:E319)/SUM($C$2:C319)</f>
        <v>-1.7426883412341422E-2</v>
      </c>
      <c r="G319" s="151">
        <f t="shared" si="26"/>
        <v>-17.388370000000112</v>
      </c>
      <c r="H319" s="481" t="s">
        <v>53</v>
      </c>
      <c r="I319" s="2"/>
      <c r="J319" s="2"/>
      <c r="K319" s="2"/>
      <c r="O319" s="58"/>
      <c r="P319" s="58"/>
    </row>
    <row r="320" spans="2:16">
      <c r="B320" s="652"/>
      <c r="C320" s="402">
        <v>1.89</v>
      </c>
      <c r="D320" s="151"/>
      <c r="E320" s="151">
        <f t="shared" si="25"/>
        <v>-1.89</v>
      </c>
      <c r="F320" s="156">
        <f>SUM($E$2:E320)/SUM($C$2:C320)</f>
        <v>-1.9284541053137157E-2</v>
      </c>
      <c r="G320" s="151">
        <f t="shared" si="26"/>
        <v>-19.278370000000113</v>
      </c>
      <c r="H320" s="481" t="s">
        <v>26</v>
      </c>
      <c r="I320" s="2"/>
      <c r="J320" s="2"/>
      <c r="K320" s="2"/>
      <c r="O320" s="58"/>
      <c r="P320" s="58"/>
    </row>
    <row r="321" spans="2:16">
      <c r="B321" s="652"/>
      <c r="C321" s="488">
        <v>1.89</v>
      </c>
      <c r="D321" s="165"/>
      <c r="E321" s="165">
        <f t="shared" si="25"/>
        <v>-1.89</v>
      </c>
      <c r="F321" s="195">
        <f>SUM($E$2:E321)/SUM($C$2:C321)</f>
        <v>-2.1135187755224456E-2</v>
      </c>
      <c r="G321" s="165">
        <f t="shared" si="26"/>
        <v>-21.168370000000113</v>
      </c>
      <c r="H321" s="393" t="s">
        <v>34</v>
      </c>
      <c r="I321" s="2"/>
      <c r="J321" s="2"/>
      <c r="K321" s="2"/>
      <c r="O321" s="58"/>
      <c r="P321" s="58"/>
    </row>
    <row r="322" spans="2:16">
      <c r="B322" s="652"/>
      <c r="C322" s="484">
        <v>1.89</v>
      </c>
      <c r="D322" s="164">
        <v>1.75</v>
      </c>
      <c r="E322" s="164">
        <f t="shared" si="25"/>
        <v>1.4174999999999998</v>
      </c>
      <c r="F322" s="197">
        <f>SUM($E$2:E322)/SUM($C$2:C322)</f>
        <v>-1.968276762402104E-2</v>
      </c>
      <c r="G322" s="164">
        <f t="shared" si="26"/>
        <v>-19.750870000000113</v>
      </c>
      <c r="H322" s="485" t="s">
        <v>148</v>
      </c>
      <c r="I322" s="2"/>
      <c r="J322" s="2"/>
      <c r="K322" s="2"/>
      <c r="O322" s="58"/>
      <c r="P322" s="58"/>
    </row>
    <row r="323" spans="2:16">
      <c r="B323" s="652"/>
      <c r="C323" s="402">
        <v>1.89</v>
      </c>
      <c r="D323" s="151">
        <v>1.736</v>
      </c>
      <c r="E323" s="151">
        <f t="shared" si="25"/>
        <v>1.3910400000000001</v>
      </c>
      <c r="F323" s="156">
        <f>SUM($E$2:E323)/SUM($C$2:C323)</f>
        <v>-1.8262127617247874E-2</v>
      </c>
      <c r="G323" s="151">
        <f t="shared" si="26"/>
        <v>-18.359830000000112</v>
      </c>
      <c r="H323" s="481" t="s">
        <v>149</v>
      </c>
      <c r="I323" s="2"/>
      <c r="J323" s="2"/>
      <c r="K323" s="2"/>
      <c r="O323" s="58"/>
      <c r="P323" s="58"/>
    </row>
    <row r="324" spans="2:16">
      <c r="B324" s="652"/>
      <c r="C324" s="402">
        <v>1.89</v>
      </c>
      <c r="D324" s="151">
        <v>1.744</v>
      </c>
      <c r="E324" s="151">
        <f t="shared" si="25"/>
        <v>1.4061600000000001</v>
      </c>
      <c r="F324" s="156">
        <f>SUM($E$2:E324)/SUM($C$2:C324)</f>
        <v>-1.6831807712164082E-2</v>
      </c>
      <c r="G324" s="151">
        <f t="shared" si="26"/>
        <v>-16.953670000000113</v>
      </c>
      <c r="H324" s="481" t="s">
        <v>150</v>
      </c>
      <c r="I324" s="2"/>
      <c r="J324" s="2"/>
      <c r="K324" s="2"/>
      <c r="O324" s="58"/>
      <c r="P324" s="58"/>
    </row>
    <row r="325" spans="2:16">
      <c r="B325" s="652"/>
      <c r="C325" s="402">
        <v>1.89</v>
      </c>
      <c r="D325" s="151">
        <v>1.77</v>
      </c>
      <c r="E325" s="151">
        <f t="shared" si="25"/>
        <v>1.4553</v>
      </c>
      <c r="F325" s="156">
        <f>SUM($E$2:E325)/SUM($C$2:C325)</f>
        <v>-1.5358150089681355E-2</v>
      </c>
      <c r="G325" s="151">
        <f t="shared" si="26"/>
        <v>-15.498370000000113</v>
      </c>
      <c r="H325" s="481" t="s">
        <v>151</v>
      </c>
      <c r="I325" s="2"/>
      <c r="J325" s="2"/>
      <c r="K325" s="2"/>
      <c r="O325" s="58"/>
      <c r="P325" s="58"/>
    </row>
    <row r="326" spans="2:16">
      <c r="B326" s="652"/>
      <c r="C326" s="402">
        <v>1.89</v>
      </c>
      <c r="D326" s="151"/>
      <c r="E326" s="151">
        <f t="shared" si="25"/>
        <v>-1.89</v>
      </c>
      <c r="F326" s="156">
        <f>SUM($E$2:E326)/SUM($C$2:C326)</f>
        <v>-1.7198838796463126E-2</v>
      </c>
      <c r="G326" s="151">
        <f t="shared" si="26"/>
        <v>-17.388370000000112</v>
      </c>
      <c r="H326" s="481" t="s">
        <v>152</v>
      </c>
      <c r="I326" s="2"/>
      <c r="J326" s="2"/>
      <c r="K326" s="2"/>
      <c r="O326" s="58"/>
      <c r="P326" s="58"/>
    </row>
    <row r="327" spans="2:16">
      <c r="B327" s="652"/>
      <c r="C327" s="402">
        <v>1.89</v>
      </c>
      <c r="D327" s="151"/>
      <c r="E327" s="151">
        <f t="shared" si="25"/>
        <v>-1.89</v>
      </c>
      <c r="F327" s="156">
        <f>SUM($E$2:E327)/SUM($C$2:C327)</f>
        <v>-1.9032658380310347E-2</v>
      </c>
      <c r="G327" s="151">
        <f t="shared" si="26"/>
        <v>-19.278370000000113</v>
      </c>
      <c r="H327" s="481" t="s">
        <v>153</v>
      </c>
      <c r="I327" s="2"/>
      <c r="J327" s="2"/>
      <c r="K327" s="2"/>
      <c r="O327" s="58"/>
      <c r="P327" s="58"/>
    </row>
    <row r="328" spans="2:16">
      <c r="B328" s="652"/>
      <c r="C328" s="402">
        <v>1.89</v>
      </c>
      <c r="D328" s="151"/>
      <c r="E328" s="151">
        <f t="shared" si="25"/>
        <v>-1.89</v>
      </c>
      <c r="F328" s="156">
        <f>SUM($E$2:E328)/SUM($C$2:C328)</f>
        <v>-2.0859647221127472E-2</v>
      </c>
      <c r="G328" s="151">
        <f t="shared" si="26"/>
        <v>-21.168370000000113</v>
      </c>
      <c r="H328" s="481" t="s">
        <v>154</v>
      </c>
      <c r="I328" s="2"/>
      <c r="J328" s="2"/>
      <c r="K328" s="2"/>
      <c r="O328" s="58"/>
      <c r="P328" s="58"/>
    </row>
    <row r="329" spans="2:16">
      <c r="B329" s="652"/>
      <c r="C329" s="488">
        <v>1.89</v>
      </c>
      <c r="D329" s="165"/>
      <c r="E329" s="165">
        <f t="shared" si="25"/>
        <v>-1.89</v>
      </c>
      <c r="F329" s="195">
        <f>SUM($E$2:E329)/SUM($C$2:C329)</f>
        <v>-2.2679843413430018E-2</v>
      </c>
      <c r="G329" s="165">
        <f t="shared" si="26"/>
        <v>-23.058370000000114</v>
      </c>
      <c r="H329" s="393" t="s">
        <v>84</v>
      </c>
      <c r="I329" s="2">
        <f>SUM(E307:E329)</f>
        <v>-1.9655999999999982</v>
      </c>
      <c r="L329" s="2">
        <f>I329/C329</f>
        <v>-1.0399999999999991</v>
      </c>
      <c r="O329" s="58"/>
      <c r="P329" s="58"/>
    </row>
    <row r="330" spans="2:16">
      <c r="B330" s="650">
        <v>45997</v>
      </c>
      <c r="C330" s="484">
        <v>3.22</v>
      </c>
      <c r="D330" s="164"/>
      <c r="E330" s="164">
        <f t="shared" ref="E330:E347" si="27">(C330*D330)-C330</f>
        <v>-3.22</v>
      </c>
      <c r="F330" s="197">
        <f>SUM($E$2:E330)/SUM($C$2:C330)</f>
        <v>-2.5765381259130873E-2</v>
      </c>
      <c r="G330" s="164">
        <f t="shared" ref="G330:G347" si="28">G329+E330</f>
        <v>-26.278370000000113</v>
      </c>
      <c r="H330" s="485" t="s">
        <v>13</v>
      </c>
      <c r="I330" s="2"/>
      <c r="J330" s="2"/>
      <c r="K330" s="2"/>
      <c r="O330" s="58"/>
      <c r="P330" s="58"/>
    </row>
    <row r="331" spans="2:16">
      <c r="B331" s="652"/>
      <c r="C331" s="402">
        <v>3.22</v>
      </c>
      <c r="D331" s="151">
        <v>1.9</v>
      </c>
      <c r="E331" s="151">
        <f t="shared" si="27"/>
        <v>2.8980000000000001</v>
      </c>
      <c r="F331" s="156">
        <f>SUM($E$2:E331)/SUM($C$2:C331)</f>
        <v>-2.2851807688172729E-2</v>
      </c>
      <c r="G331" s="151">
        <f t="shared" si="28"/>
        <v>-23.380370000000113</v>
      </c>
      <c r="H331" s="481" t="s">
        <v>14</v>
      </c>
      <c r="I331" s="2"/>
      <c r="J331" s="2"/>
      <c r="K331" s="2"/>
      <c r="O331" s="58"/>
      <c r="P331" s="58"/>
    </row>
    <row r="332" spans="2:16">
      <c r="B332" s="652"/>
      <c r="C332" s="402">
        <v>3.22</v>
      </c>
      <c r="D332" s="151"/>
      <c r="E332" s="151">
        <f t="shared" si="27"/>
        <v>-3.22</v>
      </c>
      <c r="F332" s="156">
        <f>SUM($E$2:E332)/SUM($C$2:C332)</f>
        <v>-2.591744531592553E-2</v>
      </c>
      <c r="G332" s="151">
        <f t="shared" si="28"/>
        <v>-26.600370000000112</v>
      </c>
      <c r="H332" s="481" t="s">
        <v>27</v>
      </c>
      <c r="I332" s="2"/>
      <c r="J332" s="2"/>
      <c r="K332" s="2"/>
      <c r="O332" s="58"/>
      <c r="P332" s="58"/>
    </row>
    <row r="333" spans="2:16">
      <c r="B333" s="652"/>
      <c r="C333" s="402">
        <v>3.22</v>
      </c>
      <c r="D333" s="151">
        <v>1.8620000000000001</v>
      </c>
      <c r="E333" s="151">
        <f t="shared" si="27"/>
        <v>2.7756400000000006</v>
      </c>
      <c r="F333" s="156">
        <f>SUM($E$2:E333)/SUM($C$2:C333)</f>
        <v>-2.3140466408306536E-2</v>
      </c>
      <c r="G333" s="151">
        <f t="shared" si="28"/>
        <v>-23.824730000000113</v>
      </c>
      <c r="H333" s="481" t="s">
        <v>34</v>
      </c>
      <c r="I333" s="2"/>
      <c r="J333" s="2"/>
      <c r="K333" s="2"/>
      <c r="O333" s="58"/>
      <c r="P333" s="58"/>
    </row>
    <row r="334" spans="2:16">
      <c r="B334" s="652"/>
      <c r="C334" s="488">
        <v>3.22</v>
      </c>
      <c r="D334" s="165"/>
      <c r="E334" s="165">
        <f t="shared" si="27"/>
        <v>-3.22</v>
      </c>
      <c r="F334" s="195">
        <f>SUM($E$2:E334)/SUM($C$2:C334)</f>
        <v>-2.6186088168940604E-2</v>
      </c>
      <c r="G334" s="165">
        <f t="shared" si="28"/>
        <v>-27.044730000000111</v>
      </c>
      <c r="H334" s="393" t="s">
        <v>18</v>
      </c>
      <c r="I334" s="2"/>
      <c r="J334" s="2"/>
      <c r="K334" s="2"/>
      <c r="O334" s="58"/>
      <c r="P334" s="58"/>
    </row>
    <row r="335" spans="2:16">
      <c r="B335" s="652"/>
      <c r="C335" s="484">
        <v>3.22</v>
      </c>
      <c r="D335" s="164">
        <v>1.9</v>
      </c>
      <c r="E335" s="164">
        <f t="shared" si="27"/>
        <v>2.8980000000000001</v>
      </c>
      <c r="F335" s="197">
        <f>SUM($E$2:E335)/SUM($C$2:C335)</f>
        <v>-2.3307429464966709E-2</v>
      </c>
      <c r="G335" s="164">
        <f t="shared" si="28"/>
        <v>-24.146730000000112</v>
      </c>
      <c r="H335" s="485" t="s">
        <v>28</v>
      </c>
      <c r="I335" s="2"/>
      <c r="J335" s="2"/>
      <c r="K335" s="2"/>
      <c r="O335" s="58"/>
      <c r="P335" s="58"/>
    </row>
    <row r="336" spans="2:16">
      <c r="B336" s="652"/>
      <c r="C336" s="402">
        <v>3.22</v>
      </c>
      <c r="D336" s="151">
        <v>1.8620000000000001</v>
      </c>
      <c r="E336" s="151">
        <f t="shared" si="27"/>
        <v>2.7756400000000006</v>
      </c>
      <c r="F336" s="156">
        <f>SUM($E$2:E336)/SUM($C$2:C336)</f>
        <v>-2.0564350528757016E-2</v>
      </c>
      <c r="G336" s="151">
        <f t="shared" si="28"/>
        <v>-21.371090000000112</v>
      </c>
      <c r="H336" s="481" t="s">
        <v>11</v>
      </c>
      <c r="I336" s="2"/>
      <c r="J336" s="2"/>
      <c r="K336" s="2"/>
      <c r="O336" s="58"/>
      <c r="P336" s="58"/>
    </row>
    <row r="337" spans="2:16">
      <c r="B337" s="652"/>
      <c r="C337" s="402">
        <v>3.22</v>
      </c>
      <c r="D337" s="151"/>
      <c r="E337" s="151">
        <f t="shared" si="27"/>
        <v>-3.22</v>
      </c>
      <c r="F337" s="156">
        <f>SUM($E$2:E337)/SUM($C$2:C337)</f>
        <v>-2.3589706940380987E-2</v>
      </c>
      <c r="G337" s="151">
        <f t="shared" si="28"/>
        <v>-24.591090000000111</v>
      </c>
      <c r="H337" s="481" t="s">
        <v>46</v>
      </c>
      <c r="I337" s="2"/>
      <c r="J337" s="2"/>
      <c r="K337" s="2"/>
      <c r="O337" s="58"/>
      <c r="P337" s="58"/>
    </row>
    <row r="338" spans="2:16">
      <c r="B338" s="652"/>
      <c r="C338" s="402">
        <v>3.22</v>
      </c>
      <c r="D338" s="151">
        <v>1.9</v>
      </c>
      <c r="E338" s="151">
        <f t="shared" si="27"/>
        <v>2.8980000000000001</v>
      </c>
      <c r="F338" s="156">
        <f>SUM($E$2:E338)/SUM($C$2:C338)</f>
        <v>-2.074563676877041E-2</v>
      </c>
      <c r="G338" s="151">
        <f t="shared" si="28"/>
        <v>-21.693090000000112</v>
      </c>
      <c r="H338" s="481" t="s">
        <v>97</v>
      </c>
      <c r="I338" s="2"/>
      <c r="J338" s="2"/>
      <c r="K338" s="2"/>
      <c r="O338" s="58"/>
      <c r="P338" s="58"/>
    </row>
    <row r="339" spans="2:16">
      <c r="B339" s="652"/>
      <c r="C339" s="402">
        <v>3.22</v>
      </c>
      <c r="D339" s="151"/>
      <c r="E339" s="151">
        <f t="shared" si="27"/>
        <v>-3.22</v>
      </c>
      <c r="F339" s="156">
        <f>SUM($E$2:E339)/SUM($C$2:C339)</f>
        <v>-2.3751861491672299E-2</v>
      </c>
      <c r="G339" s="151">
        <f t="shared" si="28"/>
        <v>-24.913090000000111</v>
      </c>
      <c r="H339" s="481" t="s">
        <v>16</v>
      </c>
      <c r="I339" s="2"/>
      <c r="J339" s="2"/>
      <c r="K339" s="2"/>
      <c r="O339" s="58"/>
      <c r="P339" s="58"/>
    </row>
    <row r="340" spans="2:16">
      <c r="B340" s="652"/>
      <c r="C340" s="402">
        <v>3.22</v>
      </c>
      <c r="D340" s="151"/>
      <c r="E340" s="151">
        <f t="shared" si="27"/>
        <v>-3.22</v>
      </c>
      <c r="F340" s="156">
        <f>SUM($E$2:E340)/SUM($C$2:C340)</f>
        <v>-2.6739685013924552E-2</v>
      </c>
      <c r="G340" s="151">
        <f t="shared" si="28"/>
        <v>-28.133090000000109</v>
      </c>
      <c r="H340" s="481" t="s">
        <v>104</v>
      </c>
      <c r="I340" s="2"/>
      <c r="J340" s="2"/>
      <c r="K340" s="2"/>
      <c r="O340" s="58"/>
      <c r="P340" s="58"/>
    </row>
    <row r="341" spans="2:16">
      <c r="B341" s="652"/>
      <c r="C341" s="488">
        <v>3.22</v>
      </c>
      <c r="D341" s="165">
        <v>1.9</v>
      </c>
      <c r="E341" s="165">
        <f t="shared" si="27"/>
        <v>2.8980000000000001</v>
      </c>
      <c r="F341" s="195">
        <f>SUM($E$2:E341)/SUM($C$2:C341)</f>
        <v>-2.391203699316816E-2</v>
      </c>
      <c r="G341" s="165">
        <f t="shared" si="28"/>
        <v>-25.23509000000011</v>
      </c>
      <c r="H341" s="393" t="s">
        <v>17</v>
      </c>
      <c r="I341" s="2"/>
      <c r="J341" s="2"/>
      <c r="K341" s="2"/>
      <c r="O341" s="58"/>
      <c r="P341" s="58"/>
    </row>
    <row r="342" spans="2:16">
      <c r="B342" s="652"/>
      <c r="C342" s="484">
        <v>3.22</v>
      </c>
      <c r="D342" s="164"/>
      <c r="E342" s="164">
        <f t="shared" si="27"/>
        <v>-3.22</v>
      </c>
      <c r="F342" s="197">
        <f>SUM($E$2:E342)/SUM($C$2:C342)</f>
        <v>-2.6881195975627187E-2</v>
      </c>
      <c r="G342" s="164">
        <f t="shared" si="28"/>
        <v>-28.455090000000109</v>
      </c>
      <c r="H342" s="485" t="s">
        <v>155</v>
      </c>
      <c r="I342" s="2"/>
      <c r="J342" s="2"/>
      <c r="K342" s="2"/>
      <c r="O342" s="58"/>
      <c r="P342" s="58"/>
    </row>
    <row r="343" spans="2:16">
      <c r="B343" s="652"/>
      <c r="C343" s="402">
        <v>3.22</v>
      </c>
      <c r="D343" s="151">
        <v>1.79</v>
      </c>
      <c r="E343" s="151">
        <f t="shared" si="27"/>
        <v>2.5438000000000005</v>
      </c>
      <c r="F343" s="156">
        <f>SUM($E$2:E343)/SUM($C$2:C343)</f>
        <v>-2.4403863360238236E-2</v>
      </c>
      <c r="G343" s="151">
        <f t="shared" si="28"/>
        <v>-25.911290000000108</v>
      </c>
      <c r="H343" s="481" t="s">
        <v>102</v>
      </c>
      <c r="I343" s="2"/>
      <c r="J343" s="2"/>
      <c r="K343" s="2"/>
      <c r="O343" s="58"/>
      <c r="P343" s="58"/>
    </row>
    <row r="344" spans="2:16">
      <c r="B344" s="652"/>
      <c r="C344" s="402">
        <v>3.22</v>
      </c>
      <c r="D344" s="151"/>
      <c r="E344" s="151">
        <f t="shared" si="27"/>
        <v>-3.22</v>
      </c>
      <c r="F344" s="156">
        <f>SUM($E$2:E344)/SUM($C$2:C344)</f>
        <v>-2.7353580784796248E-2</v>
      </c>
      <c r="G344" s="151">
        <f t="shared" si="28"/>
        <v>-29.131290000000106</v>
      </c>
      <c r="H344" s="481" t="s">
        <v>156</v>
      </c>
      <c r="I344" s="2"/>
      <c r="J344" s="2"/>
      <c r="K344" s="2"/>
      <c r="O344" s="58"/>
      <c r="P344" s="58"/>
    </row>
    <row r="345" spans="2:16">
      <c r="B345" s="652"/>
      <c r="C345" s="402">
        <v>3.22</v>
      </c>
      <c r="D345" s="151">
        <v>1.79</v>
      </c>
      <c r="E345" s="151">
        <f t="shared" si="27"/>
        <v>2.5438000000000005</v>
      </c>
      <c r="F345" s="156">
        <f>SUM($E$2:E345)/SUM($C$2:C345)</f>
        <v>-2.4889759504217474E-2</v>
      </c>
      <c r="G345" s="151">
        <f t="shared" si="28"/>
        <v>-26.587490000000106</v>
      </c>
      <c r="H345" s="481" t="s">
        <v>157</v>
      </c>
      <c r="I345" s="2"/>
      <c r="J345" s="2"/>
      <c r="K345" s="2"/>
      <c r="O345" s="58"/>
      <c r="P345" s="58"/>
    </row>
    <row r="346" spans="2:16">
      <c r="B346" s="652"/>
      <c r="C346" s="402">
        <v>3.22</v>
      </c>
      <c r="D346" s="151"/>
      <c r="E346" s="151">
        <f t="shared" si="27"/>
        <v>-3.22</v>
      </c>
      <c r="F346" s="156">
        <f>SUM($E$2:E346)/SUM($C$2:C346)</f>
        <v>-2.7820286906284269E-2</v>
      </c>
      <c r="G346" s="151">
        <f t="shared" si="28"/>
        <v>-29.807490000000104</v>
      </c>
      <c r="H346" s="481" t="s">
        <v>158</v>
      </c>
      <c r="I346" s="2"/>
      <c r="J346" s="2"/>
      <c r="K346" s="2"/>
      <c r="O346" s="58"/>
      <c r="P346" s="58"/>
    </row>
    <row r="347" spans="2:16">
      <c r="B347" s="652"/>
      <c r="C347" s="491">
        <v>3.22</v>
      </c>
      <c r="D347" s="257">
        <v>1.79</v>
      </c>
      <c r="E347" s="257">
        <f t="shared" si="27"/>
        <v>2.5438000000000005</v>
      </c>
      <c r="F347" s="256">
        <f>SUM($E$2:E347)/SUM($C$2:C347)</f>
        <v>-2.5369832038338199E-2</v>
      </c>
      <c r="G347" s="257">
        <f t="shared" si="28"/>
        <v>-27.263690000000103</v>
      </c>
      <c r="H347" s="492" t="s">
        <v>159</v>
      </c>
      <c r="I347" s="2">
        <f>SUM(E330:E347)</f>
        <v>-4.2053199999999986</v>
      </c>
      <c r="L347" s="2">
        <f>I347/C347</f>
        <v>-1.3059999999999994</v>
      </c>
      <c r="O347" s="58"/>
      <c r="P347" s="58"/>
    </row>
    <row r="348" spans="2:16">
      <c r="B348" s="650">
        <v>45998</v>
      </c>
      <c r="C348" s="484">
        <v>3.2</v>
      </c>
      <c r="D348" s="164"/>
      <c r="E348" s="164">
        <f t="shared" ref="E348:E362" si="29">(C348*D348)-C348</f>
        <v>-3.2</v>
      </c>
      <c r="F348" s="197">
        <f>SUM($E$2:E348)/SUM($C$2:C348)</f>
        <v>-2.8263385443243635E-2</v>
      </c>
      <c r="G348" s="164">
        <f t="shared" ref="G348:G362" si="30">G347+E348</f>
        <v>-30.463690000000103</v>
      </c>
      <c r="H348" s="485" t="s">
        <v>64</v>
      </c>
      <c r="I348" s="2"/>
      <c r="J348" s="2"/>
      <c r="K348" s="2"/>
      <c r="O348" s="58"/>
      <c r="P348" s="58"/>
    </row>
    <row r="349" spans="2:16">
      <c r="B349" s="652"/>
      <c r="C349" s="402">
        <v>3.2</v>
      </c>
      <c r="D349" s="151"/>
      <c r="E349" s="151">
        <f t="shared" si="29"/>
        <v>-3.2</v>
      </c>
      <c r="F349" s="156">
        <f>SUM($E$2:E349)/SUM($C$2:C349)</f>
        <v>-3.1139808519495077E-2</v>
      </c>
      <c r="G349" s="151">
        <f t="shared" si="30"/>
        <v>-33.663690000000102</v>
      </c>
      <c r="H349" s="481" t="s">
        <v>59</v>
      </c>
      <c r="I349" s="2"/>
      <c r="J349" s="2"/>
      <c r="K349" s="2"/>
      <c r="O349" s="58"/>
      <c r="P349" s="58"/>
    </row>
    <row r="350" spans="2:16">
      <c r="B350" s="652"/>
      <c r="C350" s="488">
        <v>3.2</v>
      </c>
      <c r="D350" s="165"/>
      <c r="E350" s="165">
        <f t="shared" si="29"/>
        <v>-3.2</v>
      </c>
      <c r="F350" s="195">
        <f>SUM($E$2:E350)/SUM($C$2:C350)</f>
        <v>-3.3999252939820299E-2</v>
      </c>
      <c r="G350" s="165">
        <f t="shared" si="30"/>
        <v>-36.863690000000105</v>
      </c>
      <c r="H350" s="393" t="s">
        <v>52</v>
      </c>
      <c r="I350" s="2"/>
      <c r="J350" s="2"/>
      <c r="K350" s="2"/>
      <c r="O350" s="58"/>
      <c r="P350" s="58"/>
    </row>
    <row r="351" spans="2:16">
      <c r="B351" s="652"/>
      <c r="C351" s="484">
        <v>3.2</v>
      </c>
      <c r="D351" s="164"/>
      <c r="E351" s="164">
        <f t="shared" si="29"/>
        <v>-3.2</v>
      </c>
      <c r="F351" s="197">
        <f>SUM($E$2:E351)/SUM($C$2:C351)</f>
        <v>-3.6841868591659541E-2</v>
      </c>
      <c r="G351" s="164">
        <f t="shared" si="30"/>
        <v>-40.063690000000108</v>
      </c>
      <c r="H351" s="485" t="s">
        <v>29</v>
      </c>
      <c r="I351" s="2"/>
      <c r="J351" s="2"/>
      <c r="K351" s="2"/>
      <c r="O351" s="58"/>
      <c r="P351" s="58"/>
    </row>
    <row r="352" spans="2:16">
      <c r="B352" s="652"/>
      <c r="C352" s="402">
        <v>3.2</v>
      </c>
      <c r="D352" s="151">
        <v>1.784</v>
      </c>
      <c r="E352" s="151">
        <f t="shared" si="29"/>
        <v>2.5087999999999999</v>
      </c>
      <c r="F352" s="156">
        <f>SUM($E$2:E352)/SUM($C$2:C352)</f>
        <v>-3.4433493788108158E-2</v>
      </c>
      <c r="G352" s="151">
        <f t="shared" si="30"/>
        <v>-37.554890000000107</v>
      </c>
      <c r="H352" s="481" t="s">
        <v>25</v>
      </c>
      <c r="I352" s="2"/>
      <c r="J352" s="2"/>
      <c r="K352" s="2"/>
      <c r="O352" s="58"/>
      <c r="P352" s="58"/>
    </row>
    <row r="353" spans="2:16">
      <c r="B353" s="652"/>
      <c r="C353" s="402">
        <v>3.2</v>
      </c>
      <c r="D353" s="151"/>
      <c r="E353" s="151">
        <f t="shared" si="29"/>
        <v>-3.2</v>
      </c>
      <c r="F353" s="156">
        <f>SUM($E$2:E353)/SUM($C$2:C353)</f>
        <v>-3.7258207249623039E-2</v>
      </c>
      <c r="G353" s="151">
        <f t="shared" si="30"/>
        <v>-40.75489000000011</v>
      </c>
      <c r="H353" s="481" t="s">
        <v>15</v>
      </c>
      <c r="I353" s="2"/>
      <c r="J353" s="2"/>
      <c r="K353" s="2"/>
      <c r="O353" s="58"/>
      <c r="P353" s="58"/>
    </row>
    <row r="354" spans="2:16">
      <c r="B354" s="652"/>
      <c r="C354" s="402">
        <v>3.2</v>
      </c>
      <c r="D354" s="151">
        <v>1.8069999999999999</v>
      </c>
      <c r="E354" s="151">
        <f t="shared" si="29"/>
        <v>2.5823999999999998</v>
      </c>
      <c r="F354" s="156">
        <f>SUM($E$2:E354)/SUM($C$2:C354)</f>
        <v>-3.4795579052914777E-2</v>
      </c>
      <c r="G354" s="151">
        <f t="shared" si="30"/>
        <v>-38.17249000000011</v>
      </c>
      <c r="H354" s="481" t="s">
        <v>26</v>
      </c>
      <c r="I354" s="2"/>
      <c r="J354" s="2"/>
      <c r="K354" s="2"/>
      <c r="O354" s="58"/>
      <c r="P354" s="58"/>
    </row>
    <row r="355" spans="2:16">
      <c r="B355" s="652"/>
      <c r="C355" s="402">
        <v>3.2</v>
      </c>
      <c r="D355" s="151"/>
      <c r="E355" s="151">
        <f t="shared" si="29"/>
        <v>-3.2</v>
      </c>
      <c r="F355" s="156">
        <f>SUM($E$2:E355)/SUM($C$2:C355)</f>
        <v>-3.760280845262455E-2</v>
      </c>
      <c r="G355" s="151">
        <f t="shared" si="30"/>
        <v>-41.372490000000113</v>
      </c>
      <c r="H355" s="481" t="s">
        <v>35</v>
      </c>
      <c r="I355" s="2"/>
      <c r="J355" s="2"/>
      <c r="K355" s="2"/>
      <c r="O355" s="58"/>
      <c r="P355" s="58"/>
    </row>
    <row r="356" spans="2:16">
      <c r="B356" s="652"/>
      <c r="C356" s="402">
        <v>3.2</v>
      </c>
      <c r="D356" s="151"/>
      <c r="E356" s="151">
        <f t="shared" si="29"/>
        <v>-3.2</v>
      </c>
      <c r="F356" s="156">
        <f>SUM($E$2:E356)/SUM($C$2:C356)</f>
        <v>-4.0393755947256485E-2</v>
      </c>
      <c r="G356" s="151">
        <f t="shared" si="30"/>
        <v>-44.572490000000116</v>
      </c>
      <c r="H356" s="481" t="s">
        <v>51</v>
      </c>
      <c r="I356" s="2"/>
      <c r="J356" s="2"/>
      <c r="K356" s="2"/>
      <c r="O356" s="58"/>
      <c r="P356" s="58"/>
    </row>
    <row r="357" spans="2:16">
      <c r="B357" s="652"/>
      <c r="C357" s="488">
        <v>3.2</v>
      </c>
      <c r="D357" s="165"/>
      <c r="E357" s="165">
        <f t="shared" si="29"/>
        <v>-3.2</v>
      </c>
      <c r="F357" s="195">
        <f>SUM($E$2:E357)/SUM($C$2:C357)</f>
        <v>-4.3168562779560091E-2</v>
      </c>
      <c r="G357" s="165">
        <f t="shared" si="30"/>
        <v>-47.772490000000118</v>
      </c>
      <c r="H357" s="393" t="s">
        <v>47</v>
      </c>
      <c r="I357" s="2"/>
      <c r="J357" s="2"/>
      <c r="K357" s="2"/>
      <c r="O357" s="58"/>
      <c r="P357" s="58"/>
    </row>
    <row r="358" spans="2:16">
      <c r="B358" s="652"/>
      <c r="C358" s="484">
        <v>3.2</v>
      </c>
      <c r="D358" s="164"/>
      <c r="E358" s="164">
        <f t="shared" si="29"/>
        <v>-3.2</v>
      </c>
      <c r="F358" s="197">
        <f>SUM($E$2:E358)/SUM($C$2:C358)</f>
        <v>-4.5927368563319526E-2</v>
      </c>
      <c r="G358" s="164">
        <f t="shared" si="30"/>
        <v>-50.972490000000121</v>
      </c>
      <c r="H358" s="485" t="s">
        <v>160</v>
      </c>
      <c r="I358" s="2"/>
      <c r="J358" s="2"/>
      <c r="K358" s="2"/>
      <c r="O358" s="58"/>
      <c r="P358" s="58"/>
    </row>
    <row r="359" spans="2:16">
      <c r="B359" s="652"/>
      <c r="C359" s="402">
        <v>3.2</v>
      </c>
      <c r="D359" s="151">
        <v>1.794</v>
      </c>
      <c r="E359" s="151">
        <f t="shared" si="29"/>
        <v>2.5407999999999999</v>
      </c>
      <c r="F359" s="156">
        <f>SUM($E$2:E359)/SUM($C$2:C359)</f>
        <v>-4.3512591527784174E-2</v>
      </c>
      <c r="G359" s="151">
        <f t="shared" si="30"/>
        <v>-48.431690000000124</v>
      </c>
      <c r="H359" s="481" t="s">
        <v>161</v>
      </c>
      <c r="I359" s="2"/>
      <c r="J359" s="2"/>
      <c r="K359" s="2"/>
      <c r="O359" s="58"/>
      <c r="P359" s="58"/>
    </row>
    <row r="360" spans="2:16">
      <c r="B360" s="652"/>
      <c r="C360" s="402">
        <v>3.2</v>
      </c>
      <c r="D360" s="151"/>
      <c r="E360" s="151">
        <f t="shared" si="29"/>
        <v>-3.2</v>
      </c>
      <c r="F360" s="156">
        <f>SUM($E$2:E360)/SUM($C$2:C360)</f>
        <v>-4.6254593505039354E-2</v>
      </c>
      <c r="G360" s="151">
        <f t="shared" si="30"/>
        <v>-51.631690000000127</v>
      </c>
      <c r="H360" s="481" t="s">
        <v>162</v>
      </c>
      <c r="I360" s="2"/>
      <c r="J360" s="2"/>
      <c r="K360" s="2"/>
      <c r="O360" s="58"/>
      <c r="P360" s="58"/>
    </row>
    <row r="361" spans="2:16">
      <c r="B361" s="652"/>
      <c r="C361" s="402">
        <v>3.2</v>
      </c>
      <c r="D361" s="151"/>
      <c r="E361" s="151">
        <f t="shared" si="29"/>
        <v>-3.2</v>
      </c>
      <c r="F361" s="156">
        <f>SUM($E$2:E361)/SUM($C$2:C361)</f>
        <v>-4.8980919201393705E-2</v>
      </c>
      <c r="G361" s="151">
        <f t="shared" si="30"/>
        <v>-54.83169000000013</v>
      </c>
      <c r="H361" s="481" t="s">
        <v>163</v>
      </c>
      <c r="I361" s="154"/>
      <c r="J361" s="154"/>
      <c r="K361" s="2"/>
      <c r="O361" s="58"/>
      <c r="P361" s="58"/>
    </row>
    <row r="362" spans="2:16">
      <c r="B362" s="652"/>
      <c r="C362" s="491">
        <v>3.2</v>
      </c>
      <c r="D362" s="257"/>
      <c r="E362" s="257">
        <f t="shared" si="29"/>
        <v>-3.2</v>
      </c>
      <c r="F362" s="256">
        <f>SUM($E$2:E362)/SUM($C$2:C362)</f>
        <v>-5.1691702667795117E-2</v>
      </c>
      <c r="G362" s="257">
        <f t="shared" si="30"/>
        <v>-58.031690000000133</v>
      </c>
      <c r="H362" s="492" t="s">
        <v>164</v>
      </c>
      <c r="I362" s="490">
        <f>SUM(E348:E362)</f>
        <v>-30.767999999999994</v>
      </c>
      <c r="J362" s="490">
        <f>SUM(E239:E362)</f>
        <v>0.45845999999998011</v>
      </c>
      <c r="L362" s="2">
        <f>I362/C362</f>
        <v>-9.6149999999999967</v>
      </c>
      <c r="O362" s="58"/>
      <c r="P362" s="58"/>
    </row>
    <row r="363" spans="2:16">
      <c r="B363" s="650">
        <v>45999</v>
      </c>
      <c r="C363" s="484">
        <v>7.13</v>
      </c>
      <c r="D363" s="164"/>
      <c r="E363" s="164">
        <f t="shared" ref="E363:E371" si="31">(C363*D363)-C363</f>
        <v>-7.13</v>
      </c>
      <c r="F363" s="197">
        <f>SUM($E$2:E363)/SUM($C$2:C363)</f>
        <v>-5.7676441431075247E-2</v>
      </c>
      <c r="G363" s="164">
        <f>G362+E363</f>
        <v>-65.161690000000135</v>
      </c>
      <c r="H363" s="485" t="s">
        <v>38</v>
      </c>
      <c r="I363" s="2"/>
      <c r="J363" s="2"/>
      <c r="K363" s="2"/>
      <c r="O363" s="58"/>
      <c r="P363" s="58"/>
    </row>
    <row r="364" spans="2:16">
      <c r="B364" s="652"/>
      <c r="C364" s="402">
        <v>7.13</v>
      </c>
      <c r="D364" s="151">
        <v>1.9</v>
      </c>
      <c r="E364" s="151">
        <f t="shared" si="31"/>
        <v>6.4169999999999989</v>
      </c>
      <c r="F364" s="156">
        <f>SUM($E$2:E364)/SUM($C$2:C364)</f>
        <v>-5.1670484031277913E-2</v>
      </c>
      <c r="G364" s="151">
        <f t="shared" ref="G364:G371" si="32">G363+E364</f>
        <v>-58.744690000000134</v>
      </c>
      <c r="H364" s="481" t="s">
        <v>36</v>
      </c>
      <c r="I364" s="2"/>
      <c r="J364" s="2"/>
      <c r="K364" s="2"/>
      <c r="O364" s="58"/>
      <c r="P364" s="58"/>
    </row>
    <row r="365" spans="2:16">
      <c r="B365" s="652"/>
      <c r="C365" s="488">
        <v>7.13</v>
      </c>
      <c r="D365" s="165">
        <v>1.91</v>
      </c>
      <c r="E365" s="165">
        <f t="shared" si="31"/>
        <v>6.4882999999999997</v>
      </c>
      <c r="F365" s="195">
        <f>SUM($E$2:E365)/SUM($C$2:C365)</f>
        <v>-4.5677065487220871E-2</v>
      </c>
      <c r="G365" s="165">
        <f t="shared" si="32"/>
        <v>-52.256390000000131</v>
      </c>
      <c r="H365" s="393" t="s">
        <v>12</v>
      </c>
      <c r="I365" s="2"/>
      <c r="J365" s="2"/>
      <c r="K365" s="2"/>
      <c r="O365" s="58"/>
      <c r="P365" s="58"/>
    </row>
    <row r="366" spans="2:16">
      <c r="B366" s="652"/>
      <c r="C366" s="484">
        <v>7.13</v>
      </c>
      <c r="D366" s="164"/>
      <c r="E366" s="164">
        <f t="shared" si="31"/>
        <v>-7.13</v>
      </c>
      <c r="F366" s="197">
        <f>SUM($E$2:E366)/SUM($C$2:C366)</f>
        <v>-5.158785409626742E-2</v>
      </c>
      <c r="G366" s="164">
        <f t="shared" si="32"/>
        <v>-59.386390000000134</v>
      </c>
      <c r="H366" s="485" t="s">
        <v>60</v>
      </c>
      <c r="I366" s="2"/>
      <c r="J366" s="2"/>
      <c r="K366" s="2"/>
      <c r="O366" s="58"/>
      <c r="P366" s="58"/>
    </row>
    <row r="367" spans="2:16">
      <c r="B367" s="652"/>
      <c r="C367" s="402">
        <v>7.13</v>
      </c>
      <c r="D367" s="151"/>
      <c r="E367" s="151">
        <f t="shared" si="31"/>
        <v>-7.13</v>
      </c>
      <c r="F367" s="156">
        <f>SUM($E$2:E367)/SUM($C$2:C367)</f>
        <v>-5.7425874125874264E-2</v>
      </c>
      <c r="G367" s="151">
        <f t="shared" si="32"/>
        <v>-66.516390000000129</v>
      </c>
      <c r="H367" s="481" t="s">
        <v>104</v>
      </c>
      <c r="I367" s="2"/>
      <c r="J367" s="2"/>
      <c r="K367" s="2"/>
      <c r="O367" s="58"/>
      <c r="P367" s="58"/>
    </row>
    <row r="368" spans="2:16">
      <c r="B368" s="652"/>
      <c r="C368" s="488">
        <v>7.13</v>
      </c>
      <c r="D368" s="165">
        <v>1.83</v>
      </c>
      <c r="E368" s="165">
        <f t="shared" si="31"/>
        <v>5.9179000000000004</v>
      </c>
      <c r="F368" s="195">
        <f>SUM($E$2:E368)/SUM($C$2:C368)</f>
        <v>-5.1996679337240455E-2</v>
      </c>
      <c r="G368" s="165">
        <f t="shared" si="32"/>
        <v>-60.598490000000126</v>
      </c>
      <c r="H368" s="393" t="s">
        <v>13</v>
      </c>
      <c r="I368" s="2"/>
      <c r="J368" s="2"/>
      <c r="K368" s="2"/>
      <c r="O368" s="58"/>
      <c r="P368" s="58"/>
    </row>
    <row r="369" spans="2:16">
      <c r="B369" s="652"/>
      <c r="C369" s="484">
        <v>7.13</v>
      </c>
      <c r="D369" s="164"/>
      <c r="E369" s="164">
        <f t="shared" si="31"/>
        <v>-7.13</v>
      </c>
      <c r="F369" s="197">
        <f>SUM($E$2:E369)/SUM($C$2:C369)</f>
        <v>-5.7761214777921926E-2</v>
      </c>
      <c r="G369" s="164">
        <f t="shared" si="32"/>
        <v>-67.728490000000122</v>
      </c>
      <c r="H369" s="485" t="s">
        <v>165</v>
      </c>
      <c r="I369" s="2"/>
      <c r="J369" s="2"/>
      <c r="K369" s="2"/>
      <c r="O369" s="58"/>
      <c r="P369" s="58"/>
    </row>
    <row r="370" spans="2:16">
      <c r="B370" s="652"/>
      <c r="C370" s="402">
        <v>7.13</v>
      </c>
      <c r="D370" s="151"/>
      <c r="E370" s="151">
        <f t="shared" si="31"/>
        <v>-7.13</v>
      </c>
      <c r="F370" s="156">
        <f>SUM($E$2:E370)/SUM($C$2:C370)</f>
        <v>-6.345606896727117E-2</v>
      </c>
      <c r="G370" s="151">
        <f t="shared" si="32"/>
        <v>-74.858490000000117</v>
      </c>
      <c r="H370" s="481" t="s">
        <v>166</v>
      </c>
      <c r="I370" s="2"/>
      <c r="J370" s="2"/>
      <c r="K370" s="2"/>
      <c r="O370" s="58"/>
      <c r="P370" s="58"/>
    </row>
    <row r="371" spans="2:16">
      <c r="B371" s="652"/>
      <c r="C371" s="491">
        <v>7.13</v>
      </c>
      <c r="D371" s="257">
        <v>1.8</v>
      </c>
      <c r="E371" s="257">
        <f t="shared" si="31"/>
        <v>5.7039999999999997</v>
      </c>
      <c r="F371" s="256">
        <f>SUM($E$2:E371)/SUM($C$2:C371)</f>
        <v>-5.8268726512866423E-2</v>
      </c>
      <c r="G371" s="257">
        <f t="shared" si="32"/>
        <v>-69.154490000000123</v>
      </c>
      <c r="H371" s="492" t="s">
        <v>167</v>
      </c>
      <c r="I371" s="2">
        <f>SUM(E363:E371)</f>
        <v>-11.122799999999998</v>
      </c>
      <c r="L371" s="2">
        <f>I371/C371</f>
        <v>-1.5599999999999998</v>
      </c>
      <c r="O371" s="58"/>
      <c r="P371" s="58"/>
    </row>
    <row r="372" spans="2:16">
      <c r="B372" s="650">
        <v>46000</v>
      </c>
      <c r="C372" s="484">
        <v>10.51</v>
      </c>
      <c r="D372" s="164"/>
      <c r="E372" s="164">
        <f t="shared" ref="E372:E376" si="33">(C372*D372)-C372</f>
        <v>-10.51</v>
      </c>
      <c r="F372" s="197">
        <f>SUM($E$2:E372)/SUM($C$2:C372)</f>
        <v>-6.6535115632281941E-2</v>
      </c>
      <c r="G372" s="164">
        <f t="shared" ref="G372:G376" si="34">G371+E372</f>
        <v>-79.664490000000129</v>
      </c>
      <c r="H372" s="485" t="s">
        <v>16</v>
      </c>
      <c r="I372" s="2"/>
      <c r="J372" s="2"/>
      <c r="K372" s="2"/>
      <c r="O372" s="58"/>
      <c r="P372" s="58"/>
    </row>
    <row r="373" spans="2:16">
      <c r="B373" s="652"/>
      <c r="C373" s="488">
        <v>10.51</v>
      </c>
      <c r="D373" s="165">
        <v>1.9</v>
      </c>
      <c r="E373" s="165">
        <f t="shared" si="33"/>
        <v>9.4589999999999979</v>
      </c>
      <c r="F373" s="195">
        <f>SUM($E$2:E373)/SUM($C$2:C373)</f>
        <v>-5.8124826135912147E-2</v>
      </c>
      <c r="G373" s="165">
        <f t="shared" si="34"/>
        <v>-70.205490000000125</v>
      </c>
      <c r="H373" s="393" t="s">
        <v>29</v>
      </c>
      <c r="I373" s="2"/>
      <c r="J373" s="2"/>
      <c r="K373" s="2"/>
      <c r="O373" s="58"/>
      <c r="P373" s="58"/>
    </row>
    <row r="374" spans="2:16">
      <c r="B374" s="652"/>
      <c r="C374" s="488">
        <v>10.51</v>
      </c>
      <c r="D374" s="165"/>
      <c r="E374" s="165">
        <f t="shared" si="33"/>
        <v>-10.51</v>
      </c>
      <c r="F374" s="195">
        <f>SUM($E$2:E374)/SUM($C$2:C374)</f>
        <v>-6.6249837895514543E-2</v>
      </c>
      <c r="G374" s="165">
        <f t="shared" si="34"/>
        <v>-80.715490000000131</v>
      </c>
      <c r="H374" s="393" t="s">
        <v>25</v>
      </c>
      <c r="I374" s="2"/>
      <c r="J374" s="2"/>
      <c r="K374" s="2"/>
      <c r="O374" s="58"/>
      <c r="P374" s="58"/>
    </row>
    <row r="375" spans="2:16">
      <c r="B375" s="652"/>
      <c r="C375" s="484">
        <v>10.51</v>
      </c>
      <c r="D375" s="164"/>
      <c r="E375" s="164">
        <f t="shared" si="33"/>
        <v>-10.51</v>
      </c>
      <c r="F375" s="197">
        <f>SUM($E$2:E375)/SUM($C$2:C375)</f>
        <v>-7.423586901681245E-2</v>
      </c>
      <c r="G375" s="164">
        <f t="shared" si="34"/>
        <v>-91.225490000000136</v>
      </c>
      <c r="H375" s="485" t="s">
        <v>168</v>
      </c>
      <c r="I375" s="2"/>
      <c r="J375" s="2"/>
      <c r="K375" s="2"/>
      <c r="O375" s="58"/>
      <c r="P375" s="58"/>
    </row>
    <row r="376" spans="2:16">
      <c r="B376" s="652"/>
      <c r="C376" s="491">
        <v>10.51</v>
      </c>
      <c r="D376" s="257"/>
      <c r="E376" s="257">
        <f t="shared" si="33"/>
        <v>-10.51</v>
      </c>
      <c r="F376" s="256">
        <f>SUM($E$2:E376)/SUM($C$2:C376)</f>
        <v>-8.2086455215149748E-2</v>
      </c>
      <c r="G376" s="257">
        <f t="shared" si="34"/>
        <v>-101.73549000000014</v>
      </c>
      <c r="H376" s="492" t="s">
        <v>169</v>
      </c>
      <c r="I376" s="2">
        <f>SUM(E372:E376)</f>
        <v>-32.581000000000003</v>
      </c>
      <c r="L376" s="2">
        <f>I376/C376</f>
        <v>-3.1000000000000005</v>
      </c>
      <c r="O376" s="58"/>
      <c r="P376" s="58"/>
    </row>
    <row r="377" spans="2:16">
      <c r="B377" s="650">
        <v>46002</v>
      </c>
      <c r="C377" s="484">
        <v>4.99</v>
      </c>
      <c r="D377" s="164">
        <v>1.9</v>
      </c>
      <c r="E377" s="164">
        <f t="shared" ref="E377:E386" si="35">(C377*D377)-C377</f>
        <v>4.4909999999999997</v>
      </c>
      <c r="F377" s="197">
        <f>SUM($E$2:E377)/SUM($C$2:C377)</f>
        <v>-7.8148196663345132E-2</v>
      </c>
      <c r="G377" s="164">
        <f t="shared" ref="G377:G386" si="36">G376+E377</f>
        <v>-97.244490000000141</v>
      </c>
      <c r="H377" s="485" t="s">
        <v>18</v>
      </c>
      <c r="I377" s="2"/>
      <c r="J377" s="2"/>
      <c r="K377" s="2"/>
      <c r="O377" s="58"/>
      <c r="P377" s="58"/>
    </row>
    <row r="378" spans="2:16">
      <c r="B378" s="652"/>
      <c r="C378" s="488">
        <v>4.99</v>
      </c>
      <c r="D378" s="165">
        <v>1.9</v>
      </c>
      <c r="E378" s="165">
        <f t="shared" si="35"/>
        <v>4.4909999999999997</v>
      </c>
      <c r="F378" s="195">
        <f>SUM($E$2:E378)/SUM($C$2:C378)</f>
        <v>-7.4241397526714006E-2</v>
      </c>
      <c r="G378" s="165">
        <f t="shared" si="36"/>
        <v>-92.753490000000141</v>
      </c>
      <c r="H378" s="393" t="s">
        <v>59</v>
      </c>
      <c r="I378" s="2"/>
      <c r="J378" s="2"/>
      <c r="K378" s="2"/>
      <c r="O378" s="58"/>
      <c r="P378" s="58"/>
    </row>
    <row r="379" spans="2:16">
      <c r="B379" s="652"/>
      <c r="C379" s="484">
        <v>4.99</v>
      </c>
      <c r="D379" s="164"/>
      <c r="E379" s="164">
        <f t="shared" si="35"/>
        <v>-4.99</v>
      </c>
      <c r="F379" s="197">
        <f>SUM($E$2:E379)/SUM($C$2:C379)</f>
        <v>-7.7924239042046137E-2</v>
      </c>
      <c r="G379" s="164">
        <f t="shared" si="36"/>
        <v>-97.743490000000136</v>
      </c>
      <c r="H379" s="485" t="s">
        <v>53</v>
      </c>
      <c r="I379" s="2"/>
      <c r="J379" s="2"/>
      <c r="K379" s="2"/>
      <c r="O379" s="58"/>
      <c r="P379" s="58"/>
    </row>
    <row r="380" spans="2:16">
      <c r="B380" s="652"/>
      <c r="C380" s="484">
        <v>4.99</v>
      </c>
      <c r="D380" s="164">
        <v>1.9</v>
      </c>
      <c r="E380" s="164">
        <f t="shared" si="35"/>
        <v>4.4909999999999997</v>
      </c>
      <c r="F380" s="197">
        <f>SUM($E$2:E380)/SUM($C$2:C380)</f>
        <v>-7.4049288113520795E-2</v>
      </c>
      <c r="G380" s="164">
        <f t="shared" si="36"/>
        <v>-93.252490000000137</v>
      </c>
      <c r="H380" s="485" t="s">
        <v>34</v>
      </c>
      <c r="I380" s="2"/>
      <c r="J380" s="2"/>
      <c r="K380" s="2"/>
      <c r="O380" s="58"/>
      <c r="P380" s="58"/>
    </row>
    <row r="381" spans="2:16">
      <c r="B381" s="652"/>
      <c r="C381" s="484">
        <v>4.99</v>
      </c>
      <c r="D381" s="164">
        <v>1.83</v>
      </c>
      <c r="E381" s="164">
        <f t="shared" si="35"/>
        <v>4.1417000000000002</v>
      </c>
      <c r="F381" s="197">
        <f>SUM($E$2:E381)/SUM($C$2:C381)</f>
        <v>-7.0481199379903936E-2</v>
      </c>
      <c r="G381" s="164">
        <f t="shared" si="36"/>
        <v>-89.110790000000137</v>
      </c>
      <c r="H381" s="485" t="s">
        <v>13</v>
      </c>
      <c r="I381" s="2"/>
      <c r="J381" s="2"/>
      <c r="K381" s="2"/>
      <c r="O381" s="58"/>
      <c r="P381" s="58"/>
    </row>
    <row r="382" spans="2:16">
      <c r="B382" s="652"/>
      <c r="C382" s="488">
        <v>4.99</v>
      </c>
      <c r="D382" s="165"/>
      <c r="E382" s="165">
        <f t="shared" si="35"/>
        <v>-4.99</v>
      </c>
      <c r="F382" s="195">
        <f>SUM($E$2:E382)/SUM($C$2:C382)</f>
        <v>-7.4135388518171391E-2</v>
      </c>
      <c r="G382" s="165">
        <f t="shared" si="36"/>
        <v>-94.100790000000131</v>
      </c>
      <c r="H382" s="393" t="s">
        <v>38</v>
      </c>
      <c r="I382" s="2"/>
      <c r="J382" s="2"/>
      <c r="K382" s="2"/>
      <c r="O382" s="58"/>
      <c r="P382" s="58"/>
    </row>
    <row r="383" spans="2:16">
      <c r="B383" s="652"/>
      <c r="C383" s="484">
        <v>4.99</v>
      </c>
      <c r="D383" s="164">
        <v>1.825</v>
      </c>
      <c r="E383" s="164">
        <f t="shared" si="35"/>
        <v>4.1167499999999997</v>
      </c>
      <c r="F383" s="197">
        <f>SUM($E$2:E383)/SUM($C$2:C383)</f>
        <v>-7.0614486384681902E-2</v>
      </c>
      <c r="G383" s="164">
        <f t="shared" si="36"/>
        <v>-89.984040000000135</v>
      </c>
      <c r="H383" s="485" t="s">
        <v>170</v>
      </c>
      <c r="I383" s="2"/>
      <c r="J383" s="2"/>
      <c r="K383" s="2"/>
      <c r="O383" s="58"/>
      <c r="P383" s="58"/>
    </row>
    <row r="384" spans="2:16">
      <c r="B384" s="652"/>
      <c r="C384" s="484">
        <v>4.99</v>
      </c>
      <c r="D384" s="164"/>
      <c r="E384" s="164">
        <f t="shared" si="35"/>
        <v>-4.99</v>
      </c>
      <c r="F384" s="197">
        <f>SUM($E$2:E384)/SUM($C$2:C384)</f>
        <v>-7.4239648555057991E-2</v>
      </c>
      <c r="G384" s="164">
        <f t="shared" si="36"/>
        <v>-94.97404000000013</v>
      </c>
      <c r="H384" s="485" t="s">
        <v>171</v>
      </c>
      <c r="I384" s="2"/>
      <c r="J384" s="2"/>
      <c r="K384" s="2"/>
      <c r="O384" s="58"/>
      <c r="P384" s="58"/>
    </row>
    <row r="385" spans="2:16">
      <c r="B385" s="652"/>
      <c r="C385" s="484">
        <v>4.99</v>
      </c>
      <c r="D385" s="164">
        <v>1.81</v>
      </c>
      <c r="E385" s="164">
        <f t="shared" si="35"/>
        <v>4.0419</v>
      </c>
      <c r="F385" s="197">
        <f>SUM($E$2:E385)/SUM($C$2:C385)</f>
        <v>-7.0803983554988112E-2</v>
      </c>
      <c r="G385" s="164">
        <f t="shared" si="36"/>
        <v>-90.932140000000132</v>
      </c>
      <c r="H385" s="485" t="s">
        <v>42</v>
      </c>
      <c r="I385" s="2"/>
      <c r="J385" s="2"/>
      <c r="K385" s="2"/>
      <c r="O385" s="58"/>
      <c r="P385" s="58"/>
    </row>
    <row r="386" spans="2:16">
      <c r="B386" s="652"/>
      <c r="C386" s="491">
        <v>4.99</v>
      </c>
      <c r="D386" s="257">
        <v>1.8160000000000001</v>
      </c>
      <c r="E386" s="257">
        <f t="shared" si="35"/>
        <v>4.0718399999999999</v>
      </c>
      <c r="F386" s="256">
        <f>SUM($E$2:E386)/SUM($C$2:C386)</f>
        <v>-6.7371690956898198E-2</v>
      </c>
      <c r="G386" s="257">
        <f t="shared" si="36"/>
        <v>-86.860300000000137</v>
      </c>
      <c r="H386" s="492" t="s">
        <v>172</v>
      </c>
      <c r="I386" s="2">
        <f>SUM(E377:E386)</f>
        <v>14.875189999999998</v>
      </c>
      <c r="L386" s="2">
        <f>I386/C386</f>
        <v>2.9809999999999994</v>
      </c>
      <c r="O386" s="58"/>
      <c r="P386" s="58"/>
    </row>
    <row r="387" spans="2:16">
      <c r="B387" s="650">
        <v>46003</v>
      </c>
      <c r="C387" s="484">
        <v>2.92</v>
      </c>
      <c r="D387" s="164">
        <v>1.91</v>
      </c>
      <c r="E387" s="164">
        <f t="shared" ref="E387:E401" si="37">(C387*D387)-C387</f>
        <v>2.6571999999999996</v>
      </c>
      <c r="F387" s="197">
        <f>SUM($E$2:E387)/SUM($C$2:C387)</f>
        <v>-6.5163095210456767E-2</v>
      </c>
      <c r="G387" s="164">
        <f t="shared" ref="G387:G401" si="38">G386+E387</f>
        <v>-84.203100000000134</v>
      </c>
      <c r="H387" s="485" t="s">
        <v>35</v>
      </c>
      <c r="I387" s="2"/>
      <c r="J387" s="2"/>
      <c r="K387" s="2"/>
      <c r="O387" s="58"/>
      <c r="P387" s="58"/>
    </row>
    <row r="388" spans="2:16">
      <c r="B388" s="652"/>
      <c r="C388" s="484">
        <v>2.92</v>
      </c>
      <c r="D388" s="164">
        <v>1.8620000000000001</v>
      </c>
      <c r="E388" s="164">
        <f t="shared" si="37"/>
        <v>2.5170400000000006</v>
      </c>
      <c r="F388" s="197">
        <f>SUM($E$2:E388)/SUM($C$2:C388)</f>
        <v>-6.3072681085004467E-2</v>
      </c>
      <c r="G388" s="164">
        <f t="shared" si="38"/>
        <v>-81.68606000000014</v>
      </c>
      <c r="H388" s="485" t="s">
        <v>14</v>
      </c>
      <c r="I388" s="2"/>
      <c r="J388" s="2"/>
      <c r="K388" s="2"/>
      <c r="O388" s="58"/>
      <c r="P388" s="58"/>
    </row>
    <row r="389" spans="2:16">
      <c r="B389" s="652"/>
      <c r="C389" s="484">
        <v>2.92</v>
      </c>
      <c r="D389" s="164">
        <v>1.8620000000000001</v>
      </c>
      <c r="E389" s="164">
        <f t="shared" si="37"/>
        <v>2.5170400000000006</v>
      </c>
      <c r="F389" s="197">
        <f>SUM($E$2:E389)/SUM($C$2:C389)</f>
        <v>-6.0991671995254453E-2</v>
      </c>
      <c r="G389" s="164">
        <f t="shared" si="38"/>
        <v>-79.169020000000145</v>
      </c>
      <c r="H389" s="485" t="s">
        <v>28</v>
      </c>
      <c r="I389" s="2"/>
      <c r="J389" s="2"/>
      <c r="K389" s="2"/>
      <c r="O389" s="58"/>
      <c r="P389" s="58"/>
    </row>
    <row r="390" spans="2:16">
      <c r="B390" s="652"/>
      <c r="C390" s="491">
        <v>2.92</v>
      </c>
      <c r="D390" s="257">
        <v>1.8</v>
      </c>
      <c r="E390" s="257">
        <f t="shared" si="37"/>
        <v>2.3360000000000003</v>
      </c>
      <c r="F390" s="256">
        <f>SUM($E$2:E390)/SUM($C$2:C390)</f>
        <v>-5.9059164456743252E-2</v>
      </c>
      <c r="G390" s="257">
        <f t="shared" si="38"/>
        <v>-76.833020000000147</v>
      </c>
      <c r="H390" s="492" t="s">
        <v>104</v>
      </c>
      <c r="I390" s="2"/>
      <c r="J390" s="2"/>
      <c r="K390" s="2"/>
      <c r="O390" s="58"/>
      <c r="P390" s="58"/>
    </row>
    <row r="391" spans="2:16">
      <c r="B391" s="652"/>
      <c r="C391" s="484">
        <v>2.92</v>
      </c>
      <c r="D391" s="164">
        <v>2</v>
      </c>
      <c r="E391" s="164">
        <f t="shared" si="37"/>
        <v>2.92</v>
      </c>
      <c r="F391" s="197">
        <f>SUM($E$2:E391)/SUM($C$2:C391)</f>
        <v>-5.6687415156419063E-2</v>
      </c>
      <c r="G391" s="164">
        <f t="shared" si="38"/>
        <v>-73.913020000000145</v>
      </c>
      <c r="H391" s="485" t="s">
        <v>15</v>
      </c>
      <c r="I391" s="2"/>
      <c r="J391" s="2"/>
      <c r="K391" s="2"/>
      <c r="O391" s="58"/>
      <c r="P391" s="58"/>
    </row>
    <row r="392" spans="2:16">
      <c r="B392" s="652"/>
      <c r="C392" s="484">
        <v>2.92</v>
      </c>
      <c r="D392" s="164">
        <v>1.83</v>
      </c>
      <c r="E392" s="164">
        <f t="shared" si="37"/>
        <v>2.4236000000000004</v>
      </c>
      <c r="F392" s="197">
        <f>SUM($E$2:E392)/SUM($C$2:C392)</f>
        <v>-5.4706127227787262E-2</v>
      </c>
      <c r="G392" s="164">
        <f t="shared" si="38"/>
        <v>-71.489420000000138</v>
      </c>
      <c r="H392" s="485" t="s">
        <v>97</v>
      </c>
      <c r="I392" s="2"/>
      <c r="J392" s="2"/>
      <c r="K392" s="2"/>
      <c r="O392" s="58"/>
      <c r="P392" s="58"/>
    </row>
    <row r="393" spans="2:16">
      <c r="B393" s="652"/>
      <c r="C393" s="484">
        <v>2.92</v>
      </c>
      <c r="D393" s="164"/>
      <c r="E393" s="164">
        <f t="shared" si="37"/>
        <v>-2.92</v>
      </c>
      <c r="F393" s="197">
        <f>SUM($E$2:E393)/SUM($C$2:C393)</f>
        <v>-5.6813661039466834E-2</v>
      </c>
      <c r="G393" s="164">
        <f t="shared" si="38"/>
        <v>-74.409420000000139</v>
      </c>
      <c r="H393" s="485" t="s">
        <v>51</v>
      </c>
      <c r="I393" s="2"/>
      <c r="J393" s="2"/>
      <c r="K393" s="2"/>
      <c r="O393" s="58"/>
      <c r="P393" s="58"/>
    </row>
    <row r="394" spans="2:16">
      <c r="B394" s="652"/>
      <c r="C394" s="484">
        <v>2.92</v>
      </c>
      <c r="D394" s="164">
        <v>1.9</v>
      </c>
      <c r="E394" s="164">
        <f t="shared" si="37"/>
        <v>2.6280000000000001</v>
      </c>
      <c r="F394" s="197">
        <f>SUM($E$2:E394)/SUM($C$2:C394)</f>
        <v>-5.4685189276490791E-2</v>
      </c>
      <c r="G394" s="164">
        <f t="shared" si="38"/>
        <v>-71.781420000000139</v>
      </c>
      <c r="H394" s="485" t="s">
        <v>11</v>
      </c>
      <c r="I394" s="2"/>
      <c r="J394" s="2"/>
      <c r="K394" s="2"/>
      <c r="O394" s="58"/>
      <c r="P394" s="58"/>
    </row>
    <row r="395" spans="2:16">
      <c r="B395" s="652"/>
      <c r="C395" s="484">
        <v>2.92</v>
      </c>
      <c r="D395" s="164">
        <v>1.9</v>
      </c>
      <c r="E395" s="164">
        <f t="shared" si="37"/>
        <v>2.6280000000000001</v>
      </c>
      <c r="F395" s="197">
        <f>SUM($E$2:E395)/SUM($C$2:C395)</f>
        <v>-5.2566166242256171E-2</v>
      </c>
      <c r="G395" s="164">
        <f t="shared" si="38"/>
        <v>-69.153420000000139</v>
      </c>
      <c r="H395" s="485" t="s">
        <v>17</v>
      </c>
      <c r="I395" s="2"/>
      <c r="J395" s="2"/>
      <c r="K395" s="2"/>
      <c r="O395" s="58"/>
      <c r="P395" s="58"/>
    </row>
    <row r="396" spans="2:16">
      <c r="B396" s="652"/>
      <c r="C396" s="491">
        <v>2.92</v>
      </c>
      <c r="D396" s="257">
        <v>2</v>
      </c>
      <c r="E396" s="257">
        <f t="shared" si="37"/>
        <v>2.92</v>
      </c>
      <c r="F396" s="256">
        <f>SUM($E$2:E396)/SUM($C$2:C396)</f>
        <v>-5.0235060335085444E-2</v>
      </c>
      <c r="G396" s="257">
        <f t="shared" si="38"/>
        <v>-66.233420000000137</v>
      </c>
      <c r="H396" s="492" t="s">
        <v>27</v>
      </c>
      <c r="I396" s="2"/>
      <c r="J396" s="2"/>
      <c r="K396" s="2"/>
      <c r="O396" s="58"/>
      <c r="P396" s="58"/>
    </row>
    <row r="397" spans="2:16">
      <c r="B397" s="652"/>
      <c r="C397" s="484">
        <v>2.92</v>
      </c>
      <c r="D397" s="164">
        <v>1.83</v>
      </c>
      <c r="E397" s="164">
        <f t="shared" si="37"/>
        <v>2.4236000000000004</v>
      </c>
      <c r="F397" s="197">
        <f>SUM($E$2:E397)/SUM($C$2:C397)</f>
        <v>-4.8289921976100998E-2</v>
      </c>
      <c r="G397" s="164">
        <f t="shared" si="38"/>
        <v>-63.809820000000137</v>
      </c>
      <c r="H397" s="485" t="s">
        <v>173</v>
      </c>
      <c r="I397" s="2"/>
      <c r="J397" s="2"/>
      <c r="K397" s="2"/>
      <c r="O397" s="58"/>
      <c r="P397" s="58"/>
    </row>
    <row r="398" spans="2:16">
      <c r="B398" s="652"/>
      <c r="C398" s="484">
        <v>2.92</v>
      </c>
      <c r="D398" s="164">
        <v>1.9</v>
      </c>
      <c r="E398" s="164">
        <f t="shared" si="37"/>
        <v>2.6280000000000001</v>
      </c>
      <c r="F398" s="197">
        <f>SUM($E$2:E398)/SUM($C$2:C398)</f>
        <v>-4.6199016846508824E-2</v>
      </c>
      <c r="G398" s="164">
        <f t="shared" si="38"/>
        <v>-61.181820000000137</v>
      </c>
      <c r="H398" s="485" t="s">
        <v>126</v>
      </c>
      <c r="I398" s="2"/>
      <c r="J398" s="2"/>
      <c r="K398" s="2"/>
      <c r="O398" s="58"/>
      <c r="P398" s="58"/>
    </row>
    <row r="399" spans="2:16">
      <c r="B399" s="652"/>
      <c r="C399" s="484">
        <v>2.92</v>
      </c>
      <c r="D399" s="164">
        <v>1.8250000000000002</v>
      </c>
      <c r="E399" s="164">
        <f t="shared" si="37"/>
        <v>2.4090000000000007</v>
      </c>
      <c r="F399" s="197">
        <f>SUM($E$2:E399)/SUM($C$2:C399)</f>
        <v>-4.428231730747504E-2</v>
      </c>
      <c r="G399" s="164">
        <f t="shared" si="38"/>
        <v>-58.772820000000138</v>
      </c>
      <c r="H399" s="485" t="s">
        <v>174</v>
      </c>
      <c r="I399" s="2"/>
      <c r="J399" s="2"/>
      <c r="K399" s="2"/>
      <c r="O399" s="58"/>
      <c r="P399" s="58"/>
    </row>
    <row r="400" spans="2:16">
      <c r="B400" s="652"/>
      <c r="C400" s="484">
        <v>2.92</v>
      </c>
      <c r="D400" s="164">
        <v>1.8250000000000002</v>
      </c>
      <c r="E400" s="164">
        <f t="shared" si="37"/>
        <v>2.4090000000000007</v>
      </c>
      <c r="F400" s="197">
        <f>SUM($E$2:E400)/SUM($C$2:C400)</f>
        <v>-4.2374033003796635E-2</v>
      </c>
      <c r="G400" s="164">
        <f t="shared" si="38"/>
        <v>-56.363820000000139</v>
      </c>
      <c r="H400" s="485" t="s">
        <v>175</v>
      </c>
      <c r="I400" s="2"/>
      <c r="J400" s="2"/>
      <c r="K400" s="2"/>
      <c r="O400" s="58"/>
      <c r="P400" s="58"/>
    </row>
    <row r="401" spans="2:16">
      <c r="B401" s="652"/>
      <c r="C401" s="491">
        <v>2.92</v>
      </c>
      <c r="D401" s="257">
        <v>1.8560000000000001</v>
      </c>
      <c r="E401" s="257">
        <f t="shared" si="37"/>
        <v>2.4995200000000004</v>
      </c>
      <c r="F401" s="256">
        <f>SUM($E$2:E401)/SUM($C$2:C401)</f>
        <v>-4.0406205225532114E-2</v>
      </c>
      <c r="G401" s="257">
        <f t="shared" si="38"/>
        <v>-53.864300000000142</v>
      </c>
      <c r="H401" s="492" t="s">
        <v>176</v>
      </c>
      <c r="I401" s="2">
        <f>SUM(E387:E401)</f>
        <v>32.995999999999995</v>
      </c>
      <c r="L401" s="2">
        <f>I401/C401</f>
        <v>11.299999999999999</v>
      </c>
      <c r="O401" s="58"/>
      <c r="P401" s="58"/>
    </row>
    <row r="402" spans="2:16">
      <c r="B402" s="650">
        <v>46005</v>
      </c>
      <c r="C402" s="484">
        <v>2.69</v>
      </c>
      <c r="D402" s="164"/>
      <c r="E402" s="164">
        <f t="shared" ref="E402:E417" si="39">(C402*D402)-C402</f>
        <v>-2.69</v>
      </c>
      <c r="F402" s="197">
        <f>SUM($E$2:E402)/SUM($C$2:C402)</f>
        <v>-4.2338668623106014E-2</v>
      </c>
      <c r="G402" s="164">
        <f t="shared" ref="G402:G417" si="40">G401+E402</f>
        <v>-56.55430000000014</v>
      </c>
      <c r="H402" s="485" t="s">
        <v>11</v>
      </c>
      <c r="I402" s="2"/>
      <c r="J402" s="2"/>
      <c r="K402" s="2"/>
      <c r="L402" s="2"/>
      <c r="O402" s="58"/>
      <c r="P402" s="58"/>
    </row>
    <row r="403" spans="2:16">
      <c r="B403" s="652"/>
      <c r="C403" s="484">
        <v>2.69</v>
      </c>
      <c r="D403" s="164">
        <v>1.784</v>
      </c>
      <c r="E403" s="164">
        <f t="shared" si="39"/>
        <v>2.1089600000000002</v>
      </c>
      <c r="F403" s="197">
        <f>SUM($E$2:E403)/SUM($C$2:C403)</f>
        <v>-4.0677903545145569E-2</v>
      </c>
      <c r="G403" s="164">
        <f t="shared" si="40"/>
        <v>-54.445340000000137</v>
      </c>
      <c r="H403" s="485" t="s">
        <v>15</v>
      </c>
      <c r="I403" s="2"/>
      <c r="J403" s="2"/>
      <c r="K403" s="2"/>
      <c r="L403" s="2"/>
      <c r="O403" s="58"/>
      <c r="P403" s="58"/>
    </row>
    <row r="404" spans="2:16">
      <c r="B404" s="652"/>
      <c r="C404" s="484">
        <v>2.69</v>
      </c>
      <c r="D404" s="164">
        <v>1.7749999999999999</v>
      </c>
      <c r="E404" s="164">
        <f t="shared" si="39"/>
        <v>2.0847500000000001</v>
      </c>
      <c r="F404" s="197">
        <f>SUM($E$2:E404)/SUM($C$2:C404)</f>
        <v>-3.9041852453882586E-2</v>
      </c>
      <c r="G404" s="164">
        <f t="shared" si="40"/>
        <v>-52.360590000000137</v>
      </c>
      <c r="H404" s="485" t="s">
        <v>51</v>
      </c>
      <c r="I404" s="2"/>
      <c r="J404" s="2"/>
      <c r="K404" s="2"/>
      <c r="L404" s="2"/>
      <c r="O404" s="58"/>
      <c r="P404" s="58"/>
    </row>
    <row r="405" spans="2:16">
      <c r="B405" s="652"/>
      <c r="C405" s="484">
        <v>2.69</v>
      </c>
      <c r="D405" s="164"/>
      <c r="E405" s="164">
        <f t="shared" si="39"/>
        <v>-2.69</v>
      </c>
      <c r="F405" s="197">
        <f>SUM($E$2:E405)/SUM($C$2:C405)</f>
        <v>-4.0965442057403156E-2</v>
      </c>
      <c r="G405" s="164">
        <f t="shared" si="40"/>
        <v>-55.050590000000135</v>
      </c>
      <c r="H405" s="485" t="s">
        <v>34</v>
      </c>
      <c r="I405" s="2"/>
      <c r="J405" s="2"/>
      <c r="K405" s="2"/>
      <c r="L405" s="2"/>
      <c r="O405" s="58"/>
      <c r="P405" s="58"/>
    </row>
    <row r="406" spans="2:16">
      <c r="B406" s="652"/>
      <c r="C406" s="484">
        <v>2.69</v>
      </c>
      <c r="D406" s="164"/>
      <c r="E406" s="164">
        <f t="shared" si="39"/>
        <v>-2.69</v>
      </c>
      <c r="F406" s="197">
        <f>SUM($E$2:E406)/SUM($C$2:C406)</f>
        <v>-4.2881345988176986E-2</v>
      </c>
      <c r="G406" s="164">
        <f t="shared" si="40"/>
        <v>-57.740590000000132</v>
      </c>
      <c r="H406" s="485" t="s">
        <v>38</v>
      </c>
      <c r="I406" s="2"/>
      <c r="J406" s="2"/>
      <c r="K406" s="2"/>
      <c r="L406" s="2"/>
      <c r="O406" s="58"/>
      <c r="P406" s="58"/>
    </row>
    <row r="407" spans="2:16">
      <c r="B407" s="652"/>
      <c r="C407" s="484">
        <v>2.69</v>
      </c>
      <c r="D407" s="164"/>
      <c r="E407" s="164">
        <f t="shared" si="39"/>
        <v>-2.69</v>
      </c>
      <c r="F407" s="197">
        <f>SUM($E$2:E407)/SUM($C$2:C407)</f>
        <v>-4.4789610216348877E-2</v>
      </c>
      <c r="G407" s="164">
        <f t="shared" si="40"/>
        <v>-60.43059000000013</v>
      </c>
      <c r="H407" s="485" t="s">
        <v>13</v>
      </c>
      <c r="I407" s="2"/>
      <c r="J407" s="2"/>
      <c r="K407" s="2"/>
      <c r="L407" s="2"/>
      <c r="O407" s="58"/>
      <c r="P407" s="58"/>
    </row>
    <row r="408" spans="2:16">
      <c r="B408" s="652"/>
      <c r="C408" s="491">
        <v>2.69</v>
      </c>
      <c r="D408" s="257">
        <v>1.8160000000000001</v>
      </c>
      <c r="E408" s="257">
        <f t="shared" si="39"/>
        <v>2.1950400000000001</v>
      </c>
      <c r="F408" s="256">
        <f>SUM($E$2:E408)/SUM($C$2:C408)</f>
        <v>-4.3076817811968392E-2</v>
      </c>
      <c r="G408" s="257">
        <f t="shared" si="40"/>
        <v>-58.235550000000131</v>
      </c>
      <c r="H408" s="492" t="s">
        <v>10</v>
      </c>
      <c r="I408" s="2"/>
      <c r="J408" s="2"/>
      <c r="K408" s="2"/>
      <c r="L408" s="2"/>
      <c r="O408" s="58"/>
      <c r="P408" s="58"/>
    </row>
    <row r="409" spans="2:16">
      <c r="B409" s="652"/>
      <c r="C409" s="484">
        <v>2.69</v>
      </c>
      <c r="D409" s="164"/>
      <c r="E409" s="164">
        <f t="shared" si="39"/>
        <v>-2.69</v>
      </c>
      <c r="F409" s="197">
        <f>SUM($E$2:E409)/SUM($C$2:C409)</f>
        <v>-4.497711484655878E-2</v>
      </c>
      <c r="G409" s="164">
        <f t="shared" si="40"/>
        <v>-60.925550000000129</v>
      </c>
      <c r="H409" s="485" t="s">
        <v>60</v>
      </c>
      <c r="I409" s="2"/>
      <c r="J409" s="2"/>
      <c r="K409" s="2"/>
      <c r="L409" s="2"/>
      <c r="O409" s="58"/>
      <c r="P409" s="58"/>
    </row>
    <row r="410" spans="2:16">
      <c r="B410" s="652"/>
      <c r="C410" s="484">
        <v>2.69</v>
      </c>
      <c r="D410" s="164">
        <v>1.87</v>
      </c>
      <c r="E410" s="164">
        <f t="shared" si="39"/>
        <v>2.3403000000000005</v>
      </c>
      <c r="F410" s="197">
        <f>SUM($E$2:E410)/SUM($C$2:C410)</f>
        <v>-4.3163717140162726E-2</v>
      </c>
      <c r="G410" s="164">
        <f t="shared" si="40"/>
        <v>-58.58525000000013</v>
      </c>
      <c r="H410" s="485" t="s">
        <v>14</v>
      </c>
      <c r="I410" s="2"/>
      <c r="J410" s="2"/>
      <c r="K410" s="2"/>
      <c r="L410" s="2"/>
      <c r="O410" s="58"/>
      <c r="P410" s="58"/>
    </row>
    <row r="411" spans="2:16">
      <c r="B411" s="652"/>
      <c r="C411" s="484">
        <v>2.69</v>
      </c>
      <c r="D411" s="164">
        <v>1.86</v>
      </c>
      <c r="E411" s="164">
        <f t="shared" si="39"/>
        <v>2.3134000000000001</v>
      </c>
      <c r="F411" s="197">
        <f>SUM($E$2:E411)/SUM($C$2:C411)</f>
        <v>-4.137727302808155E-2</v>
      </c>
      <c r="G411" s="164">
        <f t="shared" si="40"/>
        <v>-56.271850000000128</v>
      </c>
      <c r="H411" s="485" t="s">
        <v>28</v>
      </c>
      <c r="I411" s="2"/>
      <c r="J411" s="2"/>
      <c r="K411" s="2"/>
      <c r="L411" s="2"/>
      <c r="O411" s="58"/>
      <c r="P411" s="58"/>
    </row>
    <row r="412" spans="2:16">
      <c r="B412" s="652"/>
      <c r="C412" s="491">
        <v>2.69</v>
      </c>
      <c r="D412" s="257"/>
      <c r="E412" s="257">
        <f t="shared" si="39"/>
        <v>-2.69</v>
      </c>
      <c r="F412" s="256">
        <f>SUM($E$2:E412)/SUM($C$2:C412)</f>
        <v>-4.3269671084496537E-2</v>
      </c>
      <c r="G412" s="257">
        <f t="shared" si="40"/>
        <v>-58.961850000000126</v>
      </c>
      <c r="H412" s="492" t="s">
        <v>35</v>
      </c>
      <c r="I412" s="2"/>
      <c r="J412" s="2"/>
      <c r="K412" s="2"/>
      <c r="L412" s="2"/>
      <c r="O412" s="58"/>
      <c r="P412" s="58"/>
    </row>
    <row r="413" spans="2:16">
      <c r="B413" s="652"/>
      <c r="C413" s="484">
        <v>2.69</v>
      </c>
      <c r="D413" s="164"/>
      <c r="E413" s="164">
        <f t="shared" si="39"/>
        <v>-2.69</v>
      </c>
      <c r="F413" s="197">
        <f>SUM($E$2:E413)/SUM($C$2:C413)</f>
        <v>-4.5154612370454497E-2</v>
      </c>
      <c r="G413" s="164">
        <f t="shared" si="40"/>
        <v>-61.651850000000124</v>
      </c>
      <c r="H413" s="485" t="s">
        <v>177</v>
      </c>
      <c r="I413" s="2"/>
      <c r="J413" s="2"/>
      <c r="K413" s="2"/>
      <c r="L413" s="2"/>
      <c r="O413" s="58"/>
      <c r="P413" s="58"/>
    </row>
    <row r="414" spans="2:16">
      <c r="B414" s="652"/>
      <c r="C414" s="484">
        <v>2.69</v>
      </c>
      <c r="D414" s="164">
        <v>1.845</v>
      </c>
      <c r="E414" s="164">
        <f t="shared" si="39"/>
        <v>2.27305</v>
      </c>
      <c r="F414" s="197">
        <f>SUM($E$2:E414)/SUM($C$2:C414)</f>
        <v>-4.3404286424373592E-2</v>
      </c>
      <c r="G414" s="164">
        <f t="shared" si="40"/>
        <v>-59.378800000000126</v>
      </c>
      <c r="H414" s="485" t="s">
        <v>178</v>
      </c>
      <c r="I414" s="2"/>
      <c r="J414" s="2"/>
      <c r="K414" s="2"/>
      <c r="L414" s="2"/>
      <c r="O414" s="58"/>
      <c r="P414" s="58"/>
    </row>
    <row r="415" spans="2:16">
      <c r="B415" s="652"/>
      <c r="C415" s="484">
        <v>2.69</v>
      </c>
      <c r="D415" s="164"/>
      <c r="E415" s="164">
        <f t="shared" si="39"/>
        <v>-2.69</v>
      </c>
      <c r="F415" s="197">
        <f>SUM($E$2:E415)/SUM($C$2:C415)</f>
        <v>-4.5281565297323356E-2</v>
      </c>
      <c r="G415" s="164">
        <f t="shared" si="40"/>
        <v>-62.068800000000124</v>
      </c>
      <c r="H415" s="485" t="s">
        <v>179</v>
      </c>
      <c r="O415" s="58"/>
      <c r="P415" s="58"/>
    </row>
    <row r="416" spans="2:16">
      <c r="B416" s="652"/>
      <c r="C416" s="484">
        <v>2.69</v>
      </c>
      <c r="D416" s="164"/>
      <c r="E416" s="164">
        <f t="shared" si="39"/>
        <v>-2.69</v>
      </c>
      <c r="F416" s="197">
        <f>SUM($E$2:E416)/SUM($C$2:C416)</f>
        <v>-4.715149043992372E-2</v>
      </c>
      <c r="G416" s="164">
        <f t="shared" si="40"/>
        <v>-64.758800000000122</v>
      </c>
      <c r="H416" s="485" t="s">
        <v>180</v>
      </c>
      <c r="I416" s="2"/>
      <c r="J416" s="2"/>
      <c r="K416" s="2"/>
      <c r="L416" s="2"/>
      <c r="O416" s="58"/>
      <c r="P416" s="58"/>
    </row>
    <row r="417" spans="2:16">
      <c r="B417" s="652"/>
      <c r="C417" s="491">
        <v>2.69</v>
      </c>
      <c r="D417" s="257"/>
      <c r="E417" s="257">
        <f t="shared" si="39"/>
        <v>-2.69</v>
      </c>
      <c r="F417" s="256">
        <f>SUM($E$2:E417)/SUM($C$2:C417)</f>
        <v>-4.9014104977073071E-2</v>
      </c>
      <c r="G417" s="257">
        <f t="shared" si="40"/>
        <v>-67.448800000000119</v>
      </c>
      <c r="H417" s="492" t="s">
        <v>181</v>
      </c>
      <c r="I417" s="490">
        <f>SUM(E402:E417)</f>
        <v>-13.584499999999997</v>
      </c>
      <c r="J417" s="490">
        <f>SUM(E363:E417)</f>
        <v>-9.4171099999999885</v>
      </c>
      <c r="L417" s="2">
        <f>I417/C417</f>
        <v>-5.0499999999999989</v>
      </c>
      <c r="O417" s="58"/>
      <c r="P417" s="58"/>
    </row>
    <row r="418" spans="2:16">
      <c r="B418" s="650">
        <v>46006</v>
      </c>
      <c r="C418" s="484">
        <v>4.22</v>
      </c>
      <c r="D418" s="164"/>
      <c r="E418" s="164">
        <f t="shared" ref="E418:E427" si="41">(C418*D418)-C418</f>
        <v>-4.22</v>
      </c>
      <c r="F418" s="197">
        <f>SUM($E$2:E418)/SUM($C$2:C418)</f>
        <v>-5.192149703331813E-2</v>
      </c>
      <c r="G418" s="164">
        <f t="shared" ref="G418:G427" si="42">G417+E418</f>
        <v>-71.668800000000118</v>
      </c>
      <c r="H418" s="485" t="s">
        <v>97</v>
      </c>
      <c r="I418" s="2"/>
      <c r="J418" s="2"/>
      <c r="K418" s="2"/>
      <c r="L418" s="2"/>
      <c r="O418" s="58"/>
      <c r="P418" s="58"/>
    </row>
    <row r="419" spans="2:16">
      <c r="B419" s="652"/>
      <c r="C419" s="484">
        <v>4.22</v>
      </c>
      <c r="D419" s="164">
        <v>1.9</v>
      </c>
      <c r="E419" s="164">
        <f t="shared" si="41"/>
        <v>3.7979999999999992</v>
      </c>
      <c r="F419" s="197">
        <f>SUM($E$2:E419)/SUM($C$2:C419)</f>
        <v>-4.902011483875629E-2</v>
      </c>
      <c r="G419" s="164">
        <f t="shared" si="42"/>
        <v>-67.870800000000116</v>
      </c>
      <c r="H419" s="485" t="s">
        <v>53</v>
      </c>
      <c r="I419" s="2"/>
      <c r="J419" s="2"/>
      <c r="K419" s="2"/>
      <c r="L419" s="2"/>
      <c r="O419" s="58"/>
      <c r="P419" s="58"/>
    </row>
    <row r="420" spans="2:16">
      <c r="B420" s="652"/>
      <c r="C420" s="491">
        <v>4.22</v>
      </c>
      <c r="D420" s="257">
        <v>1.9</v>
      </c>
      <c r="E420" s="257">
        <f t="shared" si="41"/>
        <v>3.7979999999999992</v>
      </c>
      <c r="F420" s="256">
        <f>SUM($E$2:E420)/SUM($C$2:C420)</f>
        <v>-4.6136365272867373E-2</v>
      </c>
      <c r="G420" s="257">
        <f t="shared" si="42"/>
        <v>-64.072800000000115</v>
      </c>
      <c r="H420" s="492" t="s">
        <v>26</v>
      </c>
      <c r="I420" s="2"/>
      <c r="J420" s="2"/>
      <c r="K420" s="2"/>
      <c r="L420" s="2"/>
      <c r="O420" s="58"/>
      <c r="P420" s="58"/>
    </row>
    <row r="421" spans="2:16">
      <c r="B421" s="652"/>
      <c r="C421" s="484">
        <v>4.22</v>
      </c>
      <c r="D421" s="164"/>
      <c r="E421" s="164">
        <f t="shared" si="41"/>
        <v>-4.22</v>
      </c>
      <c r="F421" s="197">
        <f>SUM($E$2:E421)/SUM($C$2:C421)</f>
        <v>-4.9026051874026387E-2</v>
      </c>
      <c r="G421" s="164">
        <f t="shared" si="42"/>
        <v>-68.292800000000113</v>
      </c>
      <c r="H421" s="485" t="s">
        <v>37</v>
      </c>
      <c r="I421" s="2"/>
      <c r="J421" s="2"/>
      <c r="K421" s="2"/>
      <c r="L421" s="2"/>
      <c r="O421" s="58"/>
      <c r="P421" s="58"/>
    </row>
    <row r="422" spans="2:16">
      <c r="B422" s="652"/>
      <c r="C422" s="484">
        <v>4.22</v>
      </c>
      <c r="D422" s="164">
        <v>1.9</v>
      </c>
      <c r="E422" s="164">
        <f t="shared" si="41"/>
        <v>3.7979999999999992</v>
      </c>
      <c r="F422" s="197">
        <f>SUM($E$2:E422)/SUM($C$2:C422)</f>
        <v>-4.6159703981506012E-2</v>
      </c>
      <c r="G422" s="164">
        <f t="shared" si="42"/>
        <v>-64.494800000000112</v>
      </c>
      <c r="H422" s="485" t="s">
        <v>47</v>
      </c>
      <c r="I422" s="2"/>
      <c r="J422" s="2"/>
      <c r="K422" s="2"/>
      <c r="L422" s="2"/>
      <c r="O422" s="58"/>
      <c r="P422" s="58"/>
    </row>
    <row r="423" spans="2:16">
      <c r="B423" s="652"/>
      <c r="C423" s="491">
        <v>4.22</v>
      </c>
      <c r="D423" s="257">
        <v>1.9</v>
      </c>
      <c r="E423" s="257">
        <f t="shared" si="41"/>
        <v>3.7979999999999992</v>
      </c>
      <c r="F423" s="256">
        <f>SUM($E$2:E423)/SUM($C$2:C423)</f>
        <v>-4.3310618439736569E-2</v>
      </c>
      <c r="G423" s="257">
        <f t="shared" si="42"/>
        <v>-60.69680000000011</v>
      </c>
      <c r="H423" s="492" t="s">
        <v>59</v>
      </c>
      <c r="I423" s="2"/>
      <c r="J423" s="2"/>
      <c r="K423" s="2"/>
      <c r="L423" s="2"/>
      <c r="O423" s="58"/>
      <c r="P423" s="58"/>
    </row>
    <row r="424" spans="2:16">
      <c r="B424" s="652"/>
      <c r="C424" s="484">
        <v>4.22</v>
      </c>
      <c r="D424" s="164"/>
      <c r="E424" s="164">
        <f t="shared" si="41"/>
        <v>-4.22</v>
      </c>
      <c r="F424" s="197">
        <f>SUM($E$2:E424)/SUM($C$2:C424)</f>
        <v>-4.6182762423078297E-2</v>
      </c>
      <c r="G424" s="164">
        <f t="shared" si="42"/>
        <v>-64.916800000000109</v>
      </c>
      <c r="H424" s="485" t="s">
        <v>105</v>
      </c>
      <c r="I424" s="2"/>
      <c r="J424" s="2"/>
      <c r="K424" s="2"/>
      <c r="L424" s="2"/>
      <c r="O424" s="58"/>
      <c r="P424" s="58"/>
    </row>
    <row r="425" spans="2:16">
      <c r="B425" s="652"/>
      <c r="C425" s="484">
        <v>4.22</v>
      </c>
      <c r="D425" s="164">
        <v>1.825</v>
      </c>
      <c r="E425" s="164">
        <f t="shared" si="41"/>
        <v>3.4814999999999996</v>
      </c>
      <c r="F425" s="197">
        <f>SUM($E$2:E425)/SUM($C$2:C425)</f>
        <v>-4.3575152319008145E-2</v>
      </c>
      <c r="G425" s="164">
        <f t="shared" si="42"/>
        <v>-61.435300000000112</v>
      </c>
      <c r="H425" s="485" t="s">
        <v>182</v>
      </c>
      <c r="I425" s="2"/>
      <c r="J425" s="2"/>
      <c r="K425" s="2"/>
      <c r="L425" s="2"/>
      <c r="O425" s="58"/>
      <c r="P425" s="58"/>
    </row>
    <row r="426" spans="2:16">
      <c r="B426" s="652"/>
      <c r="C426" s="484">
        <v>4.22</v>
      </c>
      <c r="D426" s="164">
        <v>1.84</v>
      </c>
      <c r="E426" s="164">
        <f t="shared" si="41"/>
        <v>3.5448000000000004</v>
      </c>
      <c r="F426" s="197">
        <f>SUM($E$2:E426)/SUM($C$2:C426)</f>
        <v>-4.0938341972576016E-2</v>
      </c>
      <c r="G426" s="164">
        <f t="shared" si="42"/>
        <v>-57.89050000000011</v>
      </c>
      <c r="H426" s="485" t="s">
        <v>183</v>
      </c>
      <c r="I426" s="2"/>
      <c r="J426" s="2"/>
      <c r="K426" s="2"/>
      <c r="L426" s="2"/>
      <c r="O426" s="58"/>
      <c r="P426" s="58"/>
    </row>
    <row r="427" spans="2:16">
      <c r="B427" s="652"/>
      <c r="C427" s="491">
        <v>4.22</v>
      </c>
      <c r="D427" s="257"/>
      <c r="E427" s="257">
        <f t="shared" si="41"/>
        <v>-4.22</v>
      </c>
      <c r="F427" s="256">
        <f>SUM($E$2:E427)/SUM($C$2:C427)</f>
        <v>-4.3791907269919841E-2</v>
      </c>
      <c r="G427" s="257">
        <f t="shared" si="42"/>
        <v>-62.110500000000108</v>
      </c>
      <c r="H427" s="492" t="s">
        <v>116</v>
      </c>
      <c r="I427" s="2">
        <f>SUM(E418:E427)</f>
        <v>5.3382999999999976</v>
      </c>
      <c r="L427" s="2">
        <f>I427/C427</f>
        <v>1.2649999999999995</v>
      </c>
      <c r="O427" s="58"/>
      <c r="P427" s="58"/>
    </row>
    <row r="428" spans="2:16">
      <c r="B428" s="650">
        <v>46008</v>
      </c>
      <c r="C428" s="484">
        <v>10.63</v>
      </c>
      <c r="D428" s="164"/>
      <c r="E428" s="164">
        <f t="shared" ref="E428:E433" si="43">(C428*D428)-C428</f>
        <v>-10.63</v>
      </c>
      <c r="F428" s="197">
        <f>SUM($E$2:E428)/SUM($C$2:C428)</f>
        <v>-5.0905216454154821E-2</v>
      </c>
      <c r="G428" s="164">
        <f t="shared" ref="G428:G433" si="44">G427+E428</f>
        <v>-72.740500000000111</v>
      </c>
      <c r="H428" s="485" t="s">
        <v>46</v>
      </c>
      <c r="I428" s="2"/>
      <c r="J428" s="2"/>
      <c r="K428" s="2"/>
      <c r="L428" s="2"/>
      <c r="O428" s="58"/>
      <c r="P428" s="58"/>
    </row>
    <row r="429" spans="2:16">
      <c r="B429" s="652"/>
      <c r="C429" s="491">
        <v>10.63</v>
      </c>
      <c r="D429" s="257">
        <v>1.8</v>
      </c>
      <c r="E429" s="257">
        <f t="shared" si="43"/>
        <v>8.5039999999999996</v>
      </c>
      <c r="F429" s="256">
        <f>SUM($E$2:E429)/SUM($C$2:C429)</f>
        <v>-4.4622005182102985E-2</v>
      </c>
      <c r="G429" s="257">
        <f t="shared" si="44"/>
        <v>-64.236500000000106</v>
      </c>
      <c r="H429" s="492" t="s">
        <v>26</v>
      </c>
      <c r="I429" s="2"/>
      <c r="J429" s="2"/>
      <c r="K429" s="2"/>
      <c r="L429" s="2"/>
      <c r="O429" s="58"/>
      <c r="P429" s="58"/>
    </row>
    <row r="430" spans="2:16">
      <c r="B430" s="652"/>
      <c r="C430" s="484">
        <v>10.63</v>
      </c>
      <c r="D430" s="164">
        <v>1.9</v>
      </c>
      <c r="E430" s="164">
        <f t="shared" si="43"/>
        <v>9.5669999999999984</v>
      </c>
      <c r="F430" s="197">
        <f>SUM($E$2:E430)/SUM($C$2:C430)</f>
        <v>-3.7697903737415536E-2</v>
      </c>
      <c r="G430" s="164">
        <f t="shared" si="44"/>
        <v>-54.669500000000106</v>
      </c>
      <c r="H430" s="485" t="s">
        <v>35</v>
      </c>
      <c r="I430" s="2"/>
      <c r="J430" s="2"/>
      <c r="K430" s="2"/>
      <c r="L430" s="2"/>
      <c r="O430" s="58"/>
      <c r="P430" s="58"/>
    </row>
    <row r="431" spans="2:16">
      <c r="B431" s="652"/>
      <c r="C431" s="491">
        <v>10.63</v>
      </c>
      <c r="D431" s="257"/>
      <c r="E431" s="257">
        <f t="shared" si="43"/>
        <v>-10.63</v>
      </c>
      <c r="F431" s="256">
        <f>SUM($E$2:E431)/SUM($C$2:C431)</f>
        <v>-4.4700273132397328E-2</v>
      </c>
      <c r="G431" s="257">
        <f t="shared" si="44"/>
        <v>-65.299500000000108</v>
      </c>
      <c r="H431" s="492" t="s">
        <v>104</v>
      </c>
      <c r="I431" s="2"/>
      <c r="J431" s="2"/>
      <c r="K431" s="2"/>
      <c r="L431" s="2"/>
      <c r="O431" s="58"/>
      <c r="P431" s="58"/>
    </row>
    <row r="432" spans="2:16">
      <c r="B432" s="652"/>
      <c r="C432" s="484">
        <v>10.63</v>
      </c>
      <c r="D432" s="164"/>
      <c r="E432" s="164">
        <f t="shared" si="43"/>
        <v>-10.63</v>
      </c>
      <c r="F432" s="197">
        <f>SUM($E$2:E432)/SUM($C$2:C432)</f>
        <v>-5.160147064819972E-2</v>
      </c>
      <c r="G432" s="164">
        <f t="shared" si="44"/>
        <v>-75.929500000000104</v>
      </c>
      <c r="H432" s="485" t="s">
        <v>184</v>
      </c>
      <c r="I432" s="2"/>
      <c r="J432" s="2"/>
      <c r="K432" s="2"/>
      <c r="L432" s="2"/>
      <c r="O432" s="58"/>
      <c r="P432" s="58"/>
    </row>
    <row r="433" spans="2:16">
      <c r="B433" s="652"/>
      <c r="C433" s="491">
        <v>10.63</v>
      </c>
      <c r="D433" s="257"/>
      <c r="E433" s="257">
        <f t="shared" si="43"/>
        <v>-10.63</v>
      </c>
      <c r="F433" s="256">
        <f>SUM($E$2:E433)/SUM($C$2:C433)</f>
        <v>-5.8403673191236655E-2</v>
      </c>
      <c r="G433" s="257">
        <f t="shared" si="44"/>
        <v>-86.559500000000099</v>
      </c>
      <c r="H433" s="492" t="s">
        <v>185</v>
      </c>
      <c r="I433" s="2">
        <f>SUM(E428:E433)</f>
        <v>-24.449000000000005</v>
      </c>
      <c r="L433" s="2">
        <f>I433/C433</f>
        <v>-2.3000000000000003</v>
      </c>
      <c r="O433" s="58"/>
      <c r="P433" s="58"/>
    </row>
    <row r="434" spans="2:16">
      <c r="B434" s="650">
        <v>46009</v>
      </c>
      <c r="C434" s="484">
        <v>1.7</v>
      </c>
      <c r="D434" s="164">
        <v>1.8</v>
      </c>
      <c r="E434" s="164">
        <f t="shared" ref="E434:E457" si="45">(C434*D434)-C434</f>
        <v>1.36</v>
      </c>
      <c r="F434" s="197">
        <f>SUM($E$2:E434)/SUM($C$2:C434)</f>
        <v>-5.7420187492839239E-2</v>
      </c>
      <c r="G434" s="164">
        <f t="shared" ref="G434:G457" si="46">G433+E434</f>
        <v>-85.1995000000001</v>
      </c>
      <c r="H434" s="485" t="s">
        <v>14</v>
      </c>
      <c r="I434" s="2"/>
      <c r="J434" s="2"/>
      <c r="K434" s="2"/>
      <c r="L434" s="2"/>
      <c r="O434" s="58"/>
      <c r="P434" s="58"/>
    </row>
    <row r="435" spans="2:16">
      <c r="B435" s="652"/>
      <c r="C435" s="484">
        <v>1.7</v>
      </c>
      <c r="D435" s="164"/>
      <c r="E435" s="164">
        <f t="shared" si="45"/>
        <v>-1.7</v>
      </c>
      <c r="F435" s="197">
        <f>SUM($E$2:E435)/SUM($C$2:C435)</f>
        <v>-5.8498879157718953E-2</v>
      </c>
      <c r="G435" s="164">
        <f t="shared" si="46"/>
        <v>-86.899500000000103</v>
      </c>
      <c r="H435" s="485" t="s">
        <v>29</v>
      </c>
      <c r="I435" s="2"/>
      <c r="J435" s="2"/>
      <c r="K435" s="2"/>
      <c r="L435" s="2"/>
      <c r="O435" s="58"/>
      <c r="P435" s="58"/>
    </row>
    <row r="436" spans="2:16">
      <c r="B436" s="652"/>
      <c r="C436" s="484">
        <v>1.7</v>
      </c>
      <c r="D436" s="164"/>
      <c r="E436" s="164">
        <f t="shared" si="45"/>
        <v>-1.7</v>
      </c>
      <c r="F436" s="197">
        <f>SUM($E$2:E436)/SUM($C$2:C436)</f>
        <v>-5.9575104727707912E-2</v>
      </c>
      <c r="G436" s="164">
        <f t="shared" si="46"/>
        <v>-88.599500000000106</v>
      </c>
      <c r="H436" s="485" t="s">
        <v>18</v>
      </c>
      <c r="I436" s="2"/>
      <c r="J436" s="2"/>
      <c r="K436" s="2"/>
      <c r="L436" s="2"/>
      <c r="O436" s="58"/>
      <c r="P436" s="58"/>
    </row>
    <row r="437" spans="2:16">
      <c r="B437" s="652"/>
      <c r="C437" s="484">
        <v>1.7</v>
      </c>
      <c r="D437" s="164">
        <v>1.9</v>
      </c>
      <c r="E437" s="164">
        <f t="shared" si="45"/>
        <v>1.53</v>
      </c>
      <c r="F437" s="197">
        <f>SUM($E$2:E437)/SUM($C$2:C437)</f>
        <v>-5.8479471283976604E-2</v>
      </c>
      <c r="G437" s="164">
        <f t="shared" si="46"/>
        <v>-87.069500000000104</v>
      </c>
      <c r="H437" s="526" t="s">
        <v>53</v>
      </c>
      <c r="I437" s="2"/>
      <c r="J437" s="2"/>
      <c r="K437" s="2"/>
      <c r="L437" s="2"/>
      <c r="O437" s="58"/>
      <c r="P437" s="58"/>
    </row>
    <row r="438" spans="2:16">
      <c r="B438" s="652"/>
      <c r="C438" s="484">
        <v>1.7</v>
      </c>
      <c r="D438" s="164"/>
      <c r="E438" s="164">
        <f t="shared" si="45"/>
        <v>-1.7</v>
      </c>
      <c r="F438" s="197">
        <f>SUM($E$2:E438)/SUM($C$2:C438)</f>
        <v>-5.9553264143728267E-2</v>
      </c>
      <c r="G438" s="164">
        <f t="shared" si="46"/>
        <v>-88.769500000000107</v>
      </c>
      <c r="H438" s="526" t="s">
        <v>97</v>
      </c>
      <c r="I438" s="2"/>
      <c r="J438" s="2"/>
      <c r="K438" s="2"/>
      <c r="L438" s="2"/>
      <c r="O438" s="58"/>
      <c r="P438" s="58"/>
    </row>
    <row r="439" spans="2:16">
      <c r="B439" s="652"/>
      <c r="C439" s="491">
        <v>1.7</v>
      </c>
      <c r="D439" s="257"/>
      <c r="E439" s="257">
        <f t="shared" si="45"/>
        <v>-1.7</v>
      </c>
      <c r="F439" s="256">
        <f>SUM($E$2:E439)/SUM($C$2:C439)</f>
        <v>-6.0624610497959461E-2</v>
      </c>
      <c r="G439" s="257">
        <f t="shared" si="46"/>
        <v>-90.46950000000011</v>
      </c>
      <c r="H439" s="492" t="s">
        <v>64</v>
      </c>
      <c r="I439" s="2"/>
      <c r="J439" s="2"/>
      <c r="K439" s="2"/>
      <c r="L439" s="2"/>
      <c r="O439" s="58"/>
      <c r="P439" s="58"/>
    </row>
    <row r="440" spans="2:16">
      <c r="B440" s="652"/>
      <c r="C440" s="484">
        <v>1.7</v>
      </c>
      <c r="D440" s="164">
        <v>2</v>
      </c>
      <c r="E440" s="164">
        <f t="shared" si="45"/>
        <v>1.7</v>
      </c>
      <c r="F440" s="197">
        <f>SUM($E$2:E440)/SUM($C$2:C440)</f>
        <v>-5.9417733719770494E-2</v>
      </c>
      <c r="G440" s="164">
        <f t="shared" si="46"/>
        <v>-88.769500000000107</v>
      </c>
      <c r="H440" s="485" t="s">
        <v>15</v>
      </c>
      <c r="I440" s="2"/>
      <c r="J440" s="2"/>
      <c r="K440" s="2"/>
      <c r="L440" s="2"/>
      <c r="O440" s="58"/>
      <c r="P440" s="58"/>
    </row>
    <row r="441" spans="2:16">
      <c r="B441" s="652"/>
      <c r="C441" s="484">
        <v>1.7</v>
      </c>
      <c r="D441" s="164">
        <v>1.9</v>
      </c>
      <c r="E441" s="164">
        <f t="shared" si="45"/>
        <v>1.53</v>
      </c>
      <c r="F441" s="197">
        <f>SUM($E$2:E441)/SUM($C$2:C441)</f>
        <v>-5.8327260328009091E-2</v>
      </c>
      <c r="G441" s="164">
        <f t="shared" si="46"/>
        <v>-87.239500000000106</v>
      </c>
      <c r="H441" s="485" t="s">
        <v>60</v>
      </c>
      <c r="I441" s="2"/>
      <c r="J441" s="2"/>
      <c r="K441" s="2"/>
      <c r="L441" s="2"/>
      <c r="O441" s="58"/>
      <c r="P441" s="58"/>
    </row>
    <row r="442" spans="2:16">
      <c r="B442" s="652"/>
      <c r="C442" s="484">
        <v>1.7</v>
      </c>
      <c r="D442" s="164">
        <v>1.85</v>
      </c>
      <c r="E442" s="164">
        <f t="shared" si="45"/>
        <v>1.4450000000000001</v>
      </c>
      <c r="F442" s="197">
        <f>SUM($E$2:E442)/SUM($C$2:C442)</f>
        <v>-5.7296028422788935E-2</v>
      </c>
      <c r="G442" s="164">
        <f t="shared" si="46"/>
        <v>-85.794500000000113</v>
      </c>
      <c r="H442" s="485" t="s">
        <v>30</v>
      </c>
      <c r="I442" s="2"/>
      <c r="J442" s="2"/>
      <c r="K442" s="2"/>
      <c r="L442" s="2"/>
      <c r="O442" s="58"/>
      <c r="P442" s="58"/>
    </row>
    <row r="443" spans="2:16">
      <c r="B443" s="652"/>
      <c r="C443" s="484">
        <v>1.7</v>
      </c>
      <c r="D443" s="164"/>
      <c r="E443" s="164">
        <f t="shared" si="45"/>
        <v>-1.7</v>
      </c>
      <c r="F443" s="197">
        <f>SUM($E$2:E443)/SUM($C$2:C443)</f>
        <v>-5.8365074812052595E-2</v>
      </c>
      <c r="G443" s="164">
        <f t="shared" si="46"/>
        <v>-87.494500000000116</v>
      </c>
      <c r="H443" s="485" t="s">
        <v>12</v>
      </c>
      <c r="I443" s="2"/>
      <c r="J443" s="2"/>
      <c r="K443" s="2"/>
      <c r="L443" s="2"/>
      <c r="O443" s="58"/>
      <c r="P443" s="58"/>
    </row>
    <row r="444" spans="2:16">
      <c r="B444" s="652"/>
      <c r="C444" s="484">
        <v>1.7</v>
      </c>
      <c r="D444" s="164"/>
      <c r="E444" s="164">
        <f t="shared" si="45"/>
        <v>-1.7</v>
      </c>
      <c r="F444" s="197">
        <f>SUM($E$2:E444)/SUM($C$2:C444)</f>
        <v>-5.9431699305032629E-2</v>
      </c>
      <c r="G444" s="164">
        <f t="shared" si="46"/>
        <v>-89.194500000000119</v>
      </c>
      <c r="H444" s="485" t="s">
        <v>34</v>
      </c>
      <c r="I444" s="2"/>
      <c r="J444" s="2"/>
      <c r="K444" s="2"/>
      <c r="L444" s="2"/>
      <c r="O444" s="58"/>
      <c r="P444" s="58"/>
    </row>
    <row r="445" spans="2:16">
      <c r="B445" s="652"/>
      <c r="C445" s="484">
        <v>1.7</v>
      </c>
      <c r="D445" s="164">
        <v>1.9</v>
      </c>
      <c r="E445" s="164">
        <f t="shared" si="45"/>
        <v>1.53</v>
      </c>
      <c r="F445" s="197">
        <f>SUM($E$2:E445)/SUM($C$2:C445)</f>
        <v>-5.8346145398638208E-2</v>
      </c>
      <c r="G445" s="164">
        <f t="shared" si="46"/>
        <v>-87.664500000000118</v>
      </c>
      <c r="H445" s="485" t="s">
        <v>13</v>
      </c>
      <c r="I445" s="2"/>
      <c r="J445" s="2"/>
      <c r="K445" s="2"/>
      <c r="L445" s="2"/>
      <c r="O445" s="58"/>
      <c r="P445" s="58"/>
    </row>
    <row r="446" spans="2:16">
      <c r="B446" s="652"/>
      <c r="C446" s="484">
        <v>1.7</v>
      </c>
      <c r="D446" s="164">
        <v>1.9</v>
      </c>
      <c r="E446" s="164">
        <f t="shared" si="45"/>
        <v>1.53</v>
      </c>
      <c r="F446" s="197">
        <f>SUM($E$2:E446)/SUM($C$2:C446)</f>
        <v>-5.7263045226999196E-2</v>
      </c>
      <c r="G446" s="164">
        <f t="shared" si="46"/>
        <v>-86.134500000000116</v>
      </c>
      <c r="H446" s="485" t="s">
        <v>59</v>
      </c>
      <c r="I446" s="2"/>
      <c r="J446" s="2"/>
      <c r="K446" s="2"/>
      <c r="L446" s="2"/>
      <c r="O446" s="58"/>
      <c r="P446" s="58"/>
    </row>
    <row r="447" spans="2:16">
      <c r="B447" s="652"/>
      <c r="C447" s="484">
        <v>1.7</v>
      </c>
      <c r="D447" s="164"/>
      <c r="E447" s="164">
        <f t="shared" si="45"/>
        <v>-1.7</v>
      </c>
      <c r="F447" s="197">
        <f>SUM($E$2:E447)/SUM($C$2:C447)</f>
        <v>-5.8327301462922199E-2</v>
      </c>
      <c r="G447" s="164">
        <f t="shared" si="46"/>
        <v>-87.834500000000119</v>
      </c>
      <c r="H447" s="485" t="s">
        <v>36</v>
      </c>
      <c r="I447" s="2"/>
      <c r="J447" s="2"/>
      <c r="K447" s="2"/>
      <c r="L447" s="2"/>
      <c r="O447" s="58"/>
      <c r="P447" s="58"/>
    </row>
    <row r="448" spans="2:16">
      <c r="B448" s="652"/>
      <c r="C448" s="491">
        <v>1.7</v>
      </c>
      <c r="D448" s="257">
        <v>2</v>
      </c>
      <c r="E448" s="257">
        <f t="shared" si="45"/>
        <v>1.7</v>
      </c>
      <c r="F448" s="256">
        <f>SUM($E$2:E448)/SUM($C$2:C448)</f>
        <v>-5.7133902453584802E-2</v>
      </c>
      <c r="G448" s="257">
        <f t="shared" si="46"/>
        <v>-86.134500000000116</v>
      </c>
      <c r="H448" s="492" t="s">
        <v>47</v>
      </c>
      <c r="I448" s="2"/>
      <c r="J448" s="2"/>
      <c r="K448" s="2"/>
      <c r="L448" s="2"/>
      <c r="O448" s="58"/>
      <c r="P448" s="58"/>
    </row>
    <row r="449" spans="2:16">
      <c r="B449" s="652"/>
      <c r="C449" s="484">
        <v>1.7</v>
      </c>
      <c r="D449" s="164">
        <v>1.84</v>
      </c>
      <c r="E449" s="164">
        <f t="shared" si="45"/>
        <v>1.4280000000000002</v>
      </c>
      <c r="F449" s="197">
        <f>SUM($E$2:E449)/SUM($C$2:C449)</f>
        <v>-5.612340902013524E-2</v>
      </c>
      <c r="G449" s="164">
        <f t="shared" si="46"/>
        <v>-84.706500000000119</v>
      </c>
      <c r="H449" s="485" t="s">
        <v>186</v>
      </c>
      <c r="I449" s="2"/>
      <c r="J449" s="2"/>
      <c r="K449" s="2"/>
      <c r="L449" s="2"/>
      <c r="O449" s="58"/>
      <c r="P449" s="58"/>
    </row>
    <row r="450" spans="2:16">
      <c r="B450" s="652"/>
      <c r="C450" s="484">
        <v>1.7</v>
      </c>
      <c r="D450" s="164">
        <v>1.9</v>
      </c>
      <c r="E450" s="164">
        <f t="shared" si="45"/>
        <v>1.53</v>
      </c>
      <c r="F450" s="197">
        <f>SUM($E$2:E450)/SUM($C$2:C450)</f>
        <v>-5.5047683968788619E-2</v>
      </c>
      <c r="G450" s="164">
        <f t="shared" si="46"/>
        <v>-83.176500000000118</v>
      </c>
      <c r="H450" s="485" t="s">
        <v>187</v>
      </c>
      <c r="I450" s="2"/>
      <c r="J450" s="2"/>
      <c r="K450" s="2"/>
      <c r="L450" s="2"/>
      <c r="O450" s="58"/>
      <c r="P450" s="58"/>
    </row>
    <row r="451" spans="2:16">
      <c r="B451" s="652"/>
      <c r="C451" s="484">
        <v>1.7</v>
      </c>
      <c r="D451" s="164">
        <v>1.845</v>
      </c>
      <c r="E451" s="164">
        <f t="shared" si="45"/>
        <v>1.4364999999999999</v>
      </c>
      <c r="F451" s="197">
        <f>SUM($E$2:E451)/SUM($C$2:C451)</f>
        <v>-5.4036187189708353E-2</v>
      </c>
      <c r="G451" s="164">
        <f t="shared" si="46"/>
        <v>-81.740000000000123</v>
      </c>
      <c r="H451" s="485" t="s">
        <v>188</v>
      </c>
      <c r="I451" s="2"/>
      <c r="J451" s="2"/>
      <c r="K451" s="2"/>
      <c r="L451" s="2"/>
      <c r="O451" s="58"/>
      <c r="P451" s="58"/>
    </row>
    <row r="452" spans="2:16">
      <c r="B452" s="652"/>
      <c r="C452" s="484">
        <v>1.7</v>
      </c>
      <c r="D452" s="164"/>
      <c r="E452" s="164">
        <f t="shared" si="45"/>
        <v>-1.7</v>
      </c>
      <c r="F452" s="197">
        <f>SUM($E$2:E452)/SUM($C$2:C452)</f>
        <v>-5.5098092301190525E-2</v>
      </c>
      <c r="G452" s="164">
        <f t="shared" si="46"/>
        <v>-83.440000000000126</v>
      </c>
      <c r="H452" s="485" t="s">
        <v>189</v>
      </c>
      <c r="I452" s="2"/>
      <c r="J452" s="2"/>
      <c r="K452" s="2"/>
      <c r="L452" s="2"/>
      <c r="O452" s="58"/>
      <c r="P452" s="58"/>
    </row>
    <row r="453" spans="2:16">
      <c r="B453" s="652"/>
      <c r="C453" s="484">
        <v>1.7</v>
      </c>
      <c r="D453" s="164"/>
      <c r="E453" s="164">
        <f t="shared" si="45"/>
        <v>-1.7</v>
      </c>
      <c r="F453" s="197">
        <f>SUM($E$2:E453)/SUM($C$2:C453)</f>
        <v>-5.6157615972666476E-2</v>
      </c>
      <c r="G453" s="164">
        <f t="shared" si="46"/>
        <v>-85.140000000000128</v>
      </c>
      <c r="H453" s="485" t="s">
        <v>190</v>
      </c>
      <c r="I453" s="2"/>
      <c r="J453" s="2"/>
      <c r="K453" s="2"/>
      <c r="L453" s="2"/>
      <c r="O453" s="58"/>
      <c r="P453" s="58"/>
    </row>
    <row r="454" spans="2:16">
      <c r="B454" s="652"/>
      <c r="C454" s="484">
        <v>1.7</v>
      </c>
      <c r="D454" s="164">
        <v>1.9</v>
      </c>
      <c r="E454" s="164">
        <f t="shared" si="45"/>
        <v>1.53</v>
      </c>
      <c r="F454" s="197">
        <f>SUM($E$2:E454)/SUM($C$2:C454)</f>
        <v>-5.508667206925854E-2</v>
      </c>
      <c r="G454" s="164">
        <f t="shared" si="46"/>
        <v>-83.610000000000127</v>
      </c>
      <c r="H454" s="485" t="s">
        <v>191</v>
      </c>
      <c r="I454" s="2"/>
      <c r="J454" s="2"/>
      <c r="K454" s="2"/>
      <c r="L454" s="2"/>
      <c r="O454" s="58"/>
      <c r="P454" s="58"/>
    </row>
    <row r="455" spans="2:16">
      <c r="B455" s="652"/>
      <c r="C455" s="484">
        <v>1.7</v>
      </c>
      <c r="D455" s="164">
        <v>1.9</v>
      </c>
      <c r="E455" s="164">
        <f t="shared" si="45"/>
        <v>1.53</v>
      </c>
      <c r="F455" s="197">
        <f>SUM($E$2:E455)/SUM($C$2:C455)</f>
        <v>-5.4018124502300056E-2</v>
      </c>
      <c r="G455" s="164">
        <f t="shared" si="46"/>
        <v>-82.080000000000126</v>
      </c>
      <c r="H455" s="485" t="s">
        <v>192</v>
      </c>
      <c r="I455" s="2"/>
      <c r="J455" s="2"/>
      <c r="K455" s="2"/>
      <c r="L455" s="2"/>
      <c r="O455" s="58"/>
      <c r="P455" s="58"/>
    </row>
    <row r="456" spans="2:16">
      <c r="B456" s="652"/>
      <c r="C456" s="484">
        <v>1.7</v>
      </c>
      <c r="D456" s="164"/>
      <c r="E456" s="164">
        <f t="shared" si="45"/>
        <v>-1.7</v>
      </c>
      <c r="F456" s="197">
        <f>SUM($E$2:E456)/SUM($C$2:C456)</f>
        <v>-5.5075302887870624E-2</v>
      </c>
      <c r="G456" s="164">
        <f t="shared" si="46"/>
        <v>-83.780000000000129</v>
      </c>
      <c r="H456" s="485" t="s">
        <v>193</v>
      </c>
      <c r="I456" s="2"/>
      <c r="J456" s="2"/>
      <c r="K456" s="2"/>
      <c r="L456" s="2"/>
      <c r="O456" s="58"/>
      <c r="P456" s="58"/>
    </row>
    <row r="457" spans="2:16">
      <c r="B457" s="652"/>
      <c r="C457" s="491">
        <v>1.7</v>
      </c>
      <c r="D457" s="257">
        <v>1.86</v>
      </c>
      <c r="E457" s="257">
        <f t="shared" si="45"/>
        <v>1.462</v>
      </c>
      <c r="F457" s="256">
        <f>SUM($E$2:E457)/SUM($C$2:C457)</f>
        <v>-5.4053805593312659E-2</v>
      </c>
      <c r="G457" s="257">
        <f t="shared" si="46"/>
        <v>-82.318000000000126</v>
      </c>
      <c r="H457" s="492" t="s">
        <v>194</v>
      </c>
      <c r="I457" s="2">
        <f>SUM(E434:E457)</f>
        <v>4.2415000000000003</v>
      </c>
      <c r="L457" s="2">
        <f>I457/C457</f>
        <v>2.4950000000000001</v>
      </c>
      <c r="O457" s="58"/>
      <c r="P457" s="58"/>
    </row>
    <row r="458" spans="2:16">
      <c r="B458" s="650">
        <v>46010</v>
      </c>
      <c r="C458" s="484">
        <v>4.12</v>
      </c>
      <c r="D458" s="164">
        <v>1.9</v>
      </c>
      <c r="E458" s="164">
        <f t="shared" ref="E458:E467" si="47">(C458*D458)-C458</f>
        <v>3.7079999999999993</v>
      </c>
      <c r="F458" s="197">
        <f>SUM($E$2:E458)/SUM($C$2:C458)</f>
        <v>-5.1479689065559449E-2</v>
      </c>
      <c r="G458" s="164">
        <f t="shared" ref="G458:G467" si="48">G457+E458</f>
        <v>-78.610000000000127</v>
      </c>
      <c r="H458" s="485" t="s">
        <v>16</v>
      </c>
      <c r="I458" s="2"/>
      <c r="J458" s="2"/>
      <c r="K458" s="2"/>
      <c r="L458" s="2"/>
      <c r="O458" s="58"/>
      <c r="P458" s="58"/>
    </row>
    <row r="459" spans="2:16">
      <c r="B459" s="652"/>
      <c r="C459" s="491">
        <v>4.12</v>
      </c>
      <c r="D459" s="257">
        <v>1.84</v>
      </c>
      <c r="E459" s="257">
        <f t="shared" si="47"/>
        <v>3.4608000000000008</v>
      </c>
      <c r="F459" s="256">
        <f>SUM($E$2:E459)/SUM($C$2:C459)</f>
        <v>-4.9080874909380616E-2</v>
      </c>
      <c r="G459" s="257">
        <f t="shared" si="48"/>
        <v>-75.149200000000121</v>
      </c>
      <c r="H459" s="492" t="s">
        <v>51</v>
      </c>
      <c r="I459" s="2"/>
      <c r="J459" s="2"/>
      <c r="K459" s="2"/>
      <c r="L459" s="2"/>
      <c r="O459" s="58"/>
      <c r="P459" s="58"/>
    </row>
    <row r="460" spans="2:16">
      <c r="B460" s="652"/>
      <c r="C460" s="484">
        <v>4.12</v>
      </c>
      <c r="D460" s="164">
        <v>1.9</v>
      </c>
      <c r="E460" s="164">
        <f t="shared" si="47"/>
        <v>3.7079999999999993</v>
      </c>
      <c r="F460" s="197">
        <f>SUM($E$2:E460)/SUM($C$2:C460)</f>
        <v>-4.6533919557075365E-2</v>
      </c>
      <c r="G460" s="164">
        <f t="shared" si="48"/>
        <v>-71.441200000000123</v>
      </c>
      <c r="H460" s="485" t="s">
        <v>37</v>
      </c>
      <c r="I460" s="2"/>
      <c r="J460" s="2"/>
      <c r="K460" s="2"/>
      <c r="L460" s="2"/>
      <c r="O460" s="58"/>
      <c r="P460" s="58"/>
    </row>
    <row r="461" spans="2:16">
      <c r="B461" s="652"/>
      <c r="C461" s="484">
        <v>4.12</v>
      </c>
      <c r="D461" s="164"/>
      <c r="E461" s="164">
        <f t="shared" si="47"/>
        <v>-4.12</v>
      </c>
      <c r="F461" s="197">
        <f>SUM($E$2:E461)/SUM($C$2:C461)</f>
        <v>-4.9085794838148046E-2</v>
      </c>
      <c r="G461" s="164">
        <f t="shared" si="48"/>
        <v>-75.561200000000127</v>
      </c>
      <c r="H461" s="485" t="s">
        <v>29</v>
      </c>
      <c r="I461" s="2"/>
      <c r="J461" s="2"/>
      <c r="K461" s="2"/>
      <c r="L461" s="2"/>
      <c r="O461" s="58"/>
      <c r="P461" s="58"/>
    </row>
    <row r="462" spans="2:16">
      <c r="B462" s="652"/>
      <c r="C462" s="484">
        <v>4.12</v>
      </c>
      <c r="D462" s="164"/>
      <c r="E462" s="164">
        <f t="shared" si="47"/>
        <v>-4.12</v>
      </c>
      <c r="F462" s="197">
        <f>SUM($E$2:E462)/SUM($C$2:C462)</f>
        <v>-5.1624046803024286E-2</v>
      </c>
      <c r="G462" s="164">
        <f t="shared" si="48"/>
        <v>-79.681200000000132</v>
      </c>
      <c r="H462" s="485" t="s">
        <v>14</v>
      </c>
      <c r="I462" s="2"/>
      <c r="J462" s="2"/>
      <c r="K462" s="2"/>
      <c r="L462" s="2"/>
      <c r="O462" s="58"/>
      <c r="P462" s="58"/>
    </row>
    <row r="463" spans="2:16">
      <c r="B463" s="652"/>
      <c r="C463" s="484">
        <v>4.12</v>
      </c>
      <c r="D463" s="164">
        <v>1.88</v>
      </c>
      <c r="E463" s="164">
        <f t="shared" si="47"/>
        <v>3.6255999999999995</v>
      </c>
      <c r="F463" s="197">
        <f>SUM($E$2:E463)/SUM($C$2:C463)</f>
        <v>-4.9143905764372137E-2</v>
      </c>
      <c r="G463" s="164">
        <f t="shared" si="48"/>
        <v>-76.055600000000126</v>
      </c>
      <c r="H463" s="485" t="s">
        <v>46</v>
      </c>
      <c r="I463" s="2"/>
      <c r="J463" s="2"/>
      <c r="K463" s="2"/>
      <c r="L463" s="2"/>
      <c r="O463" s="58"/>
      <c r="P463" s="58"/>
    </row>
    <row r="464" spans="2:16">
      <c r="B464" s="652"/>
      <c r="C464" s="491">
        <v>4.12</v>
      </c>
      <c r="D464" s="257">
        <v>1.9</v>
      </c>
      <c r="E464" s="257">
        <f t="shared" si="47"/>
        <v>3.7079999999999993</v>
      </c>
      <c r="F464" s="256">
        <f>SUM($E$2:E464)/SUM($C$2:C464)</f>
        <v>-4.662383275440958E-2</v>
      </c>
      <c r="G464" s="257">
        <f t="shared" si="48"/>
        <v>-72.347600000000128</v>
      </c>
      <c r="H464" s="492" t="s">
        <v>104</v>
      </c>
      <c r="I464" s="2"/>
      <c r="J464" s="2"/>
      <c r="K464" s="2"/>
      <c r="L464" s="2"/>
      <c r="O464" s="58"/>
      <c r="P464" s="58"/>
    </row>
    <row r="465" spans="2:16">
      <c r="B465" s="652"/>
      <c r="C465" s="484">
        <v>4.12</v>
      </c>
      <c r="D465" s="164">
        <v>1.9</v>
      </c>
      <c r="E465" s="164">
        <f t="shared" si="47"/>
        <v>3.7079999999999993</v>
      </c>
      <c r="F465" s="197">
        <f>SUM($E$2:E465)/SUM($C$2:C465)</f>
        <v>-4.4117106404859073E-2</v>
      </c>
      <c r="G465" s="164">
        <f t="shared" si="48"/>
        <v>-68.639600000000129</v>
      </c>
      <c r="H465" s="485" t="s">
        <v>195</v>
      </c>
      <c r="I465" s="2"/>
      <c r="J465" s="2"/>
      <c r="K465" s="2"/>
      <c r="L465" s="2"/>
      <c r="O465" s="58"/>
      <c r="P465" s="58"/>
    </row>
    <row r="466" spans="2:16">
      <c r="B466" s="652"/>
      <c r="C466" s="484">
        <v>4.12</v>
      </c>
      <c r="D466" s="164"/>
      <c r="E466" s="164">
        <f t="shared" si="47"/>
        <v>-4.12</v>
      </c>
      <c r="F466" s="197">
        <f>SUM($E$2:E466)/SUM($C$2:C466)</f>
        <v>-4.6641666185888185E-2</v>
      </c>
      <c r="G466" s="164">
        <f t="shared" si="48"/>
        <v>-72.759600000000134</v>
      </c>
      <c r="H466" s="485" t="s">
        <v>196</v>
      </c>
      <c r="I466" s="2"/>
      <c r="J466" s="2"/>
      <c r="K466" s="2"/>
      <c r="L466" s="2"/>
      <c r="O466" s="58"/>
      <c r="P466" s="58"/>
    </row>
    <row r="467" spans="2:16">
      <c r="B467" s="652"/>
      <c r="C467" s="491">
        <v>4.12</v>
      </c>
      <c r="D467" s="257">
        <v>1.85</v>
      </c>
      <c r="E467" s="257">
        <f t="shared" si="47"/>
        <v>3.5020000000000007</v>
      </c>
      <c r="F467" s="256">
        <f>SUM($E$2:E467)/SUM($C$2:C467)</f>
        <v>-4.4279804870563724E-2</v>
      </c>
      <c r="G467" s="257">
        <f t="shared" si="48"/>
        <v>-69.257600000000139</v>
      </c>
      <c r="H467" s="492" t="s">
        <v>197</v>
      </c>
      <c r="I467" s="2">
        <f>SUM(E458:E467)</f>
        <v>13.060399999999996</v>
      </c>
      <c r="L467" s="2">
        <f>I467/C467</f>
        <v>3.169999999999999</v>
      </c>
      <c r="O467" s="58"/>
      <c r="P467" s="58"/>
    </row>
    <row r="468" spans="2:16">
      <c r="B468" s="650">
        <v>46011</v>
      </c>
      <c r="C468" s="484">
        <v>2.1</v>
      </c>
      <c r="D468" s="164"/>
      <c r="E468" s="164">
        <f t="shared" ref="E468:E486" si="49">(C468*D468)-C468</f>
        <v>-2.1</v>
      </c>
      <c r="F468" s="197">
        <f>SUM($E$2:E468)/SUM($C$2:C468)</f>
        <v>-4.5561266513002893E-2</v>
      </c>
      <c r="G468" s="164">
        <f t="shared" ref="G468:G486" si="50">G467+E468</f>
        <v>-71.357600000000133</v>
      </c>
      <c r="H468" s="485" t="s">
        <v>53</v>
      </c>
      <c r="I468" s="2"/>
      <c r="J468" s="2"/>
      <c r="K468" s="2"/>
      <c r="L468" s="2"/>
      <c r="O468" s="58"/>
      <c r="P468" s="58"/>
    </row>
    <row r="469" spans="2:16">
      <c r="B469" s="652"/>
      <c r="C469" s="484">
        <v>2.1</v>
      </c>
      <c r="D469" s="164"/>
      <c r="E469" s="164">
        <f t="shared" si="49"/>
        <v>-2.1</v>
      </c>
      <c r="F469" s="197">
        <f>SUM($E$2:E469)/SUM($C$2:C469)</f>
        <v>-4.6839296303617314E-2</v>
      </c>
      <c r="G469" s="164">
        <f t="shared" si="50"/>
        <v>-73.457600000000127</v>
      </c>
      <c r="H469" s="485" t="s">
        <v>60</v>
      </c>
      <c r="I469" s="2"/>
      <c r="J469" s="2"/>
      <c r="K469" s="2"/>
      <c r="L469" s="2"/>
      <c r="O469" s="58"/>
      <c r="P469" s="58"/>
    </row>
    <row r="470" spans="2:16">
      <c r="B470" s="652"/>
      <c r="C470" s="484">
        <v>2.1</v>
      </c>
      <c r="D470" s="164"/>
      <c r="E470" s="164">
        <f t="shared" si="49"/>
        <v>-2.1</v>
      </c>
      <c r="F470" s="197">
        <f>SUM($E$2:E470)/SUM($C$2:C470)</f>
        <v>-4.8113908010112137E-2</v>
      </c>
      <c r="G470" s="164">
        <f t="shared" si="50"/>
        <v>-75.557600000000122</v>
      </c>
      <c r="H470" s="485" t="s">
        <v>15</v>
      </c>
      <c r="I470" s="2"/>
      <c r="J470" s="2"/>
      <c r="K470" s="2"/>
      <c r="L470" s="2"/>
      <c r="O470" s="58"/>
      <c r="P470" s="58"/>
    </row>
    <row r="471" spans="2:16">
      <c r="B471" s="652"/>
      <c r="C471" s="484">
        <v>2.1</v>
      </c>
      <c r="D471" s="164">
        <v>2</v>
      </c>
      <c r="E471" s="164">
        <f t="shared" si="49"/>
        <v>2.1</v>
      </c>
      <c r="F471" s="197">
        <f>SUM($E$2:E471)/SUM($C$2:C471)</f>
        <v>-4.6714192141126501E-2</v>
      </c>
      <c r="G471" s="164">
        <f t="shared" si="50"/>
        <v>-73.457600000000127</v>
      </c>
      <c r="H471" s="485" t="s">
        <v>11</v>
      </c>
      <c r="I471" s="2"/>
      <c r="J471" s="2"/>
      <c r="K471" s="2"/>
      <c r="L471" s="2"/>
      <c r="O471" s="58"/>
      <c r="P471" s="58"/>
    </row>
    <row r="472" spans="2:16">
      <c r="B472" s="652"/>
      <c r="C472" s="491">
        <v>2.1</v>
      </c>
      <c r="D472" s="257">
        <v>1.83</v>
      </c>
      <c r="E472" s="257">
        <f t="shared" si="49"/>
        <v>1.7430000000000003</v>
      </c>
      <c r="F472" s="256">
        <f>SUM($E$2:E472)/SUM($C$2:C472)</f>
        <v>-4.5544935507020892E-2</v>
      </c>
      <c r="G472" s="257">
        <f t="shared" si="50"/>
        <v>-71.714600000000132</v>
      </c>
      <c r="H472" s="492" t="s">
        <v>36</v>
      </c>
      <c r="I472" s="2"/>
      <c r="J472" s="2"/>
      <c r="K472" s="2"/>
      <c r="L472" s="2"/>
      <c r="O472" s="58"/>
      <c r="P472" s="58"/>
    </row>
    <row r="473" spans="2:16">
      <c r="B473" s="652"/>
      <c r="C473" s="484">
        <v>2.1</v>
      </c>
      <c r="D473" s="164"/>
      <c r="E473" s="164">
        <f t="shared" si="49"/>
        <v>-2.1</v>
      </c>
      <c r="F473" s="197">
        <f>SUM($E$2:E473)/SUM($C$2:C473)</f>
        <v>-4.6816178196094363E-2</v>
      </c>
      <c r="G473" s="164">
        <f t="shared" si="50"/>
        <v>-73.814600000000127</v>
      </c>
      <c r="H473" s="485" t="s">
        <v>59</v>
      </c>
      <c r="I473" s="2"/>
      <c r="J473" s="2"/>
      <c r="K473" s="2"/>
      <c r="L473" s="2"/>
      <c r="O473" s="58"/>
      <c r="P473" s="58"/>
    </row>
    <row r="474" spans="2:16">
      <c r="B474" s="652"/>
      <c r="C474" s="484">
        <v>2.1</v>
      </c>
      <c r="D474" s="164">
        <v>1.9</v>
      </c>
      <c r="E474" s="164">
        <f t="shared" si="49"/>
        <v>1.8899999999999997</v>
      </c>
      <c r="F474" s="197">
        <f>SUM($E$2:E474)/SUM($C$2:C474)</f>
        <v>-4.5556787159786942E-2</v>
      </c>
      <c r="G474" s="164">
        <f t="shared" si="50"/>
        <v>-71.924600000000126</v>
      </c>
      <c r="H474" s="485" t="s">
        <v>51</v>
      </c>
      <c r="I474" s="2"/>
      <c r="J474" s="2"/>
      <c r="K474" s="2"/>
      <c r="L474" s="2"/>
      <c r="O474" s="58"/>
      <c r="P474" s="58"/>
    </row>
    <row r="475" spans="2:16">
      <c r="B475" s="652"/>
      <c r="C475" s="484">
        <v>2.1</v>
      </c>
      <c r="D475" s="164">
        <v>2.1</v>
      </c>
      <c r="E475" s="164">
        <f t="shared" si="49"/>
        <v>2.31</v>
      </c>
      <c r="F475" s="197">
        <f>SUM($E$2:E475)/SUM($C$2:C475)</f>
        <v>-4.4035068853620449E-2</v>
      </c>
      <c r="G475" s="164">
        <f t="shared" si="50"/>
        <v>-69.614600000000124</v>
      </c>
      <c r="H475" s="485" t="s">
        <v>13</v>
      </c>
      <c r="I475" s="2"/>
      <c r="J475" s="2"/>
      <c r="K475" s="2"/>
      <c r="L475" s="2"/>
      <c r="O475" s="58"/>
      <c r="P475" s="58"/>
    </row>
    <row r="476" spans="2:16">
      <c r="B476" s="652"/>
      <c r="C476" s="484">
        <v>2.1</v>
      </c>
      <c r="D476" s="164"/>
      <c r="E476" s="164">
        <f t="shared" si="49"/>
        <v>-2.1</v>
      </c>
      <c r="F476" s="197">
        <f>SUM($E$2:E476)/SUM($C$2:C476)</f>
        <v>-4.5303255232187208E-2</v>
      </c>
      <c r="G476" s="164">
        <f t="shared" si="50"/>
        <v>-71.714600000000118</v>
      </c>
      <c r="H476" s="485" t="s">
        <v>26</v>
      </c>
      <c r="I476" s="2"/>
      <c r="J476" s="2"/>
      <c r="K476" s="2"/>
      <c r="L476" s="2"/>
      <c r="O476" s="58"/>
      <c r="P476" s="58"/>
    </row>
    <row r="477" spans="2:16">
      <c r="B477" s="652"/>
      <c r="C477" s="484">
        <v>2.1</v>
      </c>
      <c r="D477" s="164">
        <v>1.91</v>
      </c>
      <c r="E477" s="164">
        <f t="shared" si="49"/>
        <v>1.911</v>
      </c>
      <c r="F477" s="197">
        <f>SUM($E$2:E477)/SUM($C$2:C477)</f>
        <v>-4.4037625623781634E-2</v>
      </c>
      <c r="G477" s="164">
        <f t="shared" si="50"/>
        <v>-69.803600000000117</v>
      </c>
      <c r="H477" s="485" t="s">
        <v>27</v>
      </c>
      <c r="I477" s="2"/>
      <c r="J477" s="2"/>
      <c r="K477" s="2"/>
      <c r="L477" s="2"/>
      <c r="O477" s="58"/>
      <c r="P477" s="58"/>
    </row>
    <row r="478" spans="2:16">
      <c r="B478" s="652"/>
      <c r="C478" s="484">
        <v>2.1</v>
      </c>
      <c r="D478" s="164">
        <v>2.1</v>
      </c>
      <c r="E478" s="164">
        <f t="shared" si="49"/>
        <v>2.31</v>
      </c>
      <c r="F478" s="197">
        <f>SUM($E$2:E478)/SUM($C$2:C478)</f>
        <v>-4.252395743420765E-2</v>
      </c>
      <c r="G478" s="164">
        <f t="shared" si="50"/>
        <v>-67.493600000000114</v>
      </c>
      <c r="H478" s="485" t="s">
        <v>47</v>
      </c>
      <c r="I478" s="2"/>
      <c r="J478" s="2"/>
      <c r="K478" s="2"/>
      <c r="L478" s="2"/>
      <c r="O478" s="58"/>
      <c r="P478" s="58"/>
    </row>
    <row r="479" spans="2:16">
      <c r="B479" s="652"/>
      <c r="C479" s="491">
        <v>2.1</v>
      </c>
      <c r="D479" s="257"/>
      <c r="E479" s="257">
        <f t="shared" si="49"/>
        <v>-2.1</v>
      </c>
      <c r="F479" s="256">
        <f>SUM($E$2:E479)/SUM($C$2:C479)</f>
        <v>-4.3789113377671808E-2</v>
      </c>
      <c r="G479" s="257">
        <f t="shared" si="50"/>
        <v>-69.593600000000109</v>
      </c>
      <c r="H479" s="492" t="s">
        <v>18</v>
      </c>
      <c r="I479" s="2"/>
      <c r="J479" s="2"/>
      <c r="K479" s="2"/>
      <c r="L479" s="2"/>
      <c r="O479" s="58"/>
      <c r="P479" s="58"/>
    </row>
    <row r="480" spans="2:16">
      <c r="B480" s="652"/>
      <c r="C480" s="484">
        <v>2.1</v>
      </c>
      <c r="D480" s="164"/>
      <c r="E480" s="164">
        <f t="shared" si="49"/>
        <v>-2.1</v>
      </c>
      <c r="F480" s="197">
        <f>SUM($E$2:E480)/SUM($C$2:C480)</f>
        <v>-4.5050930318777938E-2</v>
      </c>
      <c r="G480" s="164">
        <f t="shared" si="50"/>
        <v>-71.693600000000103</v>
      </c>
      <c r="H480" s="485" t="s">
        <v>183</v>
      </c>
      <c r="I480" s="2"/>
      <c r="J480" s="2"/>
      <c r="K480" s="2"/>
      <c r="L480" s="2"/>
      <c r="O480" s="58"/>
      <c r="P480" s="58"/>
    </row>
    <row r="481" spans="2:16">
      <c r="B481" s="652"/>
      <c r="C481" s="484">
        <v>2.1</v>
      </c>
      <c r="D481" s="164">
        <v>1.9</v>
      </c>
      <c r="E481" s="164">
        <f t="shared" si="49"/>
        <v>1.8899999999999997</v>
      </c>
      <c r="F481" s="197">
        <f>SUM($E$2:E481)/SUM($C$2:C481)</f>
        <v>-4.3805483561239818E-2</v>
      </c>
      <c r="G481" s="164">
        <f t="shared" si="50"/>
        <v>-69.803600000000102</v>
      </c>
      <c r="H481" s="485" t="s">
        <v>198</v>
      </c>
      <c r="I481" s="2"/>
      <c r="J481" s="2"/>
      <c r="K481" s="2"/>
      <c r="L481" s="2"/>
      <c r="O481" s="58"/>
      <c r="P481" s="58"/>
    </row>
    <row r="482" spans="2:16">
      <c r="B482" s="652"/>
      <c r="C482" s="484">
        <v>2.1</v>
      </c>
      <c r="D482" s="164">
        <v>1.89</v>
      </c>
      <c r="E482" s="164">
        <f t="shared" si="49"/>
        <v>1.8689999999999998</v>
      </c>
      <c r="F482" s="197">
        <f>SUM($E$2:E482)/SUM($C$2:C482)</f>
        <v>-4.257647641311367E-2</v>
      </c>
      <c r="G482" s="164">
        <f t="shared" si="50"/>
        <v>-67.934600000000103</v>
      </c>
      <c r="H482" s="485" t="s">
        <v>199</v>
      </c>
      <c r="I482" s="2"/>
      <c r="J482" s="2"/>
      <c r="K482" s="2"/>
      <c r="L482" s="2"/>
      <c r="O482" s="58"/>
      <c r="P482" s="58"/>
    </row>
    <row r="483" spans="2:16">
      <c r="B483" s="652"/>
      <c r="C483" s="484">
        <v>2.1</v>
      </c>
      <c r="D483" s="164">
        <v>1.8499999999999999</v>
      </c>
      <c r="E483" s="164">
        <f t="shared" si="49"/>
        <v>1.7849999999999997</v>
      </c>
      <c r="F483" s="197">
        <f>SUM($E$2:E483)/SUM($C$2:C483)</f>
        <v>-4.1403275979695717E-2</v>
      </c>
      <c r="G483" s="164">
        <f t="shared" si="50"/>
        <v>-66.149600000000106</v>
      </c>
      <c r="H483" s="485" t="s">
        <v>200</v>
      </c>
      <c r="I483" s="2"/>
      <c r="J483" s="2"/>
      <c r="K483" s="2"/>
      <c r="L483" s="2"/>
      <c r="O483" s="58"/>
      <c r="P483" s="58"/>
    </row>
    <row r="484" spans="2:16">
      <c r="B484" s="652"/>
      <c r="C484" s="484">
        <v>2.1</v>
      </c>
      <c r="D484" s="164">
        <v>1.89</v>
      </c>
      <c r="E484" s="164">
        <f t="shared" si="49"/>
        <v>1.8689999999999998</v>
      </c>
      <c r="F484" s="197">
        <f>SUM($E$2:E484)/SUM($C$2:C484)</f>
        <v>-4.0180648710143242E-2</v>
      </c>
      <c r="G484" s="164">
        <f t="shared" si="50"/>
        <v>-64.280600000000106</v>
      </c>
      <c r="H484" s="485" t="s">
        <v>201</v>
      </c>
      <c r="I484" s="2"/>
      <c r="J484" s="2"/>
      <c r="K484" s="2"/>
      <c r="L484" s="2"/>
      <c r="O484" s="58"/>
      <c r="P484" s="58"/>
    </row>
    <row r="485" spans="2:16">
      <c r="B485" s="652"/>
      <c r="C485" s="484">
        <v>2.1</v>
      </c>
      <c r="D485" s="164">
        <v>1.85</v>
      </c>
      <c r="E485" s="164">
        <f t="shared" si="49"/>
        <v>1.7850000000000001</v>
      </c>
      <c r="F485" s="197">
        <f>SUM($E$2:E485)/SUM($C$2:C485)</f>
        <v>-3.9013665108091108E-2</v>
      </c>
      <c r="G485" s="164">
        <f t="shared" si="50"/>
        <v>-62.49560000000011</v>
      </c>
      <c r="H485" s="485" t="s">
        <v>202</v>
      </c>
      <c r="I485" s="2"/>
      <c r="J485" s="2"/>
      <c r="K485" s="2"/>
      <c r="L485" s="2"/>
      <c r="O485" s="58"/>
      <c r="P485" s="58"/>
    </row>
    <row r="486" spans="2:16">
      <c r="B486" s="652"/>
      <c r="C486" s="491">
        <v>2.1</v>
      </c>
      <c r="D486" s="257"/>
      <c r="E486" s="257">
        <f t="shared" si="49"/>
        <v>-2.1</v>
      </c>
      <c r="F486" s="256">
        <f>SUM($E$2:E486)/SUM($C$2:C486)</f>
        <v>-4.0271822143529611E-2</v>
      </c>
      <c r="G486" s="257">
        <f t="shared" si="50"/>
        <v>-64.595600000000104</v>
      </c>
      <c r="H486" s="492" t="s">
        <v>203</v>
      </c>
      <c r="I486" s="2">
        <f>SUM(E468:E486)</f>
        <v>4.661999999999999</v>
      </c>
      <c r="L486" s="2">
        <f>I486/C486</f>
        <v>2.2199999999999993</v>
      </c>
      <c r="O486" s="58"/>
      <c r="P486" s="58"/>
    </row>
    <row r="487" spans="2:16">
      <c r="B487" s="650">
        <v>46012</v>
      </c>
      <c r="C487" s="484">
        <v>3.53</v>
      </c>
      <c r="D487" s="164">
        <v>1.9</v>
      </c>
      <c r="E487" s="164">
        <f t="shared" ref="E487:E500" si="51">(C487*D487)-C487</f>
        <v>3.1769999999999992</v>
      </c>
      <c r="F487" s="197">
        <f>SUM($E$2:E487)/SUM($C$2:C487)</f>
        <v>-3.8207051856275542E-2</v>
      </c>
      <c r="G487" s="164">
        <f t="shared" ref="G487:G500" si="52">G486+E487</f>
        <v>-61.418600000000104</v>
      </c>
      <c r="H487" s="485" t="s">
        <v>35</v>
      </c>
      <c r="I487" s="2"/>
      <c r="J487" s="2"/>
      <c r="K487" s="2"/>
      <c r="L487" s="2"/>
      <c r="O487" s="58"/>
      <c r="P487" s="58"/>
    </row>
    <row r="488" spans="2:16">
      <c r="B488" s="652"/>
      <c r="C488" s="484">
        <v>3.53</v>
      </c>
      <c r="D488" s="164"/>
      <c r="E488" s="164">
        <f t="shared" si="51"/>
        <v>-3.53</v>
      </c>
      <c r="F488" s="197">
        <f>SUM($E$2:E488)/SUM($C$2:C488)</f>
        <v>-4.0314453306849601E-2</v>
      </c>
      <c r="G488" s="164">
        <f t="shared" si="52"/>
        <v>-64.948600000000098</v>
      </c>
      <c r="H488" s="485" t="s">
        <v>25</v>
      </c>
      <c r="I488" s="2"/>
      <c r="J488" s="2"/>
      <c r="K488" s="2"/>
      <c r="L488" s="2"/>
      <c r="O488" s="58"/>
      <c r="P488" s="58"/>
    </row>
    <row r="489" spans="2:16">
      <c r="B489" s="652"/>
      <c r="C489" s="484">
        <v>3.53</v>
      </c>
      <c r="D489" s="164"/>
      <c r="E489" s="164">
        <f t="shared" si="51"/>
        <v>-3.53</v>
      </c>
      <c r="F489" s="197">
        <f>SUM($E$2:E489)/SUM($C$2:C489)</f>
        <v>-4.2412639819643536E-2</v>
      </c>
      <c r="G489" s="164">
        <f t="shared" si="52"/>
        <v>-68.4786000000001</v>
      </c>
      <c r="H489" s="485" t="s">
        <v>12</v>
      </c>
      <c r="I489" s="2"/>
      <c r="J489" s="2"/>
      <c r="K489" s="2"/>
      <c r="L489" s="2"/>
      <c r="O489" s="58"/>
      <c r="P489" s="58"/>
    </row>
    <row r="490" spans="2:16">
      <c r="B490" s="652"/>
      <c r="C490" s="484">
        <v>3.53</v>
      </c>
      <c r="D490" s="164"/>
      <c r="E490" s="164">
        <f t="shared" si="51"/>
        <v>-3.53</v>
      </c>
      <c r="F490" s="197">
        <f>SUM($E$2:E490)/SUM($C$2:C490)</f>
        <v>-4.4501671703407096E-2</v>
      </c>
      <c r="G490" s="164">
        <f t="shared" si="52"/>
        <v>-72.008600000000101</v>
      </c>
      <c r="H490" s="485" t="s">
        <v>34</v>
      </c>
      <c r="I490" s="2"/>
      <c r="J490" s="2"/>
      <c r="K490" s="2"/>
      <c r="L490" s="2"/>
      <c r="O490" s="58"/>
      <c r="P490" s="58"/>
    </row>
    <row r="491" spans="2:16">
      <c r="B491" s="652"/>
      <c r="C491" s="491">
        <v>3.53</v>
      </c>
      <c r="D491" s="257">
        <v>2</v>
      </c>
      <c r="E491" s="257">
        <f t="shared" si="51"/>
        <v>3.53</v>
      </c>
      <c r="F491" s="256">
        <f>SUM($E$2:E491)/SUM($C$2:C491)</f>
        <v>-4.2227991416097323E-2</v>
      </c>
      <c r="G491" s="257">
        <f t="shared" si="52"/>
        <v>-68.4786000000001</v>
      </c>
      <c r="H491" s="492" t="s">
        <v>53</v>
      </c>
      <c r="I491" s="2"/>
      <c r="J491" s="2"/>
      <c r="K491" s="2"/>
      <c r="L491" s="2"/>
      <c r="O491" s="58"/>
      <c r="P491" s="58"/>
    </row>
    <row r="492" spans="2:16">
      <c r="B492" s="652"/>
      <c r="C492" s="484">
        <v>3.53</v>
      </c>
      <c r="D492" s="164"/>
      <c r="E492" s="164">
        <f t="shared" si="51"/>
        <v>-3.53</v>
      </c>
      <c r="F492" s="197">
        <f>SUM($E$2:E492)/SUM($C$2:C492)</f>
        <v>-4.4308349280383012E-2</v>
      </c>
      <c r="G492" s="164">
        <f t="shared" si="52"/>
        <v>-72.008600000000101</v>
      </c>
      <c r="H492" s="485" t="s">
        <v>28</v>
      </c>
      <c r="I492" s="2"/>
      <c r="J492" s="2"/>
      <c r="K492" s="2"/>
      <c r="L492" s="2"/>
      <c r="O492" s="58"/>
      <c r="P492" s="58"/>
    </row>
    <row r="493" spans="2:16">
      <c r="B493" s="652"/>
      <c r="C493" s="484">
        <v>3.53</v>
      </c>
      <c r="D493" s="164">
        <v>1.9</v>
      </c>
      <c r="E493" s="164">
        <f t="shared" si="51"/>
        <v>3.1769999999999992</v>
      </c>
      <c r="F493" s="197">
        <f>SUM($E$2:E493)/SUM($C$2:C493)</f>
        <v>-4.2261681095352166E-2</v>
      </c>
      <c r="G493" s="164">
        <f t="shared" si="52"/>
        <v>-68.831600000000108</v>
      </c>
      <c r="H493" s="485" t="s">
        <v>29</v>
      </c>
      <c r="I493" s="2"/>
      <c r="J493" s="2"/>
      <c r="K493" s="2"/>
      <c r="L493" s="2"/>
      <c r="O493" s="58"/>
      <c r="P493" s="58"/>
    </row>
    <row r="494" spans="2:16">
      <c r="B494" s="652"/>
      <c r="C494" s="484">
        <v>3.53</v>
      </c>
      <c r="D494" s="164">
        <v>1.9390000000000001</v>
      </c>
      <c r="E494" s="164">
        <f t="shared" si="51"/>
        <v>3.31467</v>
      </c>
      <c r="F494" s="197">
        <f>SUM($E$2:E494)/SUM($C$2:C494)</f>
        <v>-4.0139520778321724E-2</v>
      </c>
      <c r="G494" s="164">
        <f t="shared" si="52"/>
        <v>-65.516930000000102</v>
      </c>
      <c r="H494" s="485" t="s">
        <v>11</v>
      </c>
      <c r="I494" s="2"/>
      <c r="J494" s="2"/>
      <c r="K494" s="2"/>
      <c r="L494" s="2"/>
      <c r="O494" s="58"/>
      <c r="P494" s="58"/>
    </row>
    <row r="495" spans="2:16">
      <c r="B495" s="652"/>
      <c r="C495" s="491">
        <v>5</v>
      </c>
      <c r="D495" s="257">
        <v>2</v>
      </c>
      <c r="E495" s="257">
        <f t="shared" si="51"/>
        <v>5</v>
      </c>
      <c r="F495" s="256">
        <f>SUM($E$2:E495)/SUM($C$2:C495)</f>
        <v>-3.6962998479138587E-2</v>
      </c>
      <c r="G495" s="257">
        <f t="shared" si="52"/>
        <v>-60.516930000000102</v>
      </c>
      <c r="H495" s="492" t="s">
        <v>38</v>
      </c>
      <c r="I495" s="2"/>
      <c r="J495" s="2"/>
      <c r="K495" s="2"/>
      <c r="L495" s="2"/>
      <c r="O495" s="58"/>
      <c r="P495" s="58"/>
    </row>
    <row r="496" spans="2:16">
      <c r="B496" s="652"/>
      <c r="C496" s="484">
        <v>3.53</v>
      </c>
      <c r="D496" s="164">
        <v>1.9</v>
      </c>
      <c r="E496" s="164">
        <f t="shared" si="51"/>
        <v>3.1769999999999992</v>
      </c>
      <c r="F496" s="197">
        <f>SUM($E$2:E496)/SUM($C$2:C496)</f>
        <v>-3.4947176918013648E-2</v>
      </c>
      <c r="G496" s="164">
        <f t="shared" si="52"/>
        <v>-57.339930000000102</v>
      </c>
      <c r="H496" s="485" t="s">
        <v>204</v>
      </c>
      <c r="I496" s="2"/>
      <c r="J496" s="2"/>
      <c r="K496" s="2"/>
      <c r="L496" s="2"/>
      <c r="O496" s="58"/>
      <c r="P496" s="58"/>
    </row>
    <row r="497" spans="2:16">
      <c r="B497" s="652"/>
      <c r="C497" s="484">
        <v>3.53</v>
      </c>
      <c r="D497" s="164"/>
      <c r="E497" s="164">
        <f t="shared" si="51"/>
        <v>-3.53</v>
      </c>
      <c r="F497" s="197">
        <f>SUM($E$2:E497)/SUM($C$2:C497)</f>
        <v>-3.7018974755061496E-2</v>
      </c>
      <c r="G497" s="164">
        <f t="shared" si="52"/>
        <v>-60.869930000000103</v>
      </c>
      <c r="H497" s="485" t="s">
        <v>31</v>
      </c>
      <c r="I497" s="2"/>
      <c r="J497" s="2"/>
      <c r="K497" s="2"/>
      <c r="L497" s="2"/>
      <c r="O497" s="58"/>
      <c r="P497" s="58"/>
    </row>
    <row r="498" spans="2:16">
      <c r="B498" s="652"/>
      <c r="C498" s="484">
        <v>3.53</v>
      </c>
      <c r="D498" s="164"/>
      <c r="E498" s="164">
        <f t="shared" si="51"/>
        <v>-3.53</v>
      </c>
      <c r="F498" s="197">
        <f>SUM($E$2:E498)/SUM($C$2:C498)</f>
        <v>-3.908189608088266E-2</v>
      </c>
      <c r="G498" s="164">
        <f t="shared" si="52"/>
        <v>-64.399930000000097</v>
      </c>
      <c r="H498" s="485" t="s">
        <v>205</v>
      </c>
      <c r="I498" s="2"/>
      <c r="J498" s="2"/>
      <c r="K498" s="2"/>
      <c r="L498" s="2"/>
      <c r="O498" s="58"/>
      <c r="P498" s="58"/>
    </row>
    <row r="499" spans="2:16">
      <c r="B499" s="652"/>
      <c r="C499" s="484">
        <v>3.53</v>
      </c>
      <c r="D499" s="164"/>
      <c r="E499" s="164">
        <f t="shared" si="51"/>
        <v>-3.53</v>
      </c>
      <c r="F499" s="197">
        <f>SUM($E$2:E499)/SUM($C$2:C499)</f>
        <v>-4.113599781996552E-2</v>
      </c>
      <c r="G499" s="164">
        <f t="shared" si="52"/>
        <v>-67.929930000000098</v>
      </c>
      <c r="H499" s="485" t="s">
        <v>206</v>
      </c>
      <c r="I499" s="2"/>
      <c r="J499" s="2"/>
      <c r="K499" s="2"/>
      <c r="L499" s="2"/>
      <c r="O499" s="58"/>
      <c r="P499" s="58"/>
    </row>
    <row r="500" spans="2:16">
      <c r="B500" s="652"/>
      <c r="C500" s="491">
        <v>3.53</v>
      </c>
      <c r="D500" s="257">
        <v>1.87</v>
      </c>
      <c r="E500" s="257">
        <f t="shared" si="51"/>
        <v>3.0710999999999999</v>
      </c>
      <c r="F500" s="256">
        <f>SUM($E$2:E500)/SUM($C$2:C500)</f>
        <v>-3.9192467127525901E-2</v>
      </c>
      <c r="G500" s="257">
        <f t="shared" si="52"/>
        <v>-64.858830000000097</v>
      </c>
      <c r="H500" s="492" t="s">
        <v>207</v>
      </c>
      <c r="I500" s="490">
        <f>SUM(E487:E500)</f>
        <v>-0.26323000000000096</v>
      </c>
      <c r="J500" s="490">
        <f>SUM(E418:E500)</f>
        <v>2.5899699999999952</v>
      </c>
      <c r="L500" s="2">
        <f>I500/C500</f>
        <v>-7.4569405099150415E-2</v>
      </c>
      <c r="O500" s="58"/>
      <c r="P500" s="58"/>
    </row>
    <row r="501" spans="2:16">
      <c r="B501" s="650">
        <v>46013</v>
      </c>
      <c r="C501" s="484">
        <f>3.02*2</f>
        <v>6.04</v>
      </c>
      <c r="D501" s="164">
        <v>1.85</v>
      </c>
      <c r="E501" s="164">
        <f t="shared" ref="E501:E513" si="53">(C501*D501)-C501</f>
        <v>5.1340000000000012</v>
      </c>
      <c r="F501" s="197">
        <f>SUM($E$2:E501)/SUM($C$2:C501)</f>
        <v>-3.5958884232834859E-2</v>
      </c>
      <c r="G501" s="164">
        <f t="shared" ref="G501:G513" si="54">G500+E501</f>
        <v>-59.724830000000097</v>
      </c>
      <c r="H501" s="485" t="s">
        <v>15</v>
      </c>
      <c r="I501" s="2"/>
      <c r="J501" s="2"/>
      <c r="K501" s="2"/>
      <c r="L501" s="2"/>
      <c r="O501" s="58"/>
      <c r="P501" s="58"/>
    </row>
    <row r="502" spans="2:16">
      <c r="B502" s="652"/>
      <c r="C502" s="484">
        <f>3.02*2</f>
        <v>6.04</v>
      </c>
      <c r="D502" s="164"/>
      <c r="E502" s="164">
        <f t="shared" si="53"/>
        <v>-6.04</v>
      </c>
      <c r="F502" s="197">
        <f>SUM($E$2:E502)/SUM($C$2:C502)</f>
        <v>-3.9451954456015785E-2</v>
      </c>
      <c r="G502" s="164">
        <f t="shared" si="54"/>
        <v>-65.764830000000103</v>
      </c>
      <c r="H502" s="485" t="s">
        <v>60</v>
      </c>
      <c r="I502" s="2"/>
      <c r="J502" s="2"/>
      <c r="K502" s="2"/>
      <c r="L502" s="2"/>
      <c r="O502" s="58"/>
      <c r="P502" s="58"/>
    </row>
    <row r="503" spans="2:16">
      <c r="B503" s="652"/>
      <c r="C503" s="484">
        <v>3.02</v>
      </c>
      <c r="D503" s="164"/>
      <c r="E503" s="164">
        <f t="shared" si="53"/>
        <v>-3.02</v>
      </c>
      <c r="F503" s="197">
        <f>SUM($E$2:E503)/SUM($C$2:C503)</f>
        <v>-4.1189014239691533E-2</v>
      </c>
      <c r="G503" s="164">
        <f t="shared" si="54"/>
        <v>-68.784830000000099</v>
      </c>
      <c r="H503" s="485" t="s">
        <v>17</v>
      </c>
      <c r="I503" s="2"/>
      <c r="J503" s="2"/>
      <c r="K503" s="2"/>
      <c r="L503" s="2"/>
      <c r="O503" s="58"/>
      <c r="P503" s="58"/>
    </row>
    <row r="504" spans="2:16">
      <c r="B504" s="652"/>
      <c r="C504" s="491">
        <v>3.02</v>
      </c>
      <c r="D504" s="257"/>
      <c r="E504" s="257">
        <f t="shared" si="53"/>
        <v>-3.02</v>
      </c>
      <c r="F504" s="256">
        <f>SUM($E$2:E504)/SUM($C$2:C504)</f>
        <v>-4.291980274955174E-2</v>
      </c>
      <c r="G504" s="257">
        <f t="shared" si="54"/>
        <v>-71.804830000000095</v>
      </c>
      <c r="H504" s="492" t="s">
        <v>64</v>
      </c>
      <c r="I504" s="2"/>
      <c r="J504" s="2"/>
      <c r="K504" s="2"/>
      <c r="L504" s="2"/>
      <c r="O504" s="58"/>
      <c r="P504" s="58"/>
    </row>
    <row r="505" spans="2:16">
      <c r="B505" s="652"/>
      <c r="C505" s="484">
        <v>3.02</v>
      </c>
      <c r="D505" s="164"/>
      <c r="E505" s="164">
        <f t="shared" si="53"/>
        <v>-3.02</v>
      </c>
      <c r="F505" s="197">
        <f>SUM($E$2:E505)/SUM($C$2:C505)</f>
        <v>-4.4644353885991854E-2</v>
      </c>
      <c r="G505" s="164">
        <f t="shared" si="54"/>
        <v>-74.824830000000091</v>
      </c>
      <c r="H505" s="485" t="s">
        <v>37</v>
      </c>
      <c r="I505" s="2"/>
      <c r="J505" s="2"/>
      <c r="K505" s="2"/>
      <c r="L505" s="2"/>
      <c r="O505" s="58"/>
      <c r="P505" s="58"/>
    </row>
    <row r="506" spans="2:16">
      <c r="B506" s="652"/>
      <c r="C506" s="484">
        <v>3.02</v>
      </c>
      <c r="D506" s="164"/>
      <c r="E506" s="164">
        <f t="shared" si="53"/>
        <v>-3.02</v>
      </c>
      <c r="F506" s="197">
        <f>SUM($E$2:E506)/SUM($C$2:C506)</f>
        <v>-4.6362701305507945E-2</v>
      </c>
      <c r="G506" s="164">
        <f t="shared" si="54"/>
        <v>-77.844830000000087</v>
      </c>
      <c r="H506" s="485" t="s">
        <v>13</v>
      </c>
      <c r="I506" s="2"/>
      <c r="J506" s="2"/>
      <c r="K506" s="2"/>
      <c r="L506" s="2"/>
      <c r="O506" s="58"/>
      <c r="P506" s="58"/>
    </row>
    <row r="507" spans="2:16">
      <c r="B507" s="652"/>
      <c r="C507" s="484">
        <v>3.02</v>
      </c>
      <c r="D507" s="164">
        <v>1.91</v>
      </c>
      <c r="E507" s="164">
        <f t="shared" si="53"/>
        <v>2.7482000000000002</v>
      </c>
      <c r="F507" s="197">
        <f>SUM($E$2:E507)/SUM($C$2:C507)</f>
        <v>-4.4645630952522539E-2</v>
      </c>
      <c r="G507" s="164">
        <f t="shared" si="54"/>
        <v>-75.09663000000009</v>
      </c>
      <c r="H507" s="485" t="s">
        <v>59</v>
      </c>
      <c r="I507" s="2"/>
      <c r="J507" s="2"/>
      <c r="K507" s="2"/>
      <c r="L507" s="2"/>
      <c r="O507" s="58"/>
      <c r="P507" s="58"/>
    </row>
    <row r="508" spans="2:16">
      <c r="B508" s="652"/>
      <c r="C508" s="491">
        <v>3.02</v>
      </c>
      <c r="D508" s="257">
        <v>2.31</v>
      </c>
      <c r="E508" s="257">
        <f t="shared" si="53"/>
        <v>3.9562000000000004</v>
      </c>
      <c r="F508" s="256">
        <f>SUM($E$2:E508)/SUM($C$2:C508)</f>
        <v>-4.2217835354998026E-2</v>
      </c>
      <c r="G508" s="257">
        <f t="shared" si="54"/>
        <v>-71.140430000000094</v>
      </c>
      <c r="H508" s="492" t="s">
        <v>27</v>
      </c>
      <c r="I508" s="2"/>
      <c r="J508" s="2"/>
      <c r="K508" s="2"/>
      <c r="L508" s="2"/>
      <c r="O508" s="58"/>
      <c r="P508" s="58"/>
    </row>
    <row r="509" spans="2:16">
      <c r="B509" s="652"/>
      <c r="C509" s="484">
        <v>3.02</v>
      </c>
      <c r="D509" s="164">
        <v>1.87</v>
      </c>
      <c r="E509" s="164">
        <f t="shared" si="53"/>
        <v>2.6274000000000002</v>
      </c>
      <c r="F509" s="197">
        <f>SUM($E$2:E509)/SUM($C$2:C509)</f>
        <v>-4.0585883537705154E-2</v>
      </c>
      <c r="G509" s="164">
        <f t="shared" si="54"/>
        <v>-68.5130300000001</v>
      </c>
      <c r="H509" s="485" t="s">
        <v>208</v>
      </c>
      <c r="I509" s="2"/>
      <c r="J509" s="2"/>
      <c r="K509" s="2"/>
      <c r="L509" s="2"/>
      <c r="O509" s="58"/>
      <c r="P509" s="58"/>
    </row>
    <row r="510" spans="2:16">
      <c r="B510" s="652"/>
      <c r="C510" s="484">
        <v>3.02</v>
      </c>
      <c r="D510" s="164"/>
      <c r="E510" s="164">
        <f t="shared" si="53"/>
        <v>-3.02</v>
      </c>
      <c r="F510" s="197">
        <f>SUM($E$2:E510)/SUM($C$2:C510)</f>
        <v>-4.2299204077770984E-2</v>
      </c>
      <c r="G510" s="164">
        <f t="shared" si="54"/>
        <v>-71.533030000000096</v>
      </c>
      <c r="H510" s="485" t="s">
        <v>209</v>
      </c>
      <c r="I510" s="2"/>
      <c r="J510" s="2"/>
      <c r="K510" s="2"/>
      <c r="L510" s="2"/>
      <c r="O510" s="58"/>
      <c r="P510" s="58"/>
    </row>
    <row r="511" spans="2:16">
      <c r="B511" s="652"/>
      <c r="C511" s="484">
        <v>3.02</v>
      </c>
      <c r="D511" s="164"/>
      <c r="E511" s="164">
        <f t="shared" si="53"/>
        <v>-3.02</v>
      </c>
      <c r="F511" s="197">
        <f>SUM($E$2:E511)/SUM($C$2:C511)</f>
        <v>-4.4006416234785829E-2</v>
      </c>
      <c r="G511" s="164">
        <f t="shared" si="54"/>
        <v>-74.553030000000092</v>
      </c>
      <c r="H511" s="485" t="s">
        <v>210</v>
      </c>
      <c r="I511" s="2"/>
      <c r="J511" s="2"/>
      <c r="K511" s="2"/>
      <c r="L511" s="2"/>
      <c r="O511" s="58"/>
      <c r="P511" s="58"/>
    </row>
    <row r="512" spans="2:16">
      <c r="B512" s="652"/>
      <c r="C512" s="484">
        <v>3.02</v>
      </c>
      <c r="D512" s="164"/>
      <c r="E512" s="164">
        <f t="shared" si="53"/>
        <v>-3.02</v>
      </c>
      <c r="F512" s="197">
        <f>SUM($E$2:E512)/SUM($C$2:C512)</f>
        <v>-4.5707552617313664E-2</v>
      </c>
      <c r="G512" s="164">
        <f t="shared" si="54"/>
        <v>-77.573030000000088</v>
      </c>
      <c r="H512" s="485" t="s">
        <v>211</v>
      </c>
      <c r="I512" s="2"/>
      <c r="J512" s="2"/>
      <c r="K512" s="2"/>
      <c r="L512" s="2"/>
      <c r="O512" s="58"/>
      <c r="P512" s="58"/>
    </row>
    <row r="513" spans="2:16">
      <c r="B513" s="652"/>
      <c r="C513" s="491">
        <v>3.02</v>
      </c>
      <c r="D513" s="257"/>
      <c r="E513" s="257">
        <f t="shared" si="53"/>
        <v>-3.02</v>
      </c>
      <c r="F513" s="256">
        <f>SUM($E$2:E513)/SUM($C$2:C513)</f>
        <v>-4.7402645602230384E-2</v>
      </c>
      <c r="G513" s="257">
        <f t="shared" si="54"/>
        <v>-80.593030000000084</v>
      </c>
      <c r="H513" s="492" t="s">
        <v>212</v>
      </c>
      <c r="I513" s="2">
        <f>SUM(E501:E513)</f>
        <v>-15.734199999999996</v>
      </c>
      <c r="L513" s="2">
        <f>I513/C513</f>
        <v>-5.2099999999999991</v>
      </c>
      <c r="O513" s="58"/>
      <c r="P513" s="58"/>
    </row>
    <row r="514" spans="2:16">
      <c r="B514" s="650">
        <v>46014</v>
      </c>
      <c r="C514" s="484">
        <v>1.47</v>
      </c>
      <c r="D514" s="164"/>
      <c r="E514" s="164">
        <f t="shared" ref="E514:E539" si="55">(C514*D514)-C514</f>
        <v>-1.47</v>
      </c>
      <c r="F514" s="197">
        <f>SUM($E$2:E514)/SUM($C$2:C514)</f>
        <v>-4.8225563423735816E-2</v>
      </c>
      <c r="G514" s="164">
        <f t="shared" ref="G514:G539" si="56">G513+E514</f>
        <v>-82.063030000000083</v>
      </c>
      <c r="H514" s="485" t="s">
        <v>11</v>
      </c>
      <c r="I514" s="2"/>
      <c r="J514" s="2"/>
      <c r="K514" s="2"/>
      <c r="L514" s="2"/>
      <c r="O514" s="58"/>
      <c r="P514" s="58"/>
    </row>
    <row r="515" spans="2:16">
      <c r="B515" s="652"/>
      <c r="C515" s="484">
        <v>1.47</v>
      </c>
      <c r="D515" s="164">
        <v>1.8620000000000001</v>
      </c>
      <c r="E515" s="164">
        <f t="shared" si="55"/>
        <v>1.2671400000000002</v>
      </c>
      <c r="F515" s="197">
        <f>SUM($E$2:E515)/SUM($C$2:C515)</f>
        <v>-4.7439927897036063E-2</v>
      </c>
      <c r="G515" s="164">
        <f t="shared" si="56"/>
        <v>-80.795890000000085</v>
      </c>
      <c r="H515" s="485" t="s">
        <v>28</v>
      </c>
      <c r="I515" s="2"/>
      <c r="J515" s="2"/>
      <c r="K515" s="2"/>
      <c r="L515" s="2"/>
      <c r="O515" s="58"/>
      <c r="P515" s="58"/>
    </row>
    <row r="516" spans="2:16">
      <c r="B516" s="652"/>
      <c r="C516" s="484">
        <v>1.47</v>
      </c>
      <c r="D516" s="164">
        <v>1.9</v>
      </c>
      <c r="E516" s="164">
        <f t="shared" si="55"/>
        <v>1.3229999999999997</v>
      </c>
      <c r="F516" s="197">
        <f>SUM($E$2:E516)/SUM($C$2:C516)</f>
        <v>-4.6622877055479656E-2</v>
      </c>
      <c r="G516" s="164">
        <f t="shared" si="56"/>
        <v>-79.472890000000092</v>
      </c>
      <c r="H516" s="485" t="s">
        <v>13</v>
      </c>
      <c r="I516" s="2"/>
      <c r="J516" s="2"/>
      <c r="K516" s="2"/>
      <c r="L516" s="2"/>
      <c r="O516" s="58"/>
      <c r="P516" s="58"/>
    </row>
    <row r="517" spans="2:16">
      <c r="B517" s="652"/>
      <c r="C517" s="484">
        <v>1.47</v>
      </c>
      <c r="D517" s="164">
        <v>1.87</v>
      </c>
      <c r="E517" s="164">
        <f t="shared" si="55"/>
        <v>1.2788999999999999</v>
      </c>
      <c r="F517" s="197">
        <f>SUM($E$2:E517)/SUM($C$2:C517)</f>
        <v>-4.5833083244434587E-2</v>
      </c>
      <c r="G517" s="164">
        <f t="shared" si="56"/>
        <v>-78.193990000000099</v>
      </c>
      <c r="H517" s="485" t="s">
        <v>34</v>
      </c>
      <c r="I517" s="2"/>
      <c r="J517" s="2"/>
      <c r="K517" s="2"/>
      <c r="L517" s="2"/>
      <c r="O517" s="58"/>
      <c r="P517" s="58"/>
    </row>
    <row r="518" spans="2:16">
      <c r="B518" s="652"/>
      <c r="C518" s="484">
        <v>1.47</v>
      </c>
      <c r="D518" s="164"/>
      <c r="E518" s="164">
        <f t="shared" si="55"/>
        <v>-1.47</v>
      </c>
      <c r="F518" s="197">
        <f>SUM($E$2:E518)/SUM($C$2:C518)</f>
        <v>-4.6654518515048093E-2</v>
      </c>
      <c r="G518" s="164">
        <f t="shared" si="56"/>
        <v>-79.663990000000098</v>
      </c>
      <c r="H518" s="485" t="s">
        <v>30</v>
      </c>
      <c r="I518" s="2"/>
      <c r="J518" s="2"/>
      <c r="K518" s="2"/>
      <c r="L518" s="2"/>
      <c r="O518" s="58"/>
      <c r="P518" s="58"/>
    </row>
    <row r="519" spans="2:16">
      <c r="B519" s="652"/>
      <c r="C519" s="484">
        <v>1.47</v>
      </c>
      <c r="D519" s="164"/>
      <c r="E519" s="164">
        <f t="shared" si="55"/>
        <v>-1.47</v>
      </c>
      <c r="F519" s="197">
        <f>SUM($E$2:E519)/SUM($C$2:C519)</f>
        <v>-4.7474540667056794E-2</v>
      </c>
      <c r="G519" s="164">
        <f t="shared" si="56"/>
        <v>-81.133990000000097</v>
      </c>
      <c r="H519" s="485" t="s">
        <v>10</v>
      </c>
      <c r="I519" s="2"/>
      <c r="J519" s="2"/>
      <c r="K519" s="2"/>
      <c r="L519" s="2"/>
      <c r="O519" s="58"/>
      <c r="P519" s="58"/>
    </row>
    <row r="520" spans="2:16">
      <c r="B520" s="652"/>
      <c r="C520" s="484">
        <v>1.47</v>
      </c>
      <c r="D520" s="164">
        <v>1.85</v>
      </c>
      <c r="E520" s="164">
        <f t="shared" si="55"/>
        <v>1.2495000000000001</v>
      </c>
      <c r="F520" s="197">
        <f>SUM($E$2:E520)/SUM($C$2:C520)</f>
        <v>-4.6703239460499202E-2</v>
      </c>
      <c r="G520" s="164">
        <f t="shared" si="56"/>
        <v>-79.884490000000099</v>
      </c>
      <c r="H520" s="485" t="s">
        <v>26</v>
      </c>
      <c r="I520" s="2"/>
      <c r="J520" s="2"/>
      <c r="K520" s="2"/>
      <c r="L520" s="2"/>
      <c r="O520" s="58"/>
      <c r="P520" s="58"/>
    </row>
    <row r="521" spans="2:16">
      <c r="B521" s="652"/>
      <c r="C521" s="484">
        <v>1.47</v>
      </c>
      <c r="D521" s="164">
        <v>1.9</v>
      </c>
      <c r="E521" s="164">
        <f t="shared" si="55"/>
        <v>1.3229999999999997</v>
      </c>
      <c r="F521" s="197">
        <f>SUM($E$2:E521)/SUM($C$2:C521)</f>
        <v>-4.5890329100318976E-2</v>
      </c>
      <c r="G521" s="164">
        <f t="shared" si="56"/>
        <v>-78.561490000000106</v>
      </c>
      <c r="H521" s="485" t="s">
        <v>97</v>
      </c>
      <c r="I521" s="2"/>
      <c r="J521" s="2"/>
      <c r="K521" s="2"/>
      <c r="L521" s="2"/>
      <c r="O521" s="58"/>
      <c r="P521" s="58"/>
    </row>
    <row r="522" spans="2:16">
      <c r="B522" s="652"/>
      <c r="C522" s="491">
        <v>1.47</v>
      </c>
      <c r="D522" s="257"/>
      <c r="E522" s="257">
        <f t="shared" si="55"/>
        <v>-1.47</v>
      </c>
      <c r="F522" s="256">
        <f>SUM($E$2:E522)/SUM($C$2:C522)</f>
        <v>-4.6708896294523829E-2</v>
      </c>
      <c r="G522" s="257">
        <f t="shared" si="56"/>
        <v>-80.031490000000105</v>
      </c>
      <c r="H522" s="492" t="s">
        <v>53</v>
      </c>
      <c r="I522" s="2"/>
      <c r="J522" s="2"/>
      <c r="K522" s="2"/>
      <c r="L522" s="2"/>
      <c r="O522" s="58"/>
      <c r="P522" s="58"/>
    </row>
    <row r="523" spans="2:16">
      <c r="B523" s="652"/>
      <c r="C523" s="484">
        <v>1.47</v>
      </c>
      <c r="D523" s="164"/>
      <c r="E523" s="164">
        <f t="shared" si="55"/>
        <v>-1.47</v>
      </c>
      <c r="F523" s="197">
        <f>SUM($E$2:E523)/SUM($C$2:C523)</f>
        <v>-4.752606013248744E-2</v>
      </c>
      <c r="G523" s="164">
        <f t="shared" si="56"/>
        <v>-81.501490000000103</v>
      </c>
      <c r="H523" s="485" t="s">
        <v>51</v>
      </c>
      <c r="I523" s="2"/>
      <c r="J523" s="2"/>
      <c r="K523" s="2"/>
      <c r="L523" s="2"/>
      <c r="O523" s="58"/>
      <c r="P523" s="58"/>
    </row>
    <row r="524" spans="2:16">
      <c r="B524" s="652"/>
      <c r="C524" s="484">
        <v>1.47</v>
      </c>
      <c r="D524" s="164"/>
      <c r="E524" s="164">
        <f t="shared" si="55"/>
        <v>-1.47</v>
      </c>
      <c r="F524" s="197">
        <f>SUM($E$2:E524)/SUM($C$2:C524)</f>
        <v>-4.8341824220001786E-2</v>
      </c>
      <c r="G524" s="164">
        <f t="shared" si="56"/>
        <v>-82.971490000000102</v>
      </c>
      <c r="H524" s="485" t="s">
        <v>104</v>
      </c>
      <c r="I524" s="2"/>
      <c r="J524" s="2"/>
      <c r="K524" s="2"/>
      <c r="L524" s="2"/>
      <c r="O524" s="58"/>
      <c r="P524" s="58"/>
    </row>
    <row r="525" spans="2:16">
      <c r="B525" s="652"/>
      <c r="C525" s="484">
        <v>1.47</v>
      </c>
      <c r="D525" s="164">
        <v>2.76</v>
      </c>
      <c r="E525" s="164">
        <f t="shared" si="55"/>
        <v>2.5872000000000002</v>
      </c>
      <c r="F525" s="197">
        <f>SUM($E$2:E525)/SUM($C$2:C525)</f>
        <v>-4.6794361458127202E-2</v>
      </c>
      <c r="G525" s="164">
        <f t="shared" si="56"/>
        <v>-80.384290000000107</v>
      </c>
      <c r="H525" s="485" t="s">
        <v>12</v>
      </c>
      <c r="I525" s="2"/>
      <c r="J525" s="2"/>
      <c r="K525" s="2"/>
      <c r="L525" s="2"/>
      <c r="O525" s="58"/>
      <c r="P525" s="58"/>
    </row>
    <row r="526" spans="2:16">
      <c r="B526" s="652"/>
      <c r="C526" s="484">
        <v>1.47</v>
      </c>
      <c r="D526" s="164">
        <v>2.1</v>
      </c>
      <c r="E526" s="164">
        <f t="shared" si="55"/>
        <v>1.6170000000000002</v>
      </c>
      <c r="F526" s="197">
        <f>SUM($E$2:E526)/SUM($C$2:C526)</f>
        <v>-4.5813847576615968E-2</v>
      </c>
      <c r="G526" s="164">
        <f t="shared" si="56"/>
        <v>-78.767290000000102</v>
      </c>
      <c r="H526" s="485" t="s">
        <v>36</v>
      </c>
      <c r="I526" s="2"/>
      <c r="J526" s="2"/>
      <c r="K526" s="2"/>
      <c r="L526" s="2"/>
      <c r="O526" s="58"/>
      <c r="P526" s="58"/>
    </row>
    <row r="527" spans="2:16">
      <c r="B527" s="652"/>
      <c r="C527" s="484">
        <v>1.47</v>
      </c>
      <c r="D527" s="164">
        <v>1.95</v>
      </c>
      <c r="E527" s="164">
        <f t="shared" si="55"/>
        <v>1.3964999999999999</v>
      </c>
      <c r="F527" s="197">
        <f>SUM($E$2:E527)/SUM($C$2:C527)</f>
        <v>-4.4963150003486864E-2</v>
      </c>
      <c r="G527" s="164">
        <f t="shared" si="56"/>
        <v>-77.370790000000099</v>
      </c>
      <c r="H527" s="485" t="s">
        <v>47</v>
      </c>
      <c r="I527" s="2"/>
      <c r="J527" s="2"/>
      <c r="K527" s="2"/>
      <c r="L527" s="2"/>
      <c r="O527" s="58"/>
      <c r="P527" s="58"/>
    </row>
    <row r="528" spans="2:16">
      <c r="B528" s="652"/>
      <c r="C528" s="491">
        <v>1.47</v>
      </c>
      <c r="D528" s="257">
        <v>2.5329999999999999</v>
      </c>
      <c r="E528" s="257">
        <f t="shared" si="55"/>
        <v>2.2535099999999995</v>
      </c>
      <c r="F528" s="256">
        <f>SUM($E$2:E528)/SUM($C$2:C528)</f>
        <v>-4.3616288184505005E-2</v>
      </c>
      <c r="G528" s="257">
        <f t="shared" si="56"/>
        <v>-75.117280000000093</v>
      </c>
      <c r="H528" s="492" t="s">
        <v>18</v>
      </c>
      <c r="I528" s="2"/>
      <c r="J528" s="2"/>
      <c r="K528" s="2"/>
      <c r="L528" s="2"/>
      <c r="O528" s="58"/>
      <c r="P528" s="58"/>
    </row>
    <row r="529" spans="2:16">
      <c r="B529" s="652"/>
      <c r="C529" s="484">
        <v>1.47</v>
      </c>
      <c r="D529" s="164">
        <v>1.9</v>
      </c>
      <c r="E529" s="164">
        <f t="shared" si="55"/>
        <v>1.3229999999999997</v>
      </c>
      <c r="F529" s="197">
        <f>SUM($E$2:E529)/SUM($C$2:C529)</f>
        <v>-4.2811556535360014E-2</v>
      </c>
      <c r="G529" s="164">
        <f t="shared" si="56"/>
        <v>-73.7942800000001</v>
      </c>
      <c r="H529" s="485" t="s">
        <v>213</v>
      </c>
      <c r="I529" s="2"/>
      <c r="J529" s="2"/>
      <c r="K529" s="2"/>
      <c r="L529" s="2"/>
      <c r="O529" s="58"/>
      <c r="P529" s="58"/>
    </row>
    <row r="530" spans="2:16">
      <c r="B530" s="652"/>
      <c r="C530" s="484">
        <v>1.47</v>
      </c>
      <c r="D530" s="164">
        <v>1.9</v>
      </c>
      <c r="E530" s="164">
        <f t="shared" si="55"/>
        <v>1.3229999999999997</v>
      </c>
      <c r="F530" s="197">
        <f>SUM($E$2:E530)/SUM($C$2:C530)</f>
        <v>-4.2008196293698633E-2</v>
      </c>
      <c r="G530" s="164">
        <f t="shared" si="56"/>
        <v>-72.471280000000107</v>
      </c>
      <c r="H530" s="485" t="s">
        <v>214</v>
      </c>
      <c r="I530" s="2"/>
      <c r="J530" s="2"/>
      <c r="K530" s="2"/>
      <c r="L530" s="2"/>
      <c r="O530" s="58"/>
      <c r="P530" s="58"/>
    </row>
    <row r="531" spans="2:16">
      <c r="B531" s="652"/>
      <c r="C531" s="484">
        <v>1.47</v>
      </c>
      <c r="D531" s="164"/>
      <c r="E531" s="164">
        <f t="shared" si="55"/>
        <v>-1.47</v>
      </c>
      <c r="F531" s="197">
        <f>SUM($E$2:E531)/SUM($C$2:C531)</f>
        <v>-4.282379650650979E-2</v>
      </c>
      <c r="G531" s="164">
        <f t="shared" si="56"/>
        <v>-73.941280000000106</v>
      </c>
      <c r="H531" s="485" t="s">
        <v>204</v>
      </c>
      <c r="I531" s="2"/>
      <c r="J531" s="2"/>
      <c r="K531" s="2"/>
      <c r="L531" s="2"/>
      <c r="O531" s="58"/>
      <c r="P531" s="58"/>
    </row>
    <row r="532" spans="2:16">
      <c r="B532" s="652"/>
      <c r="C532" s="484">
        <v>1.47</v>
      </c>
      <c r="D532" s="164">
        <v>1.9</v>
      </c>
      <c r="E532" s="164">
        <f t="shared" si="55"/>
        <v>1.3229999999999997</v>
      </c>
      <c r="F532" s="197">
        <f>SUM($E$2:E532)/SUM($C$2:C532)</f>
        <v>-4.2021792594221473E-2</v>
      </c>
      <c r="G532" s="164">
        <f t="shared" si="56"/>
        <v>-72.618280000000112</v>
      </c>
      <c r="H532" s="485" t="s">
        <v>215</v>
      </c>
      <c r="I532" s="2"/>
      <c r="J532" s="2"/>
      <c r="K532" s="2"/>
      <c r="L532" s="2"/>
      <c r="O532" s="58"/>
      <c r="P532" s="58"/>
    </row>
    <row r="533" spans="2:16">
      <c r="B533" s="652"/>
      <c r="C533" s="484">
        <v>1.47</v>
      </c>
      <c r="D533" s="164"/>
      <c r="E533" s="164">
        <f t="shared" si="55"/>
        <v>-1.47</v>
      </c>
      <c r="F533" s="197">
        <f>SUM($E$2:E533)/SUM($C$2:C533)</f>
        <v>-4.283599486580561E-2</v>
      </c>
      <c r="G533" s="164">
        <f t="shared" si="56"/>
        <v>-74.088280000000111</v>
      </c>
      <c r="H533" s="485" t="s">
        <v>216</v>
      </c>
      <c r="I533" s="2"/>
      <c r="J533" s="2"/>
      <c r="K533" s="2"/>
      <c r="L533" s="2"/>
      <c r="O533" s="58"/>
      <c r="P533" s="58"/>
    </row>
    <row r="534" spans="2:16">
      <c r="B534" s="652"/>
      <c r="C534" s="484">
        <v>1.47</v>
      </c>
      <c r="D534" s="164"/>
      <c r="E534" s="164">
        <f t="shared" si="55"/>
        <v>-1.47</v>
      </c>
      <c r="F534" s="197">
        <f>SUM($E$2:E534)/SUM($C$2:C534)</f>
        <v>-4.3648814303457475E-2</v>
      </c>
      <c r="G534" s="164">
        <f t="shared" si="56"/>
        <v>-75.55828000000011</v>
      </c>
      <c r="H534" s="485" t="s">
        <v>217</v>
      </c>
      <c r="I534" s="2"/>
      <c r="J534" s="2"/>
      <c r="K534" s="2"/>
      <c r="L534" s="2"/>
      <c r="O534" s="58"/>
      <c r="P534" s="58"/>
    </row>
    <row r="535" spans="2:16">
      <c r="B535" s="652"/>
      <c r="C535" s="484">
        <v>1.47</v>
      </c>
      <c r="D535" s="164">
        <v>1.9</v>
      </c>
      <c r="E535" s="164">
        <f t="shared" si="55"/>
        <v>1.3229999999999997</v>
      </c>
      <c r="F535" s="197">
        <f>SUM($E$2:E535)/SUM($C$2:C535)</f>
        <v>-4.2848151825087194E-2</v>
      </c>
      <c r="G535" s="164">
        <f t="shared" si="56"/>
        <v>-74.235280000000117</v>
      </c>
      <c r="H535" s="485" t="s">
        <v>218</v>
      </c>
      <c r="I535" s="2"/>
      <c r="J535" s="2"/>
      <c r="K535" s="2"/>
      <c r="L535" s="2"/>
      <c r="O535" s="58"/>
      <c r="P535" s="58"/>
    </row>
    <row r="536" spans="2:16">
      <c r="B536" s="652"/>
      <c r="C536" s="484">
        <v>1.47</v>
      </c>
      <c r="D536" s="164">
        <v>1.9</v>
      </c>
      <c r="E536" s="164">
        <f t="shared" si="55"/>
        <v>1.3229999999999997</v>
      </c>
      <c r="F536" s="197">
        <f>SUM($E$2:E536)/SUM($C$2:C536)</f>
        <v>-4.2048846879163132E-2</v>
      </c>
      <c r="G536" s="164">
        <f t="shared" si="56"/>
        <v>-72.912280000000123</v>
      </c>
      <c r="H536" s="485" t="s">
        <v>219</v>
      </c>
      <c r="I536" s="2"/>
      <c r="J536" s="2"/>
      <c r="K536" s="2"/>
      <c r="L536" s="2"/>
      <c r="O536" s="58"/>
      <c r="P536" s="58"/>
    </row>
    <row r="537" spans="2:16">
      <c r="B537" s="652"/>
      <c r="C537" s="484">
        <v>1.47</v>
      </c>
      <c r="D537" s="164">
        <v>1.9</v>
      </c>
      <c r="E537" s="164">
        <f t="shared" si="55"/>
        <v>1.3229999999999997</v>
      </c>
      <c r="F537" s="197">
        <f>SUM($E$2:E537)/SUM($C$2:C537)</f>
        <v>-4.1250896016041906E-2</v>
      </c>
      <c r="G537" s="164">
        <f t="shared" si="56"/>
        <v>-71.58928000000013</v>
      </c>
      <c r="H537" s="485" t="s">
        <v>220</v>
      </c>
      <c r="I537" s="2"/>
      <c r="J537" s="2"/>
      <c r="K537" s="2"/>
      <c r="L537" s="2"/>
      <c r="O537" s="58"/>
      <c r="P537" s="58"/>
    </row>
    <row r="538" spans="2:16">
      <c r="B538" s="652"/>
      <c r="C538" s="484">
        <v>1.47</v>
      </c>
      <c r="D538" s="164">
        <v>1.9</v>
      </c>
      <c r="E538" s="164">
        <f t="shared" si="55"/>
        <v>1.3229999999999997</v>
      </c>
      <c r="F538" s="197">
        <f>SUM($E$2:E538)/SUM($C$2:C538)</f>
        <v>-4.0454295797758166E-2</v>
      </c>
      <c r="G538" s="164">
        <f t="shared" si="56"/>
        <v>-70.266280000000137</v>
      </c>
      <c r="H538" s="485" t="s">
        <v>221</v>
      </c>
      <c r="I538" s="2"/>
      <c r="J538" s="2"/>
      <c r="K538" s="2"/>
      <c r="L538" s="2"/>
      <c r="O538" s="58"/>
      <c r="P538" s="58"/>
    </row>
    <row r="539" spans="2:16">
      <c r="B539" s="652"/>
      <c r="C539" s="491">
        <v>1.47</v>
      </c>
      <c r="D539" s="257">
        <v>1.9</v>
      </c>
      <c r="E539" s="257">
        <f t="shared" si="55"/>
        <v>1.3229999999999997</v>
      </c>
      <c r="F539" s="256">
        <f>SUM($E$2:E539)/SUM($C$2:C539)</f>
        <v>-3.9659042797975205E-2</v>
      </c>
      <c r="G539" s="257">
        <f t="shared" si="56"/>
        <v>-68.943280000000144</v>
      </c>
      <c r="H539" s="492" t="s">
        <v>222</v>
      </c>
      <c r="I539" s="2">
        <f>SUM(E514:E539)</f>
        <v>11.649749999999999</v>
      </c>
      <c r="L539" s="2">
        <f>I539/C539</f>
        <v>7.9249999999999998</v>
      </c>
      <c r="O539" s="58"/>
      <c r="P539" s="58"/>
    </row>
    <row r="540" spans="2:16">
      <c r="B540" s="650">
        <v>46016</v>
      </c>
      <c r="C540" s="484">
        <v>4.21</v>
      </c>
      <c r="D540" s="164">
        <v>1.9</v>
      </c>
      <c r="E540" s="164">
        <f t="shared" ref="E540:E551" si="57">(C540*D540)-C540</f>
        <v>3.7889999999999997</v>
      </c>
      <c r="F540" s="197">
        <f>SUM($E$2:E540)/SUM($C$2:C540)</f>
        <v>-3.7388905148025141E-2</v>
      </c>
      <c r="G540" s="164">
        <f t="shared" ref="G540:G551" si="58">G539+E540</f>
        <v>-65.154280000000142</v>
      </c>
      <c r="H540" s="485" t="s">
        <v>46</v>
      </c>
      <c r="I540" s="2"/>
      <c r="J540" s="2"/>
      <c r="K540" s="2"/>
      <c r="L540" s="2"/>
      <c r="O540" s="58"/>
      <c r="P540" s="58"/>
    </row>
    <row r="541" spans="2:16">
      <c r="B541" s="652"/>
      <c r="C541" s="484">
        <v>4.21</v>
      </c>
      <c r="D541" s="164">
        <v>1.88</v>
      </c>
      <c r="E541" s="164">
        <f t="shared" si="57"/>
        <v>3.7047999999999996</v>
      </c>
      <c r="F541" s="197">
        <f>SUM($E$2:E541)/SUM($C$2:C541)</f>
        <v>-3.5177911862699134E-2</v>
      </c>
      <c r="G541" s="164">
        <f t="shared" si="58"/>
        <v>-61.449480000000143</v>
      </c>
      <c r="H541" s="485" t="s">
        <v>12</v>
      </c>
      <c r="I541" s="2"/>
      <c r="J541" s="2"/>
      <c r="K541" s="2"/>
      <c r="L541" s="2"/>
      <c r="O541" s="58"/>
      <c r="P541" s="58"/>
    </row>
    <row r="542" spans="2:16">
      <c r="B542" s="652"/>
      <c r="C542" s="491">
        <v>4.21</v>
      </c>
      <c r="D542" s="257">
        <v>1.87</v>
      </c>
      <c r="E542" s="257">
        <f t="shared" si="57"/>
        <v>3.6627000000000001</v>
      </c>
      <c r="F542" s="256">
        <f>SUM($E$2:E542)/SUM($C$2:C542)</f>
        <v>-3.3001593347915283E-2</v>
      </c>
      <c r="G542" s="257">
        <f t="shared" si="58"/>
        <v>-57.786780000000142</v>
      </c>
      <c r="H542" s="492" t="s">
        <v>17</v>
      </c>
      <c r="I542" s="2"/>
      <c r="J542" s="2"/>
      <c r="K542" s="2"/>
      <c r="L542" s="2"/>
      <c r="O542" s="58"/>
      <c r="P542" s="58"/>
    </row>
    <row r="543" spans="2:16">
      <c r="B543" s="652"/>
      <c r="C543" s="484">
        <v>4.21</v>
      </c>
      <c r="D543" s="164">
        <v>1.94</v>
      </c>
      <c r="E543" s="164">
        <f t="shared" si="57"/>
        <v>3.9573999999999989</v>
      </c>
      <c r="F543" s="197">
        <f>SUM($E$2:E543)/SUM($C$2:C543)</f>
        <v>-3.0667817506437923E-2</v>
      </c>
      <c r="G543" s="164">
        <f t="shared" si="58"/>
        <v>-53.829380000000143</v>
      </c>
      <c r="H543" s="485" t="s">
        <v>59</v>
      </c>
      <c r="I543" s="2"/>
      <c r="J543" s="2"/>
      <c r="K543" s="2"/>
      <c r="L543" s="2"/>
      <c r="O543" s="58"/>
      <c r="P543" s="58"/>
    </row>
    <row r="544" spans="2:16">
      <c r="B544" s="652"/>
      <c r="C544" s="484">
        <v>4.21</v>
      </c>
      <c r="D544" s="164"/>
      <c r="E544" s="164">
        <f t="shared" si="57"/>
        <v>-4.21</v>
      </c>
      <c r="F544" s="197">
        <f>SUM($E$2:E544)/SUM($C$2:C544)</f>
        <v>-3.2987228963596633E-2</v>
      </c>
      <c r="G544" s="164">
        <f t="shared" si="58"/>
        <v>-58.039380000000143</v>
      </c>
      <c r="H544" s="485" t="s">
        <v>30</v>
      </c>
      <c r="I544" s="2"/>
      <c r="J544" s="2"/>
      <c r="K544" s="2"/>
      <c r="L544" s="2"/>
      <c r="O544" s="58"/>
      <c r="P544" s="58"/>
    </row>
    <row r="545" spans="2:16">
      <c r="B545" s="652"/>
      <c r="C545" s="484">
        <v>4.21</v>
      </c>
      <c r="D545" s="164">
        <v>1.94</v>
      </c>
      <c r="E545" s="164">
        <f t="shared" si="57"/>
        <v>3.9573999999999989</v>
      </c>
      <c r="F545" s="197">
        <f>SUM($E$2:E545)/SUM($C$2:C545)</f>
        <v>-3.066462923692781E-2</v>
      </c>
      <c r="G545" s="164">
        <f t="shared" si="58"/>
        <v>-54.081980000000144</v>
      </c>
      <c r="H545" s="485" t="s">
        <v>27</v>
      </c>
      <c r="I545" s="2"/>
      <c r="J545" s="2"/>
      <c r="K545" s="2"/>
      <c r="L545" s="2"/>
      <c r="O545" s="58"/>
      <c r="P545" s="58"/>
    </row>
    <row r="546" spans="2:16">
      <c r="B546" s="652"/>
      <c r="C546" s="484">
        <v>4.21</v>
      </c>
      <c r="D546" s="164"/>
      <c r="E546" s="164">
        <f t="shared" si="57"/>
        <v>-4.21</v>
      </c>
      <c r="F546" s="197">
        <f>SUM($E$2:E546)/SUM($C$2:C546)</f>
        <v>-3.2973001408474659E-2</v>
      </c>
      <c r="G546" s="164">
        <f t="shared" si="58"/>
        <v>-58.291980000000144</v>
      </c>
      <c r="H546" s="485" t="s">
        <v>10</v>
      </c>
      <c r="I546" s="2"/>
      <c r="J546" s="2"/>
      <c r="K546" s="2"/>
      <c r="L546" s="2"/>
      <c r="O546" s="58"/>
      <c r="P546" s="58"/>
    </row>
    <row r="547" spans="2:16">
      <c r="B547" s="652"/>
      <c r="C547" s="491">
        <v>4.21</v>
      </c>
      <c r="D547" s="257">
        <v>1.94</v>
      </c>
      <c r="E547" s="257">
        <f t="shared" si="57"/>
        <v>3.9573999999999989</v>
      </c>
      <c r="F547" s="256">
        <f>SUM($E$2:E547)/SUM($C$2:C547)</f>
        <v>-3.0661471265405679E-2</v>
      </c>
      <c r="G547" s="257">
        <f t="shared" si="58"/>
        <v>-54.334580000000145</v>
      </c>
      <c r="H547" s="492" t="s">
        <v>59</v>
      </c>
      <c r="I547" s="2"/>
      <c r="J547" s="2"/>
      <c r="K547" s="2"/>
      <c r="L547" s="2"/>
      <c r="O547" s="58"/>
      <c r="P547" s="58"/>
    </row>
    <row r="548" spans="2:16">
      <c r="B548" s="652"/>
      <c r="C548" s="484">
        <v>4.21</v>
      </c>
      <c r="D548" s="164">
        <v>1.94</v>
      </c>
      <c r="E548" s="164">
        <f t="shared" si="57"/>
        <v>3.9573999999999989</v>
      </c>
      <c r="F548" s="197">
        <f>SUM($E$2:E548)/SUM($C$2:C548)</f>
        <v>-2.8360898276745407E-2</v>
      </c>
      <c r="G548" s="164">
        <f t="shared" si="58"/>
        <v>-50.377180000000145</v>
      </c>
      <c r="H548" s="485" t="s">
        <v>223</v>
      </c>
      <c r="I548" s="2"/>
      <c r="J548" s="2"/>
      <c r="K548" s="2"/>
      <c r="L548" s="2"/>
      <c r="O548" s="58"/>
      <c r="P548" s="58"/>
    </row>
    <row r="549" spans="2:16">
      <c r="B549" s="652"/>
      <c r="C549" s="484">
        <v>4.21</v>
      </c>
      <c r="D549" s="164"/>
      <c r="E549" s="164">
        <f t="shared" si="57"/>
        <v>-4.21</v>
      </c>
      <c r="F549" s="197">
        <f>SUM($E$2:E549)/SUM($C$2:C549)</f>
        <v>-3.065834316203319E-2</v>
      </c>
      <c r="G549" s="164">
        <f t="shared" si="58"/>
        <v>-54.587180000000146</v>
      </c>
      <c r="H549" s="485" t="s">
        <v>224</v>
      </c>
      <c r="I549" s="2"/>
      <c r="J549" s="2"/>
      <c r="K549" s="2"/>
      <c r="L549" s="2"/>
      <c r="O549" s="58"/>
      <c r="P549" s="58"/>
    </row>
    <row r="550" spans="2:16">
      <c r="B550" s="652"/>
      <c r="C550" s="484">
        <v>4.21</v>
      </c>
      <c r="D550" s="164">
        <v>1.94</v>
      </c>
      <c r="E550" s="164">
        <f t="shared" si="57"/>
        <v>3.9573999999999989</v>
      </c>
      <c r="F550" s="197">
        <f>SUM($E$2:E550)/SUM($C$2:C550)</f>
        <v>-2.8368631318253443E-2</v>
      </c>
      <c r="G550" s="164">
        <f t="shared" si="58"/>
        <v>-50.629780000000146</v>
      </c>
      <c r="H550" s="485" t="s">
        <v>225</v>
      </c>
      <c r="I550" s="2"/>
      <c r="J550" s="2"/>
      <c r="K550" s="2"/>
      <c r="L550" s="2"/>
      <c r="O550" s="58"/>
      <c r="P550" s="58"/>
    </row>
    <row r="551" spans="2:16">
      <c r="B551" s="652"/>
      <c r="C551" s="491">
        <v>4.21</v>
      </c>
      <c r="D551" s="257"/>
      <c r="E551" s="257">
        <f t="shared" si="57"/>
        <v>-4.21</v>
      </c>
      <c r="F551" s="256">
        <f>SUM($E$2:E551)/SUM($C$2:C551)</f>
        <v>-3.0655244505064561E-2</v>
      </c>
      <c r="G551" s="257">
        <f t="shared" si="58"/>
        <v>-54.839780000000147</v>
      </c>
      <c r="H551" s="492" t="s">
        <v>226</v>
      </c>
      <c r="I551" s="2">
        <f>SUM(E540:E551)</f>
        <v>14.103499999999993</v>
      </c>
      <c r="L551" s="2">
        <f>I551/C551</f>
        <v>3.3499999999999983</v>
      </c>
      <c r="O551" s="58"/>
      <c r="P551" s="58"/>
    </row>
    <row r="552" spans="2:16">
      <c r="B552" s="650">
        <v>46017</v>
      </c>
      <c r="C552" s="484">
        <v>2.39</v>
      </c>
      <c r="D552" s="164">
        <v>1.87</v>
      </c>
      <c r="E552" s="164">
        <f t="shared" ref="E552:E568" si="59">(C552*D552)-C552</f>
        <v>2.0793000000000004</v>
      </c>
      <c r="F552" s="197">
        <f>SUM($E$2:E552)/SUM($C$2:C552)</f>
        <v>-2.9453573083385951E-2</v>
      </c>
      <c r="G552" s="164">
        <f t="shared" ref="G552:G568" si="60">G551+E552</f>
        <v>-52.760480000000143</v>
      </c>
      <c r="H552" s="485" t="s">
        <v>16</v>
      </c>
      <c r="I552" s="2"/>
      <c r="J552" s="2"/>
      <c r="K552" s="2"/>
      <c r="L552" s="2"/>
      <c r="O552" s="58"/>
      <c r="P552" s="58"/>
    </row>
    <row r="553" spans="2:16">
      <c r="B553" s="652"/>
      <c r="C553" s="484">
        <v>2.39</v>
      </c>
      <c r="D553" s="164">
        <v>2.1</v>
      </c>
      <c r="E553" s="164">
        <f t="shared" si="59"/>
        <v>2.629</v>
      </c>
      <c r="F553" s="197">
        <f>SUM($E$2:E553)/SUM($C$2:C553)</f>
        <v>-2.7948642470870321E-2</v>
      </c>
      <c r="G553" s="164">
        <f t="shared" si="60"/>
        <v>-50.131480000000145</v>
      </c>
      <c r="H553" s="485" t="s">
        <v>37</v>
      </c>
      <c r="I553" s="2"/>
      <c r="J553" s="2"/>
      <c r="K553" s="2"/>
      <c r="L553" s="2"/>
      <c r="O553" s="58"/>
      <c r="P553" s="58"/>
    </row>
    <row r="554" spans="2:16">
      <c r="B554" s="652"/>
      <c r="C554" s="484">
        <v>2.39</v>
      </c>
      <c r="D554" s="164"/>
      <c r="E554" s="164">
        <f t="shared" si="59"/>
        <v>-2.39</v>
      </c>
      <c r="F554" s="197">
        <f>SUM($E$2:E554)/SUM($C$2:C554)</f>
        <v>-2.9242120383722467E-2</v>
      </c>
      <c r="G554" s="164">
        <f t="shared" si="60"/>
        <v>-52.521480000000146</v>
      </c>
      <c r="H554" s="485" t="s">
        <v>51</v>
      </c>
      <c r="I554" s="2"/>
      <c r="J554" s="2"/>
      <c r="K554" s="2"/>
      <c r="L554" s="2"/>
      <c r="O554" s="58"/>
      <c r="P554" s="58"/>
    </row>
    <row r="555" spans="2:16">
      <c r="B555" s="652"/>
      <c r="C555" s="484">
        <v>2.39</v>
      </c>
      <c r="D555" s="164"/>
      <c r="E555" s="164">
        <f t="shared" si="59"/>
        <v>-2.39</v>
      </c>
      <c r="F555" s="197">
        <f>SUM($E$2:E555)/SUM($C$2:C555)</f>
        <v>-3.0532160491081404E-2</v>
      </c>
      <c r="G555" s="164">
        <f t="shared" si="60"/>
        <v>-54.911480000000147</v>
      </c>
      <c r="H555" s="485" t="s">
        <v>34</v>
      </c>
      <c r="I555" s="2"/>
      <c r="J555" s="2"/>
      <c r="K555" s="2"/>
      <c r="L555" s="2"/>
      <c r="O555" s="58"/>
      <c r="P555" s="58"/>
    </row>
    <row r="556" spans="2:16">
      <c r="B556" s="652"/>
      <c r="C556" s="484">
        <v>2.39</v>
      </c>
      <c r="D556" s="164"/>
      <c r="E556" s="164">
        <f t="shared" si="59"/>
        <v>-2.39</v>
      </c>
      <c r="F556" s="197">
        <f>SUM($E$2:E556)/SUM($C$2:C556)</f>
        <v>-3.1818776480256807E-2</v>
      </c>
      <c r="G556" s="164">
        <f t="shared" si="60"/>
        <v>-57.301480000000147</v>
      </c>
      <c r="H556" s="485" t="s">
        <v>36</v>
      </c>
      <c r="I556" s="2"/>
      <c r="J556" s="2"/>
      <c r="K556" s="2"/>
      <c r="L556" s="2"/>
      <c r="O556" s="58"/>
      <c r="P556" s="58"/>
    </row>
    <row r="557" spans="2:16">
      <c r="B557" s="652"/>
      <c r="C557" s="491">
        <v>2.39</v>
      </c>
      <c r="D557" s="257">
        <v>1.8620000000000001</v>
      </c>
      <c r="E557" s="257">
        <f t="shared" si="59"/>
        <v>2.0601800000000003</v>
      </c>
      <c r="F557" s="256">
        <f>SUM($E$2:E557)/SUM($C$2:C557)</f>
        <v>-3.0634129299158232E-2</v>
      </c>
      <c r="G557" s="257">
        <f t="shared" si="60"/>
        <v>-55.241300000000145</v>
      </c>
      <c r="H557" s="492" t="s">
        <v>18</v>
      </c>
      <c r="I557" s="2"/>
      <c r="J557" s="2"/>
      <c r="K557" s="2"/>
      <c r="L557" s="2"/>
      <c r="O557" s="58"/>
      <c r="P557" s="58"/>
    </row>
    <row r="558" spans="2:16">
      <c r="B558" s="652"/>
      <c r="C558" s="484">
        <v>2.39</v>
      </c>
      <c r="D558" s="164">
        <v>1.9650000000000001</v>
      </c>
      <c r="E558" s="164">
        <f t="shared" si="59"/>
        <v>2.3063500000000006</v>
      </c>
      <c r="F558" s="197">
        <f>SUM($E$2:E558)/SUM($C$2:C558)</f>
        <v>-2.9316284994323413E-2</v>
      </c>
      <c r="G558" s="164">
        <f t="shared" si="60"/>
        <v>-52.934950000000143</v>
      </c>
      <c r="H558" s="485" t="s">
        <v>11</v>
      </c>
      <c r="I558" s="2"/>
      <c r="J558" s="2"/>
      <c r="K558" s="2"/>
      <c r="L558" s="2"/>
      <c r="O558" s="58"/>
      <c r="P558" s="58"/>
    </row>
    <row r="559" spans="2:16">
      <c r="B559" s="652"/>
      <c r="C559" s="484">
        <v>2.39</v>
      </c>
      <c r="D559" s="164">
        <v>2.1</v>
      </c>
      <c r="E559" s="164">
        <f t="shared" si="59"/>
        <v>2.629</v>
      </c>
      <c r="F559" s="197">
        <f>SUM($E$2:E559)/SUM($C$2:C559)</f>
        <v>-2.7823471825844603E-2</v>
      </c>
      <c r="G559" s="164">
        <f t="shared" si="60"/>
        <v>-50.305950000000145</v>
      </c>
      <c r="H559" s="485" t="s">
        <v>60</v>
      </c>
      <c r="I559" s="2"/>
      <c r="J559" s="2"/>
      <c r="K559" s="2"/>
      <c r="L559" s="2"/>
      <c r="O559" s="58"/>
      <c r="P559" s="58"/>
    </row>
    <row r="560" spans="2:16">
      <c r="B560" s="652"/>
      <c r="C560" s="484">
        <v>2.39</v>
      </c>
      <c r="D560" s="164">
        <v>1.9650000000000001</v>
      </c>
      <c r="E560" s="164">
        <f t="shared" si="59"/>
        <v>2.3063500000000006</v>
      </c>
      <c r="F560" s="197">
        <f>SUM($E$2:E560)/SUM($C$2:C560)</f>
        <v>-2.6512817396972033E-2</v>
      </c>
      <c r="G560" s="164">
        <f t="shared" si="60"/>
        <v>-47.999600000000143</v>
      </c>
      <c r="H560" s="485" t="s">
        <v>26</v>
      </c>
      <c r="I560" s="2"/>
      <c r="J560" s="2"/>
      <c r="K560" s="2"/>
      <c r="L560" s="2"/>
      <c r="O560" s="58"/>
      <c r="P560" s="58"/>
    </row>
    <row r="561" spans="2:16">
      <c r="B561" s="652"/>
      <c r="C561" s="484">
        <v>2.39</v>
      </c>
      <c r="D561" s="164"/>
      <c r="E561" s="164">
        <f t="shared" si="59"/>
        <v>-2.39</v>
      </c>
      <c r="F561" s="197">
        <f>SUM($E$2:E561)/SUM($C$2:C561)</f>
        <v>-2.7796251144625538E-2</v>
      </c>
      <c r="G561" s="164">
        <f t="shared" si="60"/>
        <v>-50.389600000000144</v>
      </c>
      <c r="H561" s="485" t="s">
        <v>13</v>
      </c>
      <c r="I561" s="2"/>
      <c r="J561" s="2"/>
      <c r="K561" s="2"/>
      <c r="L561" s="2"/>
      <c r="O561" s="58"/>
      <c r="P561" s="58"/>
    </row>
    <row r="562" spans="2:16">
      <c r="B562" s="652"/>
      <c r="C562" s="491">
        <v>2.39</v>
      </c>
      <c r="D562" s="257">
        <v>1.9650000000000001</v>
      </c>
      <c r="E562" s="257">
        <f t="shared" si="59"/>
        <v>2.3063500000000006</v>
      </c>
      <c r="F562" s="256">
        <f>SUM($E$2:E562)/SUM($C$2:C562)</f>
        <v>-2.6489083907647086E-2</v>
      </c>
      <c r="G562" s="257">
        <f t="shared" si="60"/>
        <v>-48.083250000000142</v>
      </c>
      <c r="H562" s="492" t="s">
        <v>47</v>
      </c>
      <c r="I562" s="2"/>
      <c r="J562" s="2"/>
      <c r="K562" s="2"/>
      <c r="L562" s="2"/>
      <c r="O562" s="58"/>
      <c r="P562" s="58"/>
    </row>
    <row r="563" spans="2:16">
      <c r="B563" s="652"/>
      <c r="C563" s="484">
        <v>2.39</v>
      </c>
      <c r="D563" s="164"/>
      <c r="E563" s="164">
        <f t="shared" si="59"/>
        <v>-2.39</v>
      </c>
      <c r="F563" s="197">
        <f>SUM($E$2:E563)/SUM($C$2:C563)</f>
        <v>-2.7769173635563416E-2</v>
      </c>
      <c r="G563" s="164">
        <f t="shared" si="60"/>
        <v>-50.473250000000142</v>
      </c>
      <c r="H563" s="485" t="s">
        <v>227</v>
      </c>
      <c r="I563" s="2"/>
      <c r="J563" s="2"/>
      <c r="K563" s="2"/>
      <c r="L563" s="2"/>
      <c r="O563" s="58"/>
      <c r="P563" s="58"/>
    </row>
    <row r="564" spans="2:16">
      <c r="B564" s="652"/>
      <c r="C564" s="484">
        <v>2.39</v>
      </c>
      <c r="D564" s="164">
        <v>1.93</v>
      </c>
      <c r="E564" s="164">
        <f t="shared" si="59"/>
        <v>2.2227000000000001</v>
      </c>
      <c r="F564" s="197">
        <f>SUM($E$2:E564)/SUM($C$2:C564)</f>
        <v>-2.6511436876026823E-2</v>
      </c>
      <c r="G564" s="164">
        <f t="shared" si="60"/>
        <v>-48.250550000000139</v>
      </c>
      <c r="H564" s="485" t="s">
        <v>228</v>
      </c>
      <c r="I564" s="2"/>
      <c r="J564" s="2"/>
      <c r="K564" s="2"/>
      <c r="L564" s="2"/>
      <c r="O564" s="58"/>
      <c r="P564" s="58"/>
    </row>
    <row r="565" spans="2:16">
      <c r="B565" s="652"/>
      <c r="C565" s="484">
        <v>2.39</v>
      </c>
      <c r="D565" s="164">
        <v>1.92</v>
      </c>
      <c r="E565" s="164">
        <f t="shared" si="59"/>
        <v>2.1987999999999999</v>
      </c>
      <c r="F565" s="197">
        <f>SUM($E$2:E565)/SUM($C$2:C565)</f>
        <v>-2.5270113807219167E-2</v>
      </c>
      <c r="G565" s="164">
        <f t="shared" si="60"/>
        <v>-46.051750000000141</v>
      </c>
      <c r="H565" s="485" t="s">
        <v>229</v>
      </c>
      <c r="I565" s="2"/>
      <c r="J565" s="2"/>
      <c r="K565" s="2"/>
      <c r="L565" s="2"/>
      <c r="O565" s="58"/>
      <c r="P565" s="58"/>
    </row>
    <row r="566" spans="2:16">
      <c r="B566" s="652"/>
      <c r="C566" s="484">
        <v>2.39</v>
      </c>
      <c r="D566" s="164">
        <v>1</v>
      </c>
      <c r="E566" s="164">
        <f t="shared" si="59"/>
        <v>0</v>
      </c>
      <c r="F566" s="197">
        <f>SUM($E$2:E566)/SUM($C$2:C566)</f>
        <v>-2.5237016171901151E-2</v>
      </c>
      <c r="G566" s="164">
        <f t="shared" si="60"/>
        <v>-46.051750000000141</v>
      </c>
      <c r="H566" s="485" t="s">
        <v>230</v>
      </c>
      <c r="I566" s="2"/>
      <c r="J566" s="2"/>
      <c r="K566" s="2"/>
      <c r="L566" s="2"/>
      <c r="O566" s="58"/>
      <c r="P566" s="58"/>
    </row>
    <row r="567" spans="2:16">
      <c r="B567" s="652"/>
      <c r="C567" s="484">
        <v>2.39</v>
      </c>
      <c r="D567" s="164"/>
      <c r="E567" s="164">
        <f t="shared" si="59"/>
        <v>-2.39</v>
      </c>
      <c r="F567" s="197">
        <f>SUM($E$2:E567)/SUM($C$2:C567)</f>
        <v>-2.6512046016769222E-2</v>
      </c>
      <c r="G567" s="164">
        <f t="shared" si="60"/>
        <v>-48.441750000000141</v>
      </c>
      <c r="H567" s="485" t="s">
        <v>231</v>
      </c>
      <c r="I567" s="2"/>
      <c r="J567" s="2"/>
      <c r="K567" s="2"/>
      <c r="L567" s="2"/>
      <c r="O567" s="58"/>
      <c r="P567" s="58"/>
    </row>
    <row r="568" spans="2:16">
      <c r="B568" s="652"/>
      <c r="C568" s="491">
        <v>2.39</v>
      </c>
      <c r="D568" s="257"/>
      <c r="E568" s="257">
        <f t="shared" si="59"/>
        <v>-2.39</v>
      </c>
      <c r="F568" s="256">
        <f>SUM($E$2:E568)/SUM($C$2:C568)</f>
        <v>-2.7783744636659315E-2</v>
      </c>
      <c r="G568" s="257">
        <f t="shared" si="60"/>
        <v>-50.831750000000142</v>
      </c>
      <c r="H568" s="492" t="s">
        <v>232</v>
      </c>
      <c r="I568" s="2">
        <f>SUM(E552:E568)</f>
        <v>4.0080299999999998</v>
      </c>
      <c r="L568" s="2">
        <f>I568/C568</f>
        <v>1.6769999999999998</v>
      </c>
      <c r="O568" s="58"/>
      <c r="P568" s="58"/>
    </row>
    <row r="569" spans="2:16">
      <c r="B569" s="650">
        <v>46018</v>
      </c>
      <c r="C569" s="484">
        <v>2.41</v>
      </c>
      <c r="D569" s="164"/>
      <c r="E569" s="164">
        <f t="shared" ref="E569:E580" si="61">(C569*D569)-C569</f>
        <v>-2.41</v>
      </c>
      <c r="F569" s="197">
        <f>SUM($E$2:E569)/SUM($C$2:C569)</f>
        <v>-2.9062725168671828E-2</v>
      </c>
      <c r="G569" s="164">
        <f t="shared" ref="G569:G580" si="62">G568+E569</f>
        <v>-53.241750000000138</v>
      </c>
      <c r="H569" s="485" t="s">
        <v>17</v>
      </c>
      <c r="I569" s="2"/>
      <c r="J569" s="2"/>
      <c r="K569" s="2"/>
      <c r="L569" s="2"/>
      <c r="O569" s="58"/>
      <c r="P569" s="58"/>
    </row>
    <row r="570" spans="2:16">
      <c r="B570" s="652"/>
      <c r="C570" s="484">
        <v>2.41</v>
      </c>
      <c r="D570" s="164">
        <v>1.9</v>
      </c>
      <c r="E570" s="164">
        <f t="shared" si="61"/>
        <v>2.1689999999999996</v>
      </c>
      <c r="F570" s="197">
        <f>SUM($E$2:E570)/SUM($C$2:C570)</f>
        <v>-2.7842120182951118E-2</v>
      </c>
      <c r="G570" s="164">
        <f t="shared" si="62"/>
        <v>-51.072750000000141</v>
      </c>
      <c r="H570" s="485" t="s">
        <v>60</v>
      </c>
      <c r="I570" s="2"/>
      <c r="J570" s="2"/>
      <c r="K570" s="2"/>
      <c r="L570" s="2"/>
      <c r="O570" s="58"/>
      <c r="P570" s="58"/>
    </row>
    <row r="571" spans="2:16">
      <c r="B571" s="652"/>
      <c r="C571" s="484">
        <v>2.41</v>
      </c>
      <c r="D571" s="164"/>
      <c r="E571" s="164">
        <f t="shared" si="61"/>
        <v>-2.41</v>
      </c>
      <c r="F571" s="197">
        <f>SUM($E$2:E571)/SUM($C$2:C571)</f>
        <v>-2.9117667875303538E-2</v>
      </c>
      <c r="G571" s="164">
        <f t="shared" si="62"/>
        <v>-53.482750000000138</v>
      </c>
      <c r="H571" s="485" t="s">
        <v>46</v>
      </c>
      <c r="I571" s="2"/>
      <c r="J571" s="2"/>
      <c r="K571" s="2"/>
      <c r="L571" s="2"/>
      <c r="O571" s="58"/>
      <c r="P571" s="58"/>
    </row>
    <row r="572" spans="2:16">
      <c r="B572" s="652"/>
      <c r="C572" s="491">
        <v>2.41</v>
      </c>
      <c r="D572" s="257">
        <v>1.91</v>
      </c>
      <c r="E572" s="257">
        <f t="shared" si="61"/>
        <v>2.1931000000000003</v>
      </c>
      <c r="F572" s="256">
        <f>SUM($E$2:E572)/SUM($C$2:C572)</f>
        <v>-2.7887086162930438E-2</v>
      </c>
      <c r="G572" s="257">
        <f t="shared" si="62"/>
        <v>-51.289650000000137</v>
      </c>
      <c r="H572" s="492" t="s">
        <v>47</v>
      </c>
      <c r="I572" s="2"/>
      <c r="J572" s="2"/>
      <c r="K572" s="2"/>
      <c r="L572" s="2"/>
      <c r="O572" s="58"/>
      <c r="P572" s="58"/>
    </row>
    <row r="573" spans="2:16">
      <c r="B573" s="652"/>
      <c r="C573" s="484">
        <v>2.41</v>
      </c>
      <c r="D573" s="164"/>
      <c r="E573" s="164">
        <f t="shared" si="61"/>
        <v>-2.41</v>
      </c>
      <c r="F573" s="197">
        <f>SUM($E$2:E573)/SUM($C$2:C573)</f>
        <v>-2.9159236533449186E-2</v>
      </c>
      <c r="G573" s="164">
        <f t="shared" si="62"/>
        <v>-53.699650000000133</v>
      </c>
      <c r="H573" s="485" t="s">
        <v>38</v>
      </c>
      <c r="I573" s="2"/>
      <c r="J573" s="2"/>
      <c r="K573" s="2"/>
      <c r="L573" s="2"/>
      <c r="O573" s="58"/>
      <c r="P573" s="58"/>
    </row>
    <row r="574" spans="2:16">
      <c r="B574" s="652"/>
      <c r="C574" s="484">
        <v>2.41</v>
      </c>
      <c r="D574" s="164"/>
      <c r="E574" s="164">
        <f t="shared" si="61"/>
        <v>-2.41</v>
      </c>
      <c r="F574" s="197">
        <f>SUM($E$2:E574)/SUM($C$2:C574)</f>
        <v>-3.0428061669947565E-2</v>
      </c>
      <c r="G574" s="164">
        <f t="shared" si="62"/>
        <v>-56.10965000000013</v>
      </c>
      <c r="H574" s="485" t="s">
        <v>13</v>
      </c>
      <c r="I574" s="2"/>
      <c r="J574" s="2"/>
      <c r="K574" s="2"/>
      <c r="L574" s="2"/>
      <c r="O574" s="58"/>
      <c r="P574" s="58"/>
    </row>
    <row r="575" spans="2:16">
      <c r="B575" s="652"/>
      <c r="C575" s="484">
        <v>2.41</v>
      </c>
      <c r="D575" s="164">
        <v>1.99</v>
      </c>
      <c r="E575" s="164">
        <f t="shared" si="61"/>
        <v>2.3859000000000004</v>
      </c>
      <c r="F575" s="197">
        <f>SUM($E$2:E575)/SUM($C$2:C575)</f>
        <v>-2.9096169885508182E-2</v>
      </c>
      <c r="G575" s="164">
        <f t="shared" si="62"/>
        <v>-53.72375000000013</v>
      </c>
      <c r="H575" s="485" t="s">
        <v>14</v>
      </c>
      <c r="I575" s="2"/>
      <c r="J575" s="2"/>
      <c r="K575" s="2"/>
      <c r="L575" s="2"/>
      <c r="O575" s="58"/>
      <c r="P575" s="58"/>
    </row>
    <row r="576" spans="2:16">
      <c r="B576" s="652"/>
      <c r="C576" s="491">
        <v>2.41</v>
      </c>
      <c r="D576" s="257"/>
      <c r="E576" s="257">
        <f t="shared" si="61"/>
        <v>-2.41</v>
      </c>
      <c r="F576" s="256">
        <f>SUM($E$2:E576)/SUM($C$2:C576)</f>
        <v>-3.0361769335201187E-2</v>
      </c>
      <c r="G576" s="257">
        <f t="shared" si="62"/>
        <v>-56.133750000000134</v>
      </c>
      <c r="H576" s="492" t="s">
        <v>35</v>
      </c>
      <c r="I576" s="2"/>
      <c r="J576" s="2"/>
      <c r="K576" s="2"/>
      <c r="L576" s="2"/>
      <c r="O576" s="58"/>
      <c r="P576" s="58"/>
    </row>
    <row r="577" spans="2:16">
      <c r="B577" s="652"/>
      <c r="C577" s="484">
        <v>2.41</v>
      </c>
      <c r="D577" s="164"/>
      <c r="E577" s="164">
        <f t="shared" si="61"/>
        <v>-2.41</v>
      </c>
      <c r="F577" s="197">
        <f>SUM($E$2:E577)/SUM($C$2:C577)</f>
        <v>-3.1624073593915433E-2</v>
      </c>
      <c r="G577" s="164">
        <f t="shared" si="62"/>
        <v>-58.543750000000131</v>
      </c>
      <c r="H577" s="485" t="s">
        <v>233</v>
      </c>
      <c r="I577" s="2"/>
      <c r="J577" s="2"/>
      <c r="K577" s="2"/>
      <c r="L577" s="2"/>
      <c r="O577" s="58"/>
      <c r="P577" s="58"/>
    </row>
    <row r="578" spans="2:16">
      <c r="B578" s="652"/>
      <c r="C578" s="484">
        <v>2.41</v>
      </c>
      <c r="D578" s="164">
        <v>1.94</v>
      </c>
      <c r="E578" s="164">
        <f t="shared" si="61"/>
        <v>2.2653999999999996</v>
      </c>
      <c r="F578" s="197">
        <f>SUM($E$2:E578)/SUM($C$2:C578)</f>
        <v>-3.0360828635395035E-2</v>
      </c>
      <c r="G578" s="164">
        <f t="shared" si="62"/>
        <v>-56.278350000000131</v>
      </c>
      <c r="H578" s="485" t="s">
        <v>234</v>
      </c>
      <c r="I578" s="2"/>
      <c r="J578" s="2"/>
      <c r="K578" s="2"/>
      <c r="L578" s="2"/>
      <c r="O578" s="58"/>
      <c r="P578" s="58"/>
    </row>
    <row r="579" spans="2:16">
      <c r="B579" s="652"/>
      <c r="C579" s="484">
        <v>2.41</v>
      </c>
      <c r="D579" s="164"/>
      <c r="E579" s="164">
        <f t="shared" si="61"/>
        <v>-2.41</v>
      </c>
      <c r="F579" s="197">
        <f>SUM($E$2:E579)/SUM($C$2:C579)</f>
        <v>-3.1619856039136661E-2</v>
      </c>
      <c r="G579" s="164">
        <f t="shared" si="62"/>
        <v>-58.688350000000128</v>
      </c>
      <c r="H579" s="485" t="s">
        <v>235</v>
      </c>
      <c r="I579" s="2"/>
      <c r="J579" s="2"/>
      <c r="K579" s="2"/>
      <c r="L579" s="2"/>
      <c r="O579" s="58"/>
      <c r="P579" s="58"/>
    </row>
    <row r="580" spans="2:16">
      <c r="B580" s="652"/>
      <c r="C580" s="491">
        <v>2.41</v>
      </c>
      <c r="D580" s="257"/>
      <c r="E580" s="257">
        <f t="shared" si="61"/>
        <v>-2.41</v>
      </c>
      <c r="F580" s="256">
        <f>SUM($E$2:E580)/SUM($C$2:C580)</f>
        <v>-3.2875618115977112E-2</v>
      </c>
      <c r="G580" s="257">
        <f t="shared" si="62"/>
        <v>-61.098350000000124</v>
      </c>
      <c r="H580" s="492" t="s">
        <v>236</v>
      </c>
      <c r="I580" s="2">
        <f>SUM(E569:E580)</f>
        <v>-10.2666</v>
      </c>
      <c r="L580" s="2">
        <f>I580/C580</f>
        <v>-4.26</v>
      </c>
      <c r="O580" s="58"/>
      <c r="P580" s="58"/>
    </row>
    <row r="581" spans="2:16">
      <c r="B581" s="650">
        <v>46019</v>
      </c>
      <c r="C581" s="484">
        <v>3.55</v>
      </c>
      <c r="D581" s="164">
        <v>1.9</v>
      </c>
      <c r="E581" s="164">
        <f t="shared" ref="E581:E594" si="63">(C581*D581)-C581</f>
        <v>3.1949999999999994</v>
      </c>
      <c r="F581" s="197">
        <f>SUM($E$2:E581)/SUM($C$2:C581)</f>
        <v>-3.1097061256055245E-2</v>
      </c>
      <c r="G581" s="164">
        <f t="shared" ref="G581:G594" si="64">G580+E581</f>
        <v>-57.903350000000124</v>
      </c>
      <c r="H581" s="485" t="s">
        <v>27</v>
      </c>
      <c r="I581" s="2"/>
      <c r="J581" s="2"/>
      <c r="K581" s="2"/>
      <c r="L581" s="2"/>
      <c r="O581" s="58"/>
      <c r="P581" s="58"/>
    </row>
    <row r="582" spans="2:16">
      <c r="B582" s="652"/>
      <c r="C582" s="484">
        <v>3.55</v>
      </c>
      <c r="D582" s="164"/>
      <c r="E582" s="164">
        <f t="shared" si="63"/>
        <v>-3.55</v>
      </c>
      <c r="F582" s="197">
        <f>SUM($E$2:E582)/SUM($C$2:C582)</f>
        <v>-3.2940790214250865E-2</v>
      </c>
      <c r="G582" s="164">
        <f t="shared" si="64"/>
        <v>-61.453350000000121</v>
      </c>
      <c r="H582" s="485" t="s">
        <v>51</v>
      </c>
      <c r="I582" s="2"/>
      <c r="J582" s="2"/>
      <c r="K582" s="2"/>
      <c r="L582" s="2"/>
      <c r="O582" s="58"/>
      <c r="P582" s="58"/>
    </row>
    <row r="583" spans="2:16">
      <c r="B583" s="652"/>
      <c r="C583" s="484">
        <v>3.55</v>
      </c>
      <c r="D583" s="164"/>
      <c r="E583" s="164">
        <f t="shared" si="63"/>
        <v>-3.55</v>
      </c>
      <c r="F583" s="197">
        <f>SUM($E$2:E583)/SUM($C$2:C583)</f>
        <v>-3.4777515622324937E-2</v>
      </c>
      <c r="G583" s="164">
        <f t="shared" si="64"/>
        <v>-65.003350000000125</v>
      </c>
      <c r="H583" s="485" t="s">
        <v>97</v>
      </c>
      <c r="I583" s="2"/>
      <c r="J583" s="2"/>
      <c r="K583" s="2"/>
      <c r="L583" s="2"/>
      <c r="O583" s="58"/>
      <c r="P583" s="58"/>
    </row>
    <row r="584" spans="2:16">
      <c r="B584" s="652"/>
      <c r="C584" s="491">
        <v>3.55</v>
      </c>
      <c r="D584" s="257"/>
      <c r="E584" s="257">
        <f t="shared" si="63"/>
        <v>-3.55</v>
      </c>
      <c r="F584" s="256">
        <f>SUM($E$2:E584)/SUM($C$2:C584)</f>
        <v>-3.6607277309937132E-2</v>
      </c>
      <c r="G584" s="257">
        <f t="shared" si="64"/>
        <v>-68.553350000000123</v>
      </c>
      <c r="H584" s="492" t="s">
        <v>38</v>
      </c>
      <c r="I584" s="2"/>
      <c r="J584" s="2"/>
      <c r="K584" s="2"/>
      <c r="L584" s="2"/>
      <c r="O584" s="58"/>
      <c r="P584" s="58"/>
    </row>
    <row r="585" spans="2:16">
      <c r="B585" s="652"/>
      <c r="C585" s="484">
        <v>3.55</v>
      </c>
      <c r="D585" s="164">
        <v>4.29</v>
      </c>
      <c r="E585" s="164">
        <f t="shared" si="63"/>
        <v>11.679500000000001</v>
      </c>
      <c r="F585" s="197">
        <f>SUM($E$2:E585)/SUM($C$2:C585)</f>
        <v>-3.0312996343712355E-2</v>
      </c>
      <c r="G585" s="164">
        <f t="shared" si="64"/>
        <v>-56.873850000000118</v>
      </c>
      <c r="H585" s="485" t="s">
        <v>25</v>
      </c>
      <c r="I585" s="2"/>
      <c r="J585" s="2"/>
      <c r="K585" s="2"/>
      <c r="L585" s="2"/>
      <c r="O585" s="58"/>
      <c r="P585" s="58"/>
    </row>
    <row r="586" spans="2:16">
      <c r="B586" s="652"/>
      <c r="C586" s="484">
        <v>3.55</v>
      </c>
      <c r="D586" s="164"/>
      <c r="E586" s="164">
        <f t="shared" si="63"/>
        <v>-3.55</v>
      </c>
      <c r="F586" s="197">
        <f>SUM($E$2:E586)/SUM($C$2:C586)</f>
        <v>-3.2144278289365183E-2</v>
      </c>
      <c r="G586" s="164">
        <f t="shared" si="64"/>
        <v>-60.423850000000115</v>
      </c>
      <c r="H586" s="485" t="s">
        <v>11</v>
      </c>
      <c r="I586" s="2"/>
      <c r="J586" s="2"/>
      <c r="K586" s="2"/>
      <c r="L586" s="2"/>
      <c r="O586" s="58"/>
      <c r="P586" s="58"/>
    </row>
    <row r="587" spans="2:16">
      <c r="B587" s="652"/>
      <c r="C587" s="484">
        <v>3.55</v>
      </c>
      <c r="D587" s="164">
        <v>1.98</v>
      </c>
      <c r="E587" s="164">
        <f t="shared" si="63"/>
        <v>3.4790000000000001</v>
      </c>
      <c r="F587" s="197">
        <f>SUM($E$2:E587)/SUM($C$2:C587)</f>
        <v>-3.0236417602956478E-2</v>
      </c>
      <c r="G587" s="164">
        <f t="shared" si="64"/>
        <v>-56.944850000000116</v>
      </c>
      <c r="H587" s="485" t="s">
        <v>52</v>
      </c>
      <c r="I587" s="2"/>
      <c r="J587" s="2"/>
      <c r="K587" s="2"/>
      <c r="L587" s="2"/>
      <c r="O587" s="58"/>
      <c r="P587" s="58"/>
    </row>
    <row r="588" spans="2:16">
      <c r="B588" s="652"/>
      <c r="C588" s="491">
        <v>3.55</v>
      </c>
      <c r="D588" s="257">
        <v>2</v>
      </c>
      <c r="E588" s="257">
        <f t="shared" si="63"/>
        <v>3.55</v>
      </c>
      <c r="F588" s="256">
        <f>SUM($E$2:E588)/SUM($C$2:C588)</f>
        <v>-2.82981074477839E-2</v>
      </c>
      <c r="G588" s="257">
        <f t="shared" si="64"/>
        <v>-53.394850000000119</v>
      </c>
      <c r="H588" s="492" t="s">
        <v>10</v>
      </c>
      <c r="I588" s="2"/>
      <c r="J588" s="2"/>
      <c r="K588" s="2"/>
      <c r="L588" s="2"/>
      <c r="O588" s="58"/>
      <c r="P588" s="58"/>
    </row>
    <row r="589" spans="2:16">
      <c r="B589" s="652"/>
      <c r="C589" s="484">
        <v>3.55</v>
      </c>
      <c r="D589" s="164">
        <v>1.98</v>
      </c>
      <c r="E589" s="164">
        <f t="shared" si="63"/>
        <v>3.4790000000000001</v>
      </c>
      <c r="F589" s="197">
        <f>SUM($E$2:E589)/SUM($C$2:C589)</f>
        <v>-2.6404634948847355E-2</v>
      </c>
      <c r="G589" s="164">
        <f t="shared" si="64"/>
        <v>-49.91585000000012</v>
      </c>
      <c r="H589" s="485" t="s">
        <v>237</v>
      </c>
      <c r="I589" s="2"/>
      <c r="J589" s="2"/>
      <c r="K589" s="2"/>
      <c r="L589" s="2"/>
      <c r="O589" s="58"/>
      <c r="P589" s="58"/>
    </row>
    <row r="590" spans="2:16">
      <c r="B590" s="652"/>
      <c r="C590" s="484">
        <v>3.55</v>
      </c>
      <c r="D590" s="164">
        <v>1.98</v>
      </c>
      <c r="E590" s="164">
        <f t="shared" si="63"/>
        <v>3.4790000000000001</v>
      </c>
      <c r="F590" s="197">
        <f>SUM($E$2:E590)/SUM($C$2:C590)</f>
        <v>-2.4518260584908962E-2</v>
      </c>
      <c r="G590" s="164">
        <f t="shared" si="64"/>
        <v>-46.436850000000121</v>
      </c>
      <c r="H590" s="485" t="s">
        <v>238</v>
      </c>
      <c r="I590" s="2"/>
      <c r="J590" s="2"/>
      <c r="K590" s="2"/>
      <c r="L590" s="2"/>
      <c r="O590" s="58"/>
      <c r="P590" s="58"/>
    </row>
    <row r="591" spans="2:16">
      <c r="B591" s="652"/>
      <c r="C591" s="484">
        <v>3.55</v>
      </c>
      <c r="D591" s="164"/>
      <c r="E591" s="164">
        <f t="shared" si="63"/>
        <v>-3.55</v>
      </c>
      <c r="F591" s="197">
        <f>SUM($E$2:E591)/SUM($C$2:C591)</f>
        <v>-2.6343253299042971E-2</v>
      </c>
      <c r="G591" s="164">
        <f t="shared" si="64"/>
        <v>-49.986850000000118</v>
      </c>
      <c r="H591" s="485" t="s">
        <v>239</v>
      </c>
      <c r="I591" s="2"/>
      <c r="J591" s="2"/>
      <c r="K591" s="2"/>
      <c r="L591" s="2"/>
      <c r="O591" s="58"/>
      <c r="P591" s="58"/>
    </row>
    <row r="592" spans="2:16">
      <c r="B592" s="652"/>
      <c r="C592" s="484">
        <v>3.55</v>
      </c>
      <c r="D592" s="164"/>
      <c r="E592" s="164">
        <f t="shared" si="63"/>
        <v>-3.55</v>
      </c>
      <c r="F592" s="197">
        <f>SUM($E$2:E592)/SUM($C$2:C592)</f>
        <v>-2.8161430141972681E-2</v>
      </c>
      <c r="G592" s="164">
        <f t="shared" si="64"/>
        <v>-53.536850000000115</v>
      </c>
      <c r="H592" s="485" t="s">
        <v>240</v>
      </c>
      <c r="I592" s="2"/>
      <c r="J592" s="2"/>
      <c r="K592" s="2"/>
      <c r="L592" s="2"/>
      <c r="O592" s="58"/>
      <c r="P592" s="58"/>
    </row>
    <row r="593" spans="2:16">
      <c r="B593" s="652"/>
      <c r="C593" s="484">
        <v>3.55</v>
      </c>
      <c r="D593" s="164"/>
      <c r="E593" s="164">
        <f t="shared" si="63"/>
        <v>-3.55</v>
      </c>
      <c r="F593" s="197">
        <f>SUM($E$2:E593)/SUM($C$2:C593)</f>
        <v>-2.997282922577732E-2</v>
      </c>
      <c r="G593" s="164">
        <f t="shared" si="64"/>
        <v>-57.086850000000112</v>
      </c>
      <c r="H593" s="485" t="s">
        <v>241</v>
      </c>
      <c r="I593" s="2"/>
      <c r="J593" s="2"/>
      <c r="K593" s="2"/>
      <c r="L593" s="2"/>
      <c r="O593" s="58"/>
      <c r="P593" s="58"/>
    </row>
    <row r="594" spans="2:16">
      <c r="B594" s="652"/>
      <c r="C594" s="491">
        <v>3.55</v>
      </c>
      <c r="D594" s="257"/>
      <c r="E594" s="257">
        <f t="shared" si="63"/>
        <v>-3.55</v>
      </c>
      <c r="F594" s="256">
        <f>SUM($E$2:E594)/SUM($C$2:C594)</f>
        <v>-3.1777488378918015E-2</v>
      </c>
      <c r="G594" s="257">
        <f t="shared" si="64"/>
        <v>-60.636850000000109</v>
      </c>
      <c r="H594" s="492" t="s">
        <v>242</v>
      </c>
      <c r="I594" s="490">
        <f>SUM(E581:E594)</f>
        <v>0.46150000000000002</v>
      </c>
      <c r="J594" s="490">
        <f>SUM(E501:E594)</f>
        <v>4.2219799999999932</v>
      </c>
      <c r="L594" s="2">
        <f>I594/C594</f>
        <v>0.13</v>
      </c>
      <c r="O594" s="58"/>
      <c r="P594" s="58"/>
    </row>
    <row r="595" spans="2:16">
      <c r="B595" s="650">
        <v>46020</v>
      </c>
      <c r="C595" s="484">
        <v>1.94</v>
      </c>
      <c r="D595" s="164">
        <v>1.9</v>
      </c>
      <c r="E595" s="164">
        <f t="shared" ref="E595:E615" si="65">(C595*D595)-C595</f>
        <v>1.746</v>
      </c>
      <c r="F595" s="197">
        <f>SUM($E$2:E595)/SUM($C$2:C595)</f>
        <v>-3.0831130144337231E-2</v>
      </c>
      <c r="G595" s="164">
        <f t="shared" ref="G595:G615" si="66">G594+E595</f>
        <v>-58.890850000000107</v>
      </c>
      <c r="H595" s="485" t="s">
        <v>34</v>
      </c>
      <c r="I595" s="2"/>
      <c r="J595" s="2"/>
      <c r="K595" s="2"/>
      <c r="L595" s="2"/>
      <c r="O595" s="58"/>
      <c r="P595" s="58"/>
    </row>
    <row r="596" spans="2:16">
      <c r="B596" s="652"/>
      <c r="C596" s="484">
        <v>1.94</v>
      </c>
      <c r="D596" s="164">
        <v>1.9</v>
      </c>
      <c r="E596" s="164">
        <f t="shared" si="65"/>
        <v>1.746</v>
      </c>
      <c r="F596" s="197">
        <f>SUM($E$2:E596)/SUM($C$2:C596)</f>
        <v>-2.9886692293611565E-2</v>
      </c>
      <c r="G596" s="164">
        <f t="shared" si="66"/>
        <v>-57.144850000000105</v>
      </c>
      <c r="H596" s="485" t="s">
        <v>60</v>
      </c>
      <c r="I596" s="2"/>
      <c r="J596" s="2"/>
      <c r="K596" s="2"/>
      <c r="L596" s="2"/>
      <c r="O596" s="58"/>
      <c r="P596" s="58"/>
    </row>
    <row r="597" spans="2:16">
      <c r="B597" s="652"/>
      <c r="C597" s="484">
        <v>1.94</v>
      </c>
      <c r="D597" s="164">
        <v>1.9</v>
      </c>
      <c r="E597" s="164">
        <f t="shared" si="65"/>
        <v>1.746</v>
      </c>
      <c r="F597" s="197">
        <f>SUM($E$2:E597)/SUM($C$2:C597)</f>
        <v>-2.894416898729878E-2</v>
      </c>
      <c r="G597" s="164">
        <f t="shared" si="66"/>
        <v>-55.398850000000103</v>
      </c>
      <c r="H597" s="485" t="s">
        <v>14</v>
      </c>
      <c r="I597" s="2"/>
      <c r="J597" s="2"/>
      <c r="K597" s="2"/>
      <c r="L597" s="2"/>
      <c r="O597" s="58"/>
      <c r="P597" s="58"/>
    </row>
    <row r="598" spans="2:16">
      <c r="B598" s="652"/>
      <c r="C598" s="484">
        <v>1.94</v>
      </c>
      <c r="D598" s="164"/>
      <c r="E598" s="164">
        <f t="shared" si="65"/>
        <v>-1.94</v>
      </c>
      <c r="F598" s="197">
        <f>SUM($E$2:E598)/SUM($C$2:C598)</f>
        <v>-2.992742427959267E-2</v>
      </c>
      <c r="G598" s="164">
        <f t="shared" si="66"/>
        <v>-57.3388500000001</v>
      </c>
      <c r="H598" s="485" t="s">
        <v>46</v>
      </c>
      <c r="I598" s="2"/>
      <c r="J598" s="2"/>
      <c r="K598" s="2"/>
      <c r="L598" s="2"/>
      <c r="O598" s="58"/>
      <c r="P598" s="58"/>
    </row>
    <row r="599" spans="2:16">
      <c r="B599" s="652"/>
      <c r="C599" s="491">
        <v>1.94</v>
      </c>
      <c r="D599" s="257">
        <v>1.91</v>
      </c>
      <c r="E599" s="257">
        <f t="shared" si="65"/>
        <v>1.7653999999999996</v>
      </c>
      <c r="F599" s="256">
        <f>SUM($E$2:E599)/SUM($C$2:C599)</f>
        <v>-2.8976651180736956E-2</v>
      </c>
      <c r="G599" s="257">
        <f t="shared" si="66"/>
        <v>-55.573450000000101</v>
      </c>
      <c r="H599" s="492" t="s">
        <v>17</v>
      </c>
      <c r="I599" s="2"/>
      <c r="J599" s="2"/>
      <c r="K599" s="2"/>
      <c r="L599" s="2"/>
      <c r="O599" s="58"/>
      <c r="P599" s="58"/>
    </row>
    <row r="600" spans="2:16">
      <c r="B600" s="652"/>
      <c r="C600" s="484">
        <v>1.94</v>
      </c>
      <c r="D600" s="164"/>
      <c r="E600" s="164">
        <f t="shared" si="65"/>
        <v>-1.94</v>
      </c>
      <c r="F600" s="197">
        <f>SUM($E$2:E600)/SUM($C$2:C600)</f>
        <v>-2.9957886457514012E-2</v>
      </c>
      <c r="G600" s="164">
        <f t="shared" si="66"/>
        <v>-57.513450000000098</v>
      </c>
      <c r="H600" s="485" t="s">
        <v>11</v>
      </c>
      <c r="I600" s="2"/>
      <c r="J600" s="2"/>
      <c r="K600" s="2"/>
      <c r="L600" s="2"/>
      <c r="O600" s="58"/>
      <c r="P600" s="58"/>
    </row>
    <row r="601" spans="2:16">
      <c r="B601" s="652"/>
      <c r="C601" s="484">
        <v>1.94</v>
      </c>
      <c r="D601" s="164">
        <v>1.9650000000000001</v>
      </c>
      <c r="E601" s="164">
        <f t="shared" si="65"/>
        <v>1.8721000000000001</v>
      </c>
      <c r="F601" s="197">
        <f>SUM($E$2:E601)/SUM($C$2:C601)</f>
        <v>-2.8953479901131767E-2</v>
      </c>
      <c r="G601" s="164">
        <f t="shared" si="66"/>
        <v>-55.641350000000095</v>
      </c>
      <c r="H601" s="485" t="s">
        <v>16</v>
      </c>
      <c r="I601" s="2"/>
      <c r="J601" s="2"/>
      <c r="K601" s="2"/>
      <c r="L601" s="2"/>
      <c r="O601" s="58"/>
      <c r="P601" s="58"/>
    </row>
    <row r="602" spans="2:16">
      <c r="B602" s="652"/>
      <c r="C602" s="484">
        <v>1.94</v>
      </c>
      <c r="D602" s="164"/>
      <c r="E602" s="164">
        <f t="shared" si="65"/>
        <v>-1.94</v>
      </c>
      <c r="F602" s="197">
        <f>SUM($E$2:E602)/SUM($C$2:C602)</f>
        <v>-2.9932759436291694E-2</v>
      </c>
      <c r="G602" s="164">
        <f t="shared" si="66"/>
        <v>-57.581350000000093</v>
      </c>
      <c r="H602" s="485" t="s">
        <v>35</v>
      </c>
      <c r="I602" s="2"/>
      <c r="J602" s="2"/>
      <c r="K602" s="2"/>
      <c r="L602" s="2"/>
      <c r="O602" s="58"/>
      <c r="P602" s="58"/>
    </row>
    <row r="603" spans="2:16">
      <c r="B603" s="652"/>
      <c r="C603" s="484">
        <v>1.94</v>
      </c>
      <c r="D603" s="164">
        <v>2.1019999999999999</v>
      </c>
      <c r="E603" s="164">
        <f t="shared" si="65"/>
        <v>2.1378799999999996</v>
      </c>
      <c r="F603" s="197">
        <f>SUM($E$2:E603)/SUM($C$2:C603)</f>
        <v>-2.8792379636794176E-2</v>
      </c>
      <c r="G603" s="164">
        <f t="shared" si="66"/>
        <v>-55.44347000000009</v>
      </c>
      <c r="H603" s="485" t="s">
        <v>53</v>
      </c>
      <c r="I603" s="2"/>
      <c r="J603" s="2"/>
      <c r="K603" s="2"/>
      <c r="L603" s="2"/>
      <c r="O603" s="58"/>
      <c r="P603" s="58"/>
    </row>
    <row r="604" spans="2:16">
      <c r="B604" s="652"/>
      <c r="C604" s="484">
        <v>1.94</v>
      </c>
      <c r="D604" s="164">
        <v>1.94</v>
      </c>
      <c r="E604" s="164">
        <f t="shared" si="65"/>
        <v>1.8235999999999999</v>
      </c>
      <c r="F604" s="197">
        <f>SUM($E$2:E604)/SUM($C$2:C604)</f>
        <v>-2.7817339966901316E-2</v>
      </c>
      <c r="G604" s="164">
        <f t="shared" si="66"/>
        <v>-53.619870000000091</v>
      </c>
      <c r="H604" s="485" t="s">
        <v>13</v>
      </c>
      <c r="I604" s="2"/>
      <c r="J604" s="2"/>
      <c r="K604" s="2"/>
      <c r="L604" s="2"/>
      <c r="O604" s="58"/>
      <c r="P604" s="58"/>
    </row>
    <row r="605" spans="2:16">
      <c r="B605" s="652"/>
      <c r="C605" s="484">
        <v>1.94</v>
      </c>
      <c r="D605" s="164">
        <v>2.444</v>
      </c>
      <c r="E605" s="164">
        <f t="shared" si="65"/>
        <v>2.8013599999999994</v>
      </c>
      <c r="F605" s="197">
        <f>SUM($E$2:E605)/SUM($C$2:C605)</f>
        <v>-2.6337520925001672E-2</v>
      </c>
      <c r="G605" s="164">
        <f t="shared" si="66"/>
        <v>-50.818510000000089</v>
      </c>
      <c r="H605" s="485" t="s">
        <v>30</v>
      </c>
      <c r="I605" s="2"/>
      <c r="J605" s="2"/>
      <c r="K605" s="2"/>
      <c r="L605" s="2"/>
      <c r="O605" s="58"/>
      <c r="P605" s="58"/>
    </row>
    <row r="606" spans="2:16">
      <c r="B606" s="652"/>
      <c r="C606" s="484">
        <v>1.94</v>
      </c>
      <c r="D606" s="164"/>
      <c r="E606" s="164">
        <f t="shared" si="65"/>
        <v>-1.94</v>
      </c>
      <c r="F606" s="197">
        <f>SUM($E$2:E606)/SUM($C$2:C606)</f>
        <v>-2.7315493541121939E-2</v>
      </c>
      <c r="G606" s="164">
        <f t="shared" si="66"/>
        <v>-52.758510000000086</v>
      </c>
      <c r="H606" s="485" t="s">
        <v>12</v>
      </c>
      <c r="I606" s="2"/>
      <c r="J606" s="2"/>
      <c r="K606" s="2"/>
      <c r="L606" s="2"/>
      <c r="O606" s="58"/>
      <c r="P606" s="58"/>
    </row>
    <row r="607" spans="2:16">
      <c r="B607" s="652"/>
      <c r="C607" s="491">
        <v>1.94</v>
      </c>
      <c r="D607" s="257">
        <v>1.9650000000000001</v>
      </c>
      <c r="E607" s="257">
        <f t="shared" si="65"/>
        <v>1.8721000000000001</v>
      </c>
      <c r="F607" s="256">
        <f>SUM($E$2:E607)/SUM($C$2:C607)</f>
        <v>-2.6319785454564246E-2</v>
      </c>
      <c r="G607" s="257">
        <f t="shared" si="66"/>
        <v>-50.886410000000083</v>
      </c>
      <c r="H607" s="492" t="s">
        <v>52</v>
      </c>
      <c r="I607" s="2"/>
      <c r="J607" s="2"/>
      <c r="K607" s="2"/>
      <c r="L607" s="2"/>
      <c r="O607" s="58"/>
      <c r="P607" s="58"/>
    </row>
    <row r="608" spans="2:16">
      <c r="B608" s="652"/>
      <c r="C608" s="484">
        <v>1.94</v>
      </c>
      <c r="D608" s="164">
        <v>1.96</v>
      </c>
      <c r="E608" s="164">
        <f t="shared" si="65"/>
        <v>1.8624000000000001</v>
      </c>
      <c r="F608" s="197">
        <f>SUM($E$2:E608)/SUM($C$2:C608)</f>
        <v>-2.533108565464286E-2</v>
      </c>
      <c r="G608" s="164">
        <f t="shared" si="66"/>
        <v>-49.024010000000082</v>
      </c>
      <c r="H608" s="485" t="s">
        <v>39</v>
      </c>
      <c r="I608" s="2"/>
      <c r="J608" s="2"/>
      <c r="K608" s="2"/>
      <c r="L608" s="2"/>
      <c r="O608" s="58"/>
      <c r="P608" s="58"/>
    </row>
    <row r="609" spans="2:16">
      <c r="B609" s="652"/>
      <c r="C609" s="484">
        <v>1.94</v>
      </c>
      <c r="D609" s="164"/>
      <c r="E609" s="164">
        <f t="shared" si="65"/>
        <v>-1.94</v>
      </c>
      <c r="F609" s="197">
        <f>SUM($E$2:E609)/SUM($C$2:C609)</f>
        <v>-2.6307128071977555E-2</v>
      </c>
      <c r="G609" s="164">
        <f t="shared" si="66"/>
        <v>-50.96401000000008</v>
      </c>
      <c r="H609" s="485" t="s">
        <v>243</v>
      </c>
      <c r="I609" s="2"/>
      <c r="J609" s="2"/>
      <c r="K609" s="2"/>
      <c r="L609" s="2"/>
      <c r="O609" s="58"/>
      <c r="P609" s="58"/>
    </row>
    <row r="610" spans="2:16">
      <c r="B610" s="652"/>
      <c r="C610" s="484">
        <v>1.94</v>
      </c>
      <c r="D610" s="164">
        <v>1.98</v>
      </c>
      <c r="E610" s="164">
        <f t="shared" si="65"/>
        <v>1.9011999999999998</v>
      </c>
      <c r="F610" s="197">
        <f>SUM($E$2:E610)/SUM($C$2:C610)</f>
        <v>-2.5300410992105012E-2</v>
      </c>
      <c r="G610" s="164">
        <f t="shared" si="66"/>
        <v>-49.062810000000077</v>
      </c>
      <c r="H610" s="485" t="s">
        <v>244</v>
      </c>
      <c r="I610" s="2"/>
      <c r="J610" s="2"/>
      <c r="K610" s="2"/>
      <c r="L610" s="2"/>
      <c r="O610" s="58"/>
      <c r="P610" s="58"/>
    </row>
    <row r="611" spans="2:16">
      <c r="B611" s="652"/>
      <c r="C611" s="484">
        <v>1.94</v>
      </c>
      <c r="D611" s="164">
        <v>1.98</v>
      </c>
      <c r="E611" s="164">
        <f t="shared" si="65"/>
        <v>1.9011999999999998</v>
      </c>
      <c r="F611" s="197">
        <f>SUM($E$2:E611)/SUM($C$2:C611)</f>
        <v>-2.4295706153568741E-2</v>
      </c>
      <c r="G611" s="164">
        <f t="shared" si="66"/>
        <v>-47.161610000000074</v>
      </c>
      <c r="H611" s="485" t="s">
        <v>245</v>
      </c>
      <c r="I611" s="2"/>
      <c r="J611" s="2"/>
      <c r="K611" s="2"/>
      <c r="L611" s="2"/>
      <c r="O611" s="58"/>
      <c r="P611" s="58"/>
    </row>
    <row r="612" spans="2:16">
      <c r="B612" s="652"/>
      <c r="C612" s="484">
        <v>1.94</v>
      </c>
      <c r="D612" s="164">
        <v>1.9550000000000001</v>
      </c>
      <c r="E612" s="164">
        <f t="shared" si="65"/>
        <v>1.8527</v>
      </c>
      <c r="F612" s="197">
        <f>SUM($E$2:E612)/SUM($C$2:C612)</f>
        <v>-2.3317967772980133E-2</v>
      </c>
      <c r="G612" s="164">
        <f t="shared" si="66"/>
        <v>-45.308910000000076</v>
      </c>
      <c r="H612" s="485" t="s">
        <v>246</v>
      </c>
      <c r="I612" s="2"/>
      <c r="J612" s="2"/>
      <c r="K612" s="2"/>
      <c r="L612" s="2"/>
      <c r="O612" s="58"/>
      <c r="P612" s="58"/>
    </row>
    <row r="613" spans="2:16">
      <c r="B613" s="652"/>
      <c r="C613" s="484">
        <v>1.94</v>
      </c>
      <c r="D613" s="164">
        <v>3.42</v>
      </c>
      <c r="E613" s="164">
        <f t="shared" si="65"/>
        <v>4.694799999999999</v>
      </c>
      <c r="F613" s="197">
        <f>SUM($E$2:E613)/SUM($C$2:C613)</f>
        <v>-2.0880968416939573E-2</v>
      </c>
      <c r="G613" s="164">
        <f t="shared" si="66"/>
        <v>-40.614110000000075</v>
      </c>
      <c r="H613" s="485" t="s">
        <v>247</v>
      </c>
      <c r="I613" s="2"/>
      <c r="J613" s="2"/>
      <c r="K613" s="2"/>
      <c r="L613" s="2"/>
      <c r="O613" s="58"/>
      <c r="P613" s="58"/>
    </row>
    <row r="614" spans="2:16">
      <c r="B614" s="652"/>
      <c r="C614" s="484">
        <v>1.94</v>
      </c>
      <c r="D614" s="164"/>
      <c r="E614" s="164">
        <f t="shared" si="65"/>
        <v>-1.94</v>
      </c>
      <c r="F614" s="197">
        <f>SUM($E$2:E614)/SUM($C$2:C614)</f>
        <v>-2.1856582279131145E-2</v>
      </c>
      <c r="G614" s="164">
        <f t="shared" si="66"/>
        <v>-42.554110000000072</v>
      </c>
      <c r="H614" s="485" t="s">
        <v>248</v>
      </c>
      <c r="I614" s="2"/>
      <c r="J614" s="2"/>
      <c r="K614" s="2"/>
      <c r="L614" s="2"/>
      <c r="O614" s="58"/>
      <c r="P614" s="58"/>
    </row>
    <row r="615" spans="2:16">
      <c r="B615" s="652"/>
      <c r="C615" s="491">
        <v>1.94</v>
      </c>
      <c r="D615" s="257">
        <v>1.98</v>
      </c>
      <c r="E615" s="257">
        <f t="shared" si="65"/>
        <v>1.9011999999999998</v>
      </c>
      <c r="F615" s="256">
        <f>SUM($E$2:E615)/SUM($C$2:C615)</f>
        <v>-2.0859305971029946E-2</v>
      </c>
      <c r="G615" s="257">
        <f t="shared" si="66"/>
        <v>-40.65291000000007</v>
      </c>
      <c r="H615" s="492" t="s">
        <v>249</v>
      </c>
      <c r="I615" s="2">
        <f>SUM(E595:E615)</f>
        <v>19.983939999999997</v>
      </c>
      <c r="L615" s="2">
        <f>I615/C615</f>
        <v>10.300999999999998</v>
      </c>
      <c r="O615" s="58"/>
      <c r="P615" s="58"/>
    </row>
    <row r="616" spans="2:16">
      <c r="B616" s="650">
        <v>46021</v>
      </c>
      <c r="C616" s="484">
        <v>5.49</v>
      </c>
      <c r="D616" s="164">
        <v>1.9390000000000001</v>
      </c>
      <c r="E616" s="164">
        <f t="shared" ref="E616:E624" si="67">(C616*D616)-C616</f>
        <v>5.1551100000000005</v>
      </c>
      <c r="F616" s="197">
        <f>SUM($E$2:E616)/SUM($C$2:C616)</f>
        <v>-1.816301678264428E-2</v>
      </c>
      <c r="G616" s="164">
        <f t="shared" ref="G616:G624" si="68">G615+E616</f>
        <v>-35.497800000000069</v>
      </c>
      <c r="H616" s="485" t="s">
        <v>51</v>
      </c>
      <c r="I616" s="2"/>
      <c r="J616" s="2"/>
      <c r="K616" s="2"/>
      <c r="L616" s="2"/>
      <c r="O616" s="58"/>
      <c r="P616" s="58"/>
    </row>
    <row r="617" spans="2:16">
      <c r="B617" s="652"/>
      <c r="C617" s="484">
        <v>5.49</v>
      </c>
      <c r="D617" s="164">
        <v>1.87</v>
      </c>
      <c r="E617" s="164">
        <f t="shared" si="67"/>
        <v>4.7763000000000009</v>
      </c>
      <c r="F617" s="197">
        <f>SUM($E$2:E617)/SUM($C$2:C617)</f>
        <v>-1.5675114419686817E-2</v>
      </c>
      <c r="G617" s="164">
        <f t="shared" si="68"/>
        <v>-30.72150000000007</v>
      </c>
      <c r="H617" s="485" t="s">
        <v>37</v>
      </c>
      <c r="I617" s="2"/>
      <c r="J617" s="2"/>
      <c r="K617" s="2"/>
      <c r="L617" s="2"/>
      <c r="O617" s="58"/>
      <c r="P617" s="58"/>
    </row>
    <row r="618" spans="2:16">
      <c r="B618" s="652"/>
      <c r="C618" s="491">
        <v>5.49</v>
      </c>
      <c r="D618" s="257"/>
      <c r="E618" s="257">
        <f t="shared" si="67"/>
        <v>-5.49</v>
      </c>
      <c r="F618" s="256">
        <f>SUM($E$2:E618)/SUM($C$2:C618)</f>
        <v>-1.8424681232128128E-2</v>
      </c>
      <c r="G618" s="257">
        <f t="shared" si="68"/>
        <v>-36.211500000000072</v>
      </c>
      <c r="H618" s="492" t="s">
        <v>38</v>
      </c>
      <c r="I618" s="2"/>
      <c r="J618" s="2"/>
      <c r="K618" s="2"/>
      <c r="L618" s="2"/>
      <c r="O618" s="58"/>
      <c r="P618" s="58"/>
    </row>
    <row r="619" spans="2:16">
      <c r="B619" s="652"/>
      <c r="C619" s="484">
        <v>5.49</v>
      </c>
      <c r="D619" s="164">
        <v>1.96</v>
      </c>
      <c r="E619" s="164">
        <f t="shared" si="67"/>
        <v>5.2704000000000004</v>
      </c>
      <c r="F619" s="197">
        <f>SUM($E$2:E619)/SUM($C$2:C619)</f>
        <v>-1.5699208978775869E-2</v>
      </c>
      <c r="G619" s="164">
        <f t="shared" si="68"/>
        <v>-30.94110000000007</v>
      </c>
      <c r="H619" s="485" t="s">
        <v>26</v>
      </c>
      <c r="I619" s="2"/>
      <c r="J619" s="2"/>
      <c r="K619" s="2"/>
      <c r="L619" s="2"/>
      <c r="O619" s="58"/>
      <c r="P619" s="58"/>
    </row>
    <row r="620" spans="2:16">
      <c r="B620" s="652"/>
      <c r="C620" s="484">
        <v>5.49</v>
      </c>
      <c r="D620" s="164"/>
      <c r="E620" s="164">
        <f t="shared" si="67"/>
        <v>-5.49</v>
      </c>
      <c r="F620" s="197">
        <f>SUM($E$2:E620)/SUM($C$2:C620)</f>
        <v>-1.8433433180189834E-2</v>
      </c>
      <c r="G620" s="164">
        <f t="shared" si="68"/>
        <v>-36.431100000000072</v>
      </c>
      <c r="H620" s="485" t="s">
        <v>47</v>
      </c>
      <c r="I620" s="2"/>
      <c r="J620" s="2"/>
      <c r="K620" s="2"/>
      <c r="L620" s="2"/>
      <c r="O620" s="58"/>
      <c r="P620" s="58"/>
    </row>
    <row r="621" spans="2:16">
      <c r="B621" s="652"/>
      <c r="C621" s="484">
        <v>5.49</v>
      </c>
      <c r="D621" s="164"/>
      <c r="E621" s="164">
        <f t="shared" si="67"/>
        <v>-5.49</v>
      </c>
      <c r="F621" s="197">
        <f>SUM($E$2:E621)/SUM($C$2:C621)</f>
        <v>-2.115250901935059E-2</v>
      </c>
      <c r="G621" s="164">
        <f t="shared" si="68"/>
        <v>-41.921100000000074</v>
      </c>
      <c r="H621" s="485" t="s">
        <v>10</v>
      </c>
      <c r="I621" s="2"/>
      <c r="J621" s="2"/>
      <c r="K621" s="2"/>
      <c r="L621" s="2"/>
      <c r="O621" s="58"/>
      <c r="P621" s="58"/>
    </row>
    <row r="622" spans="2:16">
      <c r="B622" s="652"/>
      <c r="C622" s="491">
        <v>5.49</v>
      </c>
      <c r="D622" s="257">
        <v>2.7839999999999998</v>
      </c>
      <c r="E622" s="257">
        <f t="shared" si="67"/>
        <v>9.7941599999999998</v>
      </c>
      <c r="F622" s="256">
        <f>SUM($E$2:E622)/SUM($C$2:C622)</f>
        <v>-1.6165799510904022E-2</v>
      </c>
      <c r="G622" s="257">
        <f t="shared" si="68"/>
        <v>-32.126940000000076</v>
      </c>
      <c r="H622" s="492" t="s">
        <v>18</v>
      </c>
      <c r="I622" s="2"/>
      <c r="J622" s="2"/>
      <c r="K622" s="2"/>
      <c r="L622" s="2"/>
      <c r="O622" s="58"/>
      <c r="P622" s="58"/>
    </row>
    <row r="623" spans="2:16">
      <c r="B623" s="652"/>
      <c r="C623" s="484">
        <v>5.49</v>
      </c>
      <c r="D623" s="164">
        <v>1.9750000000000001</v>
      </c>
      <c r="E623" s="164">
        <f t="shared" si="67"/>
        <v>5.3527500000000003</v>
      </c>
      <c r="F623" s="197">
        <f>SUM($E$2:E623)/SUM($C$2:C623)</f>
        <v>-1.3435260408564709E-2</v>
      </c>
      <c r="G623" s="164">
        <f t="shared" si="68"/>
        <v>-26.774190000000075</v>
      </c>
      <c r="H623" s="485" t="s">
        <v>250</v>
      </c>
      <c r="I623" s="2"/>
      <c r="J623" s="2"/>
      <c r="K623" s="2"/>
      <c r="L623" s="2"/>
      <c r="O623" s="58"/>
      <c r="P623" s="58"/>
    </row>
    <row r="624" spans="2:16">
      <c r="B624" s="652"/>
      <c r="C624" s="491">
        <v>5.49</v>
      </c>
      <c r="D624" s="257">
        <v>1.98</v>
      </c>
      <c r="E624" s="257">
        <f t="shared" si="67"/>
        <v>5.3802000000000003</v>
      </c>
      <c r="F624" s="256">
        <f>SUM($E$2:E624)/SUM($C$2:C624)</f>
        <v>-1.0705988029945164E-2</v>
      </c>
      <c r="G624" s="257">
        <f t="shared" si="68"/>
        <v>-21.393990000000073</v>
      </c>
      <c r="H624" s="492" t="s">
        <v>251</v>
      </c>
      <c r="I624" s="2">
        <f>SUM(E616:E624)</f>
        <v>19.258920000000003</v>
      </c>
      <c r="L624" s="2">
        <f>I624/C624</f>
        <v>3.5080000000000005</v>
      </c>
      <c r="O624" s="58"/>
      <c r="P624" s="58"/>
    </row>
    <row r="625" spans="2:16">
      <c r="B625" s="650">
        <v>46022</v>
      </c>
      <c r="C625" s="484">
        <v>2.5099999999999998</v>
      </c>
      <c r="D625" s="164">
        <v>1.9</v>
      </c>
      <c r="E625" s="164">
        <f t="shared" ref="E625:E639" si="69">(C625*D625)-C625</f>
        <v>2.2589999999999995</v>
      </c>
      <c r="F625" s="197">
        <f>SUM($E$2:E625)/SUM($C$2:C625)</f>
        <v>-9.5635261366533025E-3</v>
      </c>
      <c r="G625" s="164">
        <f t="shared" ref="G625:G639" si="70">G624+E625</f>
        <v>-19.134990000000073</v>
      </c>
      <c r="H625" s="485" t="s">
        <v>27</v>
      </c>
      <c r="I625" s="2"/>
      <c r="J625" s="2"/>
      <c r="K625" s="2"/>
      <c r="L625" s="2"/>
      <c r="O625" s="58"/>
      <c r="P625" s="58"/>
    </row>
    <row r="626" spans="2:16">
      <c r="B626" s="652"/>
      <c r="C626" s="484">
        <v>2.5099999999999998</v>
      </c>
      <c r="D626" s="164"/>
      <c r="E626" s="164">
        <f t="shared" si="69"/>
        <v>-2.5099999999999998</v>
      </c>
      <c r="F626" s="197">
        <f>SUM($E$2:E626)/SUM($C$2:C626)</f>
        <v>-1.0804451565884981E-2</v>
      </c>
      <c r="G626" s="164">
        <f t="shared" si="70"/>
        <v>-21.644990000000071</v>
      </c>
      <c r="H626" s="485" t="s">
        <v>36</v>
      </c>
      <c r="I626" s="2"/>
      <c r="J626" s="2"/>
      <c r="K626" s="2"/>
      <c r="L626" s="2"/>
      <c r="O626" s="58"/>
      <c r="P626" s="58"/>
    </row>
    <row r="627" spans="2:16">
      <c r="B627" s="652"/>
      <c r="C627" s="484">
        <v>2.5099999999999998</v>
      </c>
      <c r="D627" s="164">
        <v>1.86</v>
      </c>
      <c r="E627" s="164">
        <f t="shared" si="69"/>
        <v>2.1585999999999999</v>
      </c>
      <c r="F627" s="197">
        <f>SUM($E$2:E627)/SUM($C$2:C627)</f>
        <v>-9.7147792706334096E-3</v>
      </c>
      <c r="G627" s="164">
        <f t="shared" si="70"/>
        <v>-19.486390000000071</v>
      </c>
      <c r="H627" s="485" t="s">
        <v>29</v>
      </c>
      <c r="I627" s="2"/>
      <c r="J627" s="2"/>
      <c r="K627" s="2"/>
      <c r="L627" s="2"/>
      <c r="O627" s="58"/>
      <c r="P627" s="58"/>
    </row>
    <row r="628" spans="2:16">
      <c r="B628" s="652"/>
      <c r="C628" s="484">
        <v>2.5099999999999998</v>
      </c>
      <c r="D628" s="164"/>
      <c r="E628" s="164">
        <f t="shared" si="69"/>
        <v>-2.5099999999999998</v>
      </c>
      <c r="F628" s="197">
        <f>SUM($E$2:E628)/SUM($C$2:C628)</f>
        <v>-1.0952413909856806E-2</v>
      </c>
      <c r="G628" s="164">
        <f t="shared" si="70"/>
        <v>-21.996390000000069</v>
      </c>
      <c r="H628" s="485" t="s">
        <v>59</v>
      </c>
      <c r="I628" s="2"/>
      <c r="J628" s="2"/>
      <c r="K628" s="2"/>
      <c r="L628" s="2"/>
      <c r="O628" s="58"/>
      <c r="P628" s="58"/>
    </row>
    <row r="629" spans="2:16">
      <c r="B629" s="652"/>
      <c r="C629" s="491">
        <v>2.5099999999999998</v>
      </c>
      <c r="D629" s="257"/>
      <c r="E629" s="257">
        <f t="shared" si="69"/>
        <v>-2.5099999999999998</v>
      </c>
      <c r="F629" s="256">
        <f>SUM($E$2:E629)/SUM($C$2:C629)</f>
        <v>-1.2186958878495382E-2</v>
      </c>
      <c r="G629" s="257">
        <f t="shared" si="70"/>
        <v>-24.506390000000067</v>
      </c>
      <c r="H629" s="492" t="s">
        <v>52</v>
      </c>
      <c r="I629" s="2"/>
      <c r="J629" s="2"/>
      <c r="K629" s="2"/>
      <c r="L629" s="2"/>
      <c r="O629" s="58"/>
      <c r="P629" s="58"/>
    </row>
    <row r="630" spans="2:16">
      <c r="B630" s="652"/>
      <c r="C630" s="484">
        <v>2.5099999999999998</v>
      </c>
      <c r="D630" s="164">
        <v>2.87</v>
      </c>
      <c r="E630" s="164">
        <f t="shared" si="69"/>
        <v>4.6936999999999998</v>
      </c>
      <c r="F630" s="197">
        <f>SUM($E$2:E630)/SUM($C$2:C630)</f>
        <v>-9.8405119748880086E-3</v>
      </c>
      <c r="G630" s="164">
        <f t="shared" si="70"/>
        <v>-19.812690000000067</v>
      </c>
      <c r="H630" s="485" t="s">
        <v>15</v>
      </c>
      <c r="I630" s="2"/>
      <c r="J630" s="2"/>
      <c r="K630" s="2"/>
      <c r="L630" s="2"/>
      <c r="O630" s="58"/>
      <c r="P630" s="58"/>
    </row>
    <row r="631" spans="2:16">
      <c r="B631" s="652"/>
      <c r="C631" s="484">
        <v>2.5099999999999998</v>
      </c>
      <c r="D631" s="164">
        <v>1.98</v>
      </c>
      <c r="E631" s="164">
        <f t="shared" si="69"/>
        <v>2.4597999999999995</v>
      </c>
      <c r="F631" s="197">
        <f>SUM($E$2:E631)/SUM($C$2:C631)</f>
        <v>-8.6080540108835427E-3</v>
      </c>
      <c r="G631" s="164">
        <f t="shared" si="70"/>
        <v>-17.352890000000066</v>
      </c>
      <c r="H631" s="485" t="s">
        <v>14</v>
      </c>
      <c r="I631" s="2"/>
      <c r="J631" s="2"/>
      <c r="K631" s="2"/>
      <c r="L631" s="2"/>
      <c r="O631" s="58"/>
      <c r="P631" s="58"/>
    </row>
    <row r="632" spans="2:16">
      <c r="B632" s="652"/>
      <c r="C632" s="484">
        <v>2.5099999999999998</v>
      </c>
      <c r="D632" s="164"/>
      <c r="E632" s="164">
        <f t="shared" si="69"/>
        <v>-2.5099999999999998</v>
      </c>
      <c r="F632" s="197">
        <f>SUM($E$2:E632)/SUM($C$2:C632)</f>
        <v>-9.8409086405073405E-3</v>
      </c>
      <c r="G632" s="164">
        <f t="shared" si="70"/>
        <v>-19.862890000000064</v>
      </c>
      <c r="H632" s="485" t="s">
        <v>60</v>
      </c>
      <c r="I632" s="2"/>
      <c r="J632" s="2"/>
      <c r="K632" s="2"/>
      <c r="L632" s="2"/>
      <c r="O632" s="58"/>
      <c r="P632" s="58"/>
    </row>
    <row r="633" spans="2:16">
      <c r="B633" s="652"/>
      <c r="C633" s="484">
        <v>2.5099999999999998</v>
      </c>
      <c r="D633" s="164">
        <v>1.98</v>
      </c>
      <c r="E633" s="164">
        <f t="shared" si="69"/>
        <v>2.4597999999999995</v>
      </c>
      <c r="F633" s="197">
        <f>SUM($E$2:E633)/SUM($C$2:C633)</f>
        <v>-8.6115116457437593E-3</v>
      </c>
      <c r="G633" s="164">
        <f t="shared" si="70"/>
        <v>-17.403090000000063</v>
      </c>
      <c r="H633" s="485" t="s">
        <v>46</v>
      </c>
      <c r="I633" s="2"/>
      <c r="J633" s="2"/>
      <c r="K633" s="2"/>
      <c r="L633" s="2"/>
      <c r="O633" s="58"/>
      <c r="P633" s="58"/>
    </row>
    <row r="634" spans="2:16">
      <c r="B634" s="652"/>
      <c r="C634" s="491">
        <v>2.5099999999999998</v>
      </c>
      <c r="D634" s="257">
        <v>1.98</v>
      </c>
      <c r="E634" s="257">
        <f t="shared" si="69"/>
        <v>2.4597999999999995</v>
      </c>
      <c r="F634" s="256">
        <f>SUM($E$2:E634)/SUM($C$2:C634)</f>
        <v>-7.3851647211157483E-3</v>
      </c>
      <c r="G634" s="257">
        <f t="shared" si="70"/>
        <v>-14.943290000000063</v>
      </c>
      <c r="H634" s="492" t="s">
        <v>12</v>
      </c>
      <c r="I634" s="2"/>
      <c r="J634" s="2"/>
      <c r="K634" s="2"/>
      <c r="L634" s="2"/>
      <c r="O634" s="58"/>
      <c r="P634" s="58"/>
    </row>
    <row r="635" spans="2:16">
      <c r="B635" s="652"/>
      <c r="C635" s="484">
        <v>2.5099999999999998</v>
      </c>
      <c r="D635" s="164">
        <v>1.98</v>
      </c>
      <c r="E635" s="164">
        <f t="shared" si="69"/>
        <v>2.4597999999999995</v>
      </c>
      <c r="F635" s="197">
        <f>SUM($E$2:E635)/SUM($C$2:C635)</f>
        <v>-6.1618565300874334E-3</v>
      </c>
      <c r="G635" s="164">
        <f t="shared" si="70"/>
        <v>-12.483490000000064</v>
      </c>
      <c r="H635" s="485" t="s">
        <v>252</v>
      </c>
      <c r="I635" s="2"/>
      <c r="J635" s="2"/>
      <c r="K635" s="2"/>
      <c r="L635" s="2"/>
      <c r="O635" s="58"/>
      <c r="P635" s="58"/>
    </row>
    <row r="636" spans="2:16">
      <c r="B636" s="652"/>
      <c r="C636" s="484">
        <v>2.5099999999999998</v>
      </c>
      <c r="D636" s="164">
        <v>1.94</v>
      </c>
      <c r="E636" s="164">
        <f t="shared" si="69"/>
        <v>2.3593999999999999</v>
      </c>
      <c r="F636" s="197">
        <f>SUM($E$2:E636)/SUM($C$2:C636)</f>
        <v>-4.9910719567746835E-3</v>
      </c>
      <c r="G636" s="164">
        <f t="shared" si="70"/>
        <v>-10.124090000000063</v>
      </c>
      <c r="H636" s="485" t="s">
        <v>253</v>
      </c>
      <c r="I636" s="2"/>
      <c r="J636" s="2"/>
      <c r="K636" s="2"/>
      <c r="L636" s="2"/>
      <c r="O636" s="58"/>
      <c r="P636" s="58"/>
    </row>
    <row r="637" spans="2:16">
      <c r="B637" s="652"/>
      <c r="C637" s="484">
        <v>2.5099999999999998</v>
      </c>
      <c r="D637" s="164">
        <v>1.94</v>
      </c>
      <c r="E637" s="164">
        <f t="shared" si="69"/>
        <v>2.3593999999999999</v>
      </c>
      <c r="F637" s="197">
        <f>SUM($E$2:E637)/SUM($C$2:C637)</f>
        <v>-3.8231812698491072E-3</v>
      </c>
      <c r="G637" s="164">
        <f t="shared" si="70"/>
        <v>-7.7646900000000629</v>
      </c>
      <c r="H637" s="485" t="s">
        <v>254</v>
      </c>
      <c r="I637" s="2"/>
      <c r="J637" s="2"/>
      <c r="K637" s="2"/>
      <c r="L637" s="2"/>
      <c r="O637" s="58"/>
      <c r="P637" s="58"/>
    </row>
    <row r="638" spans="2:16">
      <c r="B638" s="652"/>
      <c r="C638" s="484">
        <v>2.5099999999999998</v>
      </c>
      <c r="D638" s="164"/>
      <c r="E638" s="164">
        <f t="shared" si="69"/>
        <v>-2.5099999999999998</v>
      </c>
      <c r="F638" s="197">
        <f>SUM($E$2:E638)/SUM($C$2:C638)</f>
        <v>-5.0528114642038888E-3</v>
      </c>
      <c r="G638" s="164">
        <f t="shared" si="70"/>
        <v>-10.274690000000064</v>
      </c>
      <c r="H638" s="485" t="s">
        <v>255</v>
      </c>
      <c r="I638" s="2"/>
      <c r="J638" s="2"/>
      <c r="K638" s="2"/>
      <c r="L638" s="2"/>
      <c r="O638" s="58"/>
      <c r="P638" s="58"/>
    </row>
    <row r="639" spans="2:16">
      <c r="B639" s="652"/>
      <c r="C639" s="491">
        <v>2.5099999999999998</v>
      </c>
      <c r="D639" s="257"/>
      <c r="E639" s="257">
        <f t="shared" si="69"/>
        <v>-2.5099999999999998</v>
      </c>
      <c r="F639" s="256">
        <f>SUM($E$2:E639)/SUM($C$2:C639)</f>
        <v>-6.2794098144864771E-3</v>
      </c>
      <c r="G639" s="257">
        <f t="shared" si="70"/>
        <v>-12.784690000000063</v>
      </c>
      <c r="H639" s="492" t="s">
        <v>95</v>
      </c>
      <c r="I639" s="490">
        <f>SUM(E625:E639)</f>
        <v>8.6093000000000011</v>
      </c>
      <c r="J639" s="450"/>
      <c r="K639" s="490">
        <f>SUM(E239:E639)</f>
        <v>45.705460000000016</v>
      </c>
      <c r="L639" s="2">
        <f>I639/C639</f>
        <v>3.4300000000000006</v>
      </c>
      <c r="O639" s="58"/>
      <c r="P639" s="58"/>
    </row>
    <row r="640" spans="2:16">
      <c r="B640" s="650">
        <v>46023</v>
      </c>
      <c r="C640" s="484">
        <f>4.58*2</f>
        <v>9.16</v>
      </c>
      <c r="D640" s="164">
        <v>2.1</v>
      </c>
      <c r="E640" s="164">
        <f t="shared" ref="E640:E645" si="71">(C640*D640)-C640</f>
        <v>10.076000000000001</v>
      </c>
      <c r="F640" s="197">
        <f>SUM($E$2:E640)/SUM($C$2:C640)</f>
        <v>-1.3244585918743828E-3</v>
      </c>
      <c r="G640" s="164">
        <f t="shared" ref="G640:G645" si="72">G639+E640</f>
        <v>-2.7086900000000629</v>
      </c>
      <c r="H640" s="485" t="s">
        <v>53</v>
      </c>
      <c r="I640" s="2"/>
      <c r="J640" s="2"/>
      <c r="K640" s="2"/>
      <c r="L640" s="2"/>
      <c r="O640" s="58"/>
      <c r="P640" s="58"/>
    </row>
    <row r="641" spans="2:16">
      <c r="B641" s="652"/>
      <c r="C641" s="484">
        <v>4.58</v>
      </c>
      <c r="D641" s="164">
        <v>1.9</v>
      </c>
      <c r="E641" s="164">
        <f t="shared" si="71"/>
        <v>4.1219999999999999</v>
      </c>
      <c r="F641" s="197">
        <f>SUM($E$2:E641)/SUM($C$2:C641)</f>
        <v>6.8951705363194476E-4</v>
      </c>
      <c r="G641" s="164">
        <f t="shared" si="72"/>
        <v>1.413309999999937</v>
      </c>
      <c r="H641" s="485" t="s">
        <v>37</v>
      </c>
      <c r="I641" s="2"/>
      <c r="J641" s="2"/>
      <c r="K641" s="2"/>
      <c r="L641" s="2"/>
      <c r="O641" s="58"/>
      <c r="P641" s="58"/>
    </row>
    <row r="642" spans="2:16">
      <c r="B642" s="652"/>
      <c r="C642" s="491">
        <v>4.58</v>
      </c>
      <c r="D642" s="257"/>
      <c r="E642" s="257">
        <f t="shared" si="71"/>
        <v>-4.58</v>
      </c>
      <c r="F642" s="256">
        <f>SUM($E$2:E642)/SUM($C$2:C642)</f>
        <v>-1.5415009565348881E-3</v>
      </c>
      <c r="G642" s="257">
        <f t="shared" si="72"/>
        <v>-3.1666900000000631</v>
      </c>
      <c r="H642" s="492" t="s">
        <v>47</v>
      </c>
      <c r="I642" s="2"/>
      <c r="J642" s="2"/>
      <c r="K642" s="2"/>
      <c r="L642" s="2"/>
      <c r="O642" s="58"/>
      <c r="P642" s="58"/>
    </row>
    <row r="643" spans="2:16">
      <c r="B643" s="652"/>
      <c r="C643" s="491">
        <v>4.58</v>
      </c>
      <c r="D643" s="257"/>
      <c r="E643" s="257">
        <f t="shared" si="71"/>
        <v>-4.58</v>
      </c>
      <c r="F643" s="256">
        <f>SUM($E$2:E643)/SUM($C$2:C643)</f>
        <v>-3.7625930728992334E-3</v>
      </c>
      <c r="G643" s="257">
        <f t="shared" si="72"/>
        <v>-7.7466900000000631</v>
      </c>
      <c r="H643" s="492" t="s">
        <v>28</v>
      </c>
      <c r="I643" s="2"/>
      <c r="J643" s="2"/>
      <c r="K643" s="2"/>
      <c r="L643" s="2"/>
      <c r="O643" s="58"/>
      <c r="P643" s="58"/>
    </row>
    <row r="644" spans="2:16">
      <c r="B644" s="652"/>
      <c r="C644" s="484">
        <v>4.58</v>
      </c>
      <c r="D644" s="164"/>
      <c r="E644" s="164">
        <f t="shared" si="71"/>
        <v>-4.58</v>
      </c>
      <c r="F644" s="197">
        <f>SUM($E$2:E644)/SUM($C$2:C644)</f>
        <v>-5.9738253895175722E-3</v>
      </c>
      <c r="G644" s="164">
        <f t="shared" si="72"/>
        <v>-12.326690000000063</v>
      </c>
      <c r="H644" s="485" t="s">
        <v>256</v>
      </c>
      <c r="I644" s="2"/>
      <c r="J644" s="2"/>
      <c r="K644" s="2"/>
      <c r="L644" s="2"/>
      <c r="O644" s="58"/>
      <c r="P644" s="58"/>
    </row>
    <row r="645" spans="2:16">
      <c r="B645" s="652"/>
      <c r="C645" s="491">
        <v>4.58</v>
      </c>
      <c r="D645" s="257"/>
      <c r="E645" s="257">
        <f t="shared" si="71"/>
        <v>-4.58</v>
      </c>
      <c r="F645" s="256">
        <f>SUM($E$2:E645)/SUM($C$2:C645)</f>
        <v>-8.1752634149408008E-3</v>
      </c>
      <c r="G645" s="257">
        <f t="shared" si="72"/>
        <v>-16.906690000000062</v>
      </c>
      <c r="H645" s="492" t="s">
        <v>257</v>
      </c>
      <c r="I645" s="2">
        <f>SUM(E640:E645)</f>
        <v>-4.1219999999999999</v>
      </c>
      <c r="L645" s="2">
        <f>I645/C645</f>
        <v>-0.89999999999999991</v>
      </c>
      <c r="O645" s="58"/>
      <c r="P645" s="58"/>
    </row>
    <row r="646" spans="2:16">
      <c r="B646" s="650">
        <v>46024</v>
      </c>
      <c r="C646" s="484">
        <v>2.2799999999999998</v>
      </c>
      <c r="D646" s="164">
        <v>1.91</v>
      </c>
      <c r="E646" s="164">
        <f t="shared" ref="E646:E663" si="73">(C646*D646)-C646</f>
        <v>2.0747999999999993</v>
      </c>
      <c r="F646" s="197">
        <f>SUM($E$2:E646)/SUM($C$2:C646)</f>
        <v>-7.1640913679594008E-3</v>
      </c>
      <c r="G646" s="164">
        <f t="shared" ref="G646:G663" si="74">G645+E646</f>
        <v>-14.831890000000062</v>
      </c>
      <c r="H646" s="485" t="s">
        <v>12</v>
      </c>
      <c r="I646" s="2"/>
      <c r="J646" s="2"/>
      <c r="K646" s="2"/>
      <c r="L646" s="2"/>
      <c r="O646" s="58"/>
      <c r="P646" s="58"/>
    </row>
    <row r="647" spans="2:16">
      <c r="B647" s="652"/>
      <c r="C647" s="484">
        <v>2.2799999999999998</v>
      </c>
      <c r="D647" s="164"/>
      <c r="E647" s="164">
        <f t="shared" si="73"/>
        <v>-2.2799999999999998</v>
      </c>
      <c r="F647" s="197">
        <f>SUM($E$2:E647)/SUM($C$2:C647)</f>
        <v>-8.2562832012120207E-3</v>
      </c>
      <c r="G647" s="164">
        <f t="shared" si="74"/>
        <v>-17.111890000000063</v>
      </c>
      <c r="H647" s="485" t="s">
        <v>28</v>
      </c>
      <c r="I647" s="2"/>
      <c r="J647" s="2"/>
      <c r="K647" s="2"/>
      <c r="L647" s="2"/>
      <c r="O647" s="58"/>
      <c r="P647" s="58"/>
    </row>
    <row r="648" spans="2:16">
      <c r="B648" s="652"/>
      <c r="C648" s="484">
        <v>2.2799999999999998</v>
      </c>
      <c r="D648" s="164"/>
      <c r="E648" s="164">
        <f t="shared" si="73"/>
        <v>-2.2799999999999998</v>
      </c>
      <c r="F648" s="197">
        <f>SUM($E$2:E648)/SUM($C$2:C648)</f>
        <v>-9.3460746938362465E-3</v>
      </c>
      <c r="G648" s="164">
        <f t="shared" si="74"/>
        <v>-19.391890000000064</v>
      </c>
      <c r="H648" s="485" t="s">
        <v>59</v>
      </c>
      <c r="I648" s="2"/>
      <c r="J648" s="2"/>
      <c r="K648" s="2"/>
      <c r="L648" s="2"/>
      <c r="O648" s="58"/>
      <c r="P648" s="58"/>
    </row>
    <row r="649" spans="2:16">
      <c r="B649" s="652"/>
      <c r="C649" s="484">
        <v>2.2799999999999998</v>
      </c>
      <c r="D649" s="164"/>
      <c r="E649" s="164">
        <f t="shared" si="73"/>
        <v>-2.2799999999999998</v>
      </c>
      <c r="F649" s="197">
        <f>SUM($E$2:E649)/SUM($C$2:C649)</f>
        <v>-1.0433473750090272E-2</v>
      </c>
      <c r="G649" s="164">
        <f t="shared" si="74"/>
        <v>-21.671890000000065</v>
      </c>
      <c r="H649" s="485" t="s">
        <v>14</v>
      </c>
      <c r="I649" s="2"/>
      <c r="J649" s="2"/>
      <c r="K649" s="2"/>
      <c r="L649" s="2"/>
      <c r="O649" s="58"/>
      <c r="P649" s="58"/>
    </row>
    <row r="650" spans="2:16">
      <c r="B650" s="652"/>
      <c r="C650" s="484">
        <v>2.2799999999999998</v>
      </c>
      <c r="D650" s="164"/>
      <c r="E650" s="164">
        <f t="shared" si="73"/>
        <v>-2.2799999999999998</v>
      </c>
      <c r="F650" s="197">
        <f>SUM($E$2:E650)/SUM($C$2:C650)</f>
        <v>-1.1518488239565651E-2</v>
      </c>
      <c r="G650" s="164">
        <f t="shared" si="74"/>
        <v>-23.951890000000066</v>
      </c>
      <c r="H650" s="485" t="s">
        <v>64</v>
      </c>
      <c r="I650" s="2"/>
      <c r="J650" s="2"/>
      <c r="K650" s="2"/>
      <c r="L650" s="2"/>
      <c r="O650" s="58"/>
      <c r="P650" s="58"/>
    </row>
    <row r="651" spans="2:16">
      <c r="B651" s="652"/>
      <c r="C651" s="484">
        <v>2.2799999999999998</v>
      </c>
      <c r="D651" s="164">
        <v>1</v>
      </c>
      <c r="E651" s="164">
        <f t="shared" si="73"/>
        <v>0</v>
      </c>
      <c r="F651" s="197">
        <f>SUM($E$2:E651)/SUM($C$2:C651)</f>
        <v>-1.1505872575911149E-2</v>
      </c>
      <c r="G651" s="164">
        <f t="shared" si="74"/>
        <v>-23.951890000000066</v>
      </c>
      <c r="H651" s="485" t="s">
        <v>52</v>
      </c>
      <c r="I651" s="2"/>
      <c r="J651" s="2"/>
      <c r="K651" s="2"/>
      <c r="L651" s="2"/>
      <c r="O651" s="58"/>
      <c r="P651" s="58"/>
    </row>
    <row r="652" spans="2:16">
      <c r="B652" s="652"/>
      <c r="C652" s="491">
        <v>2.2799999999999998</v>
      </c>
      <c r="D652" s="257">
        <v>1.9</v>
      </c>
      <c r="E652" s="257">
        <f t="shared" si="73"/>
        <v>2.052</v>
      </c>
      <c r="F652" s="256">
        <f>SUM($E$2:E652)/SUM($C$2:C652)</f>
        <v>-1.0508634878286365E-2</v>
      </c>
      <c r="G652" s="257">
        <f t="shared" si="74"/>
        <v>-21.899890000000067</v>
      </c>
      <c r="H652" s="492" t="s">
        <v>30</v>
      </c>
      <c r="I652" s="2"/>
      <c r="J652" s="2"/>
      <c r="K652" s="2"/>
      <c r="L652" s="2"/>
      <c r="O652" s="58"/>
      <c r="P652" s="58"/>
    </row>
    <row r="653" spans="2:16">
      <c r="B653" s="652"/>
      <c r="C653" s="484">
        <v>2.2799999999999998</v>
      </c>
      <c r="D653" s="164"/>
      <c r="E653" s="164">
        <f t="shared" si="73"/>
        <v>-2.2799999999999998</v>
      </c>
      <c r="F653" s="197">
        <f>SUM($E$2:E653)/SUM($C$2:C653)</f>
        <v>-1.1590009922013927E-2</v>
      </c>
      <c r="G653" s="164">
        <f t="shared" si="74"/>
        <v>-24.179890000000068</v>
      </c>
      <c r="H653" s="485" t="s">
        <v>60</v>
      </c>
      <c r="I653" s="2"/>
      <c r="J653" s="2"/>
      <c r="K653" s="2"/>
      <c r="L653" s="2"/>
      <c r="O653" s="58"/>
      <c r="P653" s="58"/>
    </row>
    <row r="654" spans="2:16">
      <c r="B654" s="652"/>
      <c r="C654" s="484">
        <v>2.2799999999999998</v>
      </c>
      <c r="D654" s="164">
        <v>1.98</v>
      </c>
      <c r="E654" s="164">
        <f t="shared" si="73"/>
        <v>2.2343999999999995</v>
      </c>
      <c r="F654" s="197">
        <f>SUM($E$2:E654)/SUM($C$2:C654)</f>
        <v>-1.050752435900505E-2</v>
      </c>
      <c r="G654" s="164">
        <f t="shared" si="74"/>
        <v>-21.945490000000067</v>
      </c>
      <c r="H654" s="485" t="s">
        <v>11</v>
      </c>
      <c r="I654" s="2"/>
      <c r="J654" s="2"/>
      <c r="K654" s="2"/>
      <c r="L654" s="2"/>
      <c r="O654" s="58"/>
      <c r="P654" s="58"/>
    </row>
    <row r="655" spans="2:16">
      <c r="B655" s="652"/>
      <c r="C655" s="484">
        <v>2.2799999999999998</v>
      </c>
      <c r="D655" s="164"/>
      <c r="E655" s="164">
        <f t="shared" si="73"/>
        <v>-2.2799999999999998</v>
      </c>
      <c r="F655" s="197">
        <f>SUM($E$2:E655)/SUM($C$2:C655)</f>
        <v>-1.1586542186595749E-2</v>
      </c>
      <c r="G655" s="164">
        <f t="shared" si="74"/>
        <v>-24.225490000000068</v>
      </c>
      <c r="H655" s="485" t="s">
        <v>29</v>
      </c>
      <c r="I655" s="2"/>
      <c r="J655" s="2"/>
      <c r="K655" s="2"/>
      <c r="L655" s="2"/>
      <c r="O655" s="58"/>
      <c r="P655" s="58"/>
    </row>
    <row r="656" spans="2:16">
      <c r="B656" s="652"/>
      <c r="C656" s="484">
        <v>2.2799999999999998</v>
      </c>
      <c r="D656" s="164">
        <v>2</v>
      </c>
      <c r="E656" s="164">
        <f t="shared" si="73"/>
        <v>2.2799999999999998</v>
      </c>
      <c r="F656" s="197">
        <f>SUM($E$2:E656)/SUM($C$2:C656)</f>
        <v>-1.048463291465809E-2</v>
      </c>
      <c r="G656" s="164">
        <f t="shared" si="74"/>
        <v>-21.945490000000067</v>
      </c>
      <c r="H656" s="485" t="s">
        <v>34</v>
      </c>
      <c r="I656" s="2"/>
      <c r="J656" s="2"/>
      <c r="K656" s="2"/>
      <c r="L656" s="2"/>
      <c r="O656" s="58"/>
      <c r="P656" s="58"/>
    </row>
    <row r="657" spans="2:16">
      <c r="B657" s="652"/>
      <c r="C657" s="484">
        <v>2.2799999999999998</v>
      </c>
      <c r="D657" s="164"/>
      <c r="E657" s="164">
        <f t="shared" si="73"/>
        <v>-2.2799999999999998</v>
      </c>
      <c r="F657" s="197">
        <f>SUM($E$2:E657)/SUM($C$2:C657)</f>
        <v>-1.156132748557547E-2</v>
      </c>
      <c r="G657" s="164">
        <f t="shared" si="74"/>
        <v>-24.225490000000068</v>
      </c>
      <c r="H657" s="485" t="s">
        <v>13</v>
      </c>
      <c r="I657" s="2"/>
      <c r="J657" s="2"/>
      <c r="K657" s="2"/>
      <c r="L657" s="2"/>
      <c r="O657" s="58"/>
      <c r="P657" s="58"/>
    </row>
    <row r="658" spans="2:16">
      <c r="B658" s="652"/>
      <c r="C658" s="491">
        <v>2.2799999999999998</v>
      </c>
      <c r="D658" s="257"/>
      <c r="E658" s="257">
        <f t="shared" si="73"/>
        <v>-2.2799999999999998</v>
      </c>
      <c r="F658" s="256">
        <f>SUM($E$2:E658)/SUM($C$2:C658)</f>
        <v>-1.2635681494229301E-2</v>
      </c>
      <c r="G658" s="257">
        <f t="shared" si="74"/>
        <v>-26.505490000000069</v>
      </c>
      <c r="H658" s="492" t="s">
        <v>27</v>
      </c>
      <c r="I658" s="2"/>
      <c r="J658" s="2"/>
      <c r="K658" s="2"/>
      <c r="L658" s="2"/>
      <c r="O658" s="58"/>
      <c r="P658" s="58"/>
    </row>
    <row r="659" spans="2:16">
      <c r="B659" s="652"/>
      <c r="C659" s="484">
        <v>2.2799999999999998</v>
      </c>
      <c r="D659" s="164"/>
      <c r="E659" s="164">
        <f t="shared" si="73"/>
        <v>-2.2799999999999998</v>
      </c>
      <c r="F659" s="197">
        <f>SUM($E$2:E659)/SUM($C$2:C659)</f>
        <v>-1.3707702564346754E-2</v>
      </c>
      <c r="G659" s="164">
        <f t="shared" si="74"/>
        <v>-28.78549000000007</v>
      </c>
      <c r="H659" s="485" t="s">
        <v>258</v>
      </c>
      <c r="I659" s="2"/>
      <c r="J659" s="2"/>
      <c r="K659" s="2"/>
      <c r="L659" s="2"/>
      <c r="O659" s="58"/>
      <c r="P659" s="58"/>
    </row>
    <row r="660" spans="2:16">
      <c r="B660" s="652"/>
      <c r="C660" s="484">
        <v>2.2799999999999998</v>
      </c>
      <c r="D660" s="164"/>
      <c r="E660" s="164">
        <f t="shared" si="73"/>
        <v>-2.2799999999999998</v>
      </c>
      <c r="F660" s="197">
        <f>SUM($E$2:E660)/SUM($C$2:C660)</f>
        <v>-1.4777398286581372E-2</v>
      </c>
      <c r="G660" s="164">
        <f t="shared" si="74"/>
        <v>-31.065490000000072</v>
      </c>
      <c r="H660" s="485" t="s">
        <v>259</v>
      </c>
      <c r="I660" s="2"/>
      <c r="J660" s="2"/>
      <c r="K660" s="2"/>
      <c r="L660" s="2"/>
      <c r="O660" s="58"/>
      <c r="P660" s="58"/>
    </row>
    <row r="661" spans="2:16">
      <c r="B661" s="652"/>
      <c r="C661" s="484">
        <v>2.2799999999999998</v>
      </c>
      <c r="D661" s="164"/>
      <c r="E661" s="164">
        <f t="shared" si="73"/>
        <v>-2.2799999999999998</v>
      </c>
      <c r="F661" s="197">
        <f>SUM($E$2:E661)/SUM($C$2:C661)</f>
        <v>-1.5844776218692212E-2</v>
      </c>
      <c r="G661" s="164">
        <f t="shared" si="74"/>
        <v>-33.345490000000069</v>
      </c>
      <c r="H661" s="485" t="s">
        <v>260</v>
      </c>
      <c r="I661" s="2"/>
      <c r="J661" s="2"/>
      <c r="K661" s="2"/>
      <c r="L661" s="2"/>
      <c r="O661" s="58"/>
      <c r="P661" s="58"/>
    </row>
    <row r="662" spans="2:16">
      <c r="B662" s="652"/>
      <c r="C662" s="484">
        <v>2.2799999999999998</v>
      </c>
      <c r="D662" s="164"/>
      <c r="E662" s="164">
        <f t="shared" si="73"/>
        <v>-2.2799999999999998</v>
      </c>
      <c r="F662" s="197">
        <f>SUM($E$2:E662)/SUM($C$2:C662)</f>
        <v>-1.6909843885721847E-2</v>
      </c>
      <c r="G662" s="164">
        <f t="shared" si="74"/>
        <v>-35.62549000000007</v>
      </c>
      <c r="H662" s="485" t="s">
        <v>42</v>
      </c>
      <c r="I662" s="2"/>
      <c r="J662" s="2"/>
      <c r="K662" s="2"/>
      <c r="L662" s="2"/>
      <c r="O662" s="58"/>
      <c r="P662" s="58"/>
    </row>
    <row r="663" spans="2:16">
      <c r="B663" s="652"/>
      <c r="C663" s="491">
        <v>2.2799999999999998</v>
      </c>
      <c r="D663" s="257"/>
      <c r="E663" s="257">
        <f t="shared" si="73"/>
        <v>-2.2799999999999998</v>
      </c>
      <c r="F663" s="256">
        <f>SUM($E$2:E663)/SUM($C$2:C663)</f>
        <v>-1.7972608780173215E-2</v>
      </c>
      <c r="G663" s="257">
        <f t="shared" si="74"/>
        <v>-37.905490000000071</v>
      </c>
      <c r="H663" s="492" t="s">
        <v>136</v>
      </c>
      <c r="I663" s="2">
        <f>SUM(E646:E663)</f>
        <v>-20.998799999999999</v>
      </c>
      <c r="L663" s="2">
        <f>I663/C663</f>
        <v>-9.2100000000000009</v>
      </c>
      <c r="O663" s="58"/>
      <c r="P663" s="58"/>
    </row>
    <row r="664" spans="2:16">
      <c r="B664" s="650">
        <v>46025</v>
      </c>
      <c r="C664" s="484">
        <v>2.76</v>
      </c>
      <c r="D664" s="164">
        <v>1.93</v>
      </c>
      <c r="E664" s="164">
        <f t="shared" ref="E664:E677" si="75">(C664*D664)-C664</f>
        <v>2.5667999999999997</v>
      </c>
      <c r="F664" s="197">
        <f>SUM($E$2:E664)/SUM($C$2:C664)</f>
        <v>-1.6733681214870479E-2</v>
      </c>
      <c r="G664" s="164">
        <f t="shared" ref="G664:G677" si="76">G663+E664</f>
        <v>-35.338690000000071</v>
      </c>
      <c r="H664" s="485" t="s">
        <v>104</v>
      </c>
      <c r="I664" s="2"/>
      <c r="J664" s="2"/>
      <c r="K664" s="2"/>
      <c r="L664" s="2"/>
      <c r="O664" s="58"/>
      <c r="P664" s="58"/>
    </row>
    <row r="665" spans="2:16">
      <c r="B665" s="652"/>
      <c r="C665" s="484">
        <v>2.76</v>
      </c>
      <c r="D665" s="164">
        <v>1.9</v>
      </c>
      <c r="E665" s="164">
        <f t="shared" si="75"/>
        <v>2.484</v>
      </c>
      <c r="F665" s="197">
        <f>SUM($E$2:E665)/SUM($C$2:C665)</f>
        <v>-1.5537144316392271E-2</v>
      </c>
      <c r="G665" s="164">
        <f t="shared" si="76"/>
        <v>-32.854690000000069</v>
      </c>
      <c r="H665" s="485" t="s">
        <v>51</v>
      </c>
      <c r="I665" s="2"/>
      <c r="J665" s="2"/>
      <c r="K665" s="2"/>
      <c r="L665" s="2"/>
      <c r="O665" s="58"/>
      <c r="P665" s="58"/>
    </row>
    <row r="666" spans="2:16">
      <c r="B666" s="652"/>
      <c r="C666" s="484">
        <v>2.76</v>
      </c>
      <c r="D666" s="164">
        <v>1.92</v>
      </c>
      <c r="E666" s="164">
        <f t="shared" si="75"/>
        <v>2.5391999999999992</v>
      </c>
      <c r="F666" s="197">
        <f>SUM($E$2:E666)/SUM($C$2:C666)</f>
        <v>-1.4317656504592977E-2</v>
      </c>
      <c r="G666" s="164">
        <f t="shared" si="76"/>
        <v>-30.315490000000068</v>
      </c>
      <c r="H666" s="485" t="s">
        <v>52</v>
      </c>
      <c r="I666" s="2"/>
      <c r="J666" s="2"/>
      <c r="K666" s="2"/>
      <c r="L666" s="2"/>
      <c r="O666" s="58"/>
      <c r="P666" s="58"/>
    </row>
    <row r="667" spans="2:16">
      <c r="B667" s="652"/>
      <c r="C667" s="491">
        <v>2.76</v>
      </c>
      <c r="D667" s="257"/>
      <c r="E667" s="257">
        <f t="shared" si="75"/>
        <v>-2.76</v>
      </c>
      <c r="F667" s="256">
        <f>SUM($E$2:E667)/SUM($C$2:C667)</f>
        <v>-1.560083674903657E-2</v>
      </c>
      <c r="G667" s="257">
        <f t="shared" si="76"/>
        <v>-33.075490000000066</v>
      </c>
      <c r="H667" s="492" t="s">
        <v>47</v>
      </c>
      <c r="I667" s="2"/>
      <c r="J667" s="2"/>
      <c r="K667" s="2"/>
      <c r="L667" s="2"/>
      <c r="O667" s="58"/>
      <c r="P667" s="58"/>
    </row>
    <row r="668" spans="2:16">
      <c r="B668" s="652"/>
      <c r="C668" s="484">
        <v>2.76</v>
      </c>
      <c r="D668" s="164"/>
      <c r="E668" s="164">
        <f t="shared" si="75"/>
        <v>-2.76</v>
      </c>
      <c r="F668" s="197">
        <f>SUM($E$2:E668)/SUM($C$2:C668)</f>
        <v>-1.6880680399647602E-2</v>
      </c>
      <c r="G668" s="164">
        <f t="shared" si="76"/>
        <v>-35.835490000000064</v>
      </c>
      <c r="H668" s="485" t="s">
        <v>16</v>
      </c>
      <c r="I668" s="2"/>
      <c r="J668" s="2"/>
      <c r="K668" s="2"/>
      <c r="L668" s="2"/>
      <c r="O668" s="58"/>
      <c r="P668" s="58"/>
    </row>
    <row r="669" spans="2:16">
      <c r="B669" s="652"/>
      <c r="C669" s="484">
        <v>2.76</v>
      </c>
      <c r="D669" s="164">
        <v>1</v>
      </c>
      <c r="E669" s="164">
        <f t="shared" si="75"/>
        <v>0</v>
      </c>
      <c r="F669" s="197">
        <f>SUM($E$2:E669)/SUM($C$2:C669)</f>
        <v>-1.6858761872950562E-2</v>
      </c>
      <c r="G669" s="164">
        <f t="shared" si="76"/>
        <v>-35.835490000000064</v>
      </c>
      <c r="H669" s="485" t="s">
        <v>29</v>
      </c>
      <c r="I669" s="2"/>
      <c r="J669" s="2"/>
      <c r="K669" s="2"/>
      <c r="L669" s="2"/>
      <c r="O669" s="58"/>
      <c r="P669" s="58"/>
    </row>
    <row r="670" spans="2:16">
      <c r="B670" s="652"/>
      <c r="C670" s="484">
        <v>2.76</v>
      </c>
      <c r="D670" s="164"/>
      <c r="E670" s="164">
        <f t="shared" si="75"/>
        <v>-2.76</v>
      </c>
      <c r="F670" s="197">
        <f>SUM($E$2:E670)/SUM($C$2:C670)</f>
        <v>-1.8133655016232871E-2</v>
      </c>
      <c r="G670" s="164">
        <f t="shared" si="76"/>
        <v>-38.595490000000062</v>
      </c>
      <c r="H670" s="485" t="s">
        <v>12</v>
      </c>
      <c r="I670" s="2"/>
      <c r="J670" s="2"/>
      <c r="K670" s="2"/>
      <c r="L670" s="2"/>
      <c r="O670" s="58"/>
      <c r="P670" s="58"/>
    </row>
    <row r="671" spans="2:16">
      <c r="B671" s="652"/>
      <c r="C671" s="484">
        <v>2.76</v>
      </c>
      <c r="D671" s="164"/>
      <c r="E671" s="164">
        <f t="shared" si="75"/>
        <v>-2.76</v>
      </c>
      <c r="F671" s="197">
        <f>SUM($E$2:E671)/SUM($C$2:C671)</f>
        <v>-1.9405245993946867E-2</v>
      </c>
      <c r="G671" s="164">
        <f t="shared" si="76"/>
        <v>-41.35549000000006</v>
      </c>
      <c r="H671" s="485" t="s">
        <v>17</v>
      </c>
      <c r="I671" s="2"/>
      <c r="J671" s="2"/>
      <c r="K671" s="2"/>
      <c r="L671" s="2"/>
      <c r="O671" s="58"/>
      <c r="P671" s="58"/>
    </row>
    <row r="672" spans="2:16">
      <c r="B672" s="652"/>
      <c r="C672" s="484">
        <v>2.76</v>
      </c>
      <c r="D672" s="164"/>
      <c r="E672" s="164">
        <f t="shared" si="75"/>
        <v>-2.76</v>
      </c>
      <c r="F672" s="197">
        <f>SUM($E$2:E672)/SUM($C$2:C672)</f>
        <v>-2.0673547619159124E-2</v>
      </c>
      <c r="G672" s="164">
        <f t="shared" si="76"/>
        <v>-44.115490000000058</v>
      </c>
      <c r="H672" s="485" t="s">
        <v>27</v>
      </c>
      <c r="I672" s="2"/>
      <c r="J672" s="2"/>
      <c r="K672" s="2"/>
      <c r="L672" s="2"/>
      <c r="O672" s="58"/>
      <c r="P672" s="58"/>
    </row>
    <row r="673" spans="1:16">
      <c r="A673" s="512"/>
      <c r="B673" s="652"/>
      <c r="C673" s="491">
        <v>2.76</v>
      </c>
      <c r="D673" s="257">
        <v>2</v>
      </c>
      <c r="E673" s="257">
        <f t="shared" si="75"/>
        <v>2.76</v>
      </c>
      <c r="F673" s="256">
        <f>SUM($E$2:E673)/SUM($C$2:C673)</f>
        <v>-1.935511333055636E-2</v>
      </c>
      <c r="G673" s="257">
        <f t="shared" si="76"/>
        <v>-41.35549000000006</v>
      </c>
      <c r="H673" s="492" t="s">
        <v>18</v>
      </c>
      <c r="I673" s="2"/>
      <c r="J673" s="2"/>
      <c r="K673" s="2"/>
      <c r="L673" s="2"/>
      <c r="O673" s="58"/>
      <c r="P673" s="58"/>
    </row>
    <row r="674" spans="1:16">
      <c r="B674" s="652"/>
      <c r="C674" s="484">
        <v>2.76</v>
      </c>
      <c r="D674" s="164">
        <v>1.9650000000000001</v>
      </c>
      <c r="E674" s="164">
        <f t="shared" si="75"/>
        <v>2.6634000000000002</v>
      </c>
      <c r="F674" s="197">
        <f>SUM($E$2:E674)/SUM($C$2:C674)</f>
        <v>-1.80852329826168E-2</v>
      </c>
      <c r="G674" s="164">
        <f t="shared" si="76"/>
        <v>-38.692090000000057</v>
      </c>
      <c r="H674" s="485" t="s">
        <v>261</v>
      </c>
      <c r="I674" s="2"/>
      <c r="J674" s="2"/>
      <c r="K674" s="2"/>
      <c r="L674" s="2"/>
      <c r="O674" s="58"/>
      <c r="P674" s="58"/>
    </row>
    <row r="675" spans="1:16">
      <c r="B675" s="652"/>
      <c r="C675" s="484">
        <v>2.76</v>
      </c>
      <c r="D675" s="164">
        <v>1.99</v>
      </c>
      <c r="E675" s="164">
        <f t="shared" si="75"/>
        <v>2.7324000000000002</v>
      </c>
      <c r="F675" s="197">
        <f>SUM($E$2:E675)/SUM($C$2:C675)</f>
        <v>-1.6786414837152576E-2</v>
      </c>
      <c r="G675" s="164">
        <f t="shared" si="76"/>
        <v>-35.959690000000059</v>
      </c>
      <c r="H675" s="485" t="s">
        <v>196</v>
      </c>
      <c r="I675" s="2"/>
      <c r="J675" s="2"/>
      <c r="K675" s="2"/>
      <c r="L675" s="2"/>
      <c r="O675" s="58"/>
      <c r="P675" s="58"/>
    </row>
    <row r="676" spans="1:16">
      <c r="B676" s="652"/>
      <c r="C676" s="484">
        <v>2.76</v>
      </c>
      <c r="D676" s="164"/>
      <c r="E676" s="164">
        <f t="shared" si="75"/>
        <v>-2.76</v>
      </c>
      <c r="F676" s="197">
        <f>SUM($E$2:E676)/SUM($C$2:C676)</f>
        <v>-1.8051558311382481E-2</v>
      </c>
      <c r="G676" s="164">
        <f t="shared" si="76"/>
        <v>-38.719690000000057</v>
      </c>
      <c r="H676" s="485" t="s">
        <v>262</v>
      </c>
      <c r="I676" s="2"/>
      <c r="J676" s="2"/>
      <c r="K676" s="2"/>
      <c r="L676" s="2"/>
      <c r="O676" s="58"/>
      <c r="P676" s="58"/>
    </row>
    <row r="677" spans="1:16">
      <c r="B677" s="652"/>
      <c r="C677" s="491">
        <v>2.76</v>
      </c>
      <c r="D677" s="257"/>
      <c r="E677" s="257">
        <f t="shared" si="75"/>
        <v>-2.76</v>
      </c>
      <c r="F677" s="256">
        <f>SUM($E$2:E677)/SUM($C$2:C677)</f>
        <v>-1.9313450139916394E-2</v>
      </c>
      <c r="G677" s="257">
        <f t="shared" si="76"/>
        <v>-41.479690000000055</v>
      </c>
      <c r="H677" s="492" t="s">
        <v>263</v>
      </c>
      <c r="I677" s="2">
        <f>SUM(E664:E677)</f>
        <v>-3.5741999999999994</v>
      </c>
      <c r="L677" s="2">
        <f>I677/C677</f>
        <v>-1.2949999999999999</v>
      </c>
      <c r="O677" s="58"/>
      <c r="P677" s="58"/>
    </row>
    <row r="678" spans="1:16">
      <c r="B678" s="650">
        <v>46026</v>
      </c>
      <c r="C678" s="484">
        <v>2.74</v>
      </c>
      <c r="D678" s="164"/>
      <c r="E678" s="164">
        <f t="shared" ref="E678:E691" si="77">(C678*D678)-C678</f>
        <v>-2.74</v>
      </c>
      <c r="F678" s="197">
        <f>SUM($E$2:E678)/SUM($C$2:C678)</f>
        <v>-2.0562993791996942E-2</v>
      </c>
      <c r="G678" s="164">
        <f t="shared" ref="G678:G691" si="78">G677+E678</f>
        <v>-44.219690000000057</v>
      </c>
      <c r="H678" s="485" t="s">
        <v>97</v>
      </c>
      <c r="I678" s="2"/>
      <c r="J678" s="2"/>
      <c r="K678" s="2"/>
      <c r="L678" s="2"/>
      <c r="O678" s="58"/>
      <c r="P678" s="58"/>
    </row>
    <row r="679" spans="1:16">
      <c r="B679" s="652"/>
      <c r="C679" s="484">
        <v>2.74</v>
      </c>
      <c r="D679" s="164">
        <v>2</v>
      </c>
      <c r="E679" s="164">
        <f t="shared" si="77"/>
        <v>2.74</v>
      </c>
      <c r="F679" s="197">
        <f>SUM($E$2:E679)/SUM($C$2:C679)</f>
        <v>-1.9264296230244355E-2</v>
      </c>
      <c r="G679" s="164">
        <f t="shared" si="78"/>
        <v>-41.479690000000055</v>
      </c>
      <c r="H679" s="485" t="s">
        <v>60</v>
      </c>
      <c r="I679" s="2"/>
      <c r="J679" s="2"/>
      <c r="K679" s="2"/>
      <c r="L679" s="2"/>
      <c r="O679" s="58"/>
      <c r="P679" s="58"/>
    </row>
    <row r="680" spans="1:16">
      <c r="B680" s="652"/>
      <c r="C680" s="484">
        <v>2.74</v>
      </c>
      <c r="D680" s="164">
        <v>1.9</v>
      </c>
      <c r="E680" s="164">
        <f t="shared" si="77"/>
        <v>2.4660000000000002</v>
      </c>
      <c r="F680" s="197">
        <f>SUM($E$2:E680)/SUM($C$2:C680)</f>
        <v>-1.8095991057223499E-2</v>
      </c>
      <c r="G680" s="164">
        <f t="shared" si="78"/>
        <v>-39.013690000000054</v>
      </c>
      <c r="H680" s="485" t="s">
        <v>59</v>
      </c>
      <c r="I680" s="2"/>
      <c r="J680" s="2"/>
      <c r="K680" s="2"/>
      <c r="L680" s="2"/>
      <c r="O680" s="58"/>
      <c r="P680" s="58"/>
    </row>
    <row r="681" spans="1:16">
      <c r="B681" s="652"/>
      <c r="C681" s="491">
        <v>2.74</v>
      </c>
      <c r="D681" s="257"/>
      <c r="E681" s="257">
        <f t="shared" si="77"/>
        <v>-2.74</v>
      </c>
      <c r="F681" s="256">
        <f>SUM($E$2:E681)/SUM($C$2:C681)</f>
        <v>-1.9342321892646792E-2</v>
      </c>
      <c r="G681" s="257">
        <f t="shared" si="78"/>
        <v>-41.753690000000056</v>
      </c>
      <c r="H681" s="492" t="s">
        <v>34</v>
      </c>
      <c r="I681" s="2"/>
      <c r="J681" s="2"/>
      <c r="K681" s="2"/>
      <c r="L681" s="2"/>
      <c r="O681" s="58"/>
      <c r="P681" s="58"/>
    </row>
    <row r="682" spans="1:16">
      <c r="B682" s="652"/>
      <c r="C682" s="484">
        <v>2.74</v>
      </c>
      <c r="D682" s="164">
        <v>2.1</v>
      </c>
      <c r="E682" s="164">
        <f t="shared" si="77"/>
        <v>3.0140000000000002</v>
      </c>
      <c r="F682" s="197">
        <f>SUM($E$2:E682)/SUM($C$2:C682)</f>
        <v>-1.7923341707496435E-2</v>
      </c>
      <c r="G682" s="164">
        <f t="shared" si="78"/>
        <v>-38.739690000000053</v>
      </c>
      <c r="H682" s="485" t="s">
        <v>64</v>
      </c>
      <c r="I682" s="2"/>
      <c r="J682" s="2"/>
      <c r="K682" s="2"/>
      <c r="L682" s="2"/>
      <c r="O682" s="58"/>
      <c r="P682" s="58"/>
    </row>
    <row r="683" spans="1:16">
      <c r="B683" s="652"/>
      <c r="C683" s="484">
        <v>2.74</v>
      </c>
      <c r="D683" s="164"/>
      <c r="E683" s="164">
        <f t="shared" si="77"/>
        <v>-2.74</v>
      </c>
      <c r="F683" s="197">
        <f>SUM($E$2:E683)/SUM($C$2:C683)</f>
        <v>-1.9166735207818249E-2</v>
      </c>
      <c r="G683" s="164">
        <f t="shared" si="78"/>
        <v>-41.479690000000055</v>
      </c>
      <c r="H683" s="485" t="s">
        <v>16</v>
      </c>
      <c r="I683" s="2"/>
      <c r="J683" s="2"/>
      <c r="K683" s="2"/>
      <c r="L683" s="2"/>
      <c r="O683" s="58"/>
      <c r="P683" s="58"/>
    </row>
    <row r="684" spans="1:16">
      <c r="B684" s="652"/>
      <c r="C684" s="484">
        <v>2.74</v>
      </c>
      <c r="D684" s="164">
        <v>1.99</v>
      </c>
      <c r="E684" s="164">
        <f t="shared" si="77"/>
        <v>2.7126000000000001</v>
      </c>
      <c r="F684" s="197">
        <f>SUM($E$2:E684)/SUM($C$2:C684)</f>
        <v>-1.7890658962845311E-2</v>
      </c>
      <c r="G684" s="164">
        <f t="shared" si="78"/>
        <v>-38.767090000000053</v>
      </c>
      <c r="H684" s="485" t="s">
        <v>11</v>
      </c>
      <c r="I684" s="2"/>
      <c r="J684" s="2"/>
      <c r="K684" s="2"/>
      <c r="L684" s="2"/>
      <c r="O684" s="58"/>
      <c r="P684" s="58"/>
    </row>
    <row r="685" spans="1:16">
      <c r="B685" s="652"/>
      <c r="C685" s="484">
        <v>2.74</v>
      </c>
      <c r="D685" s="530"/>
      <c r="E685" s="164">
        <f t="shared" si="77"/>
        <v>-2.74</v>
      </c>
      <c r="F685" s="197">
        <f>SUM($E$2:E685)/SUM($C$2:C685)</f>
        <v>-1.9130953204002467E-2</v>
      </c>
      <c r="G685" s="164">
        <f t="shared" si="78"/>
        <v>-41.507090000000055</v>
      </c>
      <c r="H685" s="485" t="s">
        <v>36</v>
      </c>
      <c r="I685" s="2"/>
      <c r="J685" s="2"/>
      <c r="K685" s="2"/>
      <c r="L685" s="2"/>
      <c r="O685" s="58"/>
      <c r="P685" s="58"/>
    </row>
    <row r="686" spans="1:16">
      <c r="B686" s="652"/>
      <c r="C686" s="491">
        <v>2.74</v>
      </c>
      <c r="D686" s="257"/>
      <c r="E686" s="257">
        <f t="shared" si="77"/>
        <v>-2.74</v>
      </c>
      <c r="F686" s="256">
        <f>SUM($E$2:E686)/SUM($C$2:C686)</f>
        <v>-2.0368118690646558E-2</v>
      </c>
      <c r="G686" s="257">
        <f t="shared" si="78"/>
        <v>-44.247090000000057</v>
      </c>
      <c r="H686" s="492" t="s">
        <v>38</v>
      </c>
      <c r="I686" s="2"/>
      <c r="J686" s="2"/>
      <c r="K686" s="2"/>
      <c r="L686" s="2"/>
      <c r="O686" s="58"/>
      <c r="P686" s="58"/>
    </row>
    <row r="687" spans="1:16">
      <c r="B687" s="652"/>
      <c r="C687" s="484">
        <v>2.74</v>
      </c>
      <c r="D687" s="164"/>
      <c r="E687" s="164">
        <f t="shared" si="77"/>
        <v>-2.74</v>
      </c>
      <c r="F687" s="197">
        <f>SUM($E$2:E687)/SUM($C$2:C687)</f>
        <v>-2.1602167246713894E-2</v>
      </c>
      <c r="G687" s="164">
        <f t="shared" si="78"/>
        <v>-46.987090000000059</v>
      </c>
      <c r="H687" s="485" t="s">
        <v>264</v>
      </c>
      <c r="I687" s="2"/>
      <c r="J687" s="2"/>
      <c r="K687" s="2"/>
      <c r="L687" s="2"/>
      <c r="O687" s="58"/>
      <c r="P687" s="58"/>
    </row>
    <row r="688" spans="1:16">
      <c r="B688" s="652"/>
      <c r="C688" s="484">
        <v>2.74</v>
      </c>
      <c r="D688" s="164">
        <v>1.99</v>
      </c>
      <c r="E688" s="164">
        <f t="shared" si="77"/>
        <v>2.7126000000000001</v>
      </c>
      <c r="F688" s="197">
        <f>SUM($E$2:E688)/SUM($C$2:C688)</f>
        <v>-2.0329448768280585E-2</v>
      </c>
      <c r="G688" s="164">
        <f t="shared" si="78"/>
        <v>-44.274490000000057</v>
      </c>
      <c r="H688" s="485" t="s">
        <v>265</v>
      </c>
      <c r="I688" s="2"/>
      <c r="J688" s="2"/>
      <c r="K688" s="2"/>
      <c r="L688" s="2"/>
      <c r="O688" s="58"/>
      <c r="P688" s="58"/>
    </row>
    <row r="689" spans="2:16">
      <c r="B689" s="652"/>
      <c r="C689" s="484">
        <v>2.74</v>
      </c>
      <c r="D689" s="164">
        <v>1.98</v>
      </c>
      <c r="E689" s="164">
        <f t="shared" si="77"/>
        <v>2.6852</v>
      </c>
      <c r="F689" s="197">
        <f>SUM($E$2:E689)/SUM($C$2:C689)</f>
        <v>-1.9072494141493763E-2</v>
      </c>
      <c r="G689" s="164">
        <f t="shared" si="78"/>
        <v>-41.589290000000055</v>
      </c>
      <c r="H689" s="485" t="s">
        <v>266</v>
      </c>
      <c r="I689" s="2"/>
      <c r="J689" s="2"/>
      <c r="K689" s="2"/>
      <c r="L689" s="2"/>
      <c r="O689" s="58"/>
      <c r="P689" s="58"/>
    </row>
    <row r="690" spans="2:16">
      <c r="B690" s="652"/>
      <c r="C690" s="484">
        <v>2.74</v>
      </c>
      <c r="D690" s="164">
        <v>1.97</v>
      </c>
      <c r="E690" s="164">
        <f t="shared" si="77"/>
        <v>2.6577999999999999</v>
      </c>
      <c r="F690" s="197">
        <f>SUM($E$2:E690)/SUM($C$2:C690)</f>
        <v>-1.7831244017166393E-2</v>
      </c>
      <c r="G690" s="164">
        <f t="shared" si="78"/>
        <v>-38.931490000000053</v>
      </c>
      <c r="H690" s="485" t="s">
        <v>267</v>
      </c>
      <c r="I690" s="2"/>
      <c r="J690" s="2"/>
      <c r="K690" s="2"/>
      <c r="L690" s="2"/>
      <c r="O690" s="58"/>
      <c r="P690" s="58"/>
    </row>
    <row r="691" spans="2:16">
      <c r="B691" s="652"/>
      <c r="C691" s="491">
        <v>2.74</v>
      </c>
      <c r="D691" s="257"/>
      <c r="E691" s="257">
        <f t="shared" si="77"/>
        <v>-2.74</v>
      </c>
      <c r="F691" s="256">
        <f>SUM($E$2:E691)/SUM($C$2:C691)</f>
        <v>-1.9062285288211217E-2</v>
      </c>
      <c r="G691" s="257">
        <f t="shared" si="78"/>
        <v>-41.671490000000055</v>
      </c>
      <c r="H691" s="492" t="s">
        <v>268</v>
      </c>
      <c r="I691" s="490">
        <f>SUM(E678:E691)</f>
        <v>-0.19180000000000064</v>
      </c>
      <c r="J691" s="490">
        <f>SUM(E595:E691)</f>
        <v>18.965360000000018</v>
      </c>
      <c r="L691" s="2">
        <f>I691/C691</f>
        <v>-7.0000000000000229E-2</v>
      </c>
      <c r="O691" s="58"/>
      <c r="P691" s="58"/>
    </row>
    <row r="692" spans="2:16">
      <c r="B692" s="650">
        <v>46027</v>
      </c>
      <c r="C692" s="484">
        <v>2.74</v>
      </c>
      <c r="D692" s="164"/>
      <c r="E692" s="164">
        <f t="shared" ref="E692:E701" si="79">(C692*D692)-C692</f>
        <v>-2.74</v>
      </c>
      <c r="F692" s="197">
        <f>SUM($E$2:E692)/SUM($C$2:C692)</f>
        <v>-2.0290244470739759E-2</v>
      </c>
      <c r="G692" s="164">
        <f t="shared" ref="G692:G694" si="80">G691+E692</f>
        <v>-44.411490000000057</v>
      </c>
      <c r="H692" s="485" t="s">
        <v>29</v>
      </c>
      <c r="I692" s="2"/>
      <c r="J692" s="2"/>
      <c r="K692" s="2"/>
      <c r="L692" s="2"/>
      <c r="O692" s="58"/>
      <c r="P692" s="58"/>
    </row>
    <row r="693" spans="2:16">
      <c r="B693" s="652"/>
      <c r="C693" s="484">
        <v>2.74</v>
      </c>
      <c r="D693" s="164"/>
      <c r="E693" s="164">
        <f t="shared" si="79"/>
        <v>-2.74</v>
      </c>
      <c r="F693" s="197">
        <f>SUM($E$2:E693)/SUM($C$2:C693)</f>
        <v>-2.1515133124957172E-2</v>
      </c>
      <c r="G693" s="164">
        <f t="shared" si="80"/>
        <v>-47.151490000000059</v>
      </c>
      <c r="H693" s="485" t="s">
        <v>36</v>
      </c>
      <c r="I693" s="2"/>
      <c r="J693" s="2"/>
      <c r="K693" s="2"/>
      <c r="L693" s="2"/>
      <c r="O693" s="58"/>
      <c r="P693" s="58"/>
    </row>
    <row r="694" spans="2:16">
      <c r="B694" s="652"/>
      <c r="C694" s="491">
        <v>2.74</v>
      </c>
      <c r="D694" s="257">
        <v>1.9</v>
      </c>
      <c r="E694" s="257">
        <f t="shared" si="79"/>
        <v>2.4660000000000002</v>
      </c>
      <c r="F694" s="256">
        <f>SUM($E$2:E694)/SUM($C$2:C694)</f>
        <v>-2.0364441345492118E-2</v>
      </c>
      <c r="G694" s="257">
        <f t="shared" si="80"/>
        <v>-44.685490000000058</v>
      </c>
      <c r="H694" s="492" t="s">
        <v>15</v>
      </c>
      <c r="I694" s="2"/>
      <c r="J694" s="2"/>
      <c r="K694" s="2"/>
      <c r="L694" s="2"/>
      <c r="O694" s="58"/>
      <c r="P694" s="58"/>
    </row>
    <row r="695" spans="2:16">
      <c r="B695" s="652"/>
      <c r="C695" s="484">
        <v>2.74</v>
      </c>
      <c r="D695" s="164">
        <v>2.23</v>
      </c>
      <c r="E695" s="164">
        <f t="shared" si="79"/>
        <v>3.3702000000000005</v>
      </c>
      <c r="F695" s="197">
        <f>SUM($E$2:E695)/SUM($C$2:C695)</f>
        <v>-1.8805064109274759E-2</v>
      </c>
      <c r="G695" s="164">
        <f t="shared" ref="G695:G701" si="81">G694+E695</f>
        <v>-41.315290000000061</v>
      </c>
      <c r="H695" s="485" t="s">
        <v>18</v>
      </c>
      <c r="I695" s="2"/>
      <c r="J695" s="2"/>
      <c r="K695" s="2"/>
      <c r="L695" s="2"/>
      <c r="O695" s="58"/>
      <c r="P695" s="58"/>
    </row>
    <row r="696" spans="2:16">
      <c r="B696" s="652"/>
      <c r="C696" s="491">
        <v>2.74</v>
      </c>
      <c r="D696" s="257"/>
      <c r="E696" s="257">
        <f t="shared" si="79"/>
        <v>-2.74</v>
      </c>
      <c r="F696" s="256">
        <f>SUM($E$2:E696)/SUM($C$2:C696)</f>
        <v>-2.0027225573582656E-2</v>
      </c>
      <c r="G696" s="257">
        <f t="shared" si="81"/>
        <v>-44.055290000000063</v>
      </c>
      <c r="H696" s="492" t="s">
        <v>47</v>
      </c>
      <c r="I696" s="2"/>
      <c r="J696" s="2"/>
      <c r="K696" s="2"/>
      <c r="L696" s="2"/>
      <c r="O696" s="58"/>
      <c r="P696" s="58"/>
    </row>
    <row r="697" spans="2:16">
      <c r="B697" s="652"/>
      <c r="C697" s="484">
        <v>2.74</v>
      </c>
      <c r="D697" s="164"/>
      <c r="E697" s="164">
        <f t="shared" si="79"/>
        <v>-2.74</v>
      </c>
      <c r="F697" s="197">
        <f>SUM($E$2:E697)/SUM($C$2:C697)</f>
        <v>-2.1246346214092066E-2</v>
      </c>
      <c r="G697" s="164">
        <f t="shared" si="81"/>
        <v>-46.795290000000065</v>
      </c>
      <c r="H697" s="485" t="s">
        <v>269</v>
      </c>
      <c r="I697" s="2"/>
      <c r="J697" s="2"/>
      <c r="K697" s="2"/>
      <c r="L697" s="2"/>
      <c r="O697" s="58"/>
      <c r="P697" s="58"/>
    </row>
    <row r="698" spans="2:16">
      <c r="B698" s="652"/>
      <c r="C698" s="484">
        <v>2.74</v>
      </c>
      <c r="D698" s="164"/>
      <c r="E698" s="164">
        <f t="shared" si="79"/>
        <v>-2.74</v>
      </c>
      <c r="F698" s="197">
        <f>SUM($E$2:E698)/SUM($C$2:C698)</f>
        <v>-2.2462437365378035E-2</v>
      </c>
      <c r="G698" s="164">
        <f t="shared" si="81"/>
        <v>-49.535290000000067</v>
      </c>
      <c r="H698" s="485" t="s">
        <v>153</v>
      </c>
      <c r="I698" s="2"/>
      <c r="J698" s="2"/>
      <c r="K698" s="2"/>
      <c r="L698" s="2"/>
      <c r="O698" s="58"/>
      <c r="P698" s="58"/>
    </row>
    <row r="699" spans="2:16">
      <c r="B699" s="652"/>
      <c r="C699" s="484">
        <v>2.74</v>
      </c>
      <c r="D699" s="164"/>
      <c r="E699" s="164">
        <f t="shared" si="79"/>
        <v>-2.74</v>
      </c>
      <c r="F699" s="197">
        <f>SUM($E$2:E699)/SUM($C$2:C699)</f>
        <v>-2.3675510305753156E-2</v>
      </c>
      <c r="G699" s="164">
        <f t="shared" si="81"/>
        <v>-52.275290000000069</v>
      </c>
      <c r="H699" s="485" t="s">
        <v>270</v>
      </c>
      <c r="I699" s="2"/>
      <c r="J699" s="2"/>
      <c r="K699" s="2"/>
      <c r="L699" s="2"/>
      <c r="O699" s="58"/>
      <c r="P699" s="58"/>
    </row>
    <row r="700" spans="2:16">
      <c r="B700" s="652"/>
      <c r="C700" s="484">
        <v>2.74</v>
      </c>
      <c r="D700" s="164">
        <v>1.98</v>
      </c>
      <c r="E700" s="164">
        <f t="shared" si="79"/>
        <v>2.6852</v>
      </c>
      <c r="F700" s="197">
        <f>SUM($E$2:E700)/SUM($C$2:C700)</f>
        <v>-2.2431545236188916E-2</v>
      </c>
      <c r="G700" s="164">
        <f t="shared" si="81"/>
        <v>-49.590090000000068</v>
      </c>
      <c r="H700" s="485" t="s">
        <v>271</v>
      </c>
      <c r="I700" s="2"/>
      <c r="J700" s="2"/>
      <c r="K700" s="2"/>
      <c r="L700" s="2"/>
      <c r="O700" s="58"/>
      <c r="P700" s="58"/>
    </row>
    <row r="701" spans="2:16">
      <c r="B701" s="652"/>
      <c r="C701" s="491">
        <v>2.74</v>
      </c>
      <c r="D701" s="257"/>
      <c r="E701" s="257">
        <f t="shared" si="79"/>
        <v>-2.74</v>
      </c>
      <c r="F701" s="256">
        <f>SUM($E$2:E701)/SUM($C$2:C701)</f>
        <v>-2.3641653150934923E-2</v>
      </c>
      <c r="G701" s="257">
        <f t="shared" si="81"/>
        <v>-52.330090000000069</v>
      </c>
      <c r="H701" s="492" t="s">
        <v>272</v>
      </c>
      <c r="I701" s="2">
        <f>SUM(E692:E701)</f>
        <v>-10.6586</v>
      </c>
      <c r="L701" s="2">
        <f>I701/C701</f>
        <v>-3.8899999999999997</v>
      </c>
      <c r="O701" s="58"/>
      <c r="P701" s="58"/>
    </row>
    <row r="702" spans="2:16">
      <c r="B702" s="650">
        <v>46028</v>
      </c>
      <c r="C702" s="491">
        <v>3.6</v>
      </c>
      <c r="D702" s="257"/>
      <c r="E702" s="257">
        <f t="shared" ref="E702:E708" si="82">(C702*D702)-C702</f>
        <v>-3.6</v>
      </c>
      <c r="F702" s="256">
        <f>SUM($E$2:E702)/SUM($C$2:C702)</f>
        <v>-2.5227029367588718E-2</v>
      </c>
      <c r="G702" s="257">
        <f t="shared" ref="G702:G708" si="83">G701+E702</f>
        <v>-55.930090000000071</v>
      </c>
      <c r="H702" s="492" t="s">
        <v>46</v>
      </c>
      <c r="I702" s="2"/>
      <c r="J702" s="2"/>
      <c r="K702" s="2"/>
      <c r="L702" s="2"/>
      <c r="O702" s="58"/>
      <c r="P702" s="58"/>
    </row>
    <row r="703" spans="2:16">
      <c r="B703" s="652"/>
      <c r="C703" s="484">
        <v>3.6</v>
      </c>
      <c r="D703" s="164">
        <v>3.46</v>
      </c>
      <c r="E703" s="164">
        <f t="shared" si="82"/>
        <v>8.8559999999999999</v>
      </c>
      <c r="F703" s="197">
        <f>SUM($E$2:E703)/SUM($C$2:C703)</f>
        <v>-2.1198147405963038E-2</v>
      </c>
      <c r="G703" s="164">
        <f t="shared" si="83"/>
        <v>-47.074090000000069</v>
      </c>
      <c r="H703" s="485" t="s">
        <v>11</v>
      </c>
      <c r="I703" s="2"/>
      <c r="J703" s="2"/>
      <c r="K703" s="2"/>
      <c r="L703" s="2"/>
      <c r="O703" s="58"/>
      <c r="P703" s="58"/>
    </row>
    <row r="704" spans="2:16">
      <c r="B704" s="652"/>
      <c r="C704" s="484">
        <v>3.6</v>
      </c>
      <c r="D704" s="164">
        <v>2.835</v>
      </c>
      <c r="E704" s="164">
        <f t="shared" si="82"/>
        <v>6.6059999999999999</v>
      </c>
      <c r="F704" s="197">
        <f>SUM($E$2:E704)/SUM($C$2:C704)</f>
        <v>-1.819387484433093E-2</v>
      </c>
      <c r="G704" s="164">
        <f t="shared" si="83"/>
        <v>-40.468090000000068</v>
      </c>
      <c r="H704" s="485" t="s">
        <v>26</v>
      </c>
      <c r="I704" s="2"/>
      <c r="J704" s="2"/>
      <c r="K704" s="2"/>
      <c r="L704" s="2"/>
      <c r="O704" s="58"/>
      <c r="P704" s="58"/>
    </row>
    <row r="705" spans="2:16">
      <c r="B705" s="652"/>
      <c r="C705" s="484">
        <v>3.6</v>
      </c>
      <c r="D705" s="164"/>
      <c r="E705" s="164">
        <f t="shared" si="82"/>
        <v>-3.6</v>
      </c>
      <c r="F705" s="197">
        <f>SUM($E$2:E705)/SUM($C$2:C705)</f>
        <v>-1.9780368692966805E-2</v>
      </c>
      <c r="G705" s="164">
        <f t="shared" si="83"/>
        <v>-44.068090000000069</v>
      </c>
      <c r="H705" s="485" t="s">
        <v>13</v>
      </c>
      <c r="I705" s="2"/>
      <c r="J705" s="2"/>
      <c r="K705" s="2"/>
      <c r="L705" s="2"/>
      <c r="O705" s="58"/>
      <c r="P705" s="58"/>
    </row>
    <row r="706" spans="2:16">
      <c r="B706" s="652"/>
      <c r="C706" s="491">
        <v>3.6</v>
      </c>
      <c r="D706" s="257"/>
      <c r="E706" s="257">
        <f t="shared" si="82"/>
        <v>-3.6</v>
      </c>
      <c r="F706" s="256">
        <f>SUM($E$2:E706)/SUM($C$2:C706)</f>
        <v>-2.1361743603991963E-2</v>
      </c>
      <c r="G706" s="257">
        <f t="shared" si="83"/>
        <v>-47.66809000000007</v>
      </c>
      <c r="H706" s="492" t="s">
        <v>38</v>
      </c>
      <c r="I706" s="2"/>
      <c r="J706" s="2"/>
      <c r="K706" s="2"/>
      <c r="L706" s="2"/>
      <c r="O706" s="58"/>
      <c r="P706" s="58"/>
    </row>
    <row r="707" spans="2:16">
      <c r="B707" s="652"/>
      <c r="C707" s="484">
        <v>3.6</v>
      </c>
      <c r="D707" s="164"/>
      <c r="E707" s="164">
        <f t="shared" si="82"/>
        <v>-3.6</v>
      </c>
      <c r="F707" s="197">
        <f>SUM($E$2:E707)/SUM($C$2:C707)</f>
        <v>-2.2938024312437615E-2</v>
      </c>
      <c r="G707" s="164">
        <f t="shared" si="83"/>
        <v>-51.268090000000072</v>
      </c>
      <c r="H707" s="485" t="s">
        <v>127</v>
      </c>
      <c r="O707" s="58"/>
      <c r="P707" s="58"/>
    </row>
    <row r="708" spans="2:16">
      <c r="B708" s="652"/>
      <c r="C708" s="491">
        <v>3.6</v>
      </c>
      <c r="D708" s="257"/>
      <c r="E708" s="257">
        <f t="shared" si="82"/>
        <v>-3.6</v>
      </c>
      <c r="F708" s="256">
        <f>SUM($E$2:E708)/SUM($C$2:C708)</f>
        <v>-2.450923539422958E-2</v>
      </c>
      <c r="G708" s="257">
        <f t="shared" si="83"/>
        <v>-54.868090000000073</v>
      </c>
      <c r="H708" s="492" t="s">
        <v>273</v>
      </c>
      <c r="I708" s="2">
        <f>SUM(E702:E708)</f>
        <v>-2.5379999999999994</v>
      </c>
      <c r="L708" s="2">
        <f>I708/C708</f>
        <v>-0.70499999999999985</v>
      </c>
      <c r="O708" s="58"/>
      <c r="P708" s="58"/>
    </row>
    <row r="709" spans="2:16">
      <c r="B709" s="650">
        <v>46029</v>
      </c>
      <c r="C709" s="484">
        <v>1.79</v>
      </c>
      <c r="D709" s="164"/>
      <c r="E709" s="164">
        <f t="shared" ref="E709:E720" si="84">(C709*D709)-C709</f>
        <v>-1.79</v>
      </c>
      <c r="F709" s="197">
        <f>SUM($E$2:E709)/SUM($C$2:C709)</f>
        <v>-2.5288596984547787E-2</v>
      </c>
      <c r="G709" s="164">
        <f t="shared" ref="G709:G720" si="85">G708+E709</f>
        <v>-56.658090000000072</v>
      </c>
      <c r="H709" s="485" t="s">
        <v>25</v>
      </c>
      <c r="I709" s="2"/>
      <c r="J709" s="2"/>
      <c r="K709" s="2"/>
      <c r="L709" s="2"/>
      <c r="O709" s="58"/>
      <c r="P709" s="58"/>
    </row>
    <row r="710" spans="2:16">
      <c r="B710" s="652"/>
      <c r="C710" s="484">
        <v>1.79</v>
      </c>
      <c r="D710" s="164"/>
      <c r="E710" s="164">
        <f t="shared" si="84"/>
        <v>-1.79</v>
      </c>
      <c r="F710" s="197">
        <f>SUM($E$2:E710)/SUM($C$2:C710)</f>
        <v>-2.6066714237930617E-2</v>
      </c>
      <c r="G710" s="164">
        <f t="shared" si="85"/>
        <v>-58.448090000000072</v>
      </c>
      <c r="H710" s="485" t="s">
        <v>35</v>
      </c>
      <c r="I710" s="2"/>
      <c r="J710" s="2"/>
      <c r="K710" s="2"/>
      <c r="L710" s="2"/>
      <c r="O710" s="58"/>
      <c r="P710" s="58"/>
    </row>
    <row r="711" spans="2:16">
      <c r="B711" s="652"/>
      <c r="C711" s="484">
        <v>1.79</v>
      </c>
      <c r="D711" s="164">
        <v>2</v>
      </c>
      <c r="E711" s="164">
        <f t="shared" si="84"/>
        <v>1.79</v>
      </c>
      <c r="F711" s="197">
        <f>SUM($E$2:E711)/SUM($C$2:C711)</f>
        <v>-2.5248253150567699E-2</v>
      </c>
      <c r="G711" s="164">
        <f t="shared" si="85"/>
        <v>-56.658090000000072</v>
      </c>
      <c r="H711" s="485" t="s">
        <v>59</v>
      </c>
      <c r="I711" s="2"/>
      <c r="J711" s="2"/>
      <c r="K711" s="2"/>
      <c r="L711" s="2"/>
      <c r="O711" s="58"/>
      <c r="P711" s="58"/>
    </row>
    <row r="712" spans="2:16">
      <c r="B712" s="652"/>
      <c r="C712" s="484">
        <v>1.79</v>
      </c>
      <c r="D712" s="164"/>
      <c r="E712" s="164">
        <f t="shared" si="84"/>
        <v>-1.79</v>
      </c>
      <c r="F712" s="197">
        <f>SUM($E$2:E712)/SUM($C$2:C712)</f>
        <v>-2.6025162189480026E-2</v>
      </c>
      <c r="G712" s="164">
        <f t="shared" si="85"/>
        <v>-58.448090000000072</v>
      </c>
      <c r="H712" s="485" t="s">
        <v>18</v>
      </c>
      <c r="I712" s="2"/>
      <c r="J712" s="2"/>
      <c r="K712" s="2"/>
      <c r="L712" s="2"/>
      <c r="O712" s="58"/>
      <c r="P712" s="58"/>
    </row>
    <row r="713" spans="2:16">
      <c r="B713" s="652"/>
      <c r="C713" s="484">
        <v>1.79</v>
      </c>
      <c r="D713" s="164">
        <v>3.4249999999999998</v>
      </c>
      <c r="E713" s="164">
        <f t="shared" si="84"/>
        <v>4.3407499999999999</v>
      </c>
      <c r="F713" s="197">
        <f>SUM($E$2:E713)/SUM($C$2:C713)</f>
        <v>-2.4073170731707293E-2</v>
      </c>
      <c r="G713" s="164">
        <f t="shared" si="85"/>
        <v>-54.107340000000072</v>
      </c>
      <c r="H713" s="485" t="s">
        <v>47</v>
      </c>
      <c r="I713" s="2"/>
      <c r="J713" s="2"/>
      <c r="K713" s="2"/>
      <c r="L713" s="2"/>
      <c r="O713" s="58"/>
      <c r="P713" s="58"/>
    </row>
    <row r="714" spans="2:16">
      <c r="B714" s="652"/>
      <c r="C714" s="484">
        <v>1.79</v>
      </c>
      <c r="D714" s="164"/>
      <c r="E714" s="164">
        <f t="shared" si="84"/>
        <v>-1.79</v>
      </c>
      <c r="F714" s="197">
        <f>SUM($E$2:E714)/SUM($C$2:C714)</f>
        <v>-2.4849778386332389E-2</v>
      </c>
      <c r="G714" s="164">
        <f t="shared" si="85"/>
        <v>-55.897340000000071</v>
      </c>
      <c r="H714" s="485" t="s">
        <v>10</v>
      </c>
      <c r="I714" s="2"/>
      <c r="J714" s="2"/>
      <c r="K714" s="2"/>
      <c r="L714" s="2"/>
      <c r="O714" s="58"/>
      <c r="P714" s="58"/>
    </row>
    <row r="715" spans="2:16">
      <c r="B715" s="652"/>
      <c r="C715" s="491">
        <v>1.79</v>
      </c>
      <c r="D715" s="257"/>
      <c r="E715" s="257">
        <f t="shared" si="84"/>
        <v>-1.79</v>
      </c>
      <c r="F715" s="256">
        <f>SUM($E$2:E715)/SUM($C$2:C715)</f>
        <v>-2.5625151030561448E-2</v>
      </c>
      <c r="G715" s="257">
        <f t="shared" si="85"/>
        <v>-57.68734000000007</v>
      </c>
      <c r="H715" s="492" t="s">
        <v>53</v>
      </c>
      <c r="I715" s="2"/>
      <c r="J715" s="2"/>
      <c r="K715" s="2"/>
      <c r="L715" s="2"/>
      <c r="O715" s="58"/>
      <c r="P715" s="58"/>
    </row>
    <row r="716" spans="2:16">
      <c r="B716" s="652"/>
      <c r="C716" s="484">
        <v>1.79</v>
      </c>
      <c r="D716" s="164">
        <v>2.1</v>
      </c>
      <c r="E716" s="164">
        <f t="shared" si="84"/>
        <v>1.9690000000000003</v>
      </c>
      <c r="F716" s="197">
        <f>SUM($E$2:E716)/SUM($C$2:C716)</f>
        <v>-2.4730842125353394E-2</v>
      </c>
      <c r="G716" s="164">
        <f t="shared" si="85"/>
        <v>-55.718340000000069</v>
      </c>
      <c r="H716" s="485" t="s">
        <v>37</v>
      </c>
      <c r="I716" s="2"/>
      <c r="J716" s="2"/>
      <c r="K716" s="2"/>
      <c r="L716" s="2"/>
      <c r="O716" s="58"/>
      <c r="P716" s="58"/>
    </row>
    <row r="717" spans="2:16">
      <c r="B717" s="652"/>
      <c r="C717" s="491">
        <v>1.79</v>
      </c>
      <c r="D717" s="257">
        <v>1.99</v>
      </c>
      <c r="E717" s="257">
        <f t="shared" si="84"/>
        <v>1.7721</v>
      </c>
      <c r="F717" s="256">
        <f>SUM($E$2:E717)/SUM($C$2:C717)</f>
        <v>-2.3925278741163191E-2</v>
      </c>
      <c r="G717" s="257">
        <f t="shared" si="85"/>
        <v>-53.946240000000067</v>
      </c>
      <c r="H717" s="492" t="s">
        <v>52</v>
      </c>
      <c r="I717" s="2"/>
      <c r="J717" s="2"/>
      <c r="K717" s="2"/>
      <c r="L717" s="2"/>
      <c r="O717" s="58"/>
      <c r="P717" s="58"/>
    </row>
    <row r="718" spans="2:16">
      <c r="B718" s="652"/>
      <c r="C718" s="484">
        <v>1.79</v>
      </c>
      <c r="D718" s="164"/>
      <c r="E718" s="164">
        <f t="shared" si="84"/>
        <v>-1.79</v>
      </c>
      <c r="F718" s="197">
        <f>SUM($E$2:E718)/SUM($C$2:C718)</f>
        <v>-2.4699539566687467E-2</v>
      </c>
      <c r="G718" s="164">
        <f t="shared" si="85"/>
        <v>-55.736240000000066</v>
      </c>
      <c r="H718" s="485" t="s">
        <v>28</v>
      </c>
      <c r="I718" s="2"/>
      <c r="J718" s="2"/>
      <c r="K718" s="2"/>
      <c r="L718" s="2"/>
      <c r="O718" s="58"/>
      <c r="P718" s="58"/>
    </row>
    <row r="719" spans="2:16">
      <c r="B719" s="652"/>
      <c r="C719" s="484">
        <v>1.79</v>
      </c>
      <c r="D719" s="164"/>
      <c r="E719" s="164">
        <f t="shared" si="84"/>
        <v>-1.79</v>
      </c>
      <c r="F719" s="197">
        <f>SUM($E$2:E719)/SUM($C$2:C719)</f>
        <v>-2.5472573017587954E-2</v>
      </c>
      <c r="G719" s="164">
        <f t="shared" si="85"/>
        <v>-57.526240000000065</v>
      </c>
      <c r="H719" s="485" t="s">
        <v>26</v>
      </c>
      <c r="I719" s="2"/>
      <c r="J719" s="2"/>
      <c r="K719" s="2"/>
      <c r="L719" s="2"/>
      <c r="O719" s="58"/>
      <c r="P719" s="58"/>
    </row>
    <row r="720" spans="2:16">
      <c r="B720" s="651"/>
      <c r="C720" s="491">
        <v>1.79</v>
      </c>
      <c r="D720" s="257">
        <v>1.395</v>
      </c>
      <c r="E720" s="257">
        <f t="shared" si="84"/>
        <v>0.70705000000000018</v>
      </c>
      <c r="F720" s="256">
        <f>SUM($E$2:E720)/SUM($C$2:C720)</f>
        <v>-2.5139565958011607E-2</v>
      </c>
      <c r="G720" s="257">
        <f t="shared" si="85"/>
        <v>-56.819190000000063</v>
      </c>
      <c r="H720" s="492" t="s">
        <v>27</v>
      </c>
      <c r="I720" s="2">
        <f>SUM(E709:E720)</f>
        <v>-1.9510999999999998</v>
      </c>
      <c r="L720" s="2">
        <f>I720/C720</f>
        <v>-1.0899999999999999</v>
      </c>
      <c r="O720" s="58"/>
      <c r="P720" s="58"/>
    </row>
    <row r="721" spans="2:16">
      <c r="B721" s="650">
        <v>46030</v>
      </c>
      <c r="C721" s="491">
        <v>5.36</v>
      </c>
      <c r="D721" s="257"/>
      <c r="E721" s="257">
        <f t="shared" ref="E721:E724" si="86">(C721*D721)-C721</f>
        <v>-5.36</v>
      </c>
      <c r="F721" s="256">
        <f>SUM($E$2:E721)/SUM($C$2:C721)</f>
        <v>-2.7446001121160322E-2</v>
      </c>
      <c r="G721" s="257">
        <f t="shared" ref="G721:G724" si="87">G720+E721</f>
        <v>-62.179190000000062</v>
      </c>
      <c r="H721" s="492" t="s">
        <v>60</v>
      </c>
      <c r="I721" s="2"/>
      <c r="J721" s="2"/>
      <c r="K721" s="2"/>
      <c r="L721" s="2"/>
      <c r="O721" s="58"/>
      <c r="P721" s="58"/>
    </row>
    <row r="722" spans="2:16">
      <c r="B722" s="652"/>
      <c r="C722" s="491">
        <v>5.36</v>
      </c>
      <c r="D722" s="257"/>
      <c r="E722" s="257">
        <f t="shared" si="86"/>
        <v>-5.36</v>
      </c>
      <c r="F722" s="256">
        <f>SUM($E$2:E722)/SUM($C$2:C722)</f>
        <v>-2.9741548393347E-2</v>
      </c>
      <c r="G722" s="257">
        <f t="shared" si="87"/>
        <v>-67.539190000000062</v>
      </c>
      <c r="H722" s="492" t="s">
        <v>104</v>
      </c>
      <c r="I722" s="2"/>
      <c r="J722" s="2"/>
      <c r="K722" s="2"/>
      <c r="L722" s="2"/>
      <c r="O722" s="58"/>
      <c r="P722" s="58"/>
    </row>
    <row r="723" spans="2:16">
      <c r="B723" s="652"/>
      <c r="C723" s="484">
        <v>5.36</v>
      </c>
      <c r="D723" s="164">
        <v>2.57</v>
      </c>
      <c r="E723" s="164">
        <f t="shared" si="86"/>
        <v>8.4151999999999987</v>
      </c>
      <c r="F723" s="197">
        <f>SUM($E$2:E723)/SUM($C$2:C723)</f>
        <v>-2.597452366412881E-2</v>
      </c>
      <c r="G723" s="164">
        <f t="shared" si="87"/>
        <v>-59.123990000000063</v>
      </c>
      <c r="H723" s="485" t="s">
        <v>60</v>
      </c>
      <c r="I723" s="2"/>
      <c r="J723" s="2"/>
      <c r="K723" s="2"/>
      <c r="L723" s="2"/>
      <c r="O723" s="58"/>
      <c r="P723" s="58"/>
    </row>
    <row r="724" spans="2:16">
      <c r="B724" s="652"/>
      <c r="C724" s="491">
        <v>5.36</v>
      </c>
      <c r="D724" s="257">
        <v>2.66</v>
      </c>
      <c r="E724" s="257">
        <f t="shared" si="86"/>
        <v>8.8976000000000006</v>
      </c>
      <c r="F724" s="256">
        <f>SUM($E$2:E724)/SUM($C$2:C724)</f>
        <v>-2.2013766715316924E-2</v>
      </c>
      <c r="G724" s="257">
        <f t="shared" si="87"/>
        <v>-50.226390000000066</v>
      </c>
      <c r="H724" s="492" t="s">
        <v>47</v>
      </c>
      <c r="I724" s="2">
        <f>SUM(E721:E724)</f>
        <v>6.5927999999999987</v>
      </c>
      <c r="L724" s="2">
        <f>I724/C724</f>
        <v>1.2299999999999998</v>
      </c>
      <c r="O724" s="58"/>
      <c r="P724" s="58"/>
    </row>
    <row r="725" spans="2:16">
      <c r="B725" s="650">
        <v>46031</v>
      </c>
      <c r="C725" s="484">
        <v>2.17</v>
      </c>
      <c r="D725" s="164">
        <v>2.2509999999999999</v>
      </c>
      <c r="E725" s="164">
        <f t="shared" ref="E725:E736" si="88">(C725*D725)-C725</f>
        <v>2.7146699999999999</v>
      </c>
      <c r="F725" s="197">
        <f>SUM($E$2:E725)/SUM($C$2:C725)</f>
        <v>-2.0804165061127242E-2</v>
      </c>
      <c r="G725" s="164">
        <f t="shared" ref="G725:G736" si="89">G724+E725</f>
        <v>-47.511720000000068</v>
      </c>
      <c r="H725" s="485" t="s">
        <v>25</v>
      </c>
      <c r="I725" s="2"/>
      <c r="J725" s="2"/>
      <c r="K725" s="2"/>
      <c r="L725" s="2"/>
      <c r="O725" s="58"/>
      <c r="P725" s="58"/>
    </row>
    <row r="726" spans="2:16">
      <c r="B726" s="652"/>
      <c r="C726" s="484">
        <v>2.17</v>
      </c>
      <c r="D726" s="164">
        <v>2.0139999999999998</v>
      </c>
      <c r="E726" s="164">
        <f t="shared" si="88"/>
        <v>2.2003799999999991</v>
      </c>
      <c r="F726" s="197">
        <f>SUM($E$2:E726)/SUM($C$2:C726)</f>
        <v>-1.9821840563796773E-2</v>
      </c>
      <c r="G726" s="164">
        <f t="shared" si="89"/>
        <v>-45.311340000000072</v>
      </c>
      <c r="H726" s="485" t="s">
        <v>13</v>
      </c>
      <c r="I726" s="2"/>
      <c r="J726" s="2"/>
      <c r="K726" s="2"/>
      <c r="L726" s="2"/>
      <c r="O726" s="58"/>
      <c r="P726" s="58"/>
    </row>
    <row r="727" spans="2:16">
      <c r="B727" s="652"/>
      <c r="C727" s="484">
        <v>2.17</v>
      </c>
      <c r="D727" s="164">
        <v>2.1739999999999999</v>
      </c>
      <c r="E727" s="164">
        <f t="shared" si="88"/>
        <v>2.54758</v>
      </c>
      <c r="F727" s="197">
        <f>SUM($E$2:E727)/SUM($C$2:C727)</f>
        <v>-1.8689637690660357E-2</v>
      </c>
      <c r="G727" s="164">
        <f t="shared" si="89"/>
        <v>-42.763760000000076</v>
      </c>
      <c r="H727" s="485" t="s">
        <v>18</v>
      </c>
      <c r="I727" s="2"/>
      <c r="J727" s="2"/>
      <c r="K727" s="2"/>
      <c r="L727" s="2"/>
      <c r="O727" s="58"/>
      <c r="P727" s="58"/>
    </row>
    <row r="728" spans="2:16">
      <c r="B728" s="652"/>
      <c r="C728" s="484">
        <v>2.17</v>
      </c>
      <c r="D728" s="164"/>
      <c r="E728" s="164">
        <f t="shared" si="88"/>
        <v>-2.17</v>
      </c>
      <c r="F728" s="197">
        <f>SUM($E$2:E728)/SUM($C$2:C728)</f>
        <v>-1.9619416051382572E-2</v>
      </c>
      <c r="G728" s="164">
        <f t="shared" si="89"/>
        <v>-44.933760000000078</v>
      </c>
      <c r="H728" s="485" t="s">
        <v>38</v>
      </c>
      <c r="I728" s="2"/>
      <c r="J728" s="2"/>
      <c r="K728" s="2"/>
      <c r="L728" s="2"/>
      <c r="O728" s="58"/>
      <c r="P728" s="58"/>
    </row>
    <row r="729" spans="2:16">
      <c r="B729" s="652"/>
      <c r="C729" s="484">
        <v>2.17</v>
      </c>
      <c r="D729" s="164"/>
      <c r="E729" s="164">
        <f t="shared" si="88"/>
        <v>-2.17</v>
      </c>
      <c r="F729" s="197">
        <f>SUM($E$2:E729)/SUM($C$2:C729)</f>
        <v>-2.0547434174940218E-2</v>
      </c>
      <c r="G729" s="164">
        <f t="shared" si="89"/>
        <v>-47.103760000000079</v>
      </c>
      <c r="H729" s="485" t="s">
        <v>53</v>
      </c>
      <c r="I729" s="2"/>
      <c r="J729" s="2"/>
      <c r="K729" s="2"/>
      <c r="L729" s="2"/>
      <c r="O729" s="58"/>
      <c r="P729" s="58"/>
    </row>
    <row r="730" spans="2:16">
      <c r="B730" s="652"/>
      <c r="C730" s="491">
        <v>2.17</v>
      </c>
      <c r="D730" s="257"/>
      <c r="E730" s="257">
        <f t="shared" si="88"/>
        <v>-2.17</v>
      </c>
      <c r="F730" s="256">
        <f>SUM($E$2:E730)/SUM($C$2:C730)</f>
        <v>-2.1473697055272987E-2</v>
      </c>
      <c r="G730" s="257">
        <f t="shared" si="89"/>
        <v>-49.273760000000081</v>
      </c>
      <c r="H730" s="492" t="s">
        <v>34</v>
      </c>
      <c r="I730" s="2"/>
      <c r="J730" s="2"/>
      <c r="K730" s="2"/>
      <c r="L730" s="2"/>
      <c r="O730" s="58"/>
      <c r="P730" s="58"/>
    </row>
    <row r="731" spans="2:16">
      <c r="B731" s="652"/>
      <c r="C731" s="491">
        <v>2.17</v>
      </c>
      <c r="D731" s="257"/>
      <c r="E731" s="257">
        <f t="shared" si="88"/>
        <v>-2.17</v>
      </c>
      <c r="F731" s="256">
        <f>SUM($E$2:E731)/SUM($C$2:C731)</f>
        <v>-2.2398209667447447E-2</v>
      </c>
      <c r="G731" s="257">
        <f t="shared" si="89"/>
        <v>-51.443760000000083</v>
      </c>
      <c r="H731" s="492" t="s">
        <v>26</v>
      </c>
      <c r="I731" s="2"/>
      <c r="J731" s="2"/>
      <c r="K731" s="2"/>
      <c r="L731" s="2"/>
      <c r="O731" s="58"/>
      <c r="P731" s="58"/>
    </row>
    <row r="732" spans="2:16">
      <c r="B732" s="652"/>
      <c r="C732" s="484">
        <v>2.17</v>
      </c>
      <c r="D732" s="164"/>
      <c r="E732" s="164">
        <f t="shared" si="88"/>
        <v>-2.17</v>
      </c>
      <c r="F732" s="197">
        <f>SUM($E$2:E732)/SUM($C$2:C732)</f>
        <v>-2.332097696774612E-2</v>
      </c>
      <c r="G732" s="164">
        <f t="shared" si="89"/>
        <v>-53.613760000000084</v>
      </c>
      <c r="H732" s="485" t="s">
        <v>25</v>
      </c>
      <c r="I732" s="2"/>
      <c r="J732" s="2"/>
      <c r="K732" s="2"/>
      <c r="L732" s="2"/>
      <c r="O732" s="58"/>
      <c r="P732" s="58"/>
    </row>
    <row r="733" spans="2:16">
      <c r="B733" s="652"/>
      <c r="C733" s="484">
        <v>2.17</v>
      </c>
      <c r="D733" s="164"/>
      <c r="E733" s="164">
        <f t="shared" si="88"/>
        <v>-2.17</v>
      </c>
      <c r="F733" s="197">
        <f>SUM($E$2:E733)/SUM($C$2:C733)</f>
        <v>-2.4242003893756057E-2</v>
      </c>
      <c r="G733" s="164">
        <f t="shared" si="89"/>
        <v>-55.783760000000086</v>
      </c>
      <c r="H733" s="485" t="s">
        <v>64</v>
      </c>
      <c r="I733" s="2"/>
      <c r="J733" s="2"/>
      <c r="K733" s="2"/>
      <c r="L733" s="2"/>
      <c r="O733" s="58"/>
      <c r="P733" s="58"/>
    </row>
    <row r="734" spans="2:16">
      <c r="B734" s="652"/>
      <c r="C734" s="484">
        <v>2.17</v>
      </c>
      <c r="D734" s="164"/>
      <c r="E734" s="164">
        <f t="shared" si="88"/>
        <v>-2.17</v>
      </c>
      <c r="F734" s="197">
        <f>SUM($E$2:E734)/SUM($C$2:C734)</f>
        <v>-2.5161295364456899E-2</v>
      </c>
      <c r="G734" s="164">
        <f t="shared" si="89"/>
        <v>-57.953760000000088</v>
      </c>
      <c r="H734" s="485" t="s">
        <v>11</v>
      </c>
      <c r="I734" s="2"/>
      <c r="J734" s="2"/>
      <c r="K734" s="2"/>
      <c r="L734" s="2"/>
      <c r="O734" s="58"/>
      <c r="P734" s="58"/>
    </row>
    <row r="735" spans="2:16">
      <c r="B735" s="652"/>
      <c r="C735" s="484">
        <v>2.17</v>
      </c>
      <c r="D735" s="164"/>
      <c r="E735" s="164">
        <f t="shared" si="88"/>
        <v>-2.17</v>
      </c>
      <c r="F735" s="197">
        <f>SUM($E$2:E735)/SUM($C$2:C735)</f>
        <v>-2.6078856280308451E-2</v>
      </c>
      <c r="G735" s="164">
        <f t="shared" si="89"/>
        <v>-60.12376000000009</v>
      </c>
      <c r="H735" s="485" t="s">
        <v>28</v>
      </c>
      <c r="I735" s="2"/>
      <c r="J735" s="2"/>
      <c r="K735" s="2"/>
      <c r="L735" s="2"/>
      <c r="O735" s="58"/>
      <c r="P735" s="58"/>
    </row>
    <row r="736" spans="2:16">
      <c r="B736" s="652"/>
      <c r="C736" s="491">
        <v>2.17</v>
      </c>
      <c r="D736" s="257">
        <v>1.99</v>
      </c>
      <c r="E736" s="257">
        <f t="shared" si="88"/>
        <v>2.1482999999999999</v>
      </c>
      <c r="F736" s="256">
        <f>SUM($E$2:E736)/SUM($C$2:C736)</f>
        <v>-2.5123377664530246E-2</v>
      </c>
      <c r="G736" s="257">
        <f t="shared" si="89"/>
        <v>-57.975460000000091</v>
      </c>
      <c r="H736" s="492" t="s">
        <v>36</v>
      </c>
      <c r="I736" s="2">
        <f>SUM(E725:E736)</f>
        <v>-7.7490700000000006</v>
      </c>
      <c r="L736" s="2">
        <f>I736/C736</f>
        <v>-3.5710000000000002</v>
      </c>
      <c r="O736" s="58"/>
      <c r="P736" s="58"/>
    </row>
    <row r="737" spans="2:16">
      <c r="B737" s="650">
        <v>46032</v>
      </c>
      <c r="C737" s="484">
        <v>3.57</v>
      </c>
      <c r="D737" s="164">
        <v>2.1</v>
      </c>
      <c r="E737" s="164">
        <f t="shared" ref="E737:E744" si="90">(C737*D737)-C737</f>
        <v>3.927</v>
      </c>
      <c r="F737" s="197">
        <f>SUM($E$2:E737)/SUM($C$2:C737)</f>
        <v>-2.3385453444098276E-2</v>
      </c>
      <c r="G737" s="164">
        <f t="shared" ref="G737:G744" si="91">G736+E737</f>
        <v>-54.048460000000091</v>
      </c>
      <c r="H737" s="485" t="s">
        <v>104</v>
      </c>
      <c r="I737" s="2"/>
      <c r="J737" s="2"/>
      <c r="K737" s="2"/>
      <c r="L737" s="2"/>
      <c r="O737" s="58"/>
      <c r="P737" s="58"/>
    </row>
    <row r="738" spans="2:16">
      <c r="B738" s="652"/>
      <c r="C738" s="484">
        <v>3.57</v>
      </c>
      <c r="D738" s="530"/>
      <c r="E738" s="164">
        <f t="shared" si="90"/>
        <v>-3.57</v>
      </c>
      <c r="F738" s="197">
        <f>SUM($E$2:E738)/SUM($C$2:C738)</f>
        <v>-2.4891656622472176E-2</v>
      </c>
      <c r="G738" s="164">
        <f t="shared" si="91"/>
        <v>-57.618460000000091</v>
      </c>
      <c r="H738" s="485" t="s">
        <v>18</v>
      </c>
      <c r="I738" s="2"/>
      <c r="J738" s="2"/>
      <c r="K738" s="2"/>
      <c r="L738" s="2"/>
      <c r="O738" s="58"/>
      <c r="P738" s="58"/>
    </row>
    <row r="739" spans="2:16">
      <c r="B739" s="652"/>
      <c r="C739" s="491">
        <v>3.57</v>
      </c>
      <c r="D739" s="257"/>
      <c r="E739" s="257">
        <f t="shared" si="90"/>
        <v>-3.57</v>
      </c>
      <c r="F739" s="256">
        <f>SUM($E$2:E739)/SUM($C$2:C739)</f>
        <v>-2.6393221011585838E-2</v>
      </c>
      <c r="G739" s="257">
        <f t="shared" si="91"/>
        <v>-61.188460000000092</v>
      </c>
      <c r="H739" s="492" t="s">
        <v>17</v>
      </c>
      <c r="I739" s="2"/>
      <c r="J739" s="2"/>
      <c r="K739" s="2"/>
      <c r="L739" s="2"/>
      <c r="O739" s="58"/>
      <c r="P739" s="58"/>
    </row>
    <row r="740" spans="2:16">
      <c r="B740" s="652"/>
      <c r="C740" s="484">
        <v>3.57</v>
      </c>
      <c r="D740" s="530"/>
      <c r="E740" s="164">
        <f t="shared" si="90"/>
        <v>-3.57</v>
      </c>
      <c r="F740" s="197">
        <f>SUM($E$2:E740)/SUM($C$2:C740)</f>
        <v>-2.7890168008234552E-2</v>
      </c>
      <c r="G740" s="164">
        <f t="shared" si="91"/>
        <v>-64.758460000000085</v>
      </c>
      <c r="H740" s="485" t="s">
        <v>60</v>
      </c>
      <c r="I740" s="2"/>
      <c r="J740" s="2"/>
      <c r="K740" s="2"/>
      <c r="L740" s="2"/>
      <c r="O740" s="58"/>
      <c r="P740" s="58"/>
    </row>
    <row r="741" spans="2:16">
      <c r="B741" s="652"/>
      <c r="C741" s="491">
        <v>3.57</v>
      </c>
      <c r="D741" s="257"/>
      <c r="E741" s="257">
        <f t="shared" si="90"/>
        <v>-3.57</v>
      </c>
      <c r="F741" s="256">
        <f>SUM($E$2:E741)/SUM($C$2:C741)</f>
        <v>-2.9382518877823015E-2</v>
      </c>
      <c r="G741" s="257">
        <f t="shared" si="91"/>
        <v>-68.328460000000078</v>
      </c>
      <c r="H741" s="492" t="s">
        <v>35</v>
      </c>
      <c r="I741" s="2"/>
      <c r="J741" s="2"/>
      <c r="K741" s="2"/>
      <c r="L741" s="2"/>
      <c r="O741" s="58"/>
      <c r="P741" s="58"/>
    </row>
    <row r="742" spans="2:16">
      <c r="B742" s="652"/>
      <c r="C742" s="484">
        <v>3.57</v>
      </c>
      <c r="D742" s="164"/>
      <c r="E742" s="164">
        <f t="shared" si="90"/>
        <v>-3.57</v>
      </c>
      <c r="F742" s="197">
        <f>SUM($E$2:E742)/SUM($C$2:C742)</f>
        <v>-3.0870294755372295E-2</v>
      </c>
      <c r="G742" s="164">
        <f t="shared" si="91"/>
        <v>-71.898460000000071</v>
      </c>
      <c r="H742" s="485" t="s">
        <v>104</v>
      </c>
      <c r="I742" s="2"/>
      <c r="J742" s="2"/>
      <c r="K742" s="2"/>
      <c r="L742" s="2"/>
      <c r="O742" s="58"/>
      <c r="P742" s="58"/>
    </row>
    <row r="743" spans="2:16">
      <c r="B743" s="652"/>
      <c r="C743" s="484">
        <v>3.57</v>
      </c>
      <c r="D743" s="164"/>
      <c r="E743" s="164">
        <f t="shared" si="90"/>
        <v>-3.57</v>
      </c>
      <c r="F743" s="197">
        <f>SUM($E$2:E743)/SUM($C$2:C743)</f>
        <v>-3.2353516646517574E-2</v>
      </c>
      <c r="G743" s="164">
        <f t="shared" si="91"/>
        <v>-75.468460000000064</v>
      </c>
      <c r="H743" s="485" t="s">
        <v>17</v>
      </c>
      <c r="I743" s="2"/>
      <c r="J743" s="2"/>
      <c r="K743" s="2"/>
      <c r="L743" s="2"/>
      <c r="O743" s="58"/>
      <c r="P743" s="58"/>
    </row>
    <row r="744" spans="2:16">
      <c r="B744" s="652"/>
      <c r="C744" s="491">
        <v>3.57</v>
      </c>
      <c r="D744" s="257"/>
      <c r="E744" s="257">
        <f t="shared" si="90"/>
        <v>-3.57</v>
      </c>
      <c r="F744" s="256">
        <f>SUM($E$2:E744)/SUM($C$2:C744)</f>
        <v>-3.3832205428496735E-2</v>
      </c>
      <c r="G744" s="257">
        <f t="shared" si="91"/>
        <v>-79.038460000000057</v>
      </c>
      <c r="H744" s="492" t="s">
        <v>47</v>
      </c>
      <c r="I744" s="2">
        <f>SUM(E737:E744)</f>
        <v>-21.062999999999999</v>
      </c>
      <c r="L744" s="2">
        <f>I744/C744</f>
        <v>-5.9</v>
      </c>
      <c r="O744" s="58"/>
      <c r="P744" s="58"/>
    </row>
    <row r="745" spans="2:16">
      <c r="B745" s="650">
        <v>46033</v>
      </c>
      <c r="C745" s="484">
        <v>2.0699999999999998</v>
      </c>
      <c r="D745" s="533">
        <v>1.99</v>
      </c>
      <c r="E745" s="164">
        <f t="shared" ref="E745:E756" si="92">(C745*D745)-C745</f>
        <v>2.0493000000000001</v>
      </c>
      <c r="F745" s="197">
        <f>SUM($E$2:E745)/SUM($C$2:C745)</f>
        <v>-3.2925833739618257E-2</v>
      </c>
      <c r="G745" s="164">
        <f t="shared" ref="G745:G756" si="93">G744+E745</f>
        <v>-76.989160000000055</v>
      </c>
      <c r="H745" s="485" t="s">
        <v>13</v>
      </c>
      <c r="I745" s="2"/>
      <c r="J745" s="2"/>
      <c r="K745" s="2"/>
      <c r="L745" s="2"/>
      <c r="O745" s="58"/>
      <c r="P745" s="58"/>
    </row>
    <row r="746" spans="2:16">
      <c r="B746" s="652"/>
      <c r="C746" s="484">
        <v>2.0699999999999998</v>
      </c>
      <c r="D746" s="164"/>
      <c r="E746" s="164">
        <f t="shared" si="92"/>
        <v>-2.0699999999999998</v>
      </c>
      <c r="F746" s="197">
        <f>SUM($E$2:E746)/SUM($C$2:C746)</f>
        <v>-3.3781201796327771E-2</v>
      </c>
      <c r="G746" s="164">
        <f t="shared" si="93"/>
        <v>-79.059160000000048</v>
      </c>
      <c r="H746" s="485" t="s">
        <v>28</v>
      </c>
      <c r="I746" s="2"/>
      <c r="J746" s="2"/>
      <c r="K746" s="2"/>
      <c r="L746" s="2"/>
      <c r="O746" s="58"/>
      <c r="P746" s="58"/>
    </row>
    <row r="747" spans="2:16">
      <c r="B747" s="652"/>
      <c r="C747" s="484">
        <v>2.0699999999999998</v>
      </c>
      <c r="D747" s="164">
        <v>2.0150000000000001</v>
      </c>
      <c r="E747" s="164">
        <f t="shared" si="92"/>
        <v>2.1010500000000003</v>
      </c>
      <c r="F747" s="197">
        <f>SUM($E$2:E747)/SUM($C$2:C747)</f>
        <v>-3.2854384392076406E-2</v>
      </c>
      <c r="G747" s="164">
        <f t="shared" si="93"/>
        <v>-76.958110000000048</v>
      </c>
      <c r="H747" s="485" t="s">
        <v>29</v>
      </c>
      <c r="I747" s="2"/>
      <c r="J747" s="2"/>
      <c r="K747" s="2"/>
      <c r="L747" s="2"/>
      <c r="O747" s="58"/>
      <c r="P747" s="58"/>
    </row>
    <row r="748" spans="2:16">
      <c r="B748" s="652"/>
      <c r="C748" s="484">
        <v>2.0699999999999998</v>
      </c>
      <c r="D748" s="164">
        <v>2.9249999999999998</v>
      </c>
      <c r="E748" s="164">
        <f t="shared" si="92"/>
        <v>3.9847499999999996</v>
      </c>
      <c r="F748" s="197">
        <f>SUM($E$2:E748)/SUM($C$2:C748)</f>
        <v>-3.1125738439817859E-2</v>
      </c>
      <c r="G748" s="164">
        <f t="shared" si="93"/>
        <v>-72.973360000000042</v>
      </c>
      <c r="H748" s="485" t="s">
        <v>14</v>
      </c>
      <c r="I748" s="2"/>
      <c r="J748" s="2"/>
      <c r="K748" s="2"/>
      <c r="L748" s="2"/>
      <c r="O748" s="58"/>
      <c r="P748" s="58"/>
    </row>
    <row r="749" spans="2:16">
      <c r="B749" s="652"/>
      <c r="C749" s="491">
        <v>2.0699999999999998</v>
      </c>
      <c r="D749" s="257"/>
      <c r="E749" s="257">
        <f t="shared" si="92"/>
        <v>-2.0699999999999998</v>
      </c>
      <c r="F749" s="256">
        <f>SUM($E$2:E749)/SUM($C$2:C749)</f>
        <v>-3.1980430761887613E-2</v>
      </c>
      <c r="G749" s="257">
        <f t="shared" si="93"/>
        <v>-75.043360000000035</v>
      </c>
      <c r="H749" s="492" t="s">
        <v>53</v>
      </c>
      <c r="I749" s="2"/>
      <c r="J749" s="2"/>
      <c r="K749" s="2"/>
      <c r="L749" s="2"/>
      <c r="O749" s="58"/>
      <c r="P749" s="58"/>
    </row>
    <row r="750" spans="2:16">
      <c r="B750" s="652"/>
      <c r="C750" s="491">
        <v>2.0699999999999998</v>
      </c>
      <c r="D750" s="257"/>
      <c r="E750" s="257">
        <f t="shared" si="92"/>
        <v>-2.0699999999999998</v>
      </c>
      <c r="F750" s="256">
        <f>SUM($E$2:E750)/SUM($C$2:C750)</f>
        <v>-3.2833616479534596E-2</v>
      </c>
      <c r="G750" s="257">
        <f t="shared" si="93"/>
        <v>-77.113360000000029</v>
      </c>
      <c r="H750" s="492" t="s">
        <v>30</v>
      </c>
      <c r="I750" s="2"/>
      <c r="J750" s="2"/>
      <c r="K750" s="2"/>
      <c r="L750" s="2"/>
      <c r="O750" s="58"/>
      <c r="P750" s="58"/>
    </row>
    <row r="751" spans="2:16">
      <c r="B751" s="652"/>
      <c r="C751" s="484">
        <v>2.0699999999999998</v>
      </c>
      <c r="D751" s="164"/>
      <c r="E751" s="164">
        <f t="shared" si="92"/>
        <v>-2.0699999999999998</v>
      </c>
      <c r="F751" s="197">
        <f>SUM($E$2:E751)/SUM($C$2:C751)</f>
        <v>-3.3685299572889425E-2</v>
      </c>
      <c r="G751" s="164">
        <f t="shared" si="93"/>
        <v>-79.183360000000022</v>
      </c>
      <c r="H751" s="485" t="s">
        <v>13</v>
      </c>
      <c r="I751" s="2"/>
      <c r="J751" s="2"/>
      <c r="K751" s="2"/>
      <c r="L751" s="2"/>
      <c r="O751" s="58"/>
      <c r="P751" s="58"/>
    </row>
    <row r="752" spans="2:16">
      <c r="B752" s="652"/>
      <c r="C752" s="484">
        <v>2.0699999999999998</v>
      </c>
      <c r="D752" s="164">
        <v>2.4750000000000001</v>
      </c>
      <c r="E752" s="164">
        <f t="shared" si="92"/>
        <v>3.0532499999999998</v>
      </c>
      <c r="F752" s="197">
        <f>SUM($E$2:E752)/SUM($C$2:C752)</f>
        <v>-3.2357925831473691E-2</v>
      </c>
      <c r="G752" s="164">
        <f>G751+E752</f>
        <v>-76.130110000000016</v>
      </c>
      <c r="H752" s="485" t="s">
        <v>25</v>
      </c>
      <c r="I752" s="2"/>
      <c r="J752" s="2"/>
      <c r="K752" s="2"/>
      <c r="L752" s="2"/>
      <c r="O752" s="58"/>
      <c r="P752" s="58"/>
    </row>
    <row r="753" spans="2:16">
      <c r="B753" s="652"/>
      <c r="C753" s="484">
        <v>2.0699999999999998</v>
      </c>
      <c r="D753" s="164"/>
      <c r="E753" s="164">
        <f t="shared" si="92"/>
        <v>-2.0699999999999998</v>
      </c>
      <c r="F753" s="197">
        <f>SUM($E$2:E753)/SUM($C$2:C753)</f>
        <v>-3.3208529739003276E-2</v>
      </c>
      <c r="G753" s="164">
        <f t="shared" si="93"/>
        <v>-78.200110000000009</v>
      </c>
      <c r="H753" s="485" t="s">
        <v>52</v>
      </c>
      <c r="I753" s="2"/>
      <c r="J753" s="2"/>
      <c r="K753" s="2"/>
      <c r="L753" s="2"/>
      <c r="O753" s="58"/>
      <c r="P753" s="58"/>
    </row>
    <row r="754" spans="2:16">
      <c r="B754" s="652"/>
      <c r="C754" s="484">
        <v>2.0699999999999998</v>
      </c>
      <c r="D754" s="164">
        <v>2.08</v>
      </c>
      <c r="E754" s="164">
        <f t="shared" si="92"/>
        <v>2.2356000000000003</v>
      </c>
      <c r="F754" s="197">
        <f>SUM($E$2:E754)/SUM($C$2:C754)</f>
        <v>-3.2230825367327152E-2</v>
      </c>
      <c r="G754" s="164">
        <f t="shared" si="93"/>
        <v>-75.964510000000004</v>
      </c>
      <c r="H754" s="485" t="s">
        <v>59</v>
      </c>
      <c r="I754" s="2"/>
      <c r="J754" s="2"/>
      <c r="K754" s="2"/>
      <c r="L754" s="2"/>
      <c r="O754" s="58"/>
      <c r="P754" s="58"/>
    </row>
    <row r="755" spans="2:16">
      <c r="B755" s="652"/>
      <c r="C755" s="484">
        <v>2.0699999999999998</v>
      </c>
      <c r="D755" s="164"/>
      <c r="E755" s="164">
        <f t="shared" si="92"/>
        <v>-2.0699999999999998</v>
      </c>
      <c r="F755" s="197">
        <f>SUM($E$2:E755)/SUM($C$2:C755)</f>
        <v>-3.3080047987248486E-2</v>
      </c>
      <c r="G755" s="164">
        <f t="shared" si="93"/>
        <v>-78.034509999999997</v>
      </c>
      <c r="H755" s="485" t="s">
        <v>27</v>
      </c>
      <c r="I755" s="2"/>
      <c r="J755" s="2"/>
      <c r="K755" s="2"/>
      <c r="L755" s="2"/>
      <c r="O755" s="58"/>
      <c r="P755" s="58"/>
    </row>
    <row r="756" spans="2:16">
      <c r="B756" s="651"/>
      <c r="C756" s="491">
        <v>2.0699999999999998</v>
      </c>
      <c r="D756" s="257">
        <v>5.5</v>
      </c>
      <c r="E756" s="257">
        <f t="shared" si="92"/>
        <v>9.3149999999999995</v>
      </c>
      <c r="F756" s="256">
        <f>SUM($E$2:E756)/SUM($C$2:C756)</f>
        <v>-2.910573351461003E-2</v>
      </c>
      <c r="G756" s="257">
        <f t="shared" si="93"/>
        <v>-68.71951</v>
      </c>
      <c r="H756" s="492" t="s">
        <v>38</v>
      </c>
      <c r="I756" s="490">
        <f>SUM(E745:E756)</f>
        <v>10.318950000000001</v>
      </c>
      <c r="J756" s="490">
        <f>SUM(E692:E756)</f>
        <v>-27.048020000000008</v>
      </c>
      <c r="L756" s="2">
        <f>I756/C756</f>
        <v>4.9850000000000012</v>
      </c>
      <c r="O756" s="58"/>
      <c r="P756" s="58"/>
    </row>
    <row r="757" spans="2:16">
      <c r="B757" s="652">
        <v>46034</v>
      </c>
      <c r="C757" s="491">
        <v>3.51</v>
      </c>
      <c r="D757" s="257">
        <v>2.145</v>
      </c>
      <c r="E757" s="257">
        <f t="shared" ref="E757:E763" si="94">(C757*D757)-C757</f>
        <v>4.0189500000000002</v>
      </c>
      <c r="F757" s="256">
        <f>SUM($E$2:E757)/SUM($C$2:C757)</f>
        <v>-2.7362852817038291E-2</v>
      </c>
      <c r="G757" s="257">
        <f t="shared" ref="G757:G763" si="95">G756+E757</f>
        <v>-64.700559999999996</v>
      </c>
      <c r="H757" s="492" t="s">
        <v>46</v>
      </c>
      <c r="I757" s="2"/>
      <c r="J757" s="2"/>
      <c r="K757" s="2"/>
      <c r="L757" s="2"/>
      <c r="O757" s="58"/>
      <c r="P757" s="58"/>
    </row>
    <row r="758" spans="2:16">
      <c r="B758" s="652"/>
      <c r="C758" s="491">
        <v>3.51</v>
      </c>
      <c r="D758" s="257">
        <v>1.98</v>
      </c>
      <c r="E758" s="257">
        <f t="shared" si="94"/>
        <v>3.4398</v>
      </c>
      <c r="F758" s="256">
        <f>SUM($E$2:E758)/SUM($C$2:C758)</f>
        <v>-2.5869707143007847E-2</v>
      </c>
      <c r="G758" s="257">
        <f t="shared" si="95"/>
        <v>-61.260759999999998</v>
      </c>
      <c r="H758" s="492" t="s">
        <v>274</v>
      </c>
      <c r="I758" s="2"/>
      <c r="J758" s="2"/>
      <c r="K758" s="2"/>
      <c r="L758" s="2"/>
      <c r="O758" s="58"/>
      <c r="P758" s="58"/>
    </row>
    <row r="759" spans="2:16">
      <c r="B759" s="652"/>
      <c r="C759" s="484">
        <v>3.51</v>
      </c>
      <c r="D759" s="164">
        <v>5.5</v>
      </c>
      <c r="E759" s="164">
        <f t="shared" si="94"/>
        <v>15.795</v>
      </c>
      <c r="F759" s="197">
        <f>SUM($E$2:E759)/SUM($C$2:C759)</f>
        <v>-1.9171245930948318E-2</v>
      </c>
      <c r="G759" s="164">
        <f t="shared" si="95"/>
        <v>-45.465759999999996</v>
      </c>
      <c r="H759" s="485" t="s">
        <v>47</v>
      </c>
      <c r="I759" s="2"/>
      <c r="J759" s="2"/>
      <c r="K759" s="2"/>
      <c r="L759" s="2"/>
      <c r="O759" s="58"/>
      <c r="P759" s="58"/>
    </row>
    <row r="760" spans="2:16">
      <c r="B760" s="652"/>
      <c r="C760" s="484">
        <v>3.51</v>
      </c>
      <c r="D760" s="164">
        <v>3.02</v>
      </c>
      <c r="E760" s="164">
        <f t="shared" si="94"/>
        <v>7.0901999999999994</v>
      </c>
      <c r="F760" s="197">
        <f>SUM($E$2:E760)/SUM($C$2:C760)</f>
        <v>-1.6157654300715273E-2</v>
      </c>
      <c r="G760" s="164">
        <f t="shared" si="95"/>
        <v>-38.375559999999993</v>
      </c>
      <c r="H760" s="485" t="s">
        <v>60</v>
      </c>
      <c r="I760" s="2"/>
      <c r="J760" s="2"/>
      <c r="K760" s="2"/>
      <c r="L760" s="2"/>
      <c r="O760" s="58"/>
      <c r="P760" s="58"/>
    </row>
    <row r="761" spans="2:16">
      <c r="B761" s="652"/>
      <c r="C761" s="484">
        <v>3.51</v>
      </c>
      <c r="D761" s="164"/>
      <c r="E761" s="164">
        <f t="shared" si="94"/>
        <v>-3.51</v>
      </c>
      <c r="F761" s="197">
        <f>SUM($E$2:E761)/SUM($C$2:C761)</f>
        <v>-1.7609481287154435E-2</v>
      </c>
      <c r="G761" s="164">
        <f t="shared" si="95"/>
        <v>-41.885559999999991</v>
      </c>
      <c r="H761" s="485" t="s">
        <v>25</v>
      </c>
      <c r="I761" s="2"/>
      <c r="J761" s="2"/>
      <c r="K761" s="2"/>
      <c r="L761" s="2"/>
      <c r="O761" s="58"/>
      <c r="P761" s="58"/>
    </row>
    <row r="762" spans="2:16">
      <c r="B762" s="652"/>
      <c r="C762" s="484">
        <v>3.51</v>
      </c>
      <c r="D762" s="164">
        <v>3.96</v>
      </c>
      <c r="E762" s="164">
        <f t="shared" si="94"/>
        <v>10.3896</v>
      </c>
      <c r="F762" s="197">
        <f>SUM($E$2:E762)/SUM($C$2:C762)</f>
        <v>-1.3221985735215647E-2</v>
      </c>
      <c r="G762" s="164">
        <f t="shared" si="95"/>
        <v>-31.49595999999999</v>
      </c>
      <c r="H762" s="485" t="s">
        <v>38</v>
      </c>
      <c r="I762" s="2"/>
      <c r="J762" s="2"/>
      <c r="K762" s="2"/>
      <c r="L762" s="2"/>
      <c r="O762" s="58"/>
      <c r="P762" s="58"/>
    </row>
    <row r="763" spans="2:16">
      <c r="B763" s="652"/>
      <c r="C763" s="491">
        <v>3.51</v>
      </c>
      <c r="D763" s="257"/>
      <c r="E763" s="257">
        <f t="shared" si="94"/>
        <v>-3.51</v>
      </c>
      <c r="F763" s="256">
        <f>SUM($E$2:E763)/SUM($C$2:C763)</f>
        <v>-1.4673859825620314E-2</v>
      </c>
      <c r="G763" s="257">
        <f t="shared" si="95"/>
        <v>-35.005959999999988</v>
      </c>
      <c r="H763" s="492" t="s">
        <v>15</v>
      </c>
      <c r="I763" s="2">
        <f>SUM(E757:E763)</f>
        <v>33.713550000000005</v>
      </c>
      <c r="L763" s="2">
        <f>I763/C763</f>
        <v>9.6050000000000022</v>
      </c>
      <c r="O763" s="58"/>
      <c r="P763" s="58"/>
    </row>
    <row r="764" spans="2:16">
      <c r="B764" s="650">
        <v>46035</v>
      </c>
      <c r="C764" s="484">
        <v>3.17</v>
      </c>
      <c r="D764" s="164"/>
      <c r="E764" s="164">
        <f t="shared" ref="E764:E765" si="96">(C764*D764)-C764</f>
        <v>-3.17</v>
      </c>
      <c r="F764" s="197">
        <f>SUM($E$2:E764)/SUM($C$2:C764)</f>
        <v>-1.5981429773481669E-2</v>
      </c>
      <c r="G764" s="164">
        <f t="shared" ref="G764:G765" si="97">G763+E764</f>
        <v>-38.175959999999989</v>
      </c>
      <c r="H764" s="485" t="s">
        <v>13</v>
      </c>
      <c r="I764" s="2"/>
      <c r="J764" s="2"/>
      <c r="K764" s="2"/>
      <c r="L764" s="2"/>
      <c r="O764" s="58"/>
      <c r="P764" s="58"/>
    </row>
    <row r="765" spans="2:16">
      <c r="B765" s="652"/>
      <c r="C765" s="491">
        <v>3.17</v>
      </c>
      <c r="D765" s="257">
        <v>2.23</v>
      </c>
      <c r="E765" s="257">
        <f t="shared" si="96"/>
        <v>3.8990999999999998</v>
      </c>
      <c r="F765" s="256">
        <f>SUM($E$2:E765)/SUM($C$2:C765)</f>
        <v>-1.4330150421833252E-2</v>
      </c>
      <c r="G765" s="257">
        <f t="shared" si="97"/>
        <v>-34.276859999999992</v>
      </c>
      <c r="H765" s="492" t="s">
        <v>10</v>
      </c>
      <c r="I765" s="2">
        <f>SUM(E764:E765)</f>
        <v>0.72909999999999986</v>
      </c>
      <c r="L765" s="2">
        <f>I765/C765</f>
        <v>0.22999999999999995</v>
      </c>
      <c r="O765" s="58"/>
      <c r="P765" s="58"/>
    </row>
    <row r="766" spans="2:16">
      <c r="B766" s="650">
        <v>46036</v>
      </c>
      <c r="C766" s="484">
        <v>3.17</v>
      </c>
      <c r="D766" s="164">
        <v>1.91</v>
      </c>
      <c r="E766" s="164">
        <f t="shared" ref="E766:E774" si="98">(C766*D766)-C766</f>
        <v>2.8846999999999996</v>
      </c>
      <c r="F766" s="197">
        <f>SUM($E$2:E766)/SUM($C$2:C766)</f>
        <v>-1.3106771714033945E-2</v>
      </c>
      <c r="G766" s="164">
        <f t="shared" ref="G766:G774" si="99">G765+E766</f>
        <v>-31.392159999999993</v>
      </c>
      <c r="H766" s="485" t="s">
        <v>51</v>
      </c>
      <c r="I766" s="2"/>
      <c r="J766" s="2"/>
      <c r="K766" s="2"/>
      <c r="L766" s="2"/>
      <c r="O766" s="58"/>
      <c r="P766" s="58"/>
    </row>
    <row r="767" spans="2:16">
      <c r="B767" s="652"/>
      <c r="C767" s="484">
        <v>3.17</v>
      </c>
      <c r="D767" s="164"/>
      <c r="E767" s="164">
        <f t="shared" si="98"/>
        <v>-3.17</v>
      </c>
      <c r="F767" s="197">
        <f>SUM($E$2:E767)/SUM($C$2:C767)</f>
        <v>-1.4411228046766776E-2</v>
      </c>
      <c r="G767" s="164">
        <f t="shared" si="99"/>
        <v>-34.562159999999992</v>
      </c>
      <c r="H767" s="485" t="s">
        <v>35</v>
      </c>
      <c r="I767" s="2"/>
      <c r="J767" s="2"/>
      <c r="K767" s="2"/>
      <c r="L767" s="2"/>
      <c r="O767" s="58"/>
      <c r="P767" s="58"/>
    </row>
    <row r="768" spans="2:16">
      <c r="B768" s="652"/>
      <c r="C768" s="491">
        <v>3.17</v>
      </c>
      <c r="D768" s="535">
        <v>1.89</v>
      </c>
      <c r="E768" s="257">
        <f t="shared" si="98"/>
        <v>2.8212999999999999</v>
      </c>
      <c r="F768" s="256">
        <f>SUM($E$2:E768)/SUM($C$2:C768)</f>
        <v>-1.3217372837244097E-2</v>
      </c>
      <c r="G768" s="257">
        <f t="shared" si="99"/>
        <v>-31.740859999999991</v>
      </c>
      <c r="H768" s="492" t="s">
        <v>17</v>
      </c>
      <c r="I768" s="2"/>
      <c r="J768" s="2"/>
      <c r="K768" s="2"/>
      <c r="L768" s="2"/>
      <c r="O768" s="58"/>
      <c r="P768" s="58"/>
    </row>
    <row r="769" spans="2:16">
      <c r="B769" s="652"/>
      <c r="C769" s="484">
        <v>3.17</v>
      </c>
      <c r="D769" s="164"/>
      <c r="E769" s="164">
        <f t="shared" si="98"/>
        <v>-3.17</v>
      </c>
      <c r="F769" s="197">
        <f>SUM($E$2:E769)/SUM($C$2:C769)</f>
        <v>-1.4518244046876355E-2</v>
      </c>
      <c r="G769" s="164">
        <f t="shared" si="99"/>
        <v>-34.910859999999992</v>
      </c>
      <c r="H769" s="485" t="s">
        <v>275</v>
      </c>
      <c r="I769" s="2"/>
      <c r="J769" s="2"/>
      <c r="K769" s="2"/>
      <c r="L769" s="2"/>
      <c r="O769" s="58"/>
      <c r="P769" s="58"/>
    </row>
    <row r="770" spans="2:16">
      <c r="B770" s="652"/>
      <c r="C770" s="484">
        <v>3.17</v>
      </c>
      <c r="D770" s="164"/>
      <c r="E770" s="164">
        <f t="shared" si="98"/>
        <v>-3.17</v>
      </c>
      <c r="F770" s="197">
        <f>SUM($E$2:E770)/SUM($C$2:C770)</f>
        <v>-1.58156899065117E-2</v>
      </c>
      <c r="G770" s="164">
        <f t="shared" si="99"/>
        <v>-38.080859999999994</v>
      </c>
      <c r="H770" s="485" t="s">
        <v>276</v>
      </c>
      <c r="I770" s="2"/>
      <c r="J770" s="2"/>
      <c r="K770" s="2"/>
      <c r="L770" s="2"/>
      <c r="O770" s="58"/>
      <c r="P770" s="58"/>
    </row>
    <row r="771" spans="2:16">
      <c r="B771" s="652"/>
      <c r="C771" s="491">
        <v>3.17</v>
      </c>
      <c r="D771" s="257"/>
      <c r="E771" s="257">
        <f t="shared" si="98"/>
        <v>-3.17</v>
      </c>
      <c r="F771" s="256">
        <f>SUM($E$2:E771)/SUM($C$2:C771)</f>
        <v>-1.7109723927398127E-2</v>
      </c>
      <c r="G771" s="257">
        <f t="shared" si="99"/>
        <v>-41.250859999999996</v>
      </c>
      <c r="H771" s="492" t="s">
        <v>277</v>
      </c>
      <c r="I771" s="2"/>
      <c r="J771" s="2"/>
      <c r="K771" s="2"/>
      <c r="L771" s="2"/>
      <c r="O771" s="58"/>
      <c r="P771" s="58"/>
    </row>
    <row r="772" spans="2:16">
      <c r="B772" s="652"/>
      <c r="C772" s="484">
        <v>3.17</v>
      </c>
      <c r="D772" s="164">
        <v>2.08</v>
      </c>
      <c r="E772" s="164">
        <f t="shared" si="98"/>
        <v>3.4236000000000004</v>
      </c>
      <c r="F772" s="197">
        <f>SUM($E$2:E772)/SUM($C$2:C772)</f>
        <v>-1.5669106468997034E-2</v>
      </c>
      <c r="G772" s="164">
        <f t="shared" si="99"/>
        <v>-37.827259999999995</v>
      </c>
      <c r="H772" s="485" t="s">
        <v>13</v>
      </c>
      <c r="I772" s="2"/>
      <c r="J772" s="2"/>
      <c r="K772" s="2"/>
      <c r="L772" s="2"/>
      <c r="O772" s="58"/>
      <c r="P772" s="58"/>
    </row>
    <row r="773" spans="2:16">
      <c r="B773" s="652"/>
      <c r="C773" s="484">
        <v>3.17</v>
      </c>
      <c r="D773" s="536">
        <v>1.97</v>
      </c>
      <c r="E773" s="164">
        <f t="shared" si="98"/>
        <v>3.0748999999999995</v>
      </c>
      <c r="F773" s="197">
        <f>SUM($E$2:E773)/SUM($C$2:C773)</f>
        <v>-1.4376519257022224E-2</v>
      </c>
      <c r="G773" s="164">
        <f t="shared" si="99"/>
        <v>-34.752359999999996</v>
      </c>
      <c r="H773" s="485" t="s">
        <v>59</v>
      </c>
      <c r="I773" s="2"/>
      <c r="J773" s="2"/>
      <c r="K773" s="2"/>
      <c r="L773" s="2"/>
      <c r="O773" s="58"/>
      <c r="P773" s="58"/>
    </row>
    <row r="774" spans="2:16">
      <c r="B774" s="652"/>
      <c r="C774" s="491">
        <v>3.17</v>
      </c>
      <c r="D774" s="535">
        <v>4.82</v>
      </c>
      <c r="E774" s="257">
        <f t="shared" si="98"/>
        <v>12.109400000000001</v>
      </c>
      <c r="F774" s="256">
        <f>SUM($E$2:E774)/SUM($C$2:C774)</f>
        <v>-9.3547782042330135E-3</v>
      </c>
      <c r="G774" s="257">
        <f t="shared" si="99"/>
        <v>-22.642959999999995</v>
      </c>
      <c r="H774" s="492" t="s">
        <v>38</v>
      </c>
      <c r="I774" s="2">
        <f>SUM(E766:E774)</f>
        <v>11.633900000000001</v>
      </c>
      <c r="L774" s="2">
        <f>I774/C774</f>
        <v>3.6700000000000004</v>
      </c>
      <c r="O774" s="58"/>
      <c r="P774" s="58"/>
    </row>
    <row r="775" spans="2:16">
      <c r="B775" s="650">
        <v>46037</v>
      </c>
      <c r="C775" s="484">
        <v>2.5099999999999998</v>
      </c>
      <c r="D775" s="164"/>
      <c r="E775" s="164">
        <f t="shared" ref="E775:E784" si="100">(C775*D775)-C775</f>
        <v>-2.5099999999999998</v>
      </c>
      <c r="F775" s="197">
        <f>SUM($E$2:E775)/SUM($C$2:C775)</f>
        <v>-1.0381001906742881E-2</v>
      </c>
      <c r="G775" s="164">
        <f t="shared" ref="G775:G784" si="101">G774+E775</f>
        <v>-25.152959999999993</v>
      </c>
      <c r="H775" s="485" t="s">
        <v>64</v>
      </c>
      <c r="I775" s="2"/>
      <c r="J775" s="2"/>
      <c r="K775" s="2"/>
      <c r="L775" s="2"/>
      <c r="O775" s="58"/>
      <c r="P775" s="58"/>
    </row>
    <row r="776" spans="2:16">
      <c r="B776" s="652"/>
      <c r="C776" s="484">
        <v>2.5099999999999998</v>
      </c>
      <c r="D776" s="536">
        <v>1.92</v>
      </c>
      <c r="E776" s="164">
        <f t="shared" si="100"/>
        <v>2.3091999999999997</v>
      </c>
      <c r="F776" s="197">
        <f>SUM($E$2:E776)/SUM($C$2:C776)</f>
        <v>-9.4182041566858131E-3</v>
      </c>
      <c r="G776" s="164">
        <f t="shared" si="101"/>
        <v>-22.843759999999993</v>
      </c>
      <c r="H776" s="485" t="s">
        <v>16</v>
      </c>
      <c r="I776" s="2"/>
      <c r="J776" s="2"/>
      <c r="K776" s="2"/>
      <c r="L776" s="2"/>
      <c r="O776" s="58"/>
      <c r="P776" s="58"/>
    </row>
    <row r="777" spans="2:16">
      <c r="B777" s="652"/>
      <c r="C777" s="484">
        <v>2.5099999999999998</v>
      </c>
      <c r="D777" s="536"/>
      <c r="E777" s="164">
        <f t="shared" si="100"/>
        <v>-2.5099999999999998</v>
      </c>
      <c r="F777" s="197">
        <f>SUM($E$2:E777)/SUM($C$2:C777)</f>
        <v>-1.044224052718281E-2</v>
      </c>
      <c r="G777" s="164">
        <f t="shared" si="101"/>
        <v>-25.353759999999994</v>
      </c>
      <c r="H777" s="485" t="s">
        <v>12</v>
      </c>
      <c r="I777" s="2"/>
      <c r="J777" s="2"/>
      <c r="K777" s="2"/>
      <c r="L777" s="2"/>
      <c r="O777" s="58"/>
      <c r="P777" s="58"/>
    </row>
    <row r="778" spans="2:16">
      <c r="B778" s="652"/>
      <c r="C778" s="491">
        <v>2.5099999999999998</v>
      </c>
      <c r="D778" s="535"/>
      <c r="E778" s="257">
        <f t="shared" si="100"/>
        <v>-2.5099999999999998</v>
      </c>
      <c r="F778" s="256">
        <f>SUM($E$2:E778)/SUM($C$2:C778)</f>
        <v>-1.1464161842576185E-2</v>
      </c>
      <c r="G778" s="257">
        <f t="shared" si="101"/>
        <v>-27.863759999999992</v>
      </c>
      <c r="H778" s="492" t="s">
        <v>52</v>
      </c>
      <c r="I778" s="2"/>
      <c r="J778" s="2"/>
      <c r="K778" s="2"/>
      <c r="L778" s="2"/>
      <c r="O778" s="58"/>
      <c r="P778" s="58"/>
    </row>
    <row r="779" spans="2:16">
      <c r="B779" s="652"/>
      <c r="C779" s="484">
        <v>2.5099999999999998</v>
      </c>
      <c r="D779" s="536">
        <v>1.89</v>
      </c>
      <c r="E779" s="164">
        <f t="shared" si="100"/>
        <v>2.2338999999999993</v>
      </c>
      <c r="F779" s="197">
        <f>SUM($E$2:E779)/SUM($C$2:C779)</f>
        <v>-1.0534175633574675E-2</v>
      </c>
      <c r="G779" s="164">
        <f t="shared" si="101"/>
        <v>-25.629859999999994</v>
      </c>
      <c r="H779" s="485" t="s">
        <v>278</v>
      </c>
      <c r="I779" s="2"/>
      <c r="J779" s="2"/>
      <c r="K779" s="2"/>
      <c r="L779" s="2"/>
      <c r="O779" s="58"/>
      <c r="P779" s="58"/>
    </row>
    <row r="780" spans="2:16">
      <c r="B780" s="652"/>
      <c r="C780" s="491">
        <v>2.5099999999999998</v>
      </c>
      <c r="D780" s="535">
        <v>1.89</v>
      </c>
      <c r="E780" s="257">
        <f t="shared" si="100"/>
        <v>2.2338999999999993</v>
      </c>
      <c r="F780" s="256">
        <f>SUM($E$2:E780)/SUM($C$2:C780)</f>
        <v>-9.6061062684507544E-3</v>
      </c>
      <c r="G780" s="257">
        <f t="shared" si="101"/>
        <v>-23.395959999999995</v>
      </c>
      <c r="H780" s="492" t="s">
        <v>279</v>
      </c>
      <c r="I780" s="2"/>
      <c r="J780" s="2"/>
      <c r="K780" s="2"/>
      <c r="L780" s="2"/>
      <c r="O780" s="58"/>
      <c r="P780" s="58"/>
    </row>
    <row r="781" spans="2:16">
      <c r="B781" s="652"/>
      <c r="C781" s="484">
        <v>2.5099999999999998</v>
      </c>
      <c r="D781" s="536"/>
      <c r="E781" s="164">
        <f t="shared" si="100"/>
        <v>-2.5099999999999998</v>
      </c>
      <c r="F781" s="197">
        <f>SUM($E$2:E781)/SUM($C$2:C781)</f>
        <v>-1.0625732145493859E-2</v>
      </c>
      <c r="G781" s="164">
        <f t="shared" si="101"/>
        <v>-25.905959999999993</v>
      </c>
      <c r="H781" s="485" t="s">
        <v>26</v>
      </c>
      <c r="I781" s="2"/>
      <c r="J781" s="2"/>
      <c r="K781" s="2"/>
      <c r="L781" s="2"/>
      <c r="O781" s="58"/>
      <c r="P781" s="58"/>
    </row>
    <row r="782" spans="2:16">
      <c r="B782" s="652"/>
      <c r="C782" s="484">
        <v>2.5099999999999998</v>
      </c>
      <c r="D782" s="536"/>
      <c r="E782" s="164">
        <f t="shared" si="100"/>
        <v>-2.5099999999999998</v>
      </c>
      <c r="F782" s="197">
        <f>SUM($E$2:E782)/SUM($C$2:C782)</f>
        <v>-1.1643260740406806E-2</v>
      </c>
      <c r="G782" s="164">
        <f t="shared" si="101"/>
        <v>-28.415959999999991</v>
      </c>
      <c r="H782" s="485" t="s">
        <v>53</v>
      </c>
      <c r="I782" s="2"/>
      <c r="J782" s="2"/>
      <c r="K782" s="2"/>
      <c r="L782" s="2"/>
      <c r="O782" s="58"/>
      <c r="P782" s="58"/>
    </row>
    <row r="783" spans="2:16">
      <c r="B783" s="652"/>
      <c r="C783" s="484">
        <v>2.5099999999999998</v>
      </c>
      <c r="D783" s="536"/>
      <c r="E783" s="164">
        <f t="shared" si="100"/>
        <v>-2.5099999999999998</v>
      </c>
      <c r="F783" s="197">
        <f>SUM($E$2:E783)/SUM($C$2:C783)</f>
        <v>-1.2658698517432978E-2</v>
      </c>
      <c r="G783" s="164">
        <f t="shared" si="101"/>
        <v>-30.925959999999989</v>
      </c>
      <c r="H783" s="485" t="s">
        <v>34</v>
      </c>
      <c r="I783" s="2"/>
      <c r="J783" s="2"/>
      <c r="K783" s="2"/>
      <c r="L783" s="2"/>
      <c r="O783" s="58"/>
      <c r="P783" s="58"/>
    </row>
    <row r="784" spans="2:16">
      <c r="B784" s="651"/>
      <c r="C784" s="491">
        <v>2.5099999999999998</v>
      </c>
      <c r="D784" s="535"/>
      <c r="E784" s="257">
        <f t="shared" si="100"/>
        <v>-2.5099999999999998</v>
      </c>
      <c r="F784" s="256">
        <f>SUM($E$2:E784)/SUM($C$2:C784)</f>
        <v>-1.3672051914277568E-2</v>
      </c>
      <c r="G784" s="257">
        <f t="shared" si="101"/>
        <v>-33.435959999999987</v>
      </c>
      <c r="H784" s="492" t="s">
        <v>29</v>
      </c>
      <c r="I784" s="2">
        <f>SUM(E775:E784)</f>
        <v>-10.793000000000001</v>
      </c>
      <c r="L784" s="2">
        <f>I784/C784</f>
        <v>-4.3000000000000007</v>
      </c>
      <c r="O784" s="58"/>
      <c r="P784" s="58"/>
    </row>
    <row r="785" spans="2:16">
      <c r="B785" s="652">
        <v>46038</v>
      </c>
      <c r="C785" s="484">
        <v>3.7</v>
      </c>
      <c r="D785" s="536">
        <v>1.9</v>
      </c>
      <c r="E785" s="164">
        <f t="shared" ref="E785:E789" si="102">(C785*D785)-C785</f>
        <v>3.33</v>
      </c>
      <c r="F785" s="197">
        <f>SUM($E$2:E785)/SUM($C$2:C785)</f>
        <v>-1.2291809396269017E-2</v>
      </c>
      <c r="G785" s="164">
        <f t="shared" ref="G785:G789" si="103">G784+E785</f>
        <v>-30.105959999999989</v>
      </c>
      <c r="H785" s="485" t="s">
        <v>28</v>
      </c>
      <c r="I785" s="2"/>
      <c r="J785" s="2"/>
      <c r="K785" s="2"/>
      <c r="L785" s="2"/>
      <c r="O785" s="58"/>
      <c r="P785" s="58"/>
    </row>
    <row r="786" spans="2:16">
      <c r="B786" s="652"/>
      <c r="C786" s="491">
        <v>3.7</v>
      </c>
      <c r="D786" s="535"/>
      <c r="E786" s="257">
        <f t="shared" si="102"/>
        <v>-3.7</v>
      </c>
      <c r="F786" s="256">
        <f>SUM($E$2:E786)/SUM($C$2:C786)</f>
        <v>-1.3781644292429096E-2</v>
      </c>
      <c r="G786" s="257">
        <f t="shared" si="103"/>
        <v>-33.805959999999992</v>
      </c>
      <c r="H786" s="492" t="s">
        <v>38</v>
      </c>
      <c r="I786" s="2"/>
      <c r="J786" s="2"/>
      <c r="K786" s="2"/>
      <c r="L786" s="2"/>
      <c r="O786" s="58"/>
      <c r="P786" s="58"/>
    </row>
    <row r="787" spans="2:16">
      <c r="B787" s="652"/>
      <c r="C787" s="491">
        <v>3.7</v>
      </c>
      <c r="D787" s="535">
        <v>1.9</v>
      </c>
      <c r="E787" s="257">
        <f t="shared" si="102"/>
        <v>3.33</v>
      </c>
      <c r="F787" s="256">
        <f>SUM($E$2:E787)/SUM($C$2:C787)</f>
        <v>-1.2405394293901835E-2</v>
      </c>
      <c r="G787" s="257">
        <f t="shared" si="103"/>
        <v>-30.475959999999993</v>
      </c>
      <c r="H787" s="492" t="s">
        <v>280</v>
      </c>
      <c r="I787" s="2"/>
      <c r="J787" s="2"/>
      <c r="K787" s="2"/>
      <c r="L787" s="2"/>
      <c r="O787" s="58"/>
      <c r="P787" s="58"/>
    </row>
    <row r="788" spans="2:16">
      <c r="B788" s="652"/>
      <c r="C788" s="484">
        <v>3.7</v>
      </c>
      <c r="D788" s="536"/>
      <c r="E788" s="164">
        <f t="shared" si="102"/>
        <v>-3.7</v>
      </c>
      <c r="F788" s="197">
        <f>SUM($E$2:E788)/SUM($C$2:C788)</f>
        <v>-1.3890577433475375E-2</v>
      </c>
      <c r="G788" s="164">
        <f t="shared" si="103"/>
        <v>-34.175959999999996</v>
      </c>
      <c r="H788" s="485" t="s">
        <v>13</v>
      </c>
      <c r="I788" s="2"/>
      <c r="J788" s="2"/>
      <c r="K788" s="2"/>
      <c r="L788" s="2"/>
      <c r="O788" s="58"/>
      <c r="P788" s="58"/>
    </row>
    <row r="789" spans="2:16">
      <c r="B789" s="652"/>
      <c r="C789" s="491">
        <v>3.7</v>
      </c>
      <c r="D789" s="535"/>
      <c r="E789" s="257">
        <f t="shared" si="102"/>
        <v>-3.7</v>
      </c>
      <c r="F789" s="256">
        <f>SUM($E$2:E789)/SUM($C$2:C789)</f>
        <v>-1.537130032831851E-2</v>
      </c>
      <c r="G789" s="257">
        <f t="shared" si="103"/>
        <v>-37.875959999999999</v>
      </c>
      <c r="H789" s="492" t="s">
        <v>25</v>
      </c>
      <c r="I789" s="2">
        <f>SUM(E785:E789)</f>
        <v>-4.4400000000000004</v>
      </c>
      <c r="L789" s="2">
        <f>I789/C789</f>
        <v>-1.2</v>
      </c>
      <c r="O789" s="58"/>
      <c r="P789" s="58"/>
    </row>
    <row r="790" spans="2:16">
      <c r="B790" s="650">
        <v>46040</v>
      </c>
      <c r="C790" s="484">
        <v>3.68</v>
      </c>
      <c r="D790" s="536"/>
      <c r="E790" s="164">
        <f t="shared" ref="E790:E793" si="104">(C790*D790)-C790</f>
        <v>-3.68</v>
      </c>
      <c r="F790" s="197">
        <f>SUM($E$2:E790)/SUM($C$2:C790)</f>
        <v>-1.6839615033937706E-2</v>
      </c>
      <c r="G790" s="164">
        <f t="shared" ref="G790:G793" si="105">G789+E790</f>
        <v>-41.555959999999999</v>
      </c>
      <c r="H790" s="526" t="s">
        <v>26</v>
      </c>
      <c r="I790" s="2"/>
      <c r="J790" s="2"/>
      <c r="K790" s="2"/>
      <c r="L790" s="2"/>
      <c r="O790" s="58"/>
      <c r="P790" s="58"/>
    </row>
    <row r="791" spans="2:16">
      <c r="B791" s="652"/>
      <c r="C791" s="491">
        <v>3.68</v>
      </c>
      <c r="D791" s="535">
        <v>1.9</v>
      </c>
      <c r="E791" s="257">
        <f t="shared" si="104"/>
        <v>3.3119999999999998</v>
      </c>
      <c r="F791" s="256">
        <f>SUM($E$2:E791)/SUM($C$2:C791)</f>
        <v>-1.5474425737326082E-2</v>
      </c>
      <c r="G791" s="257">
        <f t="shared" si="105"/>
        <v>-38.243960000000001</v>
      </c>
      <c r="H791" s="492" t="s">
        <v>38</v>
      </c>
      <c r="I791" s="2"/>
      <c r="J791" s="2"/>
      <c r="K791" s="2"/>
      <c r="L791" s="2"/>
      <c r="O791" s="58"/>
      <c r="P791" s="58"/>
    </row>
    <row r="792" spans="2:16">
      <c r="B792" s="652"/>
      <c r="C792" s="539">
        <v>5</v>
      </c>
      <c r="D792" s="535">
        <v>1.9</v>
      </c>
      <c r="E792" s="257">
        <f t="shared" si="104"/>
        <v>4.5</v>
      </c>
      <c r="F792" s="256">
        <f>SUM($E$2:E792)/SUM($C$2:C792)</f>
        <v>-1.3626050403201312E-2</v>
      </c>
      <c r="G792" s="257">
        <f t="shared" si="105"/>
        <v>-33.743960000000001</v>
      </c>
      <c r="H792" s="492" t="s">
        <v>281</v>
      </c>
      <c r="I792" s="2"/>
      <c r="J792" s="2"/>
      <c r="K792" s="2"/>
      <c r="L792" s="2"/>
      <c r="O792" s="58"/>
      <c r="P792" s="58"/>
    </row>
    <row r="793" spans="2:16">
      <c r="B793" s="651"/>
      <c r="C793" s="491">
        <v>3.68</v>
      </c>
      <c r="D793" s="535">
        <v>1.984</v>
      </c>
      <c r="E793" s="257">
        <f t="shared" si="104"/>
        <v>3.6211199999999999</v>
      </c>
      <c r="F793" s="256">
        <f>SUM($E$2:E793)/SUM($C$2:C793)</f>
        <v>-1.2145767728044257E-2</v>
      </c>
      <c r="G793" s="257">
        <f t="shared" si="105"/>
        <v>-30.12284</v>
      </c>
      <c r="H793" s="492" t="s">
        <v>10</v>
      </c>
      <c r="I793" s="490">
        <f>SUM(E790:E793)</f>
        <v>7.7531199999999991</v>
      </c>
      <c r="J793" s="490">
        <f>SUM(E757:E793)</f>
        <v>38.596669999999996</v>
      </c>
      <c r="L793" s="2">
        <f>I793/C793</f>
        <v>2.1068260869565214</v>
      </c>
      <c r="O793" s="58"/>
      <c r="P793" s="58"/>
    </row>
    <row r="794" spans="2:16">
      <c r="B794" s="652">
        <v>46041</v>
      </c>
      <c r="C794" s="484">
        <v>2.48</v>
      </c>
      <c r="D794" s="536">
        <v>1.87</v>
      </c>
      <c r="E794" s="164">
        <f t="shared" ref="E794:E802" si="106">(C794*D794)-C794</f>
        <v>2.1576</v>
      </c>
      <c r="F794" s="197">
        <f>SUM($E$2:E794)/SUM($C$2:C794)</f>
        <v>-1.1264542272384831E-2</v>
      </c>
      <c r="G794" s="164">
        <f t="shared" ref="G794:G802" si="107">G793+E794</f>
        <v>-27.965240000000001</v>
      </c>
      <c r="H794" s="485" t="s">
        <v>46</v>
      </c>
      <c r="I794" s="2"/>
      <c r="J794" s="2"/>
      <c r="K794" s="2"/>
      <c r="L794" s="2"/>
      <c r="O794" s="58"/>
      <c r="P794" s="58"/>
    </row>
    <row r="795" spans="2:16">
      <c r="B795" s="652"/>
      <c r="C795" s="484">
        <v>2.48</v>
      </c>
      <c r="D795" s="536">
        <v>1.9390000000000001</v>
      </c>
      <c r="E795" s="164">
        <f t="shared" si="106"/>
        <v>2.3287200000000001</v>
      </c>
      <c r="F795" s="197">
        <f>SUM($E$2:E795)/SUM($C$2:C795)</f>
        <v>-1.0316216444607141E-2</v>
      </c>
      <c r="G795" s="164">
        <f t="shared" si="107"/>
        <v>-25.636520000000001</v>
      </c>
      <c r="H795" s="485" t="s">
        <v>12</v>
      </c>
      <c r="I795" s="2"/>
      <c r="J795" s="2"/>
      <c r="K795" s="2"/>
      <c r="L795" s="2"/>
      <c r="O795" s="58"/>
      <c r="P795" s="58"/>
    </row>
    <row r="796" spans="2:16">
      <c r="B796" s="652"/>
      <c r="C796" s="491">
        <v>2.48</v>
      </c>
      <c r="D796" s="535">
        <v>1.9</v>
      </c>
      <c r="E796" s="257">
        <f t="shared" si="106"/>
        <v>2.2319999999999998</v>
      </c>
      <c r="F796" s="256">
        <f>SUM($E$2:E796)/SUM($C$2:C796)</f>
        <v>-9.4086631424493503E-3</v>
      </c>
      <c r="G796" s="257">
        <f t="shared" si="107"/>
        <v>-23.404520000000002</v>
      </c>
      <c r="H796" s="492" t="s">
        <v>97</v>
      </c>
      <c r="I796" s="2"/>
      <c r="J796" s="2"/>
      <c r="K796" s="2"/>
      <c r="L796" s="2"/>
      <c r="O796" s="58"/>
      <c r="P796" s="58"/>
    </row>
    <row r="797" spans="2:16">
      <c r="B797" s="652"/>
      <c r="C797" s="484">
        <v>2.48</v>
      </c>
      <c r="D797" s="536"/>
      <c r="E797" s="164">
        <f t="shared" si="106"/>
        <v>-2.48</v>
      </c>
      <c r="F797" s="197">
        <f>SUM($E$2:E797)/SUM($C$2:C797)</f>
        <v>-1.0395264314084517E-2</v>
      </c>
      <c r="G797" s="164">
        <f t="shared" si="107"/>
        <v>-25.884520000000002</v>
      </c>
      <c r="H797" s="485" t="s">
        <v>282</v>
      </c>
      <c r="I797" s="2"/>
      <c r="J797" s="2"/>
      <c r="K797" s="2"/>
      <c r="L797" s="2"/>
      <c r="O797" s="58"/>
      <c r="P797" s="58"/>
    </row>
    <row r="798" spans="2:16">
      <c r="B798" s="652"/>
      <c r="C798" s="491">
        <v>2.48</v>
      </c>
      <c r="D798" s="535">
        <v>1.9</v>
      </c>
      <c r="E798" s="257">
        <f t="shared" si="106"/>
        <v>2.2319999999999998</v>
      </c>
      <c r="F798" s="256">
        <f>SUM($E$2:E798)/SUM($C$2:C798)</f>
        <v>-9.489438357318478E-3</v>
      </c>
      <c r="G798" s="257">
        <f t="shared" si="107"/>
        <v>-23.652520000000003</v>
      </c>
      <c r="H798" s="492" t="s">
        <v>283</v>
      </c>
      <c r="I798" s="2"/>
      <c r="J798" s="2"/>
      <c r="K798" s="2"/>
      <c r="L798" s="2"/>
      <c r="O798" s="58"/>
      <c r="P798" s="58"/>
    </row>
    <row r="799" spans="2:16">
      <c r="B799" s="652"/>
      <c r="C799" s="484">
        <v>2.48</v>
      </c>
      <c r="D799" s="536">
        <v>2.16</v>
      </c>
      <c r="E799" s="164">
        <f t="shared" si="106"/>
        <v>2.8768000000000007</v>
      </c>
      <c r="F799" s="197">
        <f>SUM($E$2:E799)/SUM($C$2:C799)</f>
        <v>-8.3269752584178274E-3</v>
      </c>
      <c r="G799" s="164">
        <f t="shared" si="107"/>
        <v>-20.775720000000003</v>
      </c>
      <c r="H799" s="485" t="s">
        <v>34</v>
      </c>
      <c r="I799" s="2"/>
      <c r="J799" s="2"/>
      <c r="K799" s="2"/>
      <c r="L799" s="2"/>
      <c r="O799" s="58"/>
      <c r="P799" s="58"/>
    </row>
    <row r="800" spans="2:16">
      <c r="B800" s="652"/>
      <c r="C800" s="484">
        <v>2.48</v>
      </c>
      <c r="D800" s="536"/>
      <c r="E800" s="164">
        <f t="shared" si="106"/>
        <v>-2.48</v>
      </c>
      <c r="F800" s="197">
        <f>SUM($E$2:E800)/SUM($C$2:C800)</f>
        <v>-9.3117114519893664E-3</v>
      </c>
      <c r="G800" s="164">
        <f t="shared" si="107"/>
        <v>-23.255720000000004</v>
      </c>
      <c r="H800" s="485" t="s">
        <v>11</v>
      </c>
      <c r="I800" s="2"/>
      <c r="J800" s="2"/>
      <c r="K800" s="2"/>
      <c r="L800" s="2"/>
      <c r="O800" s="58"/>
      <c r="P800" s="58"/>
    </row>
    <row r="801" spans="2:16">
      <c r="B801" s="652"/>
      <c r="C801" s="484">
        <v>2.48</v>
      </c>
      <c r="D801" s="536"/>
      <c r="E801" s="164">
        <f t="shared" si="106"/>
        <v>-2.48</v>
      </c>
      <c r="F801" s="197">
        <f>SUM($E$2:E801)/SUM($C$2:C801)</f>
        <v>-1.0294493889877746E-2</v>
      </c>
      <c r="G801" s="164">
        <f t="shared" si="107"/>
        <v>-25.735720000000004</v>
      </c>
      <c r="H801" s="485" t="s">
        <v>47</v>
      </c>
      <c r="I801" s="2"/>
      <c r="J801" s="2"/>
      <c r="K801" s="2"/>
      <c r="L801" s="2"/>
      <c r="O801" s="58"/>
      <c r="P801" s="58"/>
    </row>
    <row r="802" spans="2:16">
      <c r="B802" s="651"/>
      <c r="C802" s="491">
        <v>2.48</v>
      </c>
      <c r="D802" s="535">
        <v>1.4159999999999999</v>
      </c>
      <c r="E802" s="257">
        <f t="shared" si="106"/>
        <v>1.0316799999999997</v>
      </c>
      <c r="F802" s="256">
        <f>SUM($E$2:E802)/SUM($C$2:C802)</f>
        <v>-9.8720203961748694E-3</v>
      </c>
      <c r="G802" s="257">
        <f t="shared" si="107"/>
        <v>-24.704040000000006</v>
      </c>
      <c r="H802" s="492" t="s">
        <v>27</v>
      </c>
      <c r="I802" s="2">
        <f>SUM(E794:E802)</f>
        <v>5.4187999999999992</v>
      </c>
      <c r="L802" s="2">
        <f>I802/C802</f>
        <v>2.1849999999999996</v>
      </c>
      <c r="O802" s="58"/>
      <c r="P802" s="58"/>
    </row>
    <row r="803" spans="2:16">
      <c r="B803" s="652">
        <v>46042</v>
      </c>
      <c r="C803" s="484">
        <v>3.22</v>
      </c>
      <c r="D803" s="536">
        <v>1.9</v>
      </c>
      <c r="E803" s="164">
        <f t="shared" ref="E803:E807" si="108">(C803*D803)-C803</f>
        <v>2.8980000000000001</v>
      </c>
      <c r="F803" s="197">
        <f>SUM($E$2:E803)/SUM($C$2:C803)</f>
        <v>-8.70274778999457E-3</v>
      </c>
      <c r="G803" s="164">
        <f t="shared" ref="G803:G807" si="109">G802+E803</f>
        <v>-21.806040000000007</v>
      </c>
      <c r="H803" s="485" t="s">
        <v>284</v>
      </c>
      <c r="I803" s="2"/>
      <c r="J803" s="2"/>
      <c r="K803" s="2"/>
      <c r="L803" s="2"/>
      <c r="O803" s="58"/>
      <c r="P803" s="58"/>
    </row>
    <row r="804" spans="2:16">
      <c r="B804" s="652"/>
      <c r="C804" s="491">
        <v>3.22</v>
      </c>
      <c r="D804" s="535"/>
      <c r="E804" s="257">
        <f t="shared" si="108"/>
        <v>-3.22</v>
      </c>
      <c r="F804" s="256">
        <f>SUM($E$2:E804)/SUM($C$2:C804)</f>
        <v>-9.975024612674183E-3</v>
      </c>
      <c r="G804" s="257">
        <f t="shared" si="109"/>
        <v>-25.026040000000005</v>
      </c>
      <c r="H804" s="492" t="s">
        <v>285</v>
      </c>
      <c r="I804" s="2"/>
      <c r="J804" s="2"/>
      <c r="K804" s="2"/>
      <c r="L804" s="2"/>
      <c r="O804" s="58"/>
      <c r="P804" s="58"/>
    </row>
    <row r="805" spans="2:16">
      <c r="B805" s="652"/>
      <c r="C805" s="484">
        <v>3.22</v>
      </c>
      <c r="D805" s="536">
        <v>5.7</v>
      </c>
      <c r="E805" s="164">
        <f t="shared" si="108"/>
        <v>15.134000000000002</v>
      </c>
      <c r="F805" s="197">
        <f>SUM($E$2:E805)/SUM($C$2:C805)</f>
        <v>-3.9377729301099699E-3</v>
      </c>
      <c r="G805" s="164">
        <f t="shared" si="109"/>
        <v>-9.8920400000000033</v>
      </c>
      <c r="H805" s="485" t="s">
        <v>47</v>
      </c>
      <c r="I805" s="2"/>
      <c r="J805" s="2"/>
      <c r="K805" s="2"/>
      <c r="L805" s="2"/>
      <c r="O805" s="58"/>
      <c r="P805" s="58"/>
    </row>
    <row r="806" spans="2:16">
      <c r="B806" s="652"/>
      <c r="C806" s="484">
        <v>3.22</v>
      </c>
      <c r="D806" s="536"/>
      <c r="E806" s="164">
        <f t="shared" si="108"/>
        <v>-3.22</v>
      </c>
      <c r="F806" s="197">
        <f>SUM($E$2:E806)/SUM($C$2:C806)</f>
        <v>-5.2128922478739959E-3</v>
      </c>
      <c r="G806" s="164">
        <f t="shared" si="109"/>
        <v>-13.112040000000004</v>
      </c>
      <c r="H806" s="485" t="s">
        <v>59</v>
      </c>
      <c r="I806" s="2"/>
      <c r="J806" s="2"/>
      <c r="K806" s="2"/>
      <c r="L806" s="2"/>
      <c r="O806" s="58"/>
      <c r="P806" s="58"/>
    </row>
    <row r="807" spans="2:16">
      <c r="B807" s="652"/>
      <c r="C807" s="491">
        <v>3.22</v>
      </c>
      <c r="D807" s="535"/>
      <c r="E807" s="257">
        <f t="shared" si="108"/>
        <v>-3.22</v>
      </c>
      <c r="F807" s="256">
        <f>SUM($E$2:E807)/SUM($C$2:C807)</f>
        <v>-6.484751025399707E-3</v>
      </c>
      <c r="G807" s="257">
        <f t="shared" si="109"/>
        <v>-16.332040000000003</v>
      </c>
      <c r="H807" s="492" t="s">
        <v>38</v>
      </c>
      <c r="I807" s="2">
        <f>SUM(E803:E807)</f>
        <v>8.3719999999999999</v>
      </c>
      <c r="L807" s="2">
        <f>I807/C807</f>
        <v>2.5999999999999996</v>
      </c>
      <c r="O807" s="58"/>
      <c r="P807" s="58"/>
    </row>
    <row r="808" spans="2:16">
      <c r="B808" s="650">
        <v>46043</v>
      </c>
      <c r="C808" s="484">
        <v>3.26</v>
      </c>
      <c r="D808" s="536">
        <v>1.88</v>
      </c>
      <c r="E808" s="164">
        <f t="shared" ref="E808:E812" si="110">(C808*D808)-C808</f>
        <v>2.8687999999999994</v>
      </c>
      <c r="F808" s="197">
        <f>SUM($E$2:E808)/SUM($C$2:C808)</f>
        <v>-5.3387633387395215E-3</v>
      </c>
      <c r="G808" s="164">
        <f t="shared" ref="G808:G812" si="111">G807+E808</f>
        <v>-13.463240000000003</v>
      </c>
      <c r="H808" s="485" t="s">
        <v>15</v>
      </c>
      <c r="I808" s="2"/>
      <c r="J808" s="2"/>
      <c r="K808" s="2"/>
      <c r="L808" s="2"/>
      <c r="O808" s="58"/>
      <c r="P808" s="58"/>
    </row>
    <row r="809" spans="2:16">
      <c r="B809" s="652"/>
      <c r="C809" s="491">
        <v>3.26</v>
      </c>
      <c r="D809" s="535"/>
      <c r="E809" s="257">
        <f t="shared" si="110"/>
        <v>-3.26</v>
      </c>
      <c r="F809" s="256">
        <f>SUM($E$2:E809)/SUM($C$2:C809)</f>
        <v>-6.6229341993227549E-3</v>
      </c>
      <c r="G809" s="257">
        <f t="shared" si="111"/>
        <v>-16.723240000000004</v>
      </c>
      <c r="H809" s="540" t="s">
        <v>26</v>
      </c>
      <c r="I809" s="2"/>
      <c r="J809" s="2"/>
      <c r="K809" s="2"/>
      <c r="L809" s="2"/>
      <c r="O809" s="58"/>
      <c r="P809" s="58"/>
    </row>
    <row r="810" spans="2:16">
      <c r="B810" s="652"/>
      <c r="C810" s="491">
        <v>3.26</v>
      </c>
      <c r="D810" s="535">
        <v>1.9</v>
      </c>
      <c r="E810" s="257">
        <f t="shared" si="110"/>
        <v>2.9339999999999993</v>
      </c>
      <c r="F810" s="256">
        <f>SUM($E$2:E810)/SUM($C$2:C810)</f>
        <v>-5.453935632893093E-3</v>
      </c>
      <c r="G810" s="257">
        <f t="shared" si="111"/>
        <v>-13.789240000000005</v>
      </c>
      <c r="H810" s="492" t="s">
        <v>286</v>
      </c>
      <c r="I810" s="2"/>
      <c r="J810" s="2"/>
      <c r="K810" s="2"/>
      <c r="L810" s="2"/>
      <c r="O810" s="58"/>
      <c r="P810" s="58"/>
    </row>
    <row r="811" spans="2:16">
      <c r="B811" s="652"/>
      <c r="C811" s="484">
        <v>3.26</v>
      </c>
      <c r="D811" s="536"/>
      <c r="E811" s="164">
        <f t="shared" si="110"/>
        <v>-3.26</v>
      </c>
      <c r="F811" s="197">
        <f>SUM($E$2:E811)/SUM($C$2:C811)</f>
        <v>-6.7346508293272232E-3</v>
      </c>
      <c r="G811" s="164">
        <f t="shared" si="111"/>
        <v>-17.049240000000005</v>
      </c>
      <c r="H811" s="485" t="s">
        <v>13</v>
      </c>
      <c r="I811" s="2"/>
      <c r="J811" s="2"/>
      <c r="K811" s="2"/>
      <c r="L811" s="2"/>
      <c r="O811" s="58"/>
      <c r="P811" s="58"/>
    </row>
    <row r="812" spans="2:16">
      <c r="B812" s="651"/>
      <c r="C812" s="491">
        <v>3.26</v>
      </c>
      <c r="D812" s="535"/>
      <c r="E812" s="257">
        <f t="shared" si="110"/>
        <v>-3.26</v>
      </c>
      <c r="F812" s="256">
        <f>SUM($E$2:E812)/SUM($C$2:C812)</f>
        <v>-8.0120718154668737E-3</v>
      </c>
      <c r="G812" s="257">
        <f t="shared" si="111"/>
        <v>-20.309240000000003</v>
      </c>
      <c r="H812" s="492" t="s">
        <v>34</v>
      </c>
      <c r="I812" s="2">
        <f>SUM(E808:E812)</f>
        <v>-3.9772000000000007</v>
      </c>
      <c r="L812" s="2">
        <f>I812/C812</f>
        <v>-1.2200000000000002</v>
      </c>
      <c r="O812" s="58"/>
      <c r="P812" s="58"/>
    </row>
    <row r="813" spans="2:16">
      <c r="B813" s="652">
        <v>46044</v>
      </c>
      <c r="C813" s="484">
        <v>2.83</v>
      </c>
      <c r="D813" s="536">
        <v>1.87</v>
      </c>
      <c r="E813" s="164">
        <f t="shared" ref="E813:E821" si="112">(C813*D813)-C813</f>
        <v>2.4621000000000004</v>
      </c>
      <c r="F813" s="197">
        <f>SUM($E$2:E813)/SUM($C$2:C813)</f>
        <v>-7.0329122104615715E-3</v>
      </c>
      <c r="G813" s="164">
        <f t="shared" ref="G813:G821" si="113">G812+E813</f>
        <v>-17.847140000000003</v>
      </c>
      <c r="H813" s="485" t="s">
        <v>104</v>
      </c>
      <c r="I813" s="2"/>
      <c r="J813" s="2"/>
      <c r="K813" s="2"/>
      <c r="L813" s="2"/>
      <c r="O813" s="58"/>
      <c r="P813" s="58"/>
    </row>
    <row r="814" spans="2:16">
      <c r="B814" s="652"/>
      <c r="C814" s="491">
        <v>2.83</v>
      </c>
      <c r="D814" s="535"/>
      <c r="E814" s="257">
        <f t="shared" si="112"/>
        <v>-2.83</v>
      </c>
      <c r="F814" s="256">
        <f>SUM($E$2:E814)/SUM($C$2:C814)</f>
        <v>-8.1390361701876007E-3</v>
      </c>
      <c r="G814" s="257">
        <f t="shared" si="113"/>
        <v>-20.677140000000001</v>
      </c>
      <c r="H814" s="492" t="s">
        <v>52</v>
      </c>
      <c r="I814" s="2"/>
      <c r="J814" s="2"/>
      <c r="K814" s="2"/>
      <c r="L814" s="2"/>
      <c r="O814" s="58"/>
      <c r="P814" s="58"/>
    </row>
    <row r="815" spans="2:16">
      <c r="B815" s="652"/>
      <c r="C815" s="484">
        <v>2.83</v>
      </c>
      <c r="D815" s="536">
        <v>1.86</v>
      </c>
      <c r="E815" s="164">
        <f t="shared" si="112"/>
        <v>2.4338000000000006</v>
      </c>
      <c r="F815" s="197">
        <f>SUM($E$2:E815)/SUM($C$2:C815)</f>
        <v>-7.1730415362596554E-3</v>
      </c>
      <c r="G815" s="164">
        <f t="shared" si="113"/>
        <v>-18.24334</v>
      </c>
      <c r="H815" s="485" t="s">
        <v>287</v>
      </c>
      <c r="I815" s="2"/>
      <c r="J815" s="2"/>
      <c r="K815" s="2"/>
      <c r="L815" s="2"/>
      <c r="O815" s="58"/>
      <c r="P815" s="58"/>
    </row>
    <row r="816" spans="2:16">
      <c r="B816" s="652"/>
      <c r="C816" s="491">
        <v>2.83</v>
      </c>
      <c r="D816" s="535">
        <v>1.87</v>
      </c>
      <c r="E816" s="257">
        <f t="shared" si="112"/>
        <v>2.4621000000000004</v>
      </c>
      <c r="F816" s="256">
        <f>SUM($E$2:E816)/SUM($C$2:C816)</f>
        <v>-6.1980794532921941E-3</v>
      </c>
      <c r="G816" s="257">
        <f t="shared" si="113"/>
        <v>-15.78124</v>
      </c>
      <c r="H816" s="492" t="s">
        <v>288</v>
      </c>
      <c r="I816" s="2"/>
      <c r="J816" s="2"/>
      <c r="K816" s="2"/>
      <c r="L816" s="2"/>
      <c r="O816" s="58"/>
      <c r="P816" s="58"/>
    </row>
    <row r="817" spans="2:16">
      <c r="B817" s="652"/>
      <c r="C817" s="484">
        <v>2.83</v>
      </c>
      <c r="D817" s="536">
        <v>2.9119999999999999</v>
      </c>
      <c r="E817" s="164">
        <f t="shared" si="112"/>
        <v>5.4109599999999993</v>
      </c>
      <c r="F817" s="197">
        <f>SUM($E$2:E817)/SUM($C$2:C817)</f>
        <v>-4.0684038321210638E-3</v>
      </c>
      <c r="G817" s="164">
        <f t="shared" si="113"/>
        <v>-10.370280000000001</v>
      </c>
      <c r="H817" s="485" t="s">
        <v>15</v>
      </c>
      <c r="I817" s="2"/>
      <c r="J817" s="2"/>
      <c r="K817" s="2"/>
      <c r="L817" s="2"/>
      <c r="O817" s="58"/>
      <c r="P817" s="58"/>
    </row>
    <row r="818" spans="2:16">
      <c r="B818" s="652"/>
      <c r="C818" s="484">
        <v>2.83</v>
      </c>
      <c r="D818" s="536">
        <v>2.0299999999999998</v>
      </c>
      <c r="E818" s="164">
        <f t="shared" si="112"/>
        <v>2.9148999999999994</v>
      </c>
      <c r="F818" s="197">
        <f>SUM($E$2:E818)/SUM($C$2:C818)</f>
        <v>-2.9216046649240988E-3</v>
      </c>
      <c r="G818" s="164">
        <f t="shared" si="113"/>
        <v>-7.4553800000000017</v>
      </c>
      <c r="H818" s="485" t="s">
        <v>51</v>
      </c>
      <c r="I818" s="2"/>
      <c r="J818" s="2"/>
      <c r="K818" s="2"/>
      <c r="L818" s="2"/>
      <c r="O818" s="58"/>
      <c r="P818" s="58"/>
    </row>
    <row r="819" spans="2:16">
      <c r="B819" s="652"/>
      <c r="C819" s="484">
        <v>2.83</v>
      </c>
      <c r="D819" s="536"/>
      <c r="E819" s="164">
        <f t="shared" si="112"/>
        <v>-2.83</v>
      </c>
      <c r="F819" s="197">
        <f>SUM($E$2:E819)/SUM($C$2:C819)</f>
        <v>-4.0261563273102869E-3</v>
      </c>
      <c r="G819" s="164">
        <f t="shared" si="113"/>
        <v>-10.285380000000002</v>
      </c>
      <c r="H819" s="485" t="s">
        <v>11</v>
      </c>
      <c r="I819" s="2"/>
      <c r="J819" s="2"/>
      <c r="K819" s="2"/>
      <c r="L819" s="2"/>
      <c r="O819" s="58"/>
      <c r="P819" s="58"/>
    </row>
    <row r="820" spans="2:16">
      <c r="B820" s="652"/>
      <c r="C820" s="484">
        <v>2.83</v>
      </c>
      <c r="D820" s="536">
        <v>2.82</v>
      </c>
      <c r="E820" s="164">
        <f t="shared" si="112"/>
        <v>5.1505999999999998</v>
      </c>
      <c r="F820" s="197">
        <f>SUM($E$2:E820)/SUM($C$2:C820)</f>
        <v>-2.0077576667565902E-3</v>
      </c>
      <c r="G820" s="164">
        <f t="shared" si="113"/>
        <v>-5.1347800000000019</v>
      </c>
      <c r="H820" s="485" t="s">
        <v>17</v>
      </c>
      <c r="I820" s="2"/>
      <c r="J820" s="2"/>
      <c r="K820" s="2"/>
      <c r="L820" s="2"/>
      <c r="O820" s="58"/>
      <c r="P820" s="58"/>
    </row>
    <row r="821" spans="2:16">
      <c r="B821" s="651"/>
      <c r="C821" s="491">
        <v>2.83</v>
      </c>
      <c r="D821" s="535"/>
      <c r="E821" s="257">
        <f t="shared" si="112"/>
        <v>-2.83</v>
      </c>
      <c r="F821" s="256">
        <f>SUM($E$2:E821)/SUM($C$2:C821)</f>
        <v>-3.1108776315275409E-3</v>
      </c>
      <c r="G821" s="257">
        <f t="shared" si="113"/>
        <v>-7.964780000000002</v>
      </c>
      <c r="H821" s="492" t="s">
        <v>47</v>
      </c>
      <c r="I821" s="2">
        <f>SUM(E813:E821)</f>
        <v>12.34446</v>
      </c>
      <c r="L821" s="2">
        <f>I821/C821</f>
        <v>4.3620000000000001</v>
      </c>
      <c r="O821" s="58"/>
      <c r="P821" s="58"/>
    </row>
    <row r="822" spans="2:16">
      <c r="B822" s="652">
        <v>46045</v>
      </c>
      <c r="C822" s="484">
        <v>2.88</v>
      </c>
      <c r="D822" s="536"/>
      <c r="E822" s="164">
        <f t="shared" ref="E822:E828" si="114">(C822*D822)-C822</f>
        <v>-2.88</v>
      </c>
      <c r="F822" s="197">
        <f>SUM($E$2:E822)/SUM($C$2:C822)</f>
        <v>-4.2309865089458984E-3</v>
      </c>
      <c r="G822" s="164">
        <f t="shared" ref="G822:G828" si="115">G821+E822</f>
        <v>-10.844780000000002</v>
      </c>
      <c r="H822" s="485" t="s">
        <v>46</v>
      </c>
      <c r="I822" s="2"/>
      <c r="J822" s="2"/>
      <c r="K822" s="2"/>
      <c r="L822" s="2"/>
      <c r="O822" s="58"/>
      <c r="P822" s="58"/>
    </row>
    <row r="823" spans="2:16">
      <c r="B823" s="652"/>
      <c r="C823" s="491">
        <v>2.88</v>
      </c>
      <c r="D823" s="535"/>
      <c r="E823" s="257">
        <f t="shared" si="114"/>
        <v>-2.88</v>
      </c>
      <c r="F823" s="256">
        <f>SUM($E$2:E823)/SUM($C$2:C823)</f>
        <v>-5.3485810931934311E-3</v>
      </c>
      <c r="G823" s="257">
        <f t="shared" si="115"/>
        <v>-13.724780000000003</v>
      </c>
      <c r="H823" s="492" t="s">
        <v>26</v>
      </c>
      <c r="I823" s="2"/>
      <c r="J823" s="2"/>
      <c r="K823" s="2"/>
      <c r="L823" s="2"/>
      <c r="O823" s="58"/>
      <c r="P823" s="58"/>
    </row>
    <row r="824" spans="2:16">
      <c r="B824" s="652"/>
      <c r="C824" s="484">
        <v>2.88</v>
      </c>
      <c r="D824" s="536"/>
      <c r="E824" s="164">
        <f t="shared" si="114"/>
        <v>-2.88</v>
      </c>
      <c r="F824" s="197">
        <f>SUM($E$2:E824)/SUM($C$2:C824)</f>
        <v>-6.4636698404789208E-3</v>
      </c>
      <c r="G824" s="164">
        <f t="shared" si="115"/>
        <v>-16.604780000000002</v>
      </c>
      <c r="H824" s="485" t="s">
        <v>289</v>
      </c>
      <c r="I824" s="2"/>
      <c r="J824" s="2"/>
      <c r="K824" s="2"/>
      <c r="L824" s="2"/>
      <c r="O824" s="58"/>
      <c r="P824" s="58"/>
    </row>
    <row r="825" spans="2:16">
      <c r="B825" s="652"/>
      <c r="C825" s="491">
        <v>2.88</v>
      </c>
      <c r="D825" s="535">
        <v>1.88</v>
      </c>
      <c r="E825" s="257">
        <f t="shared" si="114"/>
        <v>2.5343999999999998</v>
      </c>
      <c r="F825" s="256">
        <f>SUM($E$2:E825)/SUM($C$2:C825)</f>
        <v>-5.4709816394615217E-3</v>
      </c>
      <c r="G825" s="257">
        <f t="shared" si="115"/>
        <v>-14.070380000000002</v>
      </c>
      <c r="H825" s="492" t="s">
        <v>290</v>
      </c>
      <c r="I825" s="2"/>
      <c r="J825" s="2"/>
      <c r="K825" s="2"/>
      <c r="L825" s="2"/>
      <c r="O825" s="58"/>
      <c r="P825" s="58"/>
    </row>
    <row r="826" spans="2:16">
      <c r="B826" s="652"/>
      <c r="C826" s="484">
        <v>2.88</v>
      </c>
      <c r="D826" s="536">
        <v>2.52</v>
      </c>
      <c r="E826" s="164">
        <f t="shared" si="114"/>
        <v>4.3776000000000002</v>
      </c>
      <c r="F826" s="197">
        <f>SUM($E$2:E826)/SUM($C$2:C826)</f>
        <v>-3.7646250048549166E-3</v>
      </c>
      <c r="G826" s="164">
        <f t="shared" si="115"/>
        <v>-9.6927800000000026</v>
      </c>
      <c r="H826" s="485" t="s">
        <v>53</v>
      </c>
      <c r="I826" s="2"/>
      <c r="J826" s="2"/>
      <c r="K826" s="2"/>
      <c r="L826" s="2"/>
      <c r="O826" s="58"/>
      <c r="P826" s="58"/>
    </row>
    <row r="827" spans="2:16">
      <c r="B827" s="652"/>
      <c r="C827" s="484">
        <v>2.88</v>
      </c>
      <c r="D827" s="536">
        <v>2.33</v>
      </c>
      <c r="E827" s="164">
        <f t="shared" si="114"/>
        <v>3.8304</v>
      </c>
      <c r="F827" s="197">
        <f>SUM($E$2:E827)/SUM($C$2:C827)</f>
        <v>-2.274373637287678E-3</v>
      </c>
      <c r="G827" s="164">
        <f t="shared" si="115"/>
        <v>-5.8623800000000026</v>
      </c>
      <c r="H827" s="485" t="s">
        <v>14</v>
      </c>
      <c r="I827" s="2"/>
      <c r="J827" s="2"/>
      <c r="K827" s="2"/>
      <c r="L827" s="2"/>
      <c r="O827" s="58"/>
      <c r="P827" s="58"/>
    </row>
    <row r="828" spans="2:16">
      <c r="B828" s="652"/>
      <c r="C828" s="491">
        <v>2.88</v>
      </c>
      <c r="D828" s="535"/>
      <c r="E828" s="257">
        <f t="shared" si="114"/>
        <v>-2.88</v>
      </c>
      <c r="F828" s="256">
        <f>SUM($E$2:E828)/SUM($C$2:C828)</f>
        <v>-3.3879153329251211E-3</v>
      </c>
      <c r="G828" s="257">
        <f t="shared" si="115"/>
        <v>-8.7423800000000025</v>
      </c>
      <c r="H828" s="492" t="s">
        <v>52</v>
      </c>
      <c r="I828" s="2">
        <f>SUM(E822:E828)</f>
        <v>-0.77760000000000051</v>
      </c>
      <c r="L828" s="2">
        <f>I828/C828</f>
        <v>-0.27000000000000018</v>
      </c>
      <c r="O828" s="58"/>
      <c r="P828" s="58"/>
    </row>
    <row r="829" spans="2:16">
      <c r="B829" s="650">
        <v>46046</v>
      </c>
      <c r="C829" s="484">
        <v>3.29</v>
      </c>
      <c r="D829" s="536">
        <v>1.9</v>
      </c>
      <c r="E829" s="164">
        <f t="shared" ref="E829:E842" si="116">(C829*D829)-C829</f>
        <v>2.9609999999999994</v>
      </c>
      <c r="F829" s="197">
        <f>SUM($E$2:E829)/SUM($C$2:C829)</f>
        <v>-2.2375926463473533E-3</v>
      </c>
      <c r="G829" s="164">
        <f t="shared" ref="G829:G842" si="117">G828+E829</f>
        <v>-5.7813800000000031</v>
      </c>
      <c r="H829" s="485" t="s">
        <v>15</v>
      </c>
      <c r="I829" s="2"/>
      <c r="J829" s="2"/>
      <c r="K829" s="2"/>
      <c r="L829" s="2"/>
      <c r="O829" s="58"/>
      <c r="P829" s="58"/>
    </row>
    <row r="830" spans="2:16">
      <c r="B830" s="652"/>
      <c r="C830" s="484">
        <v>3.29</v>
      </c>
      <c r="D830" s="541">
        <v>1.86</v>
      </c>
      <c r="E830" s="164">
        <f t="shared" si="116"/>
        <v>2.8294000000000006</v>
      </c>
      <c r="F830" s="197">
        <f>SUM($E$2:E830)/SUM($C$2:C830)</f>
        <v>-1.1410646916939775E-3</v>
      </c>
      <c r="G830" s="164">
        <f t="shared" si="117"/>
        <v>-2.9519800000000025</v>
      </c>
      <c r="H830" s="485" t="s">
        <v>51</v>
      </c>
      <c r="I830" s="2"/>
      <c r="J830" s="2"/>
      <c r="K830" s="2"/>
      <c r="L830" s="2"/>
      <c r="O830" s="58"/>
      <c r="P830" s="58"/>
    </row>
    <row r="831" spans="2:16">
      <c r="B831" s="652"/>
      <c r="C831" s="484">
        <v>3.29</v>
      </c>
      <c r="D831" s="536">
        <v>1.84</v>
      </c>
      <c r="E831" s="164">
        <f t="shared" si="116"/>
        <v>2.7636000000000003</v>
      </c>
      <c r="F831" s="197">
        <f>SUM($E$2:E831)/SUM($C$2:C831)</f>
        <v>-7.272432469994219E-5</v>
      </c>
      <c r="G831" s="164">
        <f t="shared" si="117"/>
        <v>-0.18838000000000221</v>
      </c>
      <c r="H831" s="485" t="s">
        <v>64</v>
      </c>
      <c r="I831" s="2"/>
      <c r="J831" s="2"/>
      <c r="K831" s="2"/>
      <c r="L831" s="2"/>
      <c r="O831" s="58"/>
      <c r="P831" s="58"/>
    </row>
    <row r="832" spans="2:16">
      <c r="B832" s="652"/>
      <c r="C832" s="484">
        <v>3.29</v>
      </c>
      <c r="D832" s="536">
        <v>1.8620000000000001</v>
      </c>
      <c r="E832" s="164">
        <f t="shared" si="116"/>
        <v>2.8359800000000002</v>
      </c>
      <c r="F832" s="197">
        <f>SUM($E$2:E832)/SUM($C$2:C832)</f>
        <v>1.0208126094030678E-3</v>
      </c>
      <c r="G832" s="164">
        <f t="shared" si="117"/>
        <v>2.647599999999998</v>
      </c>
      <c r="H832" s="485" t="s">
        <v>35</v>
      </c>
      <c r="I832" s="2"/>
      <c r="J832" s="2"/>
      <c r="K832" s="2"/>
      <c r="L832" s="2"/>
      <c r="O832" s="58"/>
      <c r="P832" s="58"/>
    </row>
    <row r="833" spans="2:16">
      <c r="B833" s="652"/>
      <c r="C833" s="491">
        <v>3.29</v>
      </c>
      <c r="D833" s="535">
        <v>1.87</v>
      </c>
      <c r="E833" s="257">
        <f t="shared" si="116"/>
        <v>2.8623000000000003</v>
      </c>
      <c r="F833" s="256">
        <f>SUM($E$2:E833)/SUM($C$2:C833)</f>
        <v>2.121713883037907E-3</v>
      </c>
      <c r="G833" s="257">
        <f t="shared" si="117"/>
        <v>5.5098999999999982</v>
      </c>
      <c r="H833" s="492" t="s">
        <v>47</v>
      </c>
      <c r="I833" s="2"/>
      <c r="J833" s="2"/>
      <c r="K833" s="2"/>
      <c r="L833" s="2"/>
      <c r="O833" s="58"/>
      <c r="P833" s="58"/>
    </row>
    <row r="834" spans="2:16">
      <c r="B834" s="652"/>
      <c r="C834" s="484">
        <v>3.29</v>
      </c>
      <c r="D834" s="536"/>
      <c r="E834" s="164">
        <f t="shared" si="116"/>
        <v>-3.29</v>
      </c>
      <c r="F834" s="197">
        <f>SUM($E$2:E834)/SUM($C$2:C834)</f>
        <v>8.5374201984462236E-4</v>
      </c>
      <c r="G834" s="164">
        <f t="shared" si="117"/>
        <v>2.2198999999999982</v>
      </c>
      <c r="H834" s="485" t="s">
        <v>213</v>
      </c>
      <c r="I834" s="2"/>
      <c r="J834" s="2"/>
      <c r="K834" s="2"/>
      <c r="L834" s="2"/>
      <c r="O834" s="58"/>
      <c r="P834" s="58"/>
    </row>
    <row r="835" spans="2:16">
      <c r="B835" s="652"/>
      <c r="C835" s="484">
        <v>3.29</v>
      </c>
      <c r="D835" s="541">
        <v>1.87</v>
      </c>
      <c r="E835" s="164">
        <f t="shared" si="116"/>
        <v>2.8623000000000003</v>
      </c>
      <c r="F835" s="197">
        <f>SUM($E$2:E835)/SUM($C$2:C835)</f>
        <v>1.9520720263953282E-3</v>
      </c>
      <c r="G835" s="164">
        <f t="shared" si="117"/>
        <v>5.0821999999999985</v>
      </c>
      <c r="H835" s="485" t="s">
        <v>291</v>
      </c>
      <c r="I835" s="2"/>
      <c r="J835" s="2"/>
      <c r="K835" s="2"/>
      <c r="L835" s="2"/>
      <c r="O835" s="58"/>
      <c r="P835" s="58"/>
    </row>
    <row r="836" spans="2:16">
      <c r="B836" s="652"/>
      <c r="C836" s="484">
        <v>3.29</v>
      </c>
      <c r="D836" s="536">
        <v>1.8560000000000001</v>
      </c>
      <c r="E836" s="164">
        <f t="shared" si="116"/>
        <v>2.8162400000000005</v>
      </c>
      <c r="F836" s="197">
        <f>SUM($E$2:E836)/SUM($C$2:C836)</f>
        <v>3.0299603342054029E-3</v>
      </c>
      <c r="G836" s="164">
        <f t="shared" si="117"/>
        <v>7.898439999999999</v>
      </c>
      <c r="H836" s="485" t="s">
        <v>292</v>
      </c>
      <c r="I836" s="2"/>
      <c r="J836" s="2"/>
      <c r="K836" s="2"/>
      <c r="L836" s="2"/>
      <c r="O836" s="58"/>
      <c r="P836" s="58"/>
    </row>
    <row r="837" spans="2:16">
      <c r="B837" s="652"/>
      <c r="C837" s="484">
        <v>3.29</v>
      </c>
      <c r="D837" s="536">
        <v>1.9</v>
      </c>
      <c r="E837" s="164">
        <f t="shared" si="116"/>
        <v>2.9609999999999994</v>
      </c>
      <c r="F837" s="197">
        <f>SUM($E$2:E837)/SUM($C$2:C837)</f>
        <v>4.1605933940468826E-3</v>
      </c>
      <c r="G837" s="164">
        <f t="shared" si="117"/>
        <v>10.859439999999999</v>
      </c>
      <c r="H837" s="485" t="s">
        <v>293</v>
      </c>
      <c r="I837" s="2"/>
      <c r="J837" s="2"/>
      <c r="K837" s="2"/>
      <c r="L837" s="2"/>
      <c r="O837" s="58"/>
      <c r="P837" s="58"/>
    </row>
    <row r="838" spans="2:16">
      <c r="B838" s="652"/>
      <c r="C838" s="484">
        <v>3.29</v>
      </c>
      <c r="D838" s="536">
        <v>1.9</v>
      </c>
      <c r="E838" s="164">
        <f t="shared" si="116"/>
        <v>2.9609999999999994</v>
      </c>
      <c r="F838" s="197">
        <f>SUM($E$2:E838)/SUM($C$2:C838)</f>
        <v>5.2883797104110912E-3</v>
      </c>
      <c r="G838" s="164">
        <f t="shared" si="117"/>
        <v>13.820439999999998</v>
      </c>
      <c r="H838" s="485" t="s">
        <v>294</v>
      </c>
      <c r="I838" s="2"/>
      <c r="J838" s="2"/>
      <c r="K838" s="2"/>
      <c r="L838" s="2"/>
      <c r="O838" s="58"/>
      <c r="P838" s="58"/>
    </row>
    <row r="839" spans="2:16">
      <c r="B839" s="652"/>
      <c r="C839" s="491">
        <v>3.29</v>
      </c>
      <c r="D839" s="535"/>
      <c r="E839" s="257">
        <f t="shared" si="116"/>
        <v>-3.29</v>
      </c>
      <c r="F839" s="256">
        <f>SUM($E$2:E839)/SUM($C$2:C839)</f>
        <v>4.0243976076280536E-3</v>
      </c>
      <c r="G839" s="257">
        <f t="shared" si="117"/>
        <v>10.530439999999999</v>
      </c>
      <c r="H839" s="492" t="s">
        <v>295</v>
      </c>
      <c r="I839" s="2"/>
      <c r="J839" s="2"/>
      <c r="K839" s="2"/>
      <c r="L839" s="2"/>
      <c r="O839" s="58"/>
      <c r="P839" s="58"/>
    </row>
    <row r="840" spans="2:16">
      <c r="B840" s="652"/>
      <c r="C840" s="484">
        <v>3.29</v>
      </c>
      <c r="D840" s="536"/>
      <c r="E840" s="164">
        <f t="shared" si="116"/>
        <v>-3.29</v>
      </c>
      <c r="F840" s="197">
        <f>SUM($E$2:E840)/SUM($C$2:C840)</f>
        <v>2.7635900058779832E-3</v>
      </c>
      <c r="G840" s="164">
        <f t="shared" si="117"/>
        <v>7.2404399999999987</v>
      </c>
      <c r="H840" s="485" t="s">
        <v>37</v>
      </c>
      <c r="I840" s="2"/>
      <c r="J840" s="2"/>
      <c r="K840" s="2"/>
      <c r="L840" s="2"/>
      <c r="O840" s="58"/>
      <c r="P840" s="58"/>
    </row>
    <row r="841" spans="2:16">
      <c r="B841" s="652"/>
      <c r="C841" s="484">
        <v>3.29</v>
      </c>
      <c r="D841" s="536"/>
      <c r="E841" s="164">
        <f t="shared" si="116"/>
        <v>-3.29</v>
      </c>
      <c r="F841" s="197">
        <f>SUM($E$2:E841)/SUM($C$2:C841)</f>
        <v>1.5059449609832075E-3</v>
      </c>
      <c r="G841" s="164">
        <f t="shared" si="117"/>
        <v>3.9504399999999986</v>
      </c>
      <c r="H841" s="485" t="s">
        <v>17</v>
      </c>
      <c r="I841" s="2"/>
      <c r="J841" s="2"/>
      <c r="K841" s="2"/>
      <c r="L841" s="2"/>
      <c r="O841" s="58"/>
      <c r="P841" s="58"/>
    </row>
    <row r="842" spans="2:16">
      <c r="B842" s="652"/>
      <c r="C842" s="491">
        <v>3.29</v>
      </c>
      <c r="D842" s="535"/>
      <c r="E842" s="257">
        <f t="shared" si="116"/>
        <v>-3.29</v>
      </c>
      <c r="F842" s="256">
        <f>SUM($E$2:E842)/SUM($C$2:C842)</f>
        <v>2.514505886115451E-4</v>
      </c>
      <c r="G842" s="257">
        <f t="shared" si="117"/>
        <v>0.66043999999999858</v>
      </c>
      <c r="H842" s="492" t="s">
        <v>47</v>
      </c>
      <c r="I842" s="2">
        <f>SUM(E829:E842)</f>
        <v>9.4028200000000055</v>
      </c>
      <c r="L842" s="2">
        <f>I842/C842</f>
        <v>2.8580000000000014</v>
      </c>
      <c r="O842" s="58"/>
      <c r="P842" s="58"/>
    </row>
    <row r="843" spans="2:16">
      <c r="B843" s="650">
        <v>46047</v>
      </c>
      <c r="C843" s="484">
        <v>2.92</v>
      </c>
      <c r="D843" s="530"/>
      <c r="E843" s="164">
        <f t="shared" ref="E843:E850" si="118">(C843*D843)-C843</f>
        <v>-2.92</v>
      </c>
      <c r="F843" s="197">
        <f>SUM($E$2:E843)/SUM($C$2:C843)</f>
        <v>-8.5933126445174269E-4</v>
      </c>
      <c r="G843" s="164">
        <f t="shared" ref="G843:G850" si="119">G842+E843</f>
        <v>-2.2595600000000013</v>
      </c>
      <c r="H843" s="485" t="s">
        <v>97</v>
      </c>
      <c r="I843" s="2"/>
      <c r="J843" s="2"/>
      <c r="K843" s="2"/>
      <c r="L843" s="2"/>
      <c r="O843" s="58"/>
      <c r="P843" s="58"/>
    </row>
    <row r="844" spans="2:16">
      <c r="B844" s="652"/>
      <c r="C844" s="484">
        <v>3.29</v>
      </c>
      <c r="D844" s="541">
        <v>1.9</v>
      </c>
      <c r="E844" s="164">
        <f t="shared" si="118"/>
        <v>2.9609999999999994</v>
      </c>
      <c r="F844" s="197">
        <f>SUM($E$2:E844)/SUM($C$2:C844)</f>
        <v>2.6643066322790208E-4</v>
      </c>
      <c r="G844" s="164">
        <f t="shared" si="119"/>
        <v>0.70143999999999807</v>
      </c>
      <c r="H844" s="485" t="s">
        <v>104</v>
      </c>
      <c r="I844" s="2"/>
      <c r="J844" s="2"/>
      <c r="K844" s="2"/>
      <c r="L844" s="2"/>
      <c r="O844" s="58"/>
      <c r="P844" s="58"/>
    </row>
    <row r="845" spans="2:16">
      <c r="B845" s="652"/>
      <c r="C845" s="484">
        <v>2.92</v>
      </c>
      <c r="D845" s="541">
        <v>1.9</v>
      </c>
      <c r="E845" s="164">
        <f t="shared" si="118"/>
        <v>2.6280000000000001</v>
      </c>
      <c r="F845" s="197">
        <f>SUM($E$2:E845)/SUM($C$2:C845)</f>
        <v>1.2632329785821266E-3</v>
      </c>
      <c r="G845" s="164">
        <f t="shared" si="119"/>
        <v>3.3294399999999982</v>
      </c>
      <c r="H845" s="485" t="s">
        <v>30</v>
      </c>
      <c r="I845" s="2"/>
      <c r="J845" s="2"/>
      <c r="K845" s="2"/>
      <c r="L845" s="2"/>
      <c r="O845" s="58"/>
      <c r="P845" s="58"/>
    </row>
    <row r="846" spans="2:16">
      <c r="B846" s="652"/>
      <c r="C846" s="484">
        <v>2.92</v>
      </c>
      <c r="D846" s="541">
        <v>1.9</v>
      </c>
      <c r="E846" s="164">
        <f t="shared" si="118"/>
        <v>2.6280000000000001</v>
      </c>
      <c r="F846" s="197">
        <f>SUM($E$2:E846)/SUM($C$2:C846)</f>
        <v>2.2578290513421925E-3</v>
      </c>
      <c r="G846" s="164">
        <f t="shared" si="119"/>
        <v>5.9574399999999983</v>
      </c>
      <c r="H846" s="485" t="s">
        <v>12</v>
      </c>
      <c r="I846" s="2"/>
      <c r="J846" s="2"/>
      <c r="K846" s="2"/>
      <c r="L846" s="2"/>
      <c r="O846" s="58"/>
      <c r="P846" s="58"/>
    </row>
    <row r="847" spans="2:16">
      <c r="B847" s="652"/>
      <c r="C847" s="491">
        <v>2.92</v>
      </c>
      <c r="D847" s="542">
        <v>1.87</v>
      </c>
      <c r="E847" s="257">
        <f t="shared" si="118"/>
        <v>2.5404</v>
      </c>
      <c r="F847" s="256">
        <f>SUM($E$2:E847)/SUM($C$2:C847)</f>
        <v>3.2170630969641971E-3</v>
      </c>
      <c r="G847" s="257">
        <f t="shared" si="119"/>
        <v>8.4978399999999983</v>
      </c>
      <c r="H847" s="492" t="s">
        <v>36</v>
      </c>
      <c r="I847" s="2"/>
      <c r="J847" s="2"/>
      <c r="K847" s="2"/>
      <c r="L847" s="2"/>
      <c r="O847" s="58"/>
      <c r="P847" s="58"/>
    </row>
    <row r="848" spans="2:16">
      <c r="B848" s="652"/>
      <c r="C848" s="484">
        <v>2.92</v>
      </c>
      <c r="D848" s="541">
        <v>1.8480000000000001</v>
      </c>
      <c r="E848" s="164">
        <f t="shared" si="118"/>
        <v>2.4761600000000001</v>
      </c>
      <c r="F848" s="197">
        <f>SUM($E$2:E848)/SUM($C$2:C848)</f>
        <v>4.1498859859098796E-3</v>
      </c>
      <c r="G848" s="164">
        <f t="shared" si="119"/>
        <v>10.973999999999998</v>
      </c>
      <c r="H848" s="485" t="s">
        <v>296</v>
      </c>
      <c r="I848" s="2"/>
      <c r="J848" s="2"/>
      <c r="K848" s="2"/>
      <c r="L848" s="2"/>
      <c r="O848" s="58"/>
      <c r="P848" s="58"/>
    </row>
    <row r="849" spans="2:16">
      <c r="B849" s="652"/>
      <c r="C849" s="484">
        <v>2.92</v>
      </c>
      <c r="D849" s="541">
        <v>1.9</v>
      </c>
      <c r="E849" s="164">
        <f t="shared" si="118"/>
        <v>2.6280000000000001</v>
      </c>
      <c r="F849" s="197">
        <f>SUM($E$2:E849)/SUM($C$2:C849)</f>
        <v>5.1380069730634003E-3</v>
      </c>
      <c r="G849" s="164">
        <f t="shared" si="119"/>
        <v>13.601999999999999</v>
      </c>
      <c r="H849" s="485" t="s">
        <v>297</v>
      </c>
      <c r="I849" s="2"/>
      <c r="J849" s="2"/>
      <c r="K849" s="2"/>
      <c r="L849" s="2"/>
      <c r="O849" s="58"/>
      <c r="P849" s="58"/>
    </row>
    <row r="850" spans="2:16">
      <c r="B850" s="652"/>
      <c r="C850" s="491">
        <v>2.92</v>
      </c>
      <c r="D850" s="535">
        <v>1.8560000000000001</v>
      </c>
      <c r="E850" s="257">
        <f t="shared" si="118"/>
        <v>2.4995200000000004</v>
      </c>
      <c r="F850" s="256">
        <f>SUM($E$2:E850)/SUM($C$2:C850)</f>
        <v>6.0754721252711712E-3</v>
      </c>
      <c r="G850" s="257">
        <f t="shared" si="119"/>
        <v>16.101520000000001</v>
      </c>
      <c r="H850" s="492" t="s">
        <v>298</v>
      </c>
      <c r="I850" s="490">
        <f>SUM(E843:E850)</f>
        <v>15.441079999999999</v>
      </c>
      <c r="J850" s="490">
        <f>SUM(E794:E850)</f>
        <v>46.224360000000004</v>
      </c>
      <c r="L850" s="2">
        <f>I850/C850</f>
        <v>5.2880410958904109</v>
      </c>
      <c r="O850" s="58"/>
      <c r="P850" s="58"/>
    </row>
    <row r="851" spans="2:16">
      <c r="B851" s="650">
        <v>46048</v>
      </c>
      <c r="C851" s="484">
        <v>3.4</v>
      </c>
      <c r="D851" s="541"/>
      <c r="E851" s="164">
        <f t="shared" ref="E851:E860" si="120">(C851*D851)-C851</f>
        <v>-3.4</v>
      </c>
      <c r="F851" s="197">
        <f>SUM($E$2:E851)/SUM($C$2:C851)</f>
        <v>4.7864337798880548E-3</v>
      </c>
      <c r="G851" s="164">
        <f t="shared" ref="G851:G860" si="121">G850+E851</f>
        <v>12.70152</v>
      </c>
      <c r="H851" s="485" t="s">
        <v>14</v>
      </c>
      <c r="I851" s="2"/>
      <c r="J851" s="2"/>
      <c r="K851" s="2"/>
      <c r="L851" s="2"/>
      <c r="O851" s="58"/>
      <c r="P851" s="58"/>
    </row>
    <row r="852" spans="2:16">
      <c r="B852" s="652"/>
      <c r="C852" s="484">
        <v>3.4</v>
      </c>
      <c r="D852" s="541"/>
      <c r="E852" s="164">
        <f t="shared" si="120"/>
        <v>-3.4</v>
      </c>
      <c r="F852" s="197">
        <f>SUM($E$2:E852)/SUM($C$2:C852)</f>
        <v>3.5006943791046287E-3</v>
      </c>
      <c r="G852" s="164">
        <f t="shared" si="121"/>
        <v>9.30152</v>
      </c>
      <c r="H852" s="485" t="s">
        <v>15</v>
      </c>
      <c r="I852" s="2"/>
      <c r="J852" s="2"/>
      <c r="K852" s="2"/>
      <c r="L852" s="2"/>
      <c r="O852" s="58"/>
      <c r="P852" s="58"/>
    </row>
    <row r="853" spans="2:16">
      <c r="B853" s="652"/>
      <c r="C853" s="545">
        <v>3.4</v>
      </c>
      <c r="D853" s="536">
        <v>1.8160000000000001</v>
      </c>
      <c r="E853" s="536">
        <f t="shared" si="120"/>
        <v>2.7744000000000004</v>
      </c>
      <c r="F853" s="546">
        <f>SUM($E$2:E853)/SUM($C$2:C853)</f>
        <v>4.5390516641921246E-3</v>
      </c>
      <c r="G853" s="536">
        <f t="shared" si="121"/>
        <v>12.07592</v>
      </c>
      <c r="H853" s="547" t="s">
        <v>46</v>
      </c>
      <c r="I853" s="2"/>
      <c r="J853" s="2"/>
      <c r="K853" s="2"/>
      <c r="L853" s="2"/>
      <c r="O853" s="58"/>
      <c r="P853" s="58"/>
    </row>
    <row r="854" spans="2:16">
      <c r="B854" s="652"/>
      <c r="C854" s="545">
        <v>3.4</v>
      </c>
      <c r="D854" s="536">
        <v>1.9</v>
      </c>
      <c r="E854" s="536">
        <f t="shared" si="120"/>
        <v>3.06</v>
      </c>
      <c r="F854" s="546">
        <f>SUM($E$2:E854)/SUM($C$2:C854)</f>
        <v>5.68197158248397E-3</v>
      </c>
      <c r="G854" s="536">
        <f t="shared" si="121"/>
        <v>15.13592</v>
      </c>
      <c r="H854" s="547" t="s">
        <v>37</v>
      </c>
      <c r="I854" s="2"/>
      <c r="J854" s="2"/>
      <c r="K854" s="2"/>
      <c r="L854" s="2"/>
      <c r="O854" s="58"/>
      <c r="P854" s="58"/>
    </row>
    <row r="855" spans="2:16">
      <c r="B855" s="652"/>
      <c r="C855" s="548">
        <v>3.4</v>
      </c>
      <c r="D855" s="535">
        <v>1.8160000000000001</v>
      </c>
      <c r="E855" s="535">
        <f t="shared" si="120"/>
        <v>2.7744000000000004</v>
      </c>
      <c r="F855" s="549">
        <f>SUM($E$2:E855)/SUM($C$2:C855)</f>
        <v>6.714901115380977E-3</v>
      </c>
      <c r="G855" s="535">
        <f t="shared" si="121"/>
        <v>17.910320000000002</v>
      </c>
      <c r="H855" s="550" t="s">
        <v>104</v>
      </c>
      <c r="I855" s="2"/>
      <c r="J855" s="2"/>
      <c r="K855" s="2"/>
      <c r="L855" s="2"/>
      <c r="O855" s="58"/>
      <c r="P855" s="58"/>
    </row>
    <row r="856" spans="2:16">
      <c r="B856" s="652"/>
      <c r="C856" s="545">
        <v>3.4</v>
      </c>
      <c r="D856" s="536"/>
      <c r="E856" s="536">
        <f t="shared" si="120"/>
        <v>-3.4</v>
      </c>
      <c r="F856" s="546">
        <f>SUM($E$2:E856)/SUM($C$2:C856)</f>
        <v>5.4332540767228679E-3</v>
      </c>
      <c r="G856" s="536">
        <f t="shared" si="121"/>
        <v>14.510320000000002</v>
      </c>
      <c r="H856" s="547" t="s">
        <v>299</v>
      </c>
      <c r="I856" s="2"/>
      <c r="J856" s="2"/>
      <c r="K856" s="2"/>
      <c r="L856" s="2"/>
      <c r="O856" s="58"/>
      <c r="P856" s="58"/>
    </row>
    <row r="857" spans="2:16">
      <c r="B857" s="652"/>
      <c r="C857" s="545">
        <v>3.4</v>
      </c>
      <c r="D857" s="536">
        <v>1.835</v>
      </c>
      <c r="E857" s="536">
        <f t="shared" si="120"/>
        <v>2.839</v>
      </c>
      <c r="F857" s="546">
        <f>SUM($E$2:E857)/SUM($C$2:C857)</f>
        <v>6.4880312634393198E-3</v>
      </c>
      <c r="G857" s="536">
        <f t="shared" si="121"/>
        <v>17.349320000000002</v>
      </c>
      <c r="H857" s="547" t="s">
        <v>300</v>
      </c>
      <c r="I857" s="2"/>
      <c r="J857" s="2"/>
      <c r="K857" s="2"/>
      <c r="L857" s="2"/>
      <c r="O857" s="58"/>
      <c r="P857" s="58"/>
    </row>
    <row r="858" spans="2:16">
      <c r="B858" s="652"/>
      <c r="C858" s="545">
        <v>3.4</v>
      </c>
      <c r="D858" s="536"/>
      <c r="E858" s="536">
        <f t="shared" si="120"/>
        <v>-3.4</v>
      </c>
      <c r="F858" s="546">
        <f>SUM($E$2:E858)/SUM($C$2:C858)</f>
        <v>5.2099273562531247E-3</v>
      </c>
      <c r="G858" s="536">
        <f t="shared" si="121"/>
        <v>13.949320000000002</v>
      </c>
      <c r="H858" s="547" t="s">
        <v>301</v>
      </c>
      <c r="I858" s="2"/>
      <c r="J858" s="2"/>
      <c r="K858" s="2"/>
      <c r="L858" s="2"/>
      <c r="O858" s="58"/>
      <c r="P858" s="58"/>
    </row>
    <row r="859" spans="2:16">
      <c r="B859" s="652"/>
      <c r="C859" s="548">
        <v>3.4</v>
      </c>
      <c r="D859" s="535">
        <v>1.8480000000000001</v>
      </c>
      <c r="E859" s="535">
        <f t="shared" si="120"/>
        <v>2.8832</v>
      </c>
      <c r="F859" s="549">
        <f>SUM($E$2:E859)/SUM($C$2:C859)</f>
        <v>6.2787996344442678E-3</v>
      </c>
      <c r="G859" s="535">
        <f t="shared" si="121"/>
        <v>16.832520000000002</v>
      </c>
      <c r="H859" s="550" t="s">
        <v>296</v>
      </c>
      <c r="I859" s="2"/>
      <c r="J859" s="2"/>
      <c r="K859" s="2"/>
      <c r="L859" s="2"/>
      <c r="O859" s="58"/>
      <c r="P859" s="58"/>
    </row>
    <row r="860" spans="2:16">
      <c r="B860" s="652"/>
      <c r="C860" s="548">
        <v>3.4</v>
      </c>
      <c r="D860" s="535"/>
      <c r="E860" s="535">
        <f t="shared" si="120"/>
        <v>-3.4</v>
      </c>
      <c r="F860" s="549">
        <f>SUM($E$2:E860)/SUM($C$2:C860)</f>
        <v>5.0041985657073417E-3</v>
      </c>
      <c r="G860" s="535">
        <f t="shared" si="121"/>
        <v>13.432520000000002</v>
      </c>
      <c r="H860" s="550" t="s">
        <v>35</v>
      </c>
      <c r="I860" s="2">
        <f>SUM(E851:E860)</f>
        <v>-2.6689999999999983</v>
      </c>
      <c r="L860" s="2">
        <f>I860/C860</f>
        <v>-0.78499999999999948</v>
      </c>
      <c r="O860" s="58"/>
      <c r="P860" s="58"/>
    </row>
    <row r="861" spans="2:16">
      <c r="B861" s="650">
        <v>46049</v>
      </c>
      <c r="C861" s="545">
        <v>3.4</v>
      </c>
      <c r="D861" s="536"/>
      <c r="E861" s="536">
        <f t="shared" ref="E861:E870" si="122">(C861*D861)-C861</f>
        <v>-3.4</v>
      </c>
      <c r="F861" s="546">
        <f>SUM($E$2:E861)/SUM($C$2:C861)</f>
        <v>3.7328223541011475E-3</v>
      </c>
      <c r="G861" s="536">
        <f t="shared" ref="G861:G870" si="123">G860+E861</f>
        <v>10.032520000000002</v>
      </c>
      <c r="H861" s="547" t="s">
        <v>11</v>
      </c>
      <c r="I861" s="2"/>
      <c r="J861" s="2"/>
      <c r="K861" s="2"/>
      <c r="L861" s="2"/>
      <c r="O861" s="58"/>
      <c r="P861" s="58"/>
    </row>
    <row r="862" spans="2:16">
      <c r="B862" s="652"/>
      <c r="C862" s="545">
        <v>3.4</v>
      </c>
      <c r="D862" s="536">
        <v>1.9390000000000001</v>
      </c>
      <c r="E862" s="536">
        <f t="shared" si="122"/>
        <v>3.1926000000000001</v>
      </c>
      <c r="F862" s="546">
        <f>SUM($E$2:E862)/SUM($C$2:C862)</f>
        <v>4.9144831942921656E-3</v>
      </c>
      <c r="G862" s="536">
        <f t="shared" si="123"/>
        <v>13.225120000000002</v>
      </c>
      <c r="H862" s="547" t="s">
        <v>29</v>
      </c>
      <c r="I862" s="2"/>
      <c r="J862" s="2"/>
      <c r="K862" s="2"/>
      <c r="L862" s="2"/>
      <c r="O862" s="58"/>
      <c r="P862" s="58"/>
    </row>
    <row r="863" spans="2:16">
      <c r="B863" s="652"/>
      <c r="C863" s="545">
        <v>3.4</v>
      </c>
      <c r="D863" s="536">
        <v>1.91</v>
      </c>
      <c r="E863" s="536">
        <f t="shared" si="122"/>
        <v>3.0939999999999999</v>
      </c>
      <c r="F863" s="546">
        <f>SUM($E$2:E863)/SUM($C$2:C863)</f>
        <v>6.0565681307873272E-3</v>
      </c>
      <c r="G863" s="536">
        <f t="shared" si="123"/>
        <v>16.319120000000002</v>
      </c>
      <c r="H863" s="547" t="s">
        <v>30</v>
      </c>
      <c r="I863" s="2"/>
      <c r="J863" s="2"/>
      <c r="K863" s="2"/>
      <c r="L863" s="2"/>
      <c r="O863" s="58"/>
      <c r="P863" s="58"/>
    </row>
    <row r="864" spans="2:16">
      <c r="B864" s="652"/>
      <c r="C864" s="548">
        <v>3.4</v>
      </c>
      <c r="D864" s="535">
        <v>1.9</v>
      </c>
      <c r="E864" s="535">
        <f t="shared" si="122"/>
        <v>3.06</v>
      </c>
      <c r="F864" s="549">
        <f>SUM($E$2:E864)/SUM($C$2:C864)</f>
        <v>7.183171784939821E-3</v>
      </c>
      <c r="G864" s="535">
        <f t="shared" si="123"/>
        <v>19.37912</v>
      </c>
      <c r="H864" s="550" t="s">
        <v>59</v>
      </c>
      <c r="I864" s="2"/>
      <c r="J864" s="2"/>
      <c r="K864" s="2"/>
      <c r="L864" s="2"/>
      <c r="O864" s="58"/>
      <c r="P864" s="58"/>
    </row>
    <row r="865" spans="2:16">
      <c r="B865" s="652"/>
      <c r="C865" s="545">
        <v>3.4</v>
      </c>
      <c r="D865" s="536">
        <v>1.825</v>
      </c>
      <c r="E865" s="536">
        <f t="shared" si="122"/>
        <v>2.8050000000000002</v>
      </c>
      <c r="F865" s="546">
        <f>SUM($E$2:E865)/SUM($C$2:C865)</f>
        <v>8.2125386395186968E-3</v>
      </c>
      <c r="G865" s="536">
        <f t="shared" si="123"/>
        <v>22.18412</v>
      </c>
      <c r="H865" s="547" t="s">
        <v>302</v>
      </c>
      <c r="I865" s="2"/>
      <c r="J865" s="2"/>
      <c r="K865" s="2"/>
      <c r="L865" s="2"/>
      <c r="O865" s="58"/>
      <c r="P865" s="58"/>
    </row>
    <row r="866" spans="2:16">
      <c r="B866" s="652"/>
      <c r="C866" s="545">
        <v>3.4</v>
      </c>
      <c r="D866" s="536">
        <v>1.9</v>
      </c>
      <c r="E866" s="536">
        <f t="shared" si="122"/>
        <v>3.06</v>
      </c>
      <c r="F866" s="546">
        <f>SUM($E$2:E866)/SUM($C$2:C866)</f>
        <v>9.3335995415302769E-3</v>
      </c>
      <c r="G866" s="536">
        <f t="shared" si="123"/>
        <v>25.244119999999999</v>
      </c>
      <c r="H866" s="547" t="s">
        <v>303</v>
      </c>
      <c r="I866" s="2"/>
      <c r="J866" s="2"/>
      <c r="K866" s="2"/>
      <c r="L866" s="2"/>
      <c r="O866" s="58"/>
      <c r="P866" s="58"/>
    </row>
    <row r="867" spans="2:16">
      <c r="B867" s="652"/>
      <c r="C867" s="545">
        <v>3.4</v>
      </c>
      <c r="D867" s="536">
        <v>1.98</v>
      </c>
      <c r="E867" s="536">
        <f t="shared" si="122"/>
        <v>3.3320000000000003</v>
      </c>
      <c r="F867" s="546">
        <f>SUM($E$2:E867)/SUM($C$2:C867)</f>
        <v>1.0552286700762484E-2</v>
      </c>
      <c r="G867" s="536">
        <f t="shared" si="123"/>
        <v>28.57612</v>
      </c>
      <c r="H867" s="547" t="s">
        <v>304</v>
      </c>
      <c r="I867" s="2"/>
      <c r="J867" s="2"/>
      <c r="K867" s="2"/>
      <c r="L867" s="2"/>
      <c r="O867" s="58"/>
      <c r="P867" s="58"/>
    </row>
    <row r="868" spans="2:16">
      <c r="B868" s="652"/>
      <c r="C868" s="545">
        <v>3.4</v>
      </c>
      <c r="D868" s="536">
        <v>1.85</v>
      </c>
      <c r="E868" s="536">
        <f t="shared" si="122"/>
        <v>2.89</v>
      </c>
      <c r="F868" s="546">
        <f>SUM($E$2:E868)/SUM($C$2:C868)</f>
        <v>1.1604905124564285E-2</v>
      </c>
      <c r="G868" s="536">
        <f t="shared" si="123"/>
        <v>31.46612</v>
      </c>
      <c r="H868" s="547" t="s">
        <v>305</v>
      </c>
      <c r="I868" s="2"/>
      <c r="J868" s="2"/>
      <c r="K868" s="2"/>
      <c r="L868" s="2"/>
      <c r="O868" s="58"/>
      <c r="P868" s="58"/>
    </row>
    <row r="869" spans="2:16">
      <c r="B869" s="652"/>
      <c r="C869" s="548">
        <v>3.4</v>
      </c>
      <c r="D869" s="535">
        <v>1.825</v>
      </c>
      <c r="E869" s="535">
        <f t="shared" si="122"/>
        <v>2.8050000000000002</v>
      </c>
      <c r="F869" s="549">
        <f>SUM($E$2:E869)/SUM($C$2:C869)</f>
        <v>1.2623577729892928E-2</v>
      </c>
      <c r="G869" s="535">
        <f t="shared" si="123"/>
        <v>34.271120000000003</v>
      </c>
      <c r="H869" s="550" t="s">
        <v>306</v>
      </c>
      <c r="I869" s="2"/>
      <c r="J869" s="2"/>
      <c r="K869" s="2"/>
      <c r="L869" s="2"/>
      <c r="O869" s="58"/>
      <c r="P869" s="58"/>
    </row>
    <row r="870" spans="2:16">
      <c r="B870" s="652"/>
      <c r="C870" s="548">
        <v>3.4</v>
      </c>
      <c r="D870" s="535"/>
      <c r="E870" s="535">
        <f t="shared" si="122"/>
        <v>-3.4</v>
      </c>
      <c r="F870" s="549">
        <f>SUM($E$2:E870)/SUM($C$2:C870)</f>
        <v>1.1356983353260309E-2</v>
      </c>
      <c r="G870" s="535">
        <f t="shared" si="123"/>
        <v>30.871120000000005</v>
      </c>
      <c r="H870" s="550" t="s">
        <v>59</v>
      </c>
      <c r="I870" s="2">
        <f>SUM(E861:E870)</f>
        <v>17.438600000000001</v>
      </c>
      <c r="L870" s="2">
        <f>I870/C870</f>
        <v>5.1290000000000004</v>
      </c>
      <c r="O870" s="58"/>
      <c r="P870" s="58"/>
    </row>
    <row r="871" spans="2:16">
      <c r="B871" s="650">
        <v>46050</v>
      </c>
      <c r="C871" s="545">
        <v>2.71</v>
      </c>
      <c r="D871" s="536"/>
      <c r="E871" s="536">
        <f t="shared" ref="E871:E885" si="124">(C871*D871)-C871</f>
        <v>-2.71</v>
      </c>
      <c r="F871" s="546">
        <f>SUM($E$2:E871)/SUM($C$2:C871)</f>
        <v>1.034970010584494E-2</v>
      </c>
      <c r="G871" s="536">
        <f t="shared" ref="G871:G885" si="125">G870+E871</f>
        <v>28.161120000000004</v>
      </c>
      <c r="H871" s="547" t="s">
        <v>46</v>
      </c>
      <c r="I871" s="2"/>
      <c r="J871" s="2"/>
      <c r="K871" s="2"/>
      <c r="L871" s="2"/>
      <c r="O871" s="58"/>
      <c r="P871" s="58"/>
    </row>
    <row r="872" spans="2:16">
      <c r="B872" s="652"/>
      <c r="C872" s="545">
        <v>2.71</v>
      </c>
      <c r="D872" s="536">
        <v>1.8160000000000001</v>
      </c>
      <c r="E872" s="536">
        <f t="shared" si="124"/>
        <v>2.21136</v>
      </c>
      <c r="F872" s="546">
        <f>SUM($E$2:E872)/SUM($C$2:C872)</f>
        <v>1.1151306876383642E-2</v>
      </c>
      <c r="G872" s="536">
        <f t="shared" si="125"/>
        <v>30.372480000000003</v>
      </c>
      <c r="H872" s="547" t="s">
        <v>60</v>
      </c>
      <c r="I872" s="2"/>
      <c r="J872" s="2"/>
      <c r="K872" s="2"/>
      <c r="L872" s="2"/>
      <c r="O872" s="58"/>
      <c r="P872" s="58"/>
    </row>
    <row r="873" spans="2:16">
      <c r="B873" s="652"/>
      <c r="C873" s="545">
        <v>2.71</v>
      </c>
      <c r="D873" s="536">
        <v>1.84</v>
      </c>
      <c r="E873" s="536">
        <f t="shared" si="124"/>
        <v>2.2763999999999998</v>
      </c>
      <c r="F873" s="546">
        <f>SUM($E$2:E873)/SUM($C$2:C873)</f>
        <v>1.1975175874236103E-2</v>
      </c>
      <c r="G873" s="536">
        <f t="shared" si="125"/>
        <v>32.648880000000005</v>
      </c>
      <c r="H873" s="547" t="s">
        <v>37</v>
      </c>
      <c r="I873" s="2"/>
      <c r="J873" s="2"/>
      <c r="K873" s="2"/>
      <c r="L873" s="2"/>
      <c r="O873" s="58"/>
      <c r="P873" s="58"/>
    </row>
    <row r="874" spans="2:16">
      <c r="B874" s="652"/>
      <c r="C874" s="545">
        <v>2.71</v>
      </c>
      <c r="D874" s="536">
        <v>1.9</v>
      </c>
      <c r="E874" s="536">
        <f t="shared" si="124"/>
        <v>2.4390000000000001</v>
      </c>
      <c r="F874" s="546">
        <f>SUM($E$2:E874)/SUM($C$2:C874)</f>
        <v>1.2856988959689791E-2</v>
      </c>
      <c r="G874" s="536">
        <f t="shared" si="125"/>
        <v>35.087880000000006</v>
      </c>
      <c r="H874" s="547" t="s">
        <v>25</v>
      </c>
      <c r="I874" s="2"/>
      <c r="J874" s="2"/>
      <c r="K874" s="2"/>
      <c r="L874" s="2"/>
      <c r="O874" s="58"/>
      <c r="P874" s="58"/>
    </row>
    <row r="875" spans="2:16">
      <c r="B875" s="652"/>
      <c r="C875" s="548">
        <v>2.71</v>
      </c>
      <c r="D875" s="535"/>
      <c r="E875" s="535">
        <f t="shared" si="124"/>
        <v>-2.71</v>
      </c>
      <c r="F875" s="549">
        <f>SUM($E$2:E875)/SUM($C$2:C875)</f>
        <v>1.1852214657002645E-2</v>
      </c>
      <c r="G875" s="535">
        <f t="shared" si="125"/>
        <v>32.377880000000005</v>
      </c>
      <c r="H875" s="550" t="s">
        <v>47</v>
      </c>
      <c r="I875" s="2"/>
      <c r="J875" s="2"/>
      <c r="K875" s="2"/>
      <c r="L875" s="2"/>
      <c r="O875" s="58"/>
      <c r="P875" s="58"/>
    </row>
    <row r="876" spans="2:16">
      <c r="B876" s="652"/>
      <c r="C876" s="545">
        <v>2.71</v>
      </c>
      <c r="D876" s="536">
        <v>1.825</v>
      </c>
      <c r="E876" s="536">
        <f t="shared" si="124"/>
        <v>2.2357499999999995</v>
      </c>
      <c r="F876" s="546">
        <f>SUM($E$2:E876)/SUM($C$2:C876)</f>
        <v>1.2658074024230963E-2</v>
      </c>
      <c r="G876" s="536">
        <f t="shared" si="125"/>
        <v>34.613630000000001</v>
      </c>
      <c r="H876" s="547" t="s">
        <v>307</v>
      </c>
      <c r="I876" s="2"/>
      <c r="J876" s="2"/>
      <c r="K876" s="2"/>
      <c r="L876" s="2"/>
      <c r="O876" s="58"/>
      <c r="P876" s="58"/>
    </row>
    <row r="877" spans="2:16">
      <c r="B877" s="652"/>
      <c r="C877" s="545">
        <v>2.71</v>
      </c>
      <c r="D877" s="536">
        <v>1.8160000000000001</v>
      </c>
      <c r="E877" s="536">
        <f t="shared" si="124"/>
        <v>2.21136</v>
      </c>
      <c r="F877" s="546">
        <f>SUM($E$2:E877)/SUM($C$2:C877)</f>
        <v>1.3453427199859636E-2</v>
      </c>
      <c r="G877" s="536">
        <f t="shared" si="125"/>
        <v>36.82499</v>
      </c>
      <c r="H877" s="547" t="s">
        <v>308</v>
      </c>
      <c r="I877" s="2"/>
      <c r="J877" s="2"/>
      <c r="K877" s="2"/>
      <c r="L877" s="2"/>
      <c r="O877" s="58"/>
      <c r="P877" s="58"/>
    </row>
    <row r="878" spans="2:16">
      <c r="B878" s="652"/>
      <c r="C878" s="545">
        <v>2.71</v>
      </c>
      <c r="D878" s="536">
        <v>1.835</v>
      </c>
      <c r="E878" s="536">
        <f t="shared" si="124"/>
        <v>2.2628500000000003</v>
      </c>
      <c r="F878" s="546">
        <f>SUM($E$2:E878)/SUM($C$2:C878)</f>
        <v>1.4265999496337419E-2</v>
      </c>
      <c r="G878" s="536">
        <f t="shared" si="125"/>
        <v>39.08784</v>
      </c>
      <c r="H878" s="547" t="s">
        <v>309</v>
      </c>
      <c r="I878" s="2"/>
      <c r="J878" s="2"/>
      <c r="K878" s="2"/>
      <c r="L878" s="2"/>
      <c r="O878" s="58"/>
      <c r="P878" s="58"/>
    </row>
    <row r="879" spans="2:16">
      <c r="B879" s="652"/>
      <c r="C879" s="545">
        <v>2.71</v>
      </c>
      <c r="D879" s="536"/>
      <c r="E879" s="536">
        <f t="shared" si="124"/>
        <v>-2.71</v>
      </c>
      <c r="F879" s="546">
        <f>SUM($E$2:E879)/SUM($C$2:C879)</f>
        <v>1.3263804217833837E-2</v>
      </c>
      <c r="G879" s="536">
        <f t="shared" si="125"/>
        <v>36.377839999999999</v>
      </c>
      <c r="H879" s="547" t="s">
        <v>310</v>
      </c>
      <c r="I879" s="2"/>
      <c r="J879" s="2"/>
      <c r="K879" s="2"/>
      <c r="L879" s="2"/>
      <c r="O879" s="58"/>
      <c r="P879" s="58"/>
    </row>
    <row r="880" spans="2:16">
      <c r="B880" s="652"/>
      <c r="C880" s="545">
        <v>2.71</v>
      </c>
      <c r="D880" s="536">
        <v>1.9</v>
      </c>
      <c r="E880" s="536">
        <f t="shared" si="124"/>
        <v>2.4390000000000001</v>
      </c>
      <c r="F880" s="546">
        <f>SUM($E$2:E880)/SUM($C$2:C880)</f>
        <v>1.4139122516254678E-2</v>
      </c>
      <c r="G880" s="536">
        <f t="shared" si="125"/>
        <v>38.816839999999999</v>
      </c>
      <c r="H880" s="547" t="s">
        <v>169</v>
      </c>
      <c r="I880" s="2"/>
      <c r="J880" s="2"/>
      <c r="K880" s="2"/>
      <c r="L880" s="2"/>
      <c r="O880" s="58"/>
      <c r="P880" s="58"/>
    </row>
    <row r="881" spans="2:16">
      <c r="B881" s="652"/>
      <c r="C881" s="545">
        <v>2.71</v>
      </c>
      <c r="D881" s="536">
        <v>1.825</v>
      </c>
      <c r="E881" s="536">
        <f t="shared" si="124"/>
        <v>2.2357499999999995</v>
      </c>
      <c r="F881" s="546">
        <f>SUM($E$2:E881)/SUM($C$2:C881)</f>
        <v>1.4938753156772329E-2</v>
      </c>
      <c r="G881" s="536">
        <f t="shared" si="125"/>
        <v>41.052589999999995</v>
      </c>
      <c r="H881" s="547" t="s">
        <v>311</v>
      </c>
      <c r="I881" s="2"/>
      <c r="J881" s="2"/>
      <c r="K881" s="2"/>
      <c r="L881" s="2"/>
      <c r="O881" s="58"/>
      <c r="P881" s="58"/>
    </row>
    <row r="882" spans="2:16">
      <c r="B882" s="652"/>
      <c r="C882" s="548">
        <v>2.71</v>
      </c>
      <c r="D882" s="535"/>
      <c r="E882" s="535">
        <f t="shared" si="124"/>
        <v>-2.71</v>
      </c>
      <c r="F882" s="549">
        <f>SUM($E$2:E882)/SUM($C$2:C882)</f>
        <v>1.3938857120006318E-2</v>
      </c>
      <c r="G882" s="535">
        <f t="shared" si="125"/>
        <v>38.342589999999994</v>
      </c>
      <c r="H882" s="550" t="s">
        <v>312</v>
      </c>
      <c r="I882" s="2"/>
      <c r="J882" s="2"/>
      <c r="K882" s="2"/>
      <c r="L882" s="2"/>
      <c r="O882" s="58"/>
      <c r="P882" s="58"/>
    </row>
    <row r="883" spans="2:16">
      <c r="B883" s="652"/>
      <c r="C883" s="545">
        <v>2.71</v>
      </c>
      <c r="D883" s="536">
        <v>2.19</v>
      </c>
      <c r="E883" s="536">
        <f t="shared" si="124"/>
        <v>3.2248999999999999</v>
      </c>
      <c r="F883" s="546">
        <f>SUM($E$2:E883)/SUM($C$2:C883)</f>
        <v>1.5096347167947383E-2</v>
      </c>
      <c r="G883" s="536">
        <f t="shared" si="125"/>
        <v>41.567489999999992</v>
      </c>
      <c r="H883" s="547" t="s">
        <v>60</v>
      </c>
      <c r="I883" s="2"/>
      <c r="J883" s="2"/>
      <c r="K883" s="2"/>
      <c r="L883" s="2"/>
      <c r="O883" s="58"/>
      <c r="P883" s="58"/>
    </row>
    <row r="884" spans="2:16">
      <c r="B884" s="652"/>
      <c r="C884" s="545">
        <v>2.71</v>
      </c>
      <c r="D884" s="536">
        <v>2.08</v>
      </c>
      <c r="E884" s="536">
        <f t="shared" si="124"/>
        <v>2.9268000000000001</v>
      </c>
      <c r="F884" s="546">
        <f>SUM($E$2:E884)/SUM($C$2:C884)</f>
        <v>1.6143404482274349E-2</v>
      </c>
      <c r="G884" s="536">
        <f t="shared" si="125"/>
        <v>44.494289999999992</v>
      </c>
      <c r="H884" s="547" t="s">
        <v>29</v>
      </c>
      <c r="I884" s="2"/>
      <c r="J884" s="2"/>
      <c r="K884" s="2"/>
      <c r="L884" s="2"/>
      <c r="O884" s="58"/>
      <c r="P884" s="58"/>
    </row>
    <row r="885" spans="2:16">
      <c r="B885" s="652"/>
      <c r="C885" s="548">
        <v>2.71</v>
      </c>
      <c r="D885" s="535"/>
      <c r="E885" s="535">
        <f t="shared" si="124"/>
        <v>-2.71</v>
      </c>
      <c r="F885" s="549">
        <f>SUM($E$2:E885)/SUM($C$2:C885)</f>
        <v>1.5145271666243704E-2</v>
      </c>
      <c r="G885" s="535">
        <f t="shared" si="125"/>
        <v>41.784289999999991</v>
      </c>
      <c r="H885" s="550" t="s">
        <v>17</v>
      </c>
      <c r="I885" s="2">
        <f>SUM(E871:E885)</f>
        <v>10.913169999999997</v>
      </c>
      <c r="L885" s="2">
        <f>I885/C885</f>
        <v>4.0269999999999992</v>
      </c>
      <c r="O885" s="58"/>
      <c r="P885" s="58"/>
    </row>
    <row r="886" spans="2:16">
      <c r="B886" s="650">
        <v>46051</v>
      </c>
      <c r="C886" s="545">
        <v>3.09</v>
      </c>
      <c r="D886" s="536">
        <v>1.8260000000000001</v>
      </c>
      <c r="E886" s="536">
        <f t="shared" ref="E886:E894" si="126">(C886*D886)-C886</f>
        <v>2.5523400000000001</v>
      </c>
      <c r="F886" s="546">
        <f>SUM($E$2:E886)/SUM($C$2:C886)</f>
        <v>1.605242234765504E-2</v>
      </c>
      <c r="G886" s="536">
        <f t="shared" ref="G886:G894" si="127">G885+E886</f>
        <v>44.336629999999992</v>
      </c>
      <c r="H886" s="547" t="s">
        <v>51</v>
      </c>
      <c r="I886" s="2"/>
      <c r="J886" s="2"/>
      <c r="K886" s="2"/>
      <c r="L886" s="2"/>
      <c r="O886" s="58"/>
      <c r="P886" s="58"/>
    </row>
    <row r="887" spans="2:16">
      <c r="B887" s="652"/>
      <c r="C887" s="545">
        <v>3.09</v>
      </c>
      <c r="D887" s="536">
        <v>1.8260000000000001</v>
      </c>
      <c r="E887" s="536">
        <f t="shared" si="126"/>
        <v>2.5523400000000001</v>
      </c>
      <c r="F887" s="546">
        <f>SUM($E$2:E887)/SUM($C$2:C887)</f>
        <v>1.6957545532136402E-2</v>
      </c>
      <c r="G887" s="536">
        <f t="shared" si="127"/>
        <v>46.888969999999993</v>
      </c>
      <c r="H887" s="547" t="s">
        <v>35</v>
      </c>
      <c r="I887" s="2"/>
      <c r="J887" s="2"/>
      <c r="K887" s="2"/>
      <c r="L887" s="2"/>
      <c r="O887" s="58"/>
      <c r="P887" s="58"/>
    </row>
    <row r="888" spans="2:16">
      <c r="B888" s="652"/>
      <c r="C888" s="548">
        <v>3.09</v>
      </c>
      <c r="D888" s="535">
        <v>1.9</v>
      </c>
      <c r="E888" s="535">
        <f t="shared" si="126"/>
        <v>2.7809999999999997</v>
      </c>
      <c r="F888" s="549">
        <f>SUM($E$2:E888)/SUM($C$2:C888)</f>
        <v>1.7943251317657408E-2</v>
      </c>
      <c r="G888" s="535">
        <f t="shared" si="127"/>
        <v>49.669969999999992</v>
      </c>
      <c r="H888" s="550" t="s">
        <v>36</v>
      </c>
      <c r="I888" s="2"/>
      <c r="J888" s="2"/>
      <c r="K888" s="2"/>
      <c r="L888" s="2"/>
      <c r="O888" s="58"/>
      <c r="P888" s="58"/>
    </row>
    <row r="889" spans="2:16">
      <c r="B889" s="652"/>
      <c r="C889" s="545">
        <v>3.09</v>
      </c>
      <c r="D889" s="536">
        <v>1.8160000000000001</v>
      </c>
      <c r="E889" s="536">
        <f t="shared" si="126"/>
        <v>2.5214400000000001</v>
      </c>
      <c r="F889" s="546">
        <f>SUM($E$2:E889)/SUM($C$2:C889)</f>
        <v>1.8833097580161981E-2</v>
      </c>
      <c r="G889" s="536">
        <f t="shared" si="127"/>
        <v>52.191409999999991</v>
      </c>
      <c r="H889" s="547" t="s">
        <v>313</v>
      </c>
      <c r="I889" s="2"/>
      <c r="J889" s="2"/>
      <c r="K889" s="2"/>
      <c r="L889" s="2"/>
      <c r="O889" s="58"/>
      <c r="P889" s="58"/>
    </row>
    <row r="890" spans="2:16">
      <c r="B890" s="652"/>
      <c r="C890" s="545">
        <v>3.09</v>
      </c>
      <c r="D890" s="536">
        <v>1.81</v>
      </c>
      <c r="E890" s="536">
        <f t="shared" si="126"/>
        <v>2.5029000000000003</v>
      </c>
      <c r="F890" s="546">
        <f>SUM($E$2:E890)/SUM($C$2:C890)</f>
        <v>1.9714279020310945E-2</v>
      </c>
      <c r="G890" s="536">
        <f t="shared" si="127"/>
        <v>54.694309999999987</v>
      </c>
      <c r="H890" s="547" t="s">
        <v>314</v>
      </c>
      <c r="I890" s="2"/>
      <c r="J890" s="2"/>
      <c r="K890" s="2"/>
      <c r="L890" s="2"/>
      <c r="O890" s="58"/>
      <c r="P890" s="58"/>
    </row>
    <row r="891" spans="2:16">
      <c r="B891" s="652"/>
      <c r="C891" s="545">
        <v>3.09</v>
      </c>
      <c r="D891" s="536"/>
      <c r="E891" s="536">
        <f t="shared" si="126"/>
        <v>-3.09</v>
      </c>
      <c r="F891" s="546">
        <f>SUM($E$2:E891)/SUM($C$2:C891)</f>
        <v>1.8579810905005933E-2</v>
      </c>
      <c r="G891" s="536">
        <f t="shared" si="127"/>
        <v>51.604309999999984</v>
      </c>
      <c r="H891" s="547" t="s">
        <v>315</v>
      </c>
      <c r="I891" s="2"/>
      <c r="J891" s="2"/>
      <c r="K891" s="2"/>
      <c r="L891" s="2"/>
      <c r="O891" s="58"/>
      <c r="P891" s="58"/>
    </row>
    <row r="892" spans="2:16">
      <c r="B892" s="652"/>
      <c r="C892" s="545">
        <v>3.09</v>
      </c>
      <c r="D892" s="536"/>
      <c r="E892" s="536">
        <f t="shared" si="126"/>
        <v>-3.09</v>
      </c>
      <c r="F892" s="546">
        <f>SUM($E$2:E892)/SUM($C$2:C892)</f>
        <v>1.7447864256094951E-2</v>
      </c>
      <c r="G892" s="536">
        <f t="shared" si="127"/>
        <v>48.514309999999981</v>
      </c>
      <c r="H892" s="547" t="s">
        <v>316</v>
      </c>
      <c r="I892" s="2"/>
      <c r="J892" s="2"/>
      <c r="K892" s="2"/>
      <c r="L892" s="2"/>
      <c r="O892" s="58"/>
      <c r="P892" s="58"/>
    </row>
    <row r="893" spans="2:16">
      <c r="B893" s="652"/>
      <c r="C893" s="545">
        <v>3.09</v>
      </c>
      <c r="D893" s="536"/>
      <c r="E893" s="536">
        <f t="shared" si="126"/>
        <v>-3.09</v>
      </c>
      <c r="F893" s="546">
        <f>SUM($E$2:E893)/SUM($C$2:C893)</f>
        <v>1.6318430676600867E-2</v>
      </c>
      <c r="G893" s="536">
        <f t="shared" si="127"/>
        <v>45.424309999999977</v>
      </c>
      <c r="H893" s="547" t="s">
        <v>317</v>
      </c>
      <c r="I893" s="2"/>
      <c r="J893" s="2"/>
      <c r="K893" s="2"/>
      <c r="L893" s="2"/>
      <c r="O893" s="58"/>
      <c r="P893" s="58"/>
    </row>
    <row r="894" spans="2:16">
      <c r="B894" s="652"/>
      <c r="C894" s="548">
        <v>3.09</v>
      </c>
      <c r="D894" s="535"/>
      <c r="E894" s="535">
        <f t="shared" si="126"/>
        <v>-3.09</v>
      </c>
      <c r="F894" s="549">
        <f>SUM($E$2:E894)/SUM($C$2:C894)</f>
        <v>1.5191501806789985E-2</v>
      </c>
      <c r="G894" s="535">
        <f t="shared" si="127"/>
        <v>42.334309999999974</v>
      </c>
      <c r="H894" s="550" t="s">
        <v>318</v>
      </c>
      <c r="I894" s="2">
        <f>SUM(E886:E894)</f>
        <v>0.55001999999999995</v>
      </c>
      <c r="L894" s="2">
        <f>I894/C894</f>
        <v>0.17799999999999999</v>
      </c>
      <c r="O894" s="58"/>
      <c r="P894" s="58"/>
    </row>
    <row r="895" spans="2:16">
      <c r="B895" s="650">
        <v>46052</v>
      </c>
      <c r="C895" s="545">
        <v>2.75</v>
      </c>
      <c r="D895" s="536"/>
      <c r="E895" s="536">
        <f t="shared" ref="E895:E906" si="128">(C895*D895)-C895</f>
        <v>-2.75</v>
      </c>
      <c r="F895" s="546">
        <f>SUM($E$2:E895)/SUM($C$2:C895)</f>
        <v>1.41906713127271E-2</v>
      </c>
      <c r="G895" s="536">
        <f t="shared" ref="G895:G906" si="129">G894+E895</f>
        <v>39.584309999999974</v>
      </c>
      <c r="H895" s="547" t="s">
        <v>29</v>
      </c>
      <c r="I895" s="2"/>
      <c r="J895" s="2"/>
      <c r="K895" s="2"/>
      <c r="L895" s="2"/>
      <c r="O895" s="58"/>
      <c r="P895" s="58"/>
    </row>
    <row r="896" spans="2:16">
      <c r="B896" s="652"/>
      <c r="C896" s="545">
        <v>2.75</v>
      </c>
      <c r="D896" s="536">
        <v>1.784</v>
      </c>
      <c r="E896" s="536">
        <f t="shared" si="128"/>
        <v>2.1559999999999997</v>
      </c>
      <c r="F896" s="546">
        <f>SUM($E$2:E896)/SUM($C$2:C896)</f>
        <v>1.4948843389286523E-2</v>
      </c>
      <c r="G896" s="536">
        <f t="shared" si="129"/>
        <v>41.740309999999972</v>
      </c>
      <c r="H896" s="547" t="s">
        <v>13</v>
      </c>
      <c r="I896" s="2"/>
      <c r="J896" s="2"/>
      <c r="K896" s="2"/>
      <c r="L896" s="2"/>
      <c r="O896" s="58"/>
      <c r="P896" s="58"/>
    </row>
    <row r="897" spans="2:16">
      <c r="B897" s="652"/>
      <c r="C897" s="545">
        <v>2.75</v>
      </c>
      <c r="D897" s="536">
        <v>1.8</v>
      </c>
      <c r="E897" s="536">
        <f t="shared" si="128"/>
        <v>2.2000000000000002</v>
      </c>
      <c r="F897" s="546">
        <f>SUM($E$2:E897)/SUM($C$2:C897)</f>
        <v>1.5721266136187892E-2</v>
      </c>
      <c r="G897" s="536">
        <f t="shared" si="129"/>
        <v>43.940309999999975</v>
      </c>
      <c r="H897" s="547" t="s">
        <v>59</v>
      </c>
      <c r="I897" s="2"/>
      <c r="J897" s="2"/>
      <c r="K897" s="2"/>
      <c r="L897" s="2"/>
      <c r="O897" s="58"/>
      <c r="P897" s="58"/>
    </row>
    <row r="898" spans="2:16">
      <c r="B898" s="652"/>
      <c r="C898" s="548">
        <v>2.75</v>
      </c>
      <c r="D898" s="535">
        <v>1.8069999999999999</v>
      </c>
      <c r="E898" s="535">
        <f t="shared" si="128"/>
        <v>2.2192499999999997</v>
      </c>
      <c r="F898" s="549">
        <f>SUM($E$2:E898)/SUM($C$2:C898)</f>
        <v>1.6499051009575581E-2</v>
      </c>
      <c r="G898" s="535">
        <f t="shared" si="129"/>
        <v>46.159559999999978</v>
      </c>
      <c r="H898" s="550" t="s">
        <v>47</v>
      </c>
      <c r="I898" s="2"/>
      <c r="J898" s="2"/>
      <c r="K898" s="2"/>
      <c r="L898" s="2"/>
      <c r="O898" s="58"/>
      <c r="P898" s="58"/>
    </row>
    <row r="899" spans="2:16">
      <c r="B899" s="652"/>
      <c r="C899" s="545">
        <v>2.75</v>
      </c>
      <c r="D899" s="536">
        <v>1.8</v>
      </c>
      <c r="E899" s="536">
        <f t="shared" si="128"/>
        <v>2.2000000000000002</v>
      </c>
      <c r="F899" s="546">
        <f>SUM($E$2:E899)/SUM($C$2:C899)</f>
        <v>1.7268434471479573E-2</v>
      </c>
      <c r="G899" s="536">
        <f t="shared" si="129"/>
        <v>48.359559999999981</v>
      </c>
      <c r="H899" s="547" t="s">
        <v>319</v>
      </c>
      <c r="I899" s="2"/>
      <c r="J899" s="2"/>
      <c r="K899" s="2"/>
      <c r="L899" s="2"/>
      <c r="O899" s="58"/>
      <c r="P899" s="58"/>
    </row>
    <row r="900" spans="2:16">
      <c r="B900" s="652"/>
      <c r="C900" s="545">
        <v>2.75</v>
      </c>
      <c r="D900" s="536">
        <v>1.8160000000000001</v>
      </c>
      <c r="E900" s="536">
        <f t="shared" si="128"/>
        <v>2.2439999999999998</v>
      </c>
      <c r="F900" s="546">
        <f>SUM($E$2:E900)/SUM($C$2:C900)</f>
        <v>1.8052004666079129E-2</v>
      </c>
      <c r="G900" s="536">
        <f t="shared" si="129"/>
        <v>50.60355999999998</v>
      </c>
      <c r="H900" s="547" t="s">
        <v>108</v>
      </c>
      <c r="I900" s="2"/>
      <c r="J900" s="2"/>
      <c r="K900" s="2"/>
      <c r="L900" s="2"/>
      <c r="O900" s="58"/>
      <c r="P900" s="58"/>
    </row>
    <row r="901" spans="2:16">
      <c r="B901" s="652"/>
      <c r="C901" s="545">
        <v>2.75</v>
      </c>
      <c r="D901" s="536">
        <v>1.96</v>
      </c>
      <c r="E901" s="536">
        <f t="shared" si="128"/>
        <v>2.6399999999999997</v>
      </c>
      <c r="F901" s="546">
        <f>SUM($E$2:E901)/SUM($C$2:C901)</f>
        <v>1.8975167144221466E-2</v>
      </c>
      <c r="G901" s="536">
        <f t="shared" si="129"/>
        <v>53.243559999999981</v>
      </c>
      <c r="H901" s="547" t="s">
        <v>320</v>
      </c>
      <c r="I901" s="2"/>
      <c r="J901" s="2"/>
      <c r="K901" s="2"/>
      <c r="L901" s="2"/>
      <c r="O901" s="58"/>
      <c r="P901" s="58"/>
    </row>
    <row r="902" spans="2:16">
      <c r="B902" s="652"/>
      <c r="C902" s="548">
        <v>2.75</v>
      </c>
      <c r="D902" s="535">
        <v>1.825</v>
      </c>
      <c r="E902" s="535">
        <f t="shared" si="128"/>
        <v>2.2687499999999998</v>
      </c>
      <c r="F902" s="549">
        <f>SUM($E$2:E902)/SUM($C$2:C902)</f>
        <v>1.9764343773475954E-2</v>
      </c>
      <c r="G902" s="535">
        <f t="shared" si="129"/>
        <v>55.512309999999978</v>
      </c>
      <c r="H902" s="550" t="s">
        <v>321</v>
      </c>
      <c r="I902" s="2"/>
      <c r="J902" s="2"/>
      <c r="K902" s="2"/>
      <c r="L902" s="2"/>
      <c r="O902" s="58"/>
      <c r="P902" s="58"/>
    </row>
    <row r="903" spans="2:16">
      <c r="B903" s="652"/>
      <c r="C903" s="545">
        <v>2.75</v>
      </c>
      <c r="D903" s="536"/>
      <c r="E903" s="536">
        <f t="shared" si="128"/>
        <v>-2.75</v>
      </c>
      <c r="F903" s="546">
        <f>SUM($E$2:E903)/SUM($C$2:C903)</f>
        <v>1.8766872016674489E-2</v>
      </c>
      <c r="G903" s="536">
        <f t="shared" si="129"/>
        <v>52.762309999999978</v>
      </c>
      <c r="H903" s="547" t="s">
        <v>26</v>
      </c>
      <c r="I903" s="2"/>
      <c r="J903" s="2"/>
      <c r="K903" s="2"/>
      <c r="L903" s="2"/>
      <c r="O903" s="58"/>
      <c r="P903" s="58"/>
    </row>
    <row r="904" spans="2:16">
      <c r="B904" s="652"/>
      <c r="C904" s="545">
        <v>2.75</v>
      </c>
      <c r="D904" s="536">
        <v>1.95</v>
      </c>
      <c r="E904" s="536">
        <f t="shared" si="128"/>
        <v>2.6124999999999998</v>
      </c>
      <c r="F904" s="546">
        <f>SUM($E$2:E904)/SUM($C$2:C904)</f>
        <v>1.9676857803788503E-2</v>
      </c>
      <c r="G904" s="536">
        <f t="shared" si="129"/>
        <v>55.374809999999975</v>
      </c>
      <c r="H904" s="547" t="s">
        <v>36</v>
      </c>
      <c r="I904" s="2"/>
      <c r="J904" s="2"/>
      <c r="K904" s="2"/>
      <c r="L904" s="2"/>
      <c r="O904" s="58"/>
      <c r="P904" s="58"/>
    </row>
    <row r="905" spans="2:16">
      <c r="B905" s="652"/>
      <c r="C905" s="545">
        <v>2.75</v>
      </c>
      <c r="D905" s="536">
        <v>2.875</v>
      </c>
      <c r="E905" s="536">
        <f t="shared" si="128"/>
        <v>5.15625</v>
      </c>
      <c r="F905" s="546">
        <f>SUM($E$2:E905)/SUM($C$2:C905)</f>
        <v>2.1488079347949426E-2</v>
      </c>
      <c r="G905" s="536">
        <f t="shared" si="129"/>
        <v>60.531059999999975</v>
      </c>
      <c r="H905" s="547" t="s">
        <v>59</v>
      </c>
      <c r="I905" s="2"/>
      <c r="J905" s="2"/>
      <c r="K905" s="2"/>
      <c r="L905" s="2"/>
      <c r="O905" s="58"/>
      <c r="P905" s="58"/>
    </row>
    <row r="906" spans="2:16">
      <c r="B906" s="651"/>
      <c r="C906" s="548">
        <v>2.75</v>
      </c>
      <c r="D906" s="535"/>
      <c r="E906" s="535">
        <f t="shared" si="128"/>
        <v>-2.75</v>
      </c>
      <c r="F906" s="549">
        <f>SUM($E$2:E906)/SUM($C$2:C906)</f>
        <v>2.0491844906036304E-2</v>
      </c>
      <c r="G906" s="535">
        <f t="shared" si="129"/>
        <v>57.781059999999975</v>
      </c>
      <c r="H906" s="550" t="s">
        <v>27</v>
      </c>
      <c r="I906" s="2">
        <f>SUM(E895:E906)</f>
        <v>15.446750000000002</v>
      </c>
      <c r="L906" s="2">
        <f>I906/C906</f>
        <v>5.6170000000000009</v>
      </c>
      <c r="O906" s="58"/>
      <c r="P906" s="58"/>
    </row>
    <row r="907" spans="2:16">
      <c r="B907" s="652">
        <v>46053</v>
      </c>
      <c r="C907" s="545">
        <v>4.21</v>
      </c>
      <c r="D907" s="536"/>
      <c r="E907" s="536">
        <f t="shared" ref="E907:E912" si="130">(C907*D907)-C907</f>
        <v>-4.21</v>
      </c>
      <c r="F907" s="546">
        <f>SUM($E$2:E907)/SUM($C$2:C907)</f>
        <v>1.8970459503101948E-2</v>
      </c>
      <c r="G907" s="536">
        <f t="shared" ref="G907:G912" si="131">G906+E907</f>
        <v>53.571059999999974</v>
      </c>
      <c r="H907" s="547" t="s">
        <v>51</v>
      </c>
      <c r="I907" s="2"/>
      <c r="J907" s="2"/>
      <c r="K907" s="2"/>
      <c r="L907" s="2"/>
      <c r="O907" s="58"/>
      <c r="P907" s="58"/>
    </row>
    <row r="908" spans="2:16">
      <c r="B908" s="652"/>
      <c r="C908" s="545">
        <v>4.21</v>
      </c>
      <c r="D908" s="536">
        <v>1.84</v>
      </c>
      <c r="E908" s="536">
        <f t="shared" si="130"/>
        <v>3.5364000000000004</v>
      </c>
      <c r="F908" s="546">
        <f>SUM($E$2:E908)/SUM($C$2:C908)</f>
        <v>2.0192657338948223E-2</v>
      </c>
      <c r="G908" s="536">
        <f t="shared" si="131"/>
        <v>57.107459999999975</v>
      </c>
      <c r="H908" s="547" t="s">
        <v>16</v>
      </c>
      <c r="I908" s="2"/>
      <c r="J908" s="2"/>
      <c r="K908" s="2"/>
      <c r="L908" s="2"/>
      <c r="O908" s="58"/>
      <c r="P908" s="58"/>
    </row>
    <row r="909" spans="2:16">
      <c r="B909" s="652"/>
      <c r="C909" s="548">
        <v>4.21</v>
      </c>
      <c r="D909" s="535">
        <v>1.9</v>
      </c>
      <c r="E909" s="535">
        <f t="shared" si="130"/>
        <v>3.7889999999999997</v>
      </c>
      <c r="F909" s="549">
        <f>SUM($E$2:E909)/SUM($C$2:C909)</f>
        <v>2.1500406024700287E-2</v>
      </c>
      <c r="G909" s="535">
        <f t="shared" si="131"/>
        <v>60.896459999999976</v>
      </c>
      <c r="H909" s="550" t="s">
        <v>53</v>
      </c>
      <c r="I909" s="2"/>
      <c r="J909" s="2"/>
      <c r="K909" s="2"/>
      <c r="L909" s="2"/>
      <c r="O909" s="58"/>
      <c r="P909" s="58"/>
    </row>
    <row r="910" spans="2:16">
      <c r="B910" s="652"/>
      <c r="C910" s="545">
        <v>4.21</v>
      </c>
      <c r="D910" s="536"/>
      <c r="E910" s="536">
        <f t="shared" si="130"/>
        <v>-4.21</v>
      </c>
      <c r="F910" s="546">
        <f>SUM($E$2:E910)/SUM($C$2:C910)</f>
        <v>1.9984297826584983E-2</v>
      </c>
      <c r="G910" s="536">
        <f t="shared" si="131"/>
        <v>56.686459999999975</v>
      </c>
      <c r="H910" s="547" t="s">
        <v>322</v>
      </c>
      <c r="I910" s="2"/>
      <c r="J910" s="2"/>
      <c r="K910" s="2"/>
      <c r="L910" s="2"/>
      <c r="O910" s="58"/>
      <c r="P910" s="58"/>
    </row>
    <row r="911" spans="2:16">
      <c r="B911" s="652"/>
      <c r="C911" s="548">
        <v>4.21</v>
      </c>
      <c r="D911" s="542"/>
      <c r="E911" s="535">
        <f t="shared" si="130"/>
        <v>-4.21</v>
      </c>
      <c r="F911" s="549">
        <f>SUM($E$2:E911)/SUM($C$2:C911)</f>
        <v>1.8472683366422951E-2</v>
      </c>
      <c r="G911" s="535">
        <f t="shared" si="131"/>
        <v>52.476459999999975</v>
      </c>
      <c r="H911" s="550" t="s">
        <v>323</v>
      </c>
      <c r="I911" s="2"/>
      <c r="J911" s="2"/>
      <c r="K911" s="2"/>
      <c r="L911" s="2"/>
      <c r="O911" s="58"/>
      <c r="P911" s="58"/>
    </row>
    <row r="912" spans="2:16">
      <c r="B912" s="652"/>
      <c r="C912" s="548">
        <v>4.21</v>
      </c>
      <c r="D912" s="535">
        <v>1.984</v>
      </c>
      <c r="E912" s="535">
        <f t="shared" si="130"/>
        <v>4.1426399999999992</v>
      </c>
      <c r="F912" s="549">
        <f>SUM($E$2:E912)/SUM($C$2:C912)</f>
        <v>1.9901475235239611E-2</v>
      </c>
      <c r="G912" s="535">
        <f t="shared" si="131"/>
        <v>56.619099999999975</v>
      </c>
      <c r="H912" s="550" t="s">
        <v>60</v>
      </c>
      <c r="I912" s="490">
        <f>SUM(E907:E912)</f>
        <v>-1.1619600000000005</v>
      </c>
      <c r="J912" s="450"/>
      <c r="K912" s="490">
        <f>SUM(E640:E912)</f>
        <v>69.403790000000015</v>
      </c>
      <c r="L912" s="2">
        <f>I912/C912</f>
        <v>-0.27600000000000013</v>
      </c>
      <c r="O912" s="58"/>
      <c r="P912" s="58"/>
    </row>
    <row r="913" spans="2:16">
      <c r="B913" s="650">
        <v>46054</v>
      </c>
      <c r="C913" s="545">
        <v>2.52</v>
      </c>
      <c r="D913" s="536">
        <v>1.9390000000000001</v>
      </c>
      <c r="E913" s="536">
        <f t="shared" ref="E913:E929" si="132">(C913*D913)-C913</f>
        <v>2.3662800000000002</v>
      </c>
      <c r="F913" s="546">
        <f>SUM($E$2:E913)/SUM($C$2:C913)</f>
        <v>2.0714868182153272E-2</v>
      </c>
      <c r="G913" s="536">
        <f t="shared" ref="G913:G929" si="133">G912+E913</f>
        <v>58.985379999999978</v>
      </c>
      <c r="H913" s="547" t="s">
        <v>37</v>
      </c>
      <c r="I913" s="2"/>
      <c r="J913" s="2"/>
      <c r="K913" s="2"/>
      <c r="L913" s="2"/>
      <c r="O913" s="58"/>
      <c r="P913" s="58"/>
    </row>
    <row r="914" spans="2:16">
      <c r="B914" s="652"/>
      <c r="C914" s="545">
        <v>2.52</v>
      </c>
      <c r="D914" s="536"/>
      <c r="E914" s="536">
        <f t="shared" si="132"/>
        <v>-2.52</v>
      </c>
      <c r="F914" s="546">
        <f>SUM($E$2:E914)/SUM($C$2:C914)</f>
        <v>1.9812344518089282E-2</v>
      </c>
      <c r="G914" s="536">
        <f t="shared" si="133"/>
        <v>56.465379999999975</v>
      </c>
      <c r="H914" s="547" t="s">
        <v>97</v>
      </c>
      <c r="I914" s="2"/>
      <c r="J914" s="2"/>
      <c r="K914" s="2"/>
      <c r="L914" s="2"/>
      <c r="O914" s="58"/>
      <c r="P914" s="58"/>
    </row>
    <row r="915" spans="2:16">
      <c r="B915" s="652"/>
      <c r="C915" s="545">
        <v>2.52</v>
      </c>
      <c r="D915" s="536"/>
      <c r="E915" s="536">
        <f t="shared" si="132"/>
        <v>-2.52</v>
      </c>
      <c r="F915" s="546">
        <f>SUM($E$2:E915)/SUM($C$2:C915)</f>
        <v>1.891141548029281E-2</v>
      </c>
      <c r="G915" s="536">
        <f t="shared" si="133"/>
        <v>53.945379999999972</v>
      </c>
      <c r="H915" s="547" t="s">
        <v>16</v>
      </c>
      <c r="I915" s="2"/>
      <c r="J915" s="2"/>
      <c r="K915" s="2"/>
      <c r="L915" s="2"/>
      <c r="O915" s="58"/>
      <c r="P915" s="58"/>
    </row>
    <row r="916" spans="2:16">
      <c r="B916" s="652"/>
      <c r="C916" s="545">
        <v>2.52</v>
      </c>
      <c r="D916" s="536">
        <v>1.798</v>
      </c>
      <c r="E916" s="536">
        <f t="shared" si="132"/>
        <v>2.0109600000000003</v>
      </c>
      <c r="F916" s="546">
        <f>SUM($E$2:E916)/SUM($C$2:C916)</f>
        <v>1.9599075322673732E-2</v>
      </c>
      <c r="G916" s="536">
        <f t="shared" si="133"/>
        <v>55.956339999999969</v>
      </c>
      <c r="H916" s="547" t="s">
        <v>25</v>
      </c>
      <c r="I916" s="2"/>
      <c r="J916" s="2"/>
      <c r="K916" s="2"/>
      <c r="L916" s="2"/>
      <c r="O916" s="58"/>
      <c r="P916" s="58"/>
    </row>
    <row r="917" spans="2:16">
      <c r="B917" s="652"/>
      <c r="C917" s="545">
        <v>2.52</v>
      </c>
      <c r="D917" s="536">
        <v>1.9</v>
      </c>
      <c r="E917" s="536">
        <f t="shared" si="132"/>
        <v>2.2679999999999993</v>
      </c>
      <c r="F917" s="546">
        <f>SUM($E$2:E917)/SUM($C$2:C917)</f>
        <v>2.0375472866806282E-2</v>
      </c>
      <c r="G917" s="536">
        <f t="shared" si="133"/>
        <v>58.22433999999997</v>
      </c>
      <c r="H917" s="547" t="s">
        <v>12</v>
      </c>
      <c r="I917" s="2"/>
      <c r="J917" s="2"/>
      <c r="K917" s="2"/>
      <c r="L917" s="2"/>
      <c r="O917" s="58"/>
      <c r="P917" s="58"/>
    </row>
    <row r="918" spans="2:16">
      <c r="B918" s="652"/>
      <c r="C918" s="545">
        <v>2.52</v>
      </c>
      <c r="D918" s="536">
        <v>1.9</v>
      </c>
      <c r="E918" s="536">
        <f t="shared" si="132"/>
        <v>2.2679999999999993</v>
      </c>
      <c r="F918" s="546">
        <f>SUM($E$2:E918)/SUM($C$2:C918)</f>
        <v>2.115050225692185E-2</v>
      </c>
      <c r="G918" s="536">
        <f t="shared" si="133"/>
        <v>60.49233999999997</v>
      </c>
      <c r="H918" s="547" t="s">
        <v>29</v>
      </c>
      <c r="I918" s="2"/>
      <c r="J918" s="2"/>
      <c r="K918" s="2"/>
      <c r="L918" s="2"/>
      <c r="O918" s="58"/>
      <c r="P918" s="58"/>
    </row>
    <row r="919" spans="2:16">
      <c r="B919" s="652"/>
      <c r="C919" s="548">
        <v>2.52</v>
      </c>
      <c r="D919" s="535">
        <v>1.91</v>
      </c>
      <c r="E919" s="535">
        <f t="shared" si="132"/>
        <v>2.2932000000000001</v>
      </c>
      <c r="F919" s="549">
        <f>SUM($E$2:E919)/SUM($C$2:C919)</f>
        <v>2.1932970261404661E-2</v>
      </c>
      <c r="G919" s="535">
        <f t="shared" si="133"/>
        <v>62.785539999999969</v>
      </c>
      <c r="H919" s="550" t="s">
        <v>59</v>
      </c>
      <c r="I919" s="2"/>
      <c r="J919" s="2"/>
      <c r="K919" s="2"/>
      <c r="L919" s="2"/>
      <c r="O919" s="58"/>
      <c r="P919" s="58"/>
    </row>
    <row r="920" spans="2:16">
      <c r="B920" s="652"/>
      <c r="C920" s="545">
        <v>2.52</v>
      </c>
      <c r="D920" s="536"/>
      <c r="E920" s="536">
        <f t="shared" si="132"/>
        <v>-2.52</v>
      </c>
      <c r="F920" s="546">
        <f>SUM($E$2:E920)/SUM($C$2:C920)</f>
        <v>2.103413806703347E-2</v>
      </c>
      <c r="G920" s="536">
        <f t="shared" si="133"/>
        <v>60.265539999999966</v>
      </c>
      <c r="H920" s="547" t="s">
        <v>324</v>
      </c>
      <c r="I920" s="2"/>
      <c r="J920" s="2"/>
      <c r="K920" s="2"/>
      <c r="L920" s="2"/>
      <c r="O920" s="58"/>
      <c r="P920" s="58"/>
    </row>
    <row r="921" spans="2:16">
      <c r="B921" s="652"/>
      <c r="C921" s="545">
        <v>2.52</v>
      </c>
      <c r="D921" s="536">
        <v>1.8049999999999999</v>
      </c>
      <c r="E921" s="536">
        <f t="shared" si="132"/>
        <v>2.0285999999999995</v>
      </c>
      <c r="F921" s="546">
        <f>SUM($E$2:E921)/SUM($C$2:C921)</f>
        <v>2.1723062437884539E-2</v>
      </c>
      <c r="G921" s="536">
        <f t="shared" si="133"/>
        <v>62.294139999999963</v>
      </c>
      <c r="H921" s="547" t="s">
        <v>323</v>
      </c>
      <c r="I921" s="2"/>
      <c r="J921" s="2"/>
      <c r="K921" s="2"/>
      <c r="L921" s="2"/>
      <c r="O921" s="58"/>
      <c r="P921" s="58"/>
    </row>
    <row r="922" spans="2:16">
      <c r="B922" s="652"/>
      <c r="C922" s="545">
        <v>2.52</v>
      </c>
      <c r="D922" s="536">
        <v>1.8160000000000001</v>
      </c>
      <c r="E922" s="536">
        <f t="shared" si="132"/>
        <v>2.0563199999999999</v>
      </c>
      <c r="F922" s="546">
        <f>SUM($E$2:E922)/SUM($C$2:C922)</f>
        <v>2.2420435026496547E-2</v>
      </c>
      <c r="G922" s="536">
        <f t="shared" si="133"/>
        <v>64.35045999999997</v>
      </c>
      <c r="H922" s="547" t="s">
        <v>325</v>
      </c>
      <c r="I922" s="2"/>
      <c r="J922" s="2"/>
      <c r="K922" s="2"/>
      <c r="L922" s="2"/>
      <c r="O922" s="58"/>
      <c r="P922" s="58"/>
    </row>
    <row r="923" spans="2:16">
      <c r="B923" s="652"/>
      <c r="C923" s="545">
        <v>2.52</v>
      </c>
      <c r="D923" s="536">
        <v>1.825</v>
      </c>
      <c r="E923" s="536">
        <f t="shared" si="132"/>
        <v>2.0790000000000002</v>
      </c>
      <c r="F923" s="546">
        <f>SUM($E$2:E923)/SUM($C$2:C923)</f>
        <v>2.3124479146722957E-2</v>
      </c>
      <c r="G923" s="536">
        <f t="shared" si="133"/>
        <v>66.429459999999963</v>
      </c>
      <c r="H923" s="547" t="s">
        <v>326</v>
      </c>
      <c r="I923" s="2"/>
      <c r="J923" s="2"/>
      <c r="K923" s="2"/>
      <c r="L923" s="2"/>
      <c r="O923" s="58"/>
      <c r="P923" s="58"/>
    </row>
    <row r="924" spans="2:16">
      <c r="B924" s="652"/>
      <c r="C924" s="545">
        <v>2.52</v>
      </c>
      <c r="D924" s="536">
        <v>1.825</v>
      </c>
      <c r="E924" s="536">
        <f t="shared" si="132"/>
        <v>2.0790000000000002</v>
      </c>
      <c r="F924" s="546">
        <f>SUM($E$2:E924)/SUM($C$2:C924)</f>
        <v>2.3827289137141133E-2</v>
      </c>
      <c r="G924" s="536">
        <f t="shared" si="133"/>
        <v>68.508459999999957</v>
      </c>
      <c r="H924" s="547" t="s">
        <v>327</v>
      </c>
      <c r="I924" s="2"/>
      <c r="J924" s="2"/>
      <c r="K924" s="2"/>
      <c r="L924" s="2"/>
      <c r="O924" s="58"/>
      <c r="P924" s="58"/>
    </row>
    <row r="925" spans="2:16">
      <c r="B925" s="652"/>
      <c r="C925" s="548">
        <v>2.52</v>
      </c>
      <c r="D925" s="535"/>
      <c r="E925" s="535">
        <f t="shared" si="132"/>
        <v>-2.52</v>
      </c>
      <c r="F925" s="549">
        <f>SUM($E$2:E925)/SUM($C$2:C925)</f>
        <v>2.2930733599051883E-2</v>
      </c>
      <c r="G925" s="535">
        <f t="shared" si="133"/>
        <v>65.988459999999961</v>
      </c>
      <c r="H925" s="550" t="s">
        <v>328</v>
      </c>
      <c r="I925" s="2"/>
      <c r="J925" s="2"/>
      <c r="K925" s="2"/>
      <c r="L925" s="2"/>
      <c r="O925" s="58"/>
      <c r="P925" s="58"/>
    </row>
    <row r="926" spans="2:16">
      <c r="B926" s="652"/>
      <c r="C926" s="545">
        <v>2.52</v>
      </c>
      <c r="D926" s="536"/>
      <c r="E926" s="536">
        <f t="shared" si="132"/>
        <v>-2.52</v>
      </c>
      <c r="F926" s="546">
        <f>SUM($E$2:E926)/SUM($C$2:C926)</f>
        <v>2.2035746896970607E-2</v>
      </c>
      <c r="G926" s="536">
        <f t="shared" si="133"/>
        <v>63.468459999999958</v>
      </c>
      <c r="H926" s="547" t="s">
        <v>28</v>
      </c>
      <c r="I926" s="2"/>
      <c r="J926" s="2"/>
      <c r="K926" s="2"/>
      <c r="L926" s="2"/>
      <c r="O926" s="58"/>
      <c r="P926" s="58"/>
    </row>
    <row r="927" spans="2:16">
      <c r="B927" s="652"/>
      <c r="C927" s="545">
        <v>2.52</v>
      </c>
      <c r="D927" s="536"/>
      <c r="E927" s="536">
        <f t="shared" si="132"/>
        <v>-2.52</v>
      </c>
      <c r="F927" s="546">
        <f>SUM($E$2:E927)/SUM($C$2:C927)</f>
        <v>2.114232491665988E-2</v>
      </c>
      <c r="G927" s="536">
        <f t="shared" si="133"/>
        <v>60.948459999999955</v>
      </c>
      <c r="H927" s="547" t="s">
        <v>28</v>
      </c>
      <c r="I927" s="2"/>
      <c r="J927" s="2"/>
      <c r="K927" s="2"/>
      <c r="L927" s="2"/>
      <c r="O927" s="58"/>
      <c r="P927" s="58"/>
    </row>
    <row r="928" spans="2:16">
      <c r="B928" s="652"/>
      <c r="C928" s="545">
        <v>2.52</v>
      </c>
      <c r="D928" s="536">
        <v>2.23</v>
      </c>
      <c r="E928" s="536">
        <f t="shared" si="132"/>
        <v>3.0996000000000001</v>
      </c>
      <c r="F928" s="546">
        <f>SUM($E$2:E928)/SUM($C$2:C928)</f>
        <v>2.2198136062579352E-2</v>
      </c>
      <c r="G928" s="536">
        <f t="shared" si="133"/>
        <v>64.04805999999995</v>
      </c>
      <c r="H928" s="547" t="s">
        <v>11</v>
      </c>
      <c r="I928" s="2"/>
      <c r="J928" s="2"/>
      <c r="K928" s="2"/>
      <c r="L928" s="2"/>
      <c r="O928" s="58"/>
      <c r="P928" s="58"/>
    </row>
    <row r="929" spans="2:16">
      <c r="B929" s="652"/>
      <c r="C929" s="548">
        <v>2.52</v>
      </c>
      <c r="D929" s="535"/>
      <c r="E929" s="535">
        <f t="shared" si="132"/>
        <v>-2.52</v>
      </c>
      <c r="F929" s="549">
        <f>SUM($E$2:E929)/SUM($C$2:C929)</f>
        <v>2.1306131636083948E-2</v>
      </c>
      <c r="G929" s="535">
        <f t="shared" si="133"/>
        <v>61.528059999999947</v>
      </c>
      <c r="H929" s="550" t="s">
        <v>59</v>
      </c>
      <c r="I929" s="490">
        <f>SUM(E913:E929)</f>
        <v>4.9089600000000022</v>
      </c>
      <c r="J929" s="490">
        <f>SUM(E851:E929)</f>
        <v>45.42653999999996</v>
      </c>
      <c r="L929" s="2">
        <f>I929/C929</f>
        <v>1.9480000000000008</v>
      </c>
      <c r="O929" s="58"/>
      <c r="P929" s="58"/>
    </row>
    <row r="930" spans="2:16">
      <c r="B930" s="650">
        <v>46055</v>
      </c>
      <c r="C930" s="548">
        <v>6.35</v>
      </c>
      <c r="D930" s="535">
        <v>1.8069999999999999</v>
      </c>
      <c r="E930" s="535">
        <f t="shared" ref="E930:E932" si="134">(C930*D930)-C930</f>
        <v>5.1244499999999995</v>
      </c>
      <c r="F930" s="549">
        <f>SUM($E$2:E930)/SUM($C$2:C930)</f>
        <v>2.3030001796721523E-2</v>
      </c>
      <c r="G930" s="535">
        <f t="shared" ref="G930:G932" si="135">G929+E930</f>
        <v>66.65250999999995</v>
      </c>
      <c r="H930" s="550" t="s">
        <v>15</v>
      </c>
      <c r="I930" s="2"/>
      <c r="J930" s="2"/>
      <c r="K930" s="2"/>
      <c r="L930" s="2"/>
      <c r="O930" s="58"/>
      <c r="P930" s="58"/>
    </row>
    <row r="931" spans="2:16">
      <c r="B931" s="652"/>
      <c r="C931" s="545">
        <v>6.35</v>
      </c>
      <c r="D931" s="536">
        <v>1.96</v>
      </c>
      <c r="E931" s="536">
        <f t="shared" si="134"/>
        <v>6.0960000000000001</v>
      </c>
      <c r="F931" s="546">
        <f>SUM($E$2:E931)/SUM($C$2:C931)</f>
        <v>2.5081282257258048E-2</v>
      </c>
      <c r="G931" s="536">
        <f t="shared" si="135"/>
        <v>72.748509999999953</v>
      </c>
      <c r="H931" s="547" t="s">
        <v>329</v>
      </c>
      <c r="I931" s="2"/>
      <c r="J931" s="2"/>
      <c r="K931" s="2"/>
      <c r="L931" s="2"/>
      <c r="O931" s="58"/>
      <c r="P931" s="58"/>
    </row>
    <row r="932" spans="2:16">
      <c r="B932" s="652"/>
      <c r="C932" s="548">
        <v>6.35</v>
      </c>
      <c r="D932" s="535">
        <v>1.98</v>
      </c>
      <c r="E932" s="535">
        <f t="shared" si="134"/>
        <v>6.222999999999999</v>
      </c>
      <c r="F932" s="549">
        <f>SUM($E$2:E932)/SUM($C$2:C932)</f>
        <v>2.7167290478385443E-2</v>
      </c>
      <c r="G932" s="535">
        <f t="shared" si="135"/>
        <v>78.971509999999952</v>
      </c>
      <c r="H932" s="550" t="s">
        <v>330</v>
      </c>
      <c r="I932" s="2">
        <f>SUM(E930:E932)</f>
        <v>17.443449999999999</v>
      </c>
      <c r="L932" s="2">
        <f>I932/C932</f>
        <v>2.7469999999999999</v>
      </c>
      <c r="O932" s="58"/>
      <c r="P932" s="58"/>
    </row>
    <row r="933" spans="2:16">
      <c r="B933" s="650">
        <v>46056</v>
      </c>
      <c r="C933" s="545">
        <v>2.6</v>
      </c>
      <c r="D933" s="536"/>
      <c r="E933" s="536">
        <f t="shared" ref="E933:E944" si="136">(C933*D933)-C933</f>
        <v>-2.6</v>
      </c>
      <c r="F933" s="546">
        <f>SUM($E$2:E933)/SUM($C$2:C933)</f>
        <v>2.6249376172897902E-2</v>
      </c>
      <c r="G933" s="536">
        <f t="shared" ref="G933:G944" si="137">G932+E933</f>
        <v>76.371509999999958</v>
      </c>
      <c r="H933" s="547" t="s">
        <v>97</v>
      </c>
      <c r="I933" s="2"/>
      <c r="J933" s="2"/>
      <c r="K933" s="2"/>
      <c r="L933" s="2"/>
      <c r="O933" s="58"/>
      <c r="P933" s="58"/>
    </row>
    <row r="934" spans="2:16">
      <c r="B934" s="652"/>
      <c r="C934" s="545">
        <v>2.6</v>
      </c>
      <c r="D934" s="536"/>
      <c r="E934" s="536">
        <f t="shared" si="136"/>
        <v>-2.6</v>
      </c>
      <c r="F934" s="546">
        <f>SUM($E$2:E934)/SUM($C$2:C934)</f>
        <v>2.5333100966326089E-2</v>
      </c>
      <c r="G934" s="536">
        <f t="shared" si="137"/>
        <v>73.771509999999964</v>
      </c>
      <c r="H934" s="547" t="s">
        <v>60</v>
      </c>
      <c r="I934" s="2"/>
      <c r="J934" s="2"/>
      <c r="K934" s="2"/>
      <c r="L934" s="2"/>
      <c r="O934" s="58"/>
      <c r="P934" s="58"/>
    </row>
    <row r="935" spans="2:16">
      <c r="B935" s="652"/>
      <c r="C935" s="548">
        <v>2.6</v>
      </c>
      <c r="D935" s="535">
        <v>1.784</v>
      </c>
      <c r="E935" s="535">
        <f t="shared" si="136"/>
        <v>2.0383999999999998</v>
      </c>
      <c r="F935" s="549">
        <f>SUM($E$2:E935)/SUM($C$2:C935)</f>
        <v>2.60098639292403E-2</v>
      </c>
      <c r="G935" s="535">
        <f t="shared" si="137"/>
        <v>75.809909999999959</v>
      </c>
      <c r="H935" s="550" t="s">
        <v>16</v>
      </c>
      <c r="I935" s="2"/>
      <c r="J935" s="2"/>
      <c r="K935" s="2"/>
      <c r="L935" s="2"/>
      <c r="O935" s="58"/>
      <c r="P935" s="58"/>
    </row>
    <row r="936" spans="2:16">
      <c r="B936" s="652"/>
      <c r="C936" s="545">
        <v>2.6</v>
      </c>
      <c r="D936" s="536"/>
      <c r="E936" s="536">
        <f t="shared" si="136"/>
        <v>-2.6</v>
      </c>
      <c r="F936" s="546">
        <f>SUM($E$2:E936)/SUM($C$2:C936)</f>
        <v>2.5095435442846904E-2</v>
      </c>
      <c r="G936" s="536">
        <f t="shared" si="137"/>
        <v>73.209909999999965</v>
      </c>
      <c r="H936" s="547" t="s">
        <v>331</v>
      </c>
      <c r="I936" s="2"/>
      <c r="J936" s="2"/>
      <c r="K936" s="2"/>
      <c r="L936" s="2"/>
      <c r="O936" s="58"/>
      <c r="P936" s="58"/>
    </row>
    <row r="937" spans="2:16">
      <c r="B937" s="652"/>
      <c r="C937" s="545">
        <v>2.6</v>
      </c>
      <c r="D937" s="536"/>
      <c r="E937" s="536">
        <f t="shared" si="136"/>
        <v>-2.6</v>
      </c>
      <c r="F937" s="546">
        <f>SUM($E$2:E937)/SUM($C$2:C937)</f>
        <v>2.4182635468823706E-2</v>
      </c>
      <c r="G937" s="536">
        <f t="shared" si="137"/>
        <v>70.609909999999971</v>
      </c>
      <c r="H937" s="547" t="s">
        <v>332</v>
      </c>
      <c r="I937" s="2"/>
      <c r="J937" s="2"/>
      <c r="K937" s="2"/>
      <c r="L937" s="2"/>
      <c r="O937" s="58"/>
      <c r="P937" s="58"/>
    </row>
    <row r="938" spans="2:16">
      <c r="B938" s="652"/>
      <c r="C938" s="545">
        <v>2.6</v>
      </c>
      <c r="D938" s="536">
        <v>1</v>
      </c>
      <c r="E938" s="536">
        <f t="shared" si="136"/>
        <v>0</v>
      </c>
      <c r="F938" s="546">
        <f>SUM($E$2:E938)/SUM($C$2:C938)</f>
        <v>2.4161121110297348E-2</v>
      </c>
      <c r="G938" s="536">
        <f t="shared" si="137"/>
        <v>70.609909999999971</v>
      </c>
      <c r="H938" s="547" t="s">
        <v>333</v>
      </c>
      <c r="I938" s="2"/>
      <c r="J938" s="2"/>
      <c r="K938" s="2"/>
      <c r="L938" s="2"/>
      <c r="O938" s="58"/>
      <c r="P938" s="58"/>
    </row>
    <row r="939" spans="2:16">
      <c r="B939" s="652"/>
      <c r="C939" s="545">
        <v>2.6</v>
      </c>
      <c r="D939" s="536">
        <v>1.825</v>
      </c>
      <c r="E939" s="536">
        <f t="shared" si="136"/>
        <v>2.145</v>
      </c>
      <c r="F939" s="546">
        <f>SUM($E$2:E939)/SUM($C$2:C939)</f>
        <v>2.4872963289641777E-2</v>
      </c>
      <c r="G939" s="536">
        <f t="shared" si="137"/>
        <v>72.754909999999967</v>
      </c>
      <c r="H939" s="547" t="s">
        <v>334</v>
      </c>
      <c r="I939" s="2"/>
      <c r="J939" s="2"/>
      <c r="K939" s="2"/>
      <c r="L939" s="2"/>
      <c r="O939" s="58"/>
      <c r="P939" s="58"/>
    </row>
    <row r="940" spans="2:16">
      <c r="B940" s="652"/>
      <c r="C940" s="548">
        <v>2.6</v>
      </c>
      <c r="D940" s="535">
        <v>1.98</v>
      </c>
      <c r="E940" s="535">
        <f t="shared" si="136"/>
        <v>2.5479999999999996</v>
      </c>
      <c r="F940" s="549">
        <f>SUM($E$2:E940)/SUM($C$2:C940)</f>
        <v>2.5721193717849603E-2</v>
      </c>
      <c r="G940" s="535">
        <f t="shared" si="137"/>
        <v>75.302909999999969</v>
      </c>
      <c r="H940" s="550" t="s">
        <v>335</v>
      </c>
      <c r="I940" s="2"/>
      <c r="J940" s="2"/>
      <c r="K940" s="2"/>
      <c r="L940" s="2"/>
      <c r="O940" s="58"/>
      <c r="P940" s="58"/>
    </row>
    <row r="941" spans="2:16">
      <c r="B941" s="652"/>
      <c r="C941" s="545">
        <v>2.6</v>
      </c>
      <c r="D941" s="536"/>
      <c r="E941" s="536">
        <f t="shared" si="136"/>
        <v>-2.6</v>
      </c>
      <c r="F941" s="546">
        <f>SUM($E$2:E941)/SUM($C$2:C941)</f>
        <v>2.4811078197838957E-2</v>
      </c>
      <c r="G941" s="536">
        <f t="shared" si="137"/>
        <v>72.702909999999974</v>
      </c>
      <c r="H941" s="547" t="s">
        <v>59</v>
      </c>
      <c r="I941" s="2"/>
      <c r="J941" s="2"/>
      <c r="K941" s="2"/>
      <c r="L941" s="2"/>
      <c r="O941" s="58"/>
      <c r="P941" s="58"/>
    </row>
    <row r="942" spans="2:16">
      <c r="B942" s="652"/>
      <c r="C942" s="545">
        <v>2.6</v>
      </c>
      <c r="D942" s="536">
        <v>2.34</v>
      </c>
      <c r="E942" s="536">
        <f t="shared" si="136"/>
        <v>3.4839999999999995</v>
      </c>
      <c r="F942" s="546">
        <f>SUM($E$2:E942)/SUM($C$2:C942)</f>
        <v>2.5977001970772406E-2</v>
      </c>
      <c r="G942" s="536">
        <f t="shared" si="137"/>
        <v>76.186909999999969</v>
      </c>
      <c r="H942" s="547" t="s">
        <v>47</v>
      </c>
      <c r="I942" s="2"/>
      <c r="J942" s="2"/>
      <c r="K942" s="2"/>
      <c r="L942" s="2"/>
      <c r="O942" s="58"/>
      <c r="P942" s="58"/>
    </row>
    <row r="943" spans="2:16">
      <c r="B943" s="652"/>
      <c r="C943" s="545">
        <v>2.6</v>
      </c>
      <c r="D943" s="536">
        <v>2.2639999999999998</v>
      </c>
      <c r="E943" s="536">
        <f t="shared" si="136"/>
        <v>3.2864</v>
      </c>
      <c r="F943" s="546">
        <f>SUM($E$2:E943)/SUM($C$2:C943)</f>
        <v>2.7073545543117451E-2</v>
      </c>
      <c r="G943" s="536">
        <f t="shared" si="137"/>
        <v>79.473309999999969</v>
      </c>
      <c r="H943" s="547" t="s">
        <v>34</v>
      </c>
      <c r="I943" s="2"/>
      <c r="J943" s="2"/>
      <c r="K943" s="2"/>
      <c r="L943" s="2"/>
      <c r="O943" s="58"/>
      <c r="P943" s="58"/>
    </row>
    <row r="944" spans="2:16">
      <c r="B944" s="652"/>
      <c r="C944" s="548">
        <v>2.6</v>
      </c>
      <c r="D944" s="535"/>
      <c r="E944" s="535">
        <f t="shared" si="136"/>
        <v>-2.6</v>
      </c>
      <c r="F944" s="549">
        <f>SUM($E$2:E944)/SUM($C$2:C944)</f>
        <v>2.6164649462570393E-2</v>
      </c>
      <c r="G944" s="535">
        <f t="shared" si="137"/>
        <v>76.873309999999975</v>
      </c>
      <c r="H944" s="550" t="s">
        <v>27</v>
      </c>
      <c r="I944" s="2">
        <f>SUM(E933:E944)</f>
        <v>-2.0982000000000025</v>
      </c>
      <c r="L944" s="2">
        <f>I944/C944</f>
        <v>-0.80700000000000094</v>
      </c>
      <c r="O944" s="58"/>
      <c r="P944" s="58"/>
    </row>
    <row r="945" spans="2:16">
      <c r="B945" s="650">
        <v>46057</v>
      </c>
      <c r="C945" s="545">
        <v>3.7</v>
      </c>
      <c r="D945" s="536"/>
      <c r="E945" s="536">
        <f t="shared" ref="E945:E954" si="138">(C945*D945)-C945</f>
        <v>-3.7</v>
      </c>
      <c r="F945" s="546">
        <f>SUM($E$2:E945)/SUM($C$2:C945)</f>
        <v>2.4873990400304441E-2</v>
      </c>
      <c r="G945" s="536">
        <f t="shared" ref="G945:G954" si="139">G944+E945</f>
        <v>73.173309999999972</v>
      </c>
      <c r="H945" s="547" t="s">
        <v>29</v>
      </c>
      <c r="I945" s="2"/>
      <c r="J945" s="2"/>
      <c r="K945" s="2"/>
      <c r="L945" s="2"/>
      <c r="O945" s="58"/>
      <c r="P945" s="58"/>
    </row>
    <row r="946" spans="2:16">
      <c r="B946" s="652"/>
      <c r="C946" s="545">
        <v>3.7</v>
      </c>
      <c r="D946" s="536">
        <v>1.91</v>
      </c>
      <c r="E946" s="536">
        <f t="shared" si="138"/>
        <v>3.367</v>
      </c>
      <c r="F946" s="546">
        <f>SUM($E$2:E946)/SUM($C$2:C946)</f>
        <v>2.598585959408703E-2</v>
      </c>
      <c r="G946" s="536">
        <f t="shared" si="139"/>
        <v>76.540309999999977</v>
      </c>
      <c r="H946" s="547" t="s">
        <v>53</v>
      </c>
      <c r="I946" s="2"/>
      <c r="J946" s="2"/>
      <c r="K946" s="2"/>
      <c r="L946" s="2"/>
      <c r="O946" s="58"/>
      <c r="P946" s="58"/>
    </row>
    <row r="947" spans="2:16">
      <c r="B947" s="652"/>
      <c r="C947" s="548">
        <v>3.7</v>
      </c>
      <c r="D947" s="535"/>
      <c r="E947" s="535">
        <f t="shared" si="138"/>
        <v>-3.7</v>
      </c>
      <c r="F947" s="549">
        <f>SUM($E$2:E947)/SUM($C$2:C947)</f>
        <v>2.4698663348207493E-2</v>
      </c>
      <c r="G947" s="535">
        <f t="shared" si="139"/>
        <v>72.840309999999974</v>
      </c>
      <c r="H947" s="550" t="s">
        <v>38</v>
      </c>
      <c r="I947" s="2"/>
      <c r="J947" s="2"/>
      <c r="K947" s="2"/>
      <c r="L947" s="2"/>
      <c r="O947" s="58"/>
      <c r="P947" s="58"/>
    </row>
    <row r="948" spans="2:16">
      <c r="B948" s="652"/>
      <c r="C948" s="548">
        <v>3.7</v>
      </c>
      <c r="D948" s="535"/>
      <c r="E948" s="535">
        <f t="shared" si="138"/>
        <v>-3.7</v>
      </c>
      <c r="F948" s="549">
        <f>SUM($E$2:E948)/SUM($C$2:C948)</f>
        <v>2.3414692874027088E-2</v>
      </c>
      <c r="G948" s="535">
        <f t="shared" si="139"/>
        <v>69.140309999999971</v>
      </c>
      <c r="H948" s="550" t="s">
        <v>124</v>
      </c>
      <c r="I948" s="2"/>
      <c r="J948" s="2"/>
      <c r="K948" s="2"/>
      <c r="L948" s="2"/>
      <c r="O948" s="58"/>
      <c r="P948" s="58"/>
    </row>
    <row r="949" spans="2:16">
      <c r="B949" s="652"/>
      <c r="C949" s="545">
        <v>3.7</v>
      </c>
      <c r="D949" s="536"/>
      <c r="E949" s="536">
        <f t="shared" si="138"/>
        <v>-3.7</v>
      </c>
      <c r="F949" s="546">
        <f>SUM($E$2:E949)/SUM($C$2:C949)</f>
        <v>2.2133936060827329E-2</v>
      </c>
      <c r="G949" s="536">
        <f t="shared" si="139"/>
        <v>65.440309999999968</v>
      </c>
      <c r="H949" s="547" t="s">
        <v>59</v>
      </c>
      <c r="I949" s="2"/>
      <c r="J949" s="2"/>
      <c r="K949" s="2"/>
      <c r="L949" s="2"/>
      <c r="O949" s="58"/>
      <c r="P949" s="58"/>
    </row>
    <row r="950" spans="2:16">
      <c r="B950" s="652"/>
      <c r="C950" s="545">
        <v>3.7</v>
      </c>
      <c r="D950" s="536"/>
      <c r="E950" s="536">
        <f t="shared" si="138"/>
        <v>-3.7</v>
      </c>
      <c r="F950" s="546">
        <f>SUM($E$2:E950)/SUM($C$2:C950)</f>
        <v>2.0856380858437999E-2</v>
      </c>
      <c r="G950" s="536">
        <f t="shared" si="139"/>
        <v>61.740309999999965</v>
      </c>
      <c r="H950" s="547" t="s">
        <v>25</v>
      </c>
      <c r="I950" s="2"/>
      <c r="J950" s="2"/>
      <c r="K950" s="2"/>
      <c r="L950" s="2"/>
      <c r="O950" s="58"/>
      <c r="P950" s="58"/>
    </row>
    <row r="951" spans="2:16">
      <c r="B951" s="652"/>
      <c r="C951" s="545">
        <v>3.7</v>
      </c>
      <c r="D951" s="536">
        <v>2.7549999999999999</v>
      </c>
      <c r="E951" s="536">
        <f t="shared" si="138"/>
        <v>6.4935</v>
      </c>
      <c r="F951" s="546">
        <f>SUM($E$2:E951)/SUM($C$2:C951)</f>
        <v>2.3021164253228667E-2</v>
      </c>
      <c r="G951" s="536">
        <f t="shared" si="139"/>
        <v>68.233809999999963</v>
      </c>
      <c r="H951" s="547" t="s">
        <v>37</v>
      </c>
      <c r="I951" s="2"/>
      <c r="J951" s="2"/>
      <c r="K951" s="2"/>
      <c r="L951" s="2"/>
      <c r="O951" s="58"/>
      <c r="P951" s="58"/>
    </row>
    <row r="952" spans="2:16">
      <c r="B952" s="652"/>
      <c r="C952" s="545">
        <v>3.7</v>
      </c>
      <c r="D952" s="536">
        <v>2.52</v>
      </c>
      <c r="E952" s="536">
        <f t="shared" si="138"/>
        <v>5.6239999999999997</v>
      </c>
      <c r="F952" s="546">
        <f>SUM($E$2:E952)/SUM($C$2:C952)</f>
        <v>2.4887557873880299E-2</v>
      </c>
      <c r="G952" s="536">
        <f t="shared" si="139"/>
        <v>73.857809999999958</v>
      </c>
      <c r="H952" s="547" t="s">
        <v>34</v>
      </c>
      <c r="I952" s="2"/>
      <c r="J952" s="2"/>
      <c r="K952" s="2"/>
      <c r="L952" s="2"/>
      <c r="O952" s="58"/>
      <c r="P952" s="58"/>
    </row>
    <row r="953" spans="2:16">
      <c r="B953" s="652"/>
      <c r="C953" s="545">
        <v>3.7</v>
      </c>
      <c r="D953" s="536">
        <v>1.98</v>
      </c>
      <c r="E953" s="536">
        <f t="shared" si="138"/>
        <v>3.6260000000000003</v>
      </c>
      <c r="F953" s="546">
        <f>SUM($E$2:E953)/SUM($C$2:C953)</f>
        <v>2.6076883985784154E-2</v>
      </c>
      <c r="G953" s="536">
        <f t="shared" si="139"/>
        <v>77.483809999999963</v>
      </c>
      <c r="H953" s="547" t="s">
        <v>26</v>
      </c>
      <c r="I953" s="2"/>
      <c r="J953" s="2"/>
      <c r="K953" s="2"/>
      <c r="L953" s="2"/>
      <c r="O953" s="58"/>
      <c r="P953" s="58"/>
    </row>
    <row r="954" spans="2:16">
      <c r="B954" s="652"/>
      <c r="C954" s="548">
        <v>3.7</v>
      </c>
      <c r="D954" s="535"/>
      <c r="E954" s="535">
        <f t="shared" si="138"/>
        <v>-3.7</v>
      </c>
      <c r="F954" s="549">
        <f>SUM($E$2:E954)/SUM($C$2:C954)</f>
        <v>2.480078048846061E-2</v>
      </c>
      <c r="G954" s="535">
        <f t="shared" si="139"/>
        <v>73.78380999999996</v>
      </c>
      <c r="H954" s="550" t="s">
        <v>18</v>
      </c>
      <c r="I954" s="2">
        <f>SUM(E945:E954)</f>
        <v>-3.0894999999999984</v>
      </c>
      <c r="L954" s="2">
        <f>I954/C954</f>
        <v>-0.83499999999999952</v>
      </c>
      <c r="O954" s="58"/>
      <c r="P954" s="58"/>
    </row>
    <row r="955" spans="2:16">
      <c r="B955" s="650">
        <v>46058</v>
      </c>
      <c r="C955" s="545">
        <v>3.22</v>
      </c>
      <c r="D955" s="536">
        <v>1.91</v>
      </c>
      <c r="E955" s="536">
        <f t="shared" ref="E955:E966" si="140">(C955*D955)-C955</f>
        <v>2.9301999999999997</v>
      </c>
      <c r="F955" s="546">
        <f>SUM($E$2:E955)/SUM($C$2:C955)</f>
        <v>2.5757823307412202E-2</v>
      </c>
      <c r="G955" s="536">
        <f t="shared" ref="G955:G966" si="141">G954+E955</f>
        <v>76.714009999999959</v>
      </c>
      <c r="H955" s="547" t="s">
        <v>97</v>
      </c>
      <c r="I955" s="2"/>
      <c r="J955" s="2"/>
      <c r="K955" s="2"/>
      <c r="L955" s="2"/>
      <c r="O955" s="58"/>
      <c r="P955" s="58"/>
    </row>
    <row r="956" spans="2:16">
      <c r="B956" s="652"/>
      <c r="C956" s="545">
        <v>3.22</v>
      </c>
      <c r="D956" s="536"/>
      <c r="E956" s="536">
        <f t="shared" si="140"/>
        <v>-3.22</v>
      </c>
      <c r="F956" s="546">
        <f>SUM($E$2:E956)/SUM($C$2:C956)</f>
        <v>2.4650011739057398E-2</v>
      </c>
      <c r="G956" s="536">
        <f t="shared" si="141"/>
        <v>73.49400999999996</v>
      </c>
      <c r="H956" s="547" t="s">
        <v>64</v>
      </c>
      <c r="I956" s="2"/>
      <c r="J956" s="2"/>
      <c r="K956" s="2"/>
      <c r="L956" s="2"/>
      <c r="O956" s="58"/>
      <c r="P956" s="58"/>
    </row>
    <row r="957" spans="2:16">
      <c r="B957" s="652"/>
      <c r="C957" s="545">
        <v>3.22</v>
      </c>
      <c r="D957" s="536">
        <v>1.9</v>
      </c>
      <c r="E957" s="536">
        <f t="shared" si="140"/>
        <v>2.8980000000000001</v>
      </c>
      <c r="F957" s="546">
        <f>SUM($E$2:E957)/SUM($C$2:C957)</f>
        <v>2.5594363960438373E-2</v>
      </c>
      <c r="G957" s="536">
        <f t="shared" si="141"/>
        <v>76.392009999999956</v>
      </c>
      <c r="H957" s="547" t="s">
        <v>14</v>
      </c>
      <c r="I957" s="2"/>
      <c r="J957" s="2"/>
      <c r="K957" s="2"/>
      <c r="L957" s="2"/>
      <c r="O957" s="58"/>
      <c r="P957" s="58"/>
    </row>
    <row r="958" spans="2:16">
      <c r="B958" s="652"/>
      <c r="C958" s="545">
        <v>3.22</v>
      </c>
      <c r="D958" s="536"/>
      <c r="E958" s="536">
        <f t="shared" si="140"/>
        <v>-3.22</v>
      </c>
      <c r="F958" s="546">
        <f>SUM($E$2:E958)/SUM($C$2:C958)</f>
        <v>2.4489116247314084E-2</v>
      </c>
      <c r="G958" s="536">
        <f t="shared" si="141"/>
        <v>73.172009999999958</v>
      </c>
      <c r="H958" s="547" t="s">
        <v>25</v>
      </c>
      <c r="I958" s="2"/>
      <c r="J958" s="2"/>
      <c r="K958" s="2"/>
      <c r="L958" s="2"/>
      <c r="O958" s="58"/>
      <c r="P958" s="58"/>
    </row>
    <row r="959" spans="2:16">
      <c r="B959" s="652"/>
      <c r="C959" s="548">
        <v>3.22</v>
      </c>
      <c r="D959" s="535"/>
      <c r="E959" s="535">
        <f t="shared" si="140"/>
        <v>-3.22</v>
      </c>
      <c r="F959" s="549">
        <f>SUM($E$2:E959)/SUM($C$2:C959)</f>
        <v>2.3386248144532443E-2</v>
      </c>
      <c r="G959" s="535">
        <f t="shared" si="141"/>
        <v>69.952009999999959</v>
      </c>
      <c r="H959" s="550" t="s">
        <v>10</v>
      </c>
      <c r="I959" s="2"/>
      <c r="J959" s="2"/>
      <c r="K959" s="2"/>
      <c r="L959" s="2"/>
      <c r="O959" s="58"/>
      <c r="P959" s="58"/>
    </row>
    <row r="960" spans="2:16">
      <c r="B960" s="652"/>
      <c r="C960" s="545">
        <v>3.22</v>
      </c>
      <c r="D960" s="536"/>
      <c r="E960" s="536">
        <f t="shared" si="140"/>
        <v>-3.22</v>
      </c>
      <c r="F960" s="546">
        <f>SUM($E$2:E960)/SUM($C$2:C960)</f>
        <v>2.2285751975367082E-2</v>
      </c>
      <c r="G960" s="536">
        <f t="shared" si="141"/>
        <v>66.73200999999996</v>
      </c>
      <c r="H960" s="547" t="s">
        <v>336</v>
      </c>
      <c r="I960" s="2"/>
      <c r="J960" s="2"/>
      <c r="K960" s="2"/>
      <c r="L960" s="2"/>
      <c r="O960" s="58"/>
      <c r="P960" s="58"/>
    </row>
    <row r="961" spans="2:16">
      <c r="B961" s="652"/>
      <c r="C961" s="545">
        <v>3.22</v>
      </c>
      <c r="D961" s="536">
        <v>1.825</v>
      </c>
      <c r="E961" s="536">
        <f t="shared" si="140"/>
        <v>2.6564999999999999</v>
      </c>
      <c r="F961" s="546">
        <f>SUM($E$2:E961)/SUM($C$2:C961)</f>
        <v>2.314802175073381E-2</v>
      </c>
      <c r="G961" s="536">
        <f t="shared" si="141"/>
        <v>69.388509999999954</v>
      </c>
      <c r="H961" s="547" t="s">
        <v>337</v>
      </c>
      <c r="I961" s="2"/>
      <c r="J961" s="2"/>
      <c r="K961" s="2"/>
      <c r="L961" s="2"/>
      <c r="O961" s="58"/>
      <c r="P961" s="58"/>
    </row>
    <row r="962" spans="2:16">
      <c r="B962" s="652"/>
      <c r="C962" s="545">
        <v>3.22</v>
      </c>
      <c r="D962" s="536"/>
      <c r="E962" s="536">
        <f t="shared" si="140"/>
        <v>-3.22</v>
      </c>
      <c r="F962" s="546">
        <f>SUM($E$2:E962)/SUM($C$2:C962)</f>
        <v>2.2050142960923912E-2</v>
      </c>
      <c r="G962" s="536">
        <f t="shared" si="141"/>
        <v>66.168509999999955</v>
      </c>
      <c r="H962" s="547" t="s">
        <v>338</v>
      </c>
      <c r="I962" s="2"/>
      <c r="J962" s="2"/>
      <c r="K962" s="2"/>
      <c r="L962" s="2"/>
      <c r="O962" s="58"/>
      <c r="P962" s="58"/>
    </row>
    <row r="963" spans="2:16">
      <c r="B963" s="652"/>
      <c r="C963" s="545">
        <v>3.22</v>
      </c>
      <c r="D963" s="536"/>
      <c r="E963" s="536">
        <f t="shared" si="140"/>
        <v>-3.22</v>
      </c>
      <c r="F963" s="546">
        <f>SUM($E$2:E963)/SUM($C$2:C963)</f>
        <v>2.0954617781387633E-2</v>
      </c>
      <c r="G963" s="536">
        <f t="shared" si="141"/>
        <v>62.948509999999956</v>
      </c>
      <c r="H963" s="547" t="s">
        <v>193</v>
      </c>
      <c r="I963" s="2"/>
      <c r="J963" s="2"/>
      <c r="K963" s="2"/>
      <c r="L963" s="2"/>
      <c r="O963" s="58"/>
      <c r="P963" s="58"/>
    </row>
    <row r="964" spans="2:16">
      <c r="B964" s="652"/>
      <c r="C964" s="548">
        <v>3.22</v>
      </c>
      <c r="D964" s="535">
        <v>1.83</v>
      </c>
      <c r="E964" s="535">
        <f t="shared" si="140"/>
        <v>2.6726000000000005</v>
      </c>
      <c r="F964" s="549">
        <f>SUM($E$2:E964)/SUM($C$2:C964)</f>
        <v>2.1820896763166373E-2</v>
      </c>
      <c r="G964" s="535">
        <f t="shared" si="141"/>
        <v>65.621109999999959</v>
      </c>
      <c r="H964" s="550" t="s">
        <v>339</v>
      </c>
      <c r="I964" s="2"/>
      <c r="J964" s="2"/>
      <c r="K964" s="2"/>
      <c r="L964" s="2"/>
      <c r="O964" s="58"/>
      <c r="P964" s="58"/>
    </row>
    <row r="965" spans="2:16">
      <c r="B965" s="652"/>
      <c r="C965" s="545">
        <v>3.22</v>
      </c>
      <c r="D965" s="536"/>
      <c r="E965" s="536">
        <f t="shared" si="140"/>
        <v>-3.22</v>
      </c>
      <c r="F965" s="546">
        <f>SUM($E$2:E965)/SUM($C$2:C965)</f>
        <v>2.0727960325263653E-2</v>
      </c>
      <c r="G965" s="536">
        <f t="shared" si="141"/>
        <v>62.40110999999996</v>
      </c>
      <c r="H965" s="547" t="s">
        <v>28</v>
      </c>
      <c r="I965" s="2"/>
      <c r="J965" s="2"/>
      <c r="K965" s="2"/>
      <c r="L965" s="2"/>
      <c r="O965" s="58"/>
      <c r="P965" s="58"/>
    </row>
    <row r="966" spans="2:16">
      <c r="B966" s="652"/>
      <c r="C966" s="548">
        <v>3.22</v>
      </c>
      <c r="D966" s="535">
        <v>1.98</v>
      </c>
      <c r="E966" s="535">
        <f t="shared" si="140"/>
        <v>3.1556000000000002</v>
      </c>
      <c r="F966" s="549">
        <f>SUM($E$2:E966)/SUM($C$2:C966)</f>
        <v>2.1752898430500621E-2</v>
      </c>
      <c r="G966" s="535">
        <f t="shared" si="141"/>
        <v>65.556709999999967</v>
      </c>
      <c r="H966" s="550" t="s">
        <v>27</v>
      </c>
      <c r="I966" s="2">
        <f>SUM(E955:E966)</f>
        <v>-8.2271000000000019</v>
      </c>
      <c r="L966" s="2">
        <f>I966/C966</f>
        <v>-2.5550000000000006</v>
      </c>
      <c r="O966" s="58"/>
      <c r="P966" s="58"/>
    </row>
    <row r="967" spans="2:16">
      <c r="B967" s="650">
        <v>46059</v>
      </c>
      <c r="C967" s="545">
        <v>4.25</v>
      </c>
      <c r="D967" s="536">
        <v>1.91</v>
      </c>
      <c r="E967" s="536">
        <f t="shared" ref="E967:E975" si="142">(C967*D967)-C967</f>
        <v>3.8674999999999997</v>
      </c>
      <c r="F967" s="546">
        <f>SUM($E$2:E967)/SUM($C$2:C967)</f>
        <v>2.3003764144535099E-2</v>
      </c>
      <c r="G967" s="536">
        <f t="shared" ref="G967:G975" si="143">G966+E967</f>
        <v>69.42420999999996</v>
      </c>
      <c r="H967" s="547" t="s">
        <v>37</v>
      </c>
      <c r="I967" s="2"/>
      <c r="J967" s="2"/>
      <c r="K967" s="2"/>
      <c r="L967" s="2"/>
      <c r="O967" s="58"/>
      <c r="P967" s="58"/>
    </row>
    <row r="968" spans="2:16">
      <c r="B968" s="652"/>
      <c r="C968" s="545">
        <v>4.25</v>
      </c>
      <c r="D968" s="536">
        <v>1.8260000000000001</v>
      </c>
      <c r="E968" s="536">
        <f t="shared" si="142"/>
        <v>3.5105000000000004</v>
      </c>
      <c r="F968" s="546">
        <f>SUM($E$2:E968)/SUM($C$2:C968)</f>
        <v>2.413298590430802E-2</v>
      </c>
      <c r="G968" s="536">
        <f t="shared" si="143"/>
        <v>72.934709999999967</v>
      </c>
      <c r="H968" s="547" t="s">
        <v>104</v>
      </c>
      <c r="I968" s="2"/>
      <c r="J968" s="2"/>
      <c r="K968" s="2"/>
      <c r="L968" s="2"/>
      <c r="O968" s="58"/>
      <c r="P968" s="58"/>
    </row>
    <row r="969" spans="2:16">
      <c r="B969" s="652"/>
      <c r="C969" s="548">
        <v>4.25</v>
      </c>
      <c r="D969" s="535"/>
      <c r="E969" s="535">
        <f t="shared" si="142"/>
        <v>-4.25</v>
      </c>
      <c r="F969" s="549">
        <f>SUM($E$2:E969)/SUM($C$2:C969)</f>
        <v>2.2694810751870909E-2</v>
      </c>
      <c r="G969" s="535">
        <f t="shared" si="143"/>
        <v>68.684709999999967</v>
      </c>
      <c r="H969" s="550" t="s">
        <v>52</v>
      </c>
      <c r="I969" s="2"/>
      <c r="J969" s="2"/>
      <c r="K969" s="2"/>
      <c r="L969" s="2"/>
      <c r="O969" s="58"/>
      <c r="P969" s="58"/>
    </row>
    <row r="970" spans="2:16">
      <c r="B970" s="652"/>
      <c r="C970" s="545">
        <v>4.25</v>
      </c>
      <c r="D970" s="536">
        <v>1.85</v>
      </c>
      <c r="E970" s="536">
        <f t="shared" si="142"/>
        <v>3.6125000000000007</v>
      </c>
      <c r="F970" s="546">
        <f>SUM($E$2:E970)/SUM($C$2:C970)</f>
        <v>2.385495430098647E-2</v>
      </c>
      <c r="G970" s="536">
        <f t="shared" si="143"/>
        <v>72.297209999999964</v>
      </c>
      <c r="H970" s="547" t="s">
        <v>195</v>
      </c>
      <c r="I970" s="2"/>
      <c r="J970" s="2"/>
      <c r="K970" s="2"/>
      <c r="L970" s="2"/>
      <c r="O970" s="58"/>
      <c r="P970" s="58"/>
    </row>
    <row r="971" spans="2:16">
      <c r="B971" s="652"/>
      <c r="C971" s="545">
        <v>4.25</v>
      </c>
      <c r="D971" s="536">
        <v>1.835</v>
      </c>
      <c r="E971" s="536">
        <f t="shared" si="142"/>
        <v>3.5487500000000001</v>
      </c>
      <c r="F971" s="546">
        <f>SUM($E$2:E971)/SUM($C$2:C971)</f>
        <v>2.4990843341735344E-2</v>
      </c>
      <c r="G971" s="536">
        <f t="shared" si="143"/>
        <v>75.845959999999963</v>
      </c>
      <c r="H971" s="547" t="s">
        <v>340</v>
      </c>
      <c r="I971" s="2"/>
      <c r="J971" s="2"/>
      <c r="K971" s="2"/>
      <c r="L971" s="2"/>
      <c r="O971" s="58"/>
      <c r="P971" s="58"/>
    </row>
    <row r="972" spans="2:16">
      <c r="B972" s="652"/>
      <c r="C972" s="548">
        <v>4.25</v>
      </c>
      <c r="D972" s="535">
        <v>1.9</v>
      </c>
      <c r="E972" s="535">
        <f t="shared" si="142"/>
        <v>3.8249999999999993</v>
      </c>
      <c r="F972" s="549">
        <f>SUM($E$2:E972)/SUM($C$2:C972)</f>
        <v>2.6214451171360776E-2</v>
      </c>
      <c r="G972" s="535">
        <f t="shared" si="143"/>
        <v>79.670959999999965</v>
      </c>
      <c r="H972" s="550" t="s">
        <v>341</v>
      </c>
      <c r="I972" s="2"/>
      <c r="J972" s="2"/>
      <c r="K972" s="2"/>
      <c r="L972" s="2"/>
      <c r="O972" s="58"/>
      <c r="P972" s="58"/>
    </row>
    <row r="973" spans="2:16">
      <c r="B973" s="652"/>
      <c r="C973" s="545">
        <v>4.25</v>
      </c>
      <c r="D973" s="536">
        <v>2.02</v>
      </c>
      <c r="E973" s="536">
        <f t="shared" si="142"/>
        <v>4.3350000000000009</v>
      </c>
      <c r="F973" s="546">
        <f>SUM($E$2:E973)/SUM($C$2:C973)</f>
        <v>2.7602214591992524E-2</v>
      </c>
      <c r="G973" s="536">
        <f t="shared" si="143"/>
        <v>84.005959999999959</v>
      </c>
      <c r="H973" s="547" t="s">
        <v>97</v>
      </c>
      <c r="I973" s="2"/>
      <c r="J973" s="2"/>
      <c r="K973" s="2"/>
      <c r="L973" s="2"/>
      <c r="O973" s="58"/>
      <c r="P973" s="58"/>
    </row>
    <row r="974" spans="2:16">
      <c r="B974" s="652"/>
      <c r="C974" s="545">
        <v>4.25</v>
      </c>
      <c r="D974" s="536">
        <v>2.0449999999999999</v>
      </c>
      <c r="E974" s="536">
        <f t="shared" si="142"/>
        <v>4.4412500000000001</v>
      </c>
      <c r="F974" s="546">
        <f>SUM($E$2:E974)/SUM($C$2:C974)</f>
        <v>2.90209699117366E-2</v>
      </c>
      <c r="G974" s="536">
        <f t="shared" si="143"/>
        <v>88.447209999999956</v>
      </c>
      <c r="H974" s="547" t="s">
        <v>34</v>
      </c>
      <c r="I974" s="2"/>
      <c r="J974" s="2"/>
      <c r="K974" s="2"/>
      <c r="L974" s="2"/>
      <c r="O974" s="58"/>
      <c r="P974" s="58"/>
    </row>
    <row r="975" spans="2:16">
      <c r="B975" s="651"/>
      <c r="C975" s="548">
        <v>4.25</v>
      </c>
      <c r="D975" s="535"/>
      <c r="E975" s="535">
        <f t="shared" si="142"/>
        <v>-4.25</v>
      </c>
      <c r="F975" s="549">
        <f>SUM($E$2:E975)/SUM($C$2:C975)</f>
        <v>2.7588004390635381E-2</v>
      </c>
      <c r="G975" s="535">
        <f t="shared" si="143"/>
        <v>84.197209999999956</v>
      </c>
      <c r="H975" s="550" t="s">
        <v>26</v>
      </c>
      <c r="I975" s="2">
        <f>SUM(E967:E975)</f>
        <v>18.640499999999999</v>
      </c>
      <c r="L975" s="2">
        <f>I975/C975</f>
        <v>4.3860000000000001</v>
      </c>
      <c r="O975" s="58"/>
      <c r="P975" s="58"/>
    </row>
    <row r="976" spans="2:16">
      <c r="B976" s="652">
        <v>46060</v>
      </c>
      <c r="C976" s="545">
        <v>2.61</v>
      </c>
      <c r="D976" s="536"/>
      <c r="E976" s="536">
        <f t="shared" ref="E976:E990" si="144">(C976*D976)-C976</f>
        <v>-2.61</v>
      </c>
      <c r="F976" s="546">
        <f>SUM($E$2:E976)/SUM($C$2:C976)</f>
        <v>2.6709971321565024E-2</v>
      </c>
      <c r="G976" s="536">
        <f t="shared" ref="G976:G990" si="145">G975+E976</f>
        <v>81.587209999999956</v>
      </c>
      <c r="H976" s="547" t="s">
        <v>30</v>
      </c>
      <c r="I976" s="2"/>
      <c r="J976" s="2"/>
      <c r="K976" s="2"/>
      <c r="L976" s="2"/>
      <c r="O976" s="58"/>
      <c r="P976" s="58"/>
    </row>
    <row r="977" spans="1:16">
      <c r="B977" s="652"/>
      <c r="C977" s="545">
        <v>2.61</v>
      </c>
      <c r="D977" s="536"/>
      <c r="E977" s="536">
        <f t="shared" si="144"/>
        <v>-2.61</v>
      </c>
      <c r="F977" s="546">
        <f>SUM($E$2:E977)/SUM($C$2:C977)</f>
        <v>2.5833437460134587E-2</v>
      </c>
      <c r="G977" s="536">
        <f t="shared" si="145"/>
        <v>78.977209999999957</v>
      </c>
      <c r="H977" s="547" t="s">
        <v>12</v>
      </c>
      <c r="I977" s="2"/>
      <c r="J977" s="2"/>
      <c r="K977" s="2"/>
      <c r="L977" s="2"/>
      <c r="O977" s="58"/>
      <c r="P977" s="58"/>
    </row>
    <row r="978" spans="1:16">
      <c r="B978" s="652"/>
      <c r="C978" s="545">
        <v>2.61</v>
      </c>
      <c r="D978" s="536">
        <v>1.85</v>
      </c>
      <c r="E978" s="536">
        <f t="shared" si="144"/>
        <v>2.2185000000000001</v>
      </c>
      <c r="F978" s="546">
        <f>SUM($E$2:E978)/SUM($C$2:C978)</f>
        <v>2.6536453601239192E-2</v>
      </c>
      <c r="G978" s="536">
        <f t="shared" si="145"/>
        <v>81.195709999999963</v>
      </c>
      <c r="H978" s="547" t="s">
        <v>64</v>
      </c>
      <c r="I978" s="2"/>
      <c r="J978" s="2"/>
      <c r="K978" s="2"/>
      <c r="L978" s="2"/>
      <c r="O978" s="58"/>
      <c r="P978" s="58"/>
    </row>
    <row r="979" spans="1:16">
      <c r="B979" s="652"/>
      <c r="C979" s="545">
        <v>2.61</v>
      </c>
      <c r="D979" s="536">
        <v>1.9</v>
      </c>
      <c r="E979" s="536">
        <f t="shared" si="144"/>
        <v>2.3489999999999998</v>
      </c>
      <c r="F979" s="546">
        <f>SUM($E$2:E979)/SUM($C$2:C979)</f>
        <v>2.7280885190978172E-2</v>
      </c>
      <c r="G979" s="536">
        <f t="shared" si="145"/>
        <v>83.544709999999966</v>
      </c>
      <c r="H979" s="547" t="s">
        <v>36</v>
      </c>
      <c r="I979" s="2"/>
      <c r="J979" s="2"/>
      <c r="K979" s="2"/>
      <c r="L979" s="2"/>
      <c r="O979" s="58"/>
      <c r="P979" s="58"/>
    </row>
    <row r="980" spans="1:16">
      <c r="A980" s="555"/>
      <c r="B980" s="652"/>
      <c r="C980" s="548">
        <v>2.61</v>
      </c>
      <c r="D980" s="535">
        <v>1</v>
      </c>
      <c r="E980" s="535">
        <f t="shared" si="144"/>
        <v>0</v>
      </c>
      <c r="F980" s="549">
        <f>SUM($E$2:E980)/SUM($C$2:C980)</f>
        <v>2.7257654159869377E-2</v>
      </c>
      <c r="G980" s="535">
        <f t="shared" si="145"/>
        <v>83.544709999999966</v>
      </c>
      <c r="H980" s="550" t="s">
        <v>52</v>
      </c>
      <c r="I980" s="2"/>
      <c r="J980" s="2"/>
      <c r="K980" s="2"/>
      <c r="L980" s="2"/>
      <c r="O980" s="58"/>
      <c r="P980" s="58"/>
    </row>
    <row r="981" spans="1:16">
      <c r="B981" s="652"/>
      <c r="C981" s="545">
        <v>2.61</v>
      </c>
      <c r="D981" s="536">
        <v>1.98</v>
      </c>
      <c r="E981" s="536">
        <f t="shared" si="144"/>
        <v>2.5577999999999999</v>
      </c>
      <c r="F981" s="546">
        <f>SUM($E$2:E981)/SUM($C$2:C981)</f>
        <v>2.8068271390430867E-2</v>
      </c>
      <c r="G981" s="536">
        <f t="shared" si="145"/>
        <v>86.102509999999967</v>
      </c>
      <c r="H981" s="547" t="s">
        <v>342</v>
      </c>
      <c r="I981" s="2"/>
      <c r="J981" s="2"/>
      <c r="K981" s="2"/>
      <c r="L981" s="2"/>
      <c r="O981" s="58"/>
      <c r="P981" s="58"/>
    </row>
    <row r="982" spans="1:16">
      <c r="B982" s="652"/>
      <c r="C982" s="545">
        <v>2.61</v>
      </c>
      <c r="D982" s="536">
        <v>1.98</v>
      </c>
      <c r="E982" s="536">
        <f t="shared" si="144"/>
        <v>2.5577999999999999</v>
      </c>
      <c r="F982" s="546">
        <f>SUM($E$2:E982)/SUM($C$2:C982)</f>
        <v>2.8877510406420264E-2</v>
      </c>
      <c r="G982" s="536">
        <f t="shared" si="145"/>
        <v>88.660309999999967</v>
      </c>
      <c r="H982" s="547" t="s">
        <v>343</v>
      </c>
      <c r="I982" s="2"/>
      <c r="J982" s="2"/>
      <c r="K982" s="2"/>
      <c r="L982" s="2"/>
      <c r="O982" s="58"/>
      <c r="P982" s="58"/>
    </row>
    <row r="983" spans="1:16">
      <c r="B983" s="652"/>
      <c r="C983" s="545">
        <v>2.61</v>
      </c>
      <c r="D983" s="536"/>
      <c r="E983" s="536">
        <f t="shared" si="144"/>
        <v>-2.61</v>
      </c>
      <c r="F983" s="546">
        <f>SUM($E$2:E983)/SUM($C$2:C983)</f>
        <v>2.800360254228175E-2</v>
      </c>
      <c r="G983" s="536">
        <f t="shared" si="145"/>
        <v>86.050309999999968</v>
      </c>
      <c r="H983" s="547" t="s">
        <v>344</v>
      </c>
      <c r="I983" s="2"/>
      <c r="J983" s="2"/>
      <c r="K983" s="2"/>
      <c r="L983" s="2"/>
      <c r="O983" s="58"/>
      <c r="P983" s="58"/>
    </row>
    <row r="984" spans="1:16">
      <c r="B984" s="652"/>
      <c r="C984" s="545">
        <v>2.61</v>
      </c>
      <c r="D984" s="536">
        <v>1.825</v>
      </c>
      <c r="E984" s="536">
        <f t="shared" si="144"/>
        <v>2.1532499999999994</v>
      </c>
      <c r="F984" s="546">
        <f>SUM($E$2:E984)/SUM($C$2:C984)</f>
        <v>2.8679980750721722E-2</v>
      </c>
      <c r="G984" s="536">
        <f t="shared" si="145"/>
        <v>88.203559999999968</v>
      </c>
      <c r="H984" s="547" t="s">
        <v>345</v>
      </c>
      <c r="I984" s="2"/>
      <c r="J984" s="2"/>
      <c r="K984" s="2"/>
      <c r="L984" s="2"/>
      <c r="O984" s="58"/>
      <c r="P984" s="58"/>
    </row>
    <row r="985" spans="1:16">
      <c r="B985" s="652"/>
      <c r="C985" s="545">
        <v>2.61</v>
      </c>
      <c r="D985" s="536"/>
      <c r="E985" s="536">
        <f t="shared" si="144"/>
        <v>-2.61</v>
      </c>
      <c r="F985" s="546">
        <f>SUM($E$2:E985)/SUM($C$2:C985)</f>
        <v>2.7807722421662944E-2</v>
      </c>
      <c r="G985" s="536">
        <f t="shared" si="145"/>
        <v>85.593559999999968</v>
      </c>
      <c r="H985" s="547" t="s">
        <v>93</v>
      </c>
      <c r="I985" s="2"/>
      <c r="J985" s="2"/>
      <c r="K985" s="2"/>
      <c r="L985" s="2"/>
      <c r="O985" s="58"/>
      <c r="P985" s="58"/>
    </row>
    <row r="986" spans="1:16">
      <c r="B986" s="652"/>
      <c r="C986" s="545">
        <v>2.61</v>
      </c>
      <c r="D986" s="536"/>
      <c r="E986" s="536">
        <f t="shared" si="144"/>
        <v>-2.61</v>
      </c>
      <c r="F986" s="546">
        <f>SUM($E$2:E986)/SUM($C$2:C986)</f>
        <v>2.6936942083839056E-2</v>
      </c>
      <c r="G986" s="536">
        <f t="shared" si="145"/>
        <v>82.983559999999969</v>
      </c>
      <c r="H986" s="547" t="s">
        <v>346</v>
      </c>
      <c r="I986" s="2"/>
      <c r="J986" s="2"/>
      <c r="K986" s="2"/>
      <c r="L986" s="2"/>
      <c r="O986" s="58"/>
      <c r="P986" s="58"/>
    </row>
    <row r="987" spans="1:16">
      <c r="B987" s="652"/>
      <c r="C987" s="545">
        <v>2.61</v>
      </c>
      <c r="D987" s="536">
        <v>1.825</v>
      </c>
      <c r="E987" s="536">
        <f t="shared" si="144"/>
        <v>2.1532499999999994</v>
      </c>
      <c r="F987" s="546">
        <f>SUM($E$2:E987)/SUM($C$2:C987)</f>
        <v>2.7612505554168016E-2</v>
      </c>
      <c r="G987" s="536">
        <f t="shared" si="145"/>
        <v>85.136809999999969</v>
      </c>
      <c r="H987" s="547" t="s">
        <v>347</v>
      </c>
      <c r="I987" s="2"/>
      <c r="J987" s="2"/>
      <c r="K987" s="2"/>
      <c r="L987" s="2"/>
      <c r="O987" s="58"/>
      <c r="P987" s="58"/>
    </row>
    <row r="988" spans="1:16">
      <c r="A988" s="555"/>
      <c r="B988" s="652"/>
      <c r="C988" s="545">
        <v>2.61</v>
      </c>
      <c r="D988" s="536"/>
      <c r="E988" s="536">
        <f t="shared" si="144"/>
        <v>-2.61</v>
      </c>
      <c r="F988" s="546">
        <f>SUM($E$2:E988)/SUM($C$2:C988)</f>
        <v>2.674336331937717E-2</v>
      </c>
      <c r="G988" s="536">
        <f t="shared" si="145"/>
        <v>82.526809999999969</v>
      </c>
      <c r="H988" s="547" t="s">
        <v>348</v>
      </c>
      <c r="I988" s="2"/>
      <c r="J988" s="2"/>
      <c r="K988" s="2"/>
      <c r="L988" s="2"/>
      <c r="O988" s="58"/>
      <c r="P988" s="58"/>
    </row>
    <row r="989" spans="1:16">
      <c r="B989" s="652"/>
      <c r="C989" s="548">
        <v>2.61</v>
      </c>
      <c r="D989" s="535"/>
      <c r="E989" s="535">
        <f t="shared" si="144"/>
        <v>-2.61</v>
      </c>
      <c r="F989" s="549">
        <f>SUM($E$2:E989)/SUM($C$2:C989)</f>
        <v>2.5875690062133805E-2</v>
      </c>
      <c r="G989" s="535">
        <f t="shared" si="145"/>
        <v>79.91680999999997</v>
      </c>
      <c r="H989" s="550" t="s">
        <v>349</v>
      </c>
      <c r="I989" s="2"/>
      <c r="J989" s="2"/>
      <c r="K989" s="2"/>
      <c r="L989" s="2"/>
      <c r="O989" s="58"/>
      <c r="P989" s="58"/>
    </row>
    <row r="990" spans="1:16">
      <c r="B990" s="652"/>
      <c r="C990" s="548">
        <v>2.61</v>
      </c>
      <c r="D990" s="535"/>
      <c r="E990" s="535">
        <f t="shared" si="144"/>
        <v>-2.61</v>
      </c>
      <c r="F990" s="549">
        <f>SUM($E$2:E990)/SUM($C$2:C990)</f>
        <v>2.5009482061401973E-2</v>
      </c>
      <c r="G990" s="535">
        <f t="shared" si="145"/>
        <v>77.30680999999997</v>
      </c>
      <c r="H990" s="550" t="s">
        <v>14</v>
      </c>
      <c r="I990" s="2">
        <f>SUM(E976:E990)</f>
        <v>-6.8903999999999996</v>
      </c>
      <c r="L990" s="2">
        <f>I990/C990</f>
        <v>-2.64</v>
      </c>
      <c r="O990" s="58"/>
      <c r="P990" s="58"/>
    </row>
    <row r="991" spans="1:16">
      <c r="B991" s="650">
        <v>46061</v>
      </c>
      <c r="C991" s="545">
        <v>6.48</v>
      </c>
      <c r="D991" s="536">
        <v>1.8160000000000001</v>
      </c>
      <c r="E991" s="536">
        <f t="shared" ref="E991:E993" si="146">(C991*D991)-C991</f>
        <v>5.2876799999999999</v>
      </c>
      <c r="F991" s="546">
        <f>SUM($E$2:E991)/SUM($C$2:C991)</f>
        <v>2.6664199149012975E-2</v>
      </c>
      <c r="G991" s="536">
        <f t="shared" ref="G991:G993" si="147">G990+E991</f>
        <v>82.594489999999965</v>
      </c>
      <c r="H991" s="547" t="s">
        <v>11</v>
      </c>
      <c r="I991" s="2"/>
      <c r="J991" s="2"/>
      <c r="K991" s="2"/>
      <c r="L991" s="2"/>
      <c r="O991" s="58"/>
      <c r="P991" s="58"/>
    </row>
    <row r="992" spans="1:16">
      <c r="B992" s="652"/>
      <c r="C992" s="548">
        <v>6.48</v>
      </c>
      <c r="D992" s="535"/>
      <c r="E992" s="535">
        <f t="shared" si="146"/>
        <v>-6.48</v>
      </c>
      <c r="F992" s="549">
        <f>SUM($E$2:E992)/SUM($C$2:C992)</f>
        <v>2.4520946760049626E-2</v>
      </c>
      <c r="G992" s="535">
        <f t="shared" si="147"/>
        <v>76.114489999999961</v>
      </c>
      <c r="H992" s="550" t="s">
        <v>25</v>
      </c>
      <c r="I992" s="2"/>
      <c r="J992" s="2"/>
      <c r="K992" s="2"/>
      <c r="L992" s="2"/>
      <c r="O992" s="58"/>
      <c r="P992" s="58"/>
    </row>
    <row r="993" spans="2:16">
      <c r="B993" s="652"/>
      <c r="C993" s="548">
        <v>6.48</v>
      </c>
      <c r="D993" s="535">
        <v>1.835</v>
      </c>
      <c r="E993" s="535">
        <f t="shared" si="146"/>
        <v>5.4108000000000001</v>
      </c>
      <c r="F993" s="549">
        <f>SUM($E$2:E993)/SUM($C$2:C993)</f>
        <v>2.6209368791270844E-2</v>
      </c>
      <c r="G993" s="535">
        <f t="shared" si="147"/>
        <v>81.525289999999956</v>
      </c>
      <c r="H993" s="550" t="s">
        <v>350</v>
      </c>
      <c r="I993" s="490">
        <f>SUM(E991:E993)</f>
        <v>4.2184799999999996</v>
      </c>
      <c r="J993" s="490">
        <f>SUM(E930:E993)</f>
        <v>19.997230000000002</v>
      </c>
      <c r="L993" s="2">
        <f>I993/C993</f>
        <v>0.65099999999999991</v>
      </c>
      <c r="O993" s="58"/>
      <c r="P993" s="58"/>
    </row>
    <row r="994" spans="2:16">
      <c r="B994" s="650">
        <v>46062</v>
      </c>
      <c r="C994" s="545">
        <v>2.6</v>
      </c>
      <c r="D994" s="536">
        <v>1.9</v>
      </c>
      <c r="E994" s="536">
        <f t="shared" ref="E994:E1006" si="148">(C994*D994)-C994</f>
        <v>2.3399999999999994</v>
      </c>
      <c r="F994" s="546">
        <f>SUM($E$2:E994)/SUM($C$2:C994)</f>
        <v>2.6939132194504459E-2</v>
      </c>
      <c r="G994" s="536">
        <f t="shared" ref="G994:G1006" si="149">G993+E994</f>
        <v>83.865289999999959</v>
      </c>
      <c r="H994" s="547" t="s">
        <v>15</v>
      </c>
      <c r="I994" s="2"/>
      <c r="J994" s="2"/>
      <c r="K994" s="2"/>
      <c r="L994" s="2"/>
      <c r="O994" s="58"/>
      <c r="P994" s="58"/>
    </row>
    <row r="995" spans="2:16">
      <c r="B995" s="652"/>
      <c r="C995" s="545">
        <v>2.6</v>
      </c>
      <c r="D995" s="536">
        <v>1.8160000000000001</v>
      </c>
      <c r="E995" s="536">
        <f t="shared" si="148"/>
        <v>2.1216000000000004</v>
      </c>
      <c r="F995" s="546">
        <f>SUM($E$2:E995)/SUM($C$2:C995)</f>
        <v>2.7597581954848481E-2</v>
      </c>
      <c r="G995" s="536">
        <f t="shared" si="149"/>
        <v>85.98688999999996</v>
      </c>
      <c r="H995" s="547" t="s">
        <v>16</v>
      </c>
      <c r="I995" s="2"/>
      <c r="J995" s="2"/>
      <c r="K995" s="2"/>
      <c r="L995" s="2"/>
      <c r="O995" s="58"/>
      <c r="P995" s="58"/>
    </row>
    <row r="996" spans="2:16">
      <c r="B996" s="652"/>
      <c r="C996" s="545">
        <v>2.6</v>
      </c>
      <c r="D996" s="536"/>
      <c r="E996" s="536">
        <f t="shared" si="148"/>
        <v>-2.6</v>
      </c>
      <c r="F996" s="546">
        <f>SUM($E$2:E996)/SUM($C$2:C996)</f>
        <v>2.6740794781838936E-2</v>
      </c>
      <c r="G996" s="536">
        <f t="shared" si="149"/>
        <v>83.386889999999966</v>
      </c>
      <c r="H996" s="547" t="s">
        <v>104</v>
      </c>
      <c r="I996" s="2"/>
      <c r="J996" s="2"/>
      <c r="K996" s="2"/>
      <c r="L996" s="2"/>
      <c r="O996" s="58"/>
      <c r="P996" s="58"/>
    </row>
    <row r="997" spans="2:16">
      <c r="B997" s="652"/>
      <c r="C997" s="545">
        <v>2.6</v>
      </c>
      <c r="D997" s="536">
        <v>1</v>
      </c>
      <c r="E997" s="536">
        <f t="shared" si="148"/>
        <v>0</v>
      </c>
      <c r="F997" s="546">
        <f>SUM($E$2:E997)/SUM($C$2:C997)</f>
        <v>2.6718517497933195E-2</v>
      </c>
      <c r="G997" s="536">
        <f t="shared" si="149"/>
        <v>83.386889999999966</v>
      </c>
      <c r="H997" s="547" t="s">
        <v>13</v>
      </c>
      <c r="I997" s="2"/>
      <c r="J997" s="2"/>
      <c r="K997" s="2"/>
      <c r="L997" s="2"/>
      <c r="O997" s="58"/>
      <c r="P997" s="58"/>
    </row>
    <row r="998" spans="2:16">
      <c r="B998" s="652"/>
      <c r="C998" s="548">
        <v>2.6</v>
      </c>
      <c r="D998" s="535">
        <v>1.85</v>
      </c>
      <c r="E998" s="535">
        <f t="shared" si="148"/>
        <v>2.2100000000000004</v>
      </c>
      <c r="F998" s="549">
        <f>SUM($E$2:E998)/SUM($C$2:C998)</f>
        <v>2.7403807859031615E-2</v>
      </c>
      <c r="G998" s="535">
        <f t="shared" si="149"/>
        <v>85.596889999999959</v>
      </c>
      <c r="H998" s="550" t="s">
        <v>59</v>
      </c>
      <c r="I998" s="2"/>
      <c r="J998" s="2"/>
      <c r="K998" s="2"/>
      <c r="L998" s="2"/>
      <c r="O998" s="58"/>
      <c r="P998" s="58"/>
    </row>
    <row r="999" spans="2:16">
      <c r="B999" s="652"/>
      <c r="C999" s="545">
        <v>2.6</v>
      </c>
      <c r="D999" s="536">
        <v>1.8480000000000001</v>
      </c>
      <c r="E999" s="536">
        <f t="shared" si="148"/>
        <v>2.2048000000000001</v>
      </c>
      <c r="F999" s="546">
        <f>SUM($E$2:E999)/SUM($C$2:C999)</f>
        <v>2.8086294919613199E-2</v>
      </c>
      <c r="G999" s="536">
        <f t="shared" si="149"/>
        <v>87.801689999999965</v>
      </c>
      <c r="H999" s="547" t="s">
        <v>351</v>
      </c>
      <c r="I999" s="2"/>
      <c r="J999" s="2"/>
      <c r="K999" s="2"/>
      <c r="L999" s="2"/>
      <c r="O999" s="58"/>
      <c r="P999" s="58"/>
    </row>
    <row r="1000" spans="2:16">
      <c r="B1000" s="652"/>
      <c r="C1000" s="545">
        <v>2.6</v>
      </c>
      <c r="D1000" s="536"/>
      <c r="E1000" s="536">
        <f t="shared" si="148"/>
        <v>-2.6</v>
      </c>
      <c r="F1000" s="546">
        <f>SUM($E$2:E1000)/SUM($C$2:C1000)</f>
        <v>2.7231949602715352E-2</v>
      </c>
      <c r="G1000" s="536">
        <f t="shared" si="149"/>
        <v>85.201689999999971</v>
      </c>
      <c r="H1000" s="547" t="s">
        <v>352</v>
      </c>
      <c r="I1000" s="2"/>
      <c r="J1000" s="2"/>
      <c r="K1000" s="2"/>
      <c r="L1000" s="2"/>
      <c r="O1000" s="58"/>
      <c r="P1000" s="58"/>
    </row>
    <row r="1001" spans="2:16">
      <c r="B1001" s="652"/>
      <c r="C1001" s="545">
        <v>2.6</v>
      </c>
      <c r="D1001" s="536"/>
      <c r="E1001" s="536">
        <f t="shared" si="148"/>
        <v>-2.6</v>
      </c>
      <c r="F1001" s="546">
        <f>SUM($E$2:E1001)/SUM($C$2:C1001)</f>
        <v>2.6379023038060272E-2</v>
      </c>
      <c r="G1001" s="536">
        <f t="shared" si="149"/>
        <v>82.601689999999977</v>
      </c>
      <c r="H1001" s="547" t="s">
        <v>353</v>
      </c>
      <c r="I1001" s="2"/>
      <c r="J1001" s="2"/>
      <c r="K1001" s="2"/>
      <c r="L1001" s="2"/>
      <c r="O1001" s="58"/>
      <c r="P1001" s="58"/>
    </row>
    <row r="1002" spans="2:16">
      <c r="B1002" s="652"/>
      <c r="C1002" s="545">
        <v>2.6</v>
      </c>
      <c r="D1002" s="536">
        <v>1.8480000000000001</v>
      </c>
      <c r="E1002" s="536">
        <f t="shared" si="148"/>
        <v>2.2048000000000001</v>
      </c>
      <c r="F1002" s="546">
        <f>SUM($E$2:E1002)/SUM($C$2:C1002)</f>
        <v>2.7060661659125462E-2</v>
      </c>
      <c r="G1002" s="536">
        <f t="shared" si="149"/>
        <v>84.806489999999982</v>
      </c>
      <c r="H1002" s="547" t="s">
        <v>354</v>
      </c>
      <c r="I1002" s="2"/>
      <c r="J1002" s="2"/>
      <c r="K1002" s="2"/>
      <c r="L1002" s="2"/>
      <c r="O1002" s="58"/>
      <c r="P1002" s="58"/>
    </row>
    <row r="1003" spans="2:16">
      <c r="B1003" s="652"/>
      <c r="C1003" s="545">
        <v>2.6</v>
      </c>
      <c r="D1003" s="536">
        <v>1.84</v>
      </c>
      <c r="E1003" s="536">
        <f t="shared" si="148"/>
        <v>2.1840000000000006</v>
      </c>
      <c r="F1003" s="546">
        <f>SUM($E$2:E1003)/SUM($C$2:C1003)</f>
        <v>2.7734538695505125E-2</v>
      </c>
      <c r="G1003" s="536">
        <f t="shared" si="149"/>
        <v>86.99048999999998</v>
      </c>
      <c r="H1003" s="547" t="s">
        <v>355</v>
      </c>
      <c r="I1003" s="185"/>
      <c r="J1003" s="2"/>
      <c r="K1003" s="2"/>
      <c r="L1003" s="2"/>
      <c r="O1003" s="58"/>
      <c r="P1003" s="58"/>
    </row>
    <row r="1004" spans="2:16">
      <c r="B1004" s="652"/>
      <c r="C1004" s="545">
        <v>2.6</v>
      </c>
      <c r="D1004" s="536">
        <v>1.92</v>
      </c>
      <c r="E1004" s="536">
        <f t="shared" si="148"/>
        <v>2.3919999999999999</v>
      </c>
      <c r="F1004" s="546">
        <f>SUM($E$2:E1004)/SUM($C$2:C1004)</f>
        <v>2.8473559637352788E-2</v>
      </c>
      <c r="G1004" s="536">
        <f t="shared" si="149"/>
        <v>89.382489999999976</v>
      </c>
      <c r="H1004" s="547" t="s">
        <v>356</v>
      </c>
      <c r="I1004" s="2"/>
      <c r="J1004" s="2"/>
      <c r="K1004" s="2"/>
      <c r="L1004" s="2"/>
      <c r="O1004" s="58"/>
      <c r="P1004" s="58"/>
    </row>
    <row r="1005" spans="2:16">
      <c r="B1005" s="652"/>
      <c r="C1005" s="548">
        <v>2.6</v>
      </c>
      <c r="D1005" s="535">
        <v>1.98</v>
      </c>
      <c r="E1005" s="535">
        <f t="shared" si="148"/>
        <v>2.5479999999999996</v>
      </c>
      <c r="F1005" s="549">
        <f>SUM($E$2:E1005)/SUM($C$2:C1005)</f>
        <v>2.9261011414057059E-2</v>
      </c>
      <c r="G1005" s="535">
        <f t="shared" si="149"/>
        <v>91.930489999999978</v>
      </c>
      <c r="H1005" s="550" t="s">
        <v>357</v>
      </c>
      <c r="I1005" s="2"/>
      <c r="J1005" s="2"/>
      <c r="K1005" s="2"/>
      <c r="L1005" s="2"/>
      <c r="O1005" s="58"/>
      <c r="P1005" s="58"/>
    </row>
    <row r="1006" spans="2:16">
      <c r="B1006" s="652"/>
      <c r="C1006" s="548">
        <v>2.6</v>
      </c>
      <c r="D1006" s="535">
        <v>2.4700000000000002</v>
      </c>
      <c r="E1006" s="535">
        <f t="shared" si="148"/>
        <v>3.8220000000000005</v>
      </c>
      <c r="F1006" s="549">
        <f>SUM($E$2:E1006)/SUM($C$2:C1006)</f>
        <v>3.0452333399059776E-2</v>
      </c>
      <c r="G1006" s="561">
        <f t="shared" si="149"/>
        <v>95.75248999999998</v>
      </c>
      <c r="H1006" s="550" t="s">
        <v>28</v>
      </c>
      <c r="I1006" s="2">
        <f>SUM(E994:E1006)</f>
        <v>14.227200000000002</v>
      </c>
      <c r="L1006" s="2">
        <f>I1006/C1006</f>
        <v>5.4720000000000004</v>
      </c>
      <c r="O1006" s="58"/>
      <c r="P1006" s="58"/>
    </row>
    <row r="1007" spans="2:16">
      <c r="B1007" s="650">
        <v>46063</v>
      </c>
      <c r="C1007" s="545">
        <v>6.63</v>
      </c>
      <c r="D1007" s="536"/>
      <c r="E1007" s="536">
        <f t="shared" ref="E1007:E1011" si="150">(C1007*D1007)-C1007</f>
        <v>-6.63</v>
      </c>
      <c r="F1007" s="546">
        <f>SUM($E$2:E1007)/SUM($C$2:C1007)</f>
        <v>2.8284144247644263E-2</v>
      </c>
      <c r="G1007" s="536">
        <f t="shared" ref="G1007:G1011" si="151">G1006+E1007</f>
        <v>89.122489999999985</v>
      </c>
      <c r="H1007" s="547" t="s">
        <v>29</v>
      </c>
      <c r="I1007" s="2"/>
      <c r="J1007" s="2"/>
      <c r="K1007" s="2"/>
      <c r="L1007" s="2"/>
      <c r="O1007" s="58"/>
      <c r="P1007" s="58"/>
    </row>
    <row r="1008" spans="2:16">
      <c r="B1008" s="652"/>
      <c r="C1008" s="548">
        <v>6.63</v>
      </c>
      <c r="D1008" s="535"/>
      <c r="E1008" s="535">
        <f t="shared" si="150"/>
        <v>-6.63</v>
      </c>
      <c r="F1008" s="549">
        <f>SUM($E$2:E1008)/SUM($C$2:C1008)</f>
        <v>2.6125060172282642E-2</v>
      </c>
      <c r="G1008" s="535">
        <f t="shared" si="151"/>
        <v>82.492489999999989</v>
      </c>
      <c r="H1008" s="550" t="s">
        <v>36</v>
      </c>
      <c r="I1008" s="2"/>
      <c r="J1008" s="2"/>
      <c r="K1008" s="2"/>
      <c r="L1008" s="2"/>
      <c r="O1008" s="58"/>
      <c r="P1008" s="58"/>
    </row>
    <row r="1009" spans="2:16">
      <c r="B1009" s="652"/>
      <c r="C1009" s="545">
        <v>6.63</v>
      </c>
      <c r="D1009" s="536"/>
      <c r="E1009" s="536">
        <f t="shared" si="150"/>
        <v>-6.63</v>
      </c>
      <c r="F1009" s="546">
        <f>SUM($E$2:E1009)/SUM($C$2:C1009)</f>
        <v>2.3975023939473331E-2</v>
      </c>
      <c r="G1009" s="536">
        <f t="shared" si="151"/>
        <v>75.862489999999994</v>
      </c>
      <c r="H1009" s="547" t="s">
        <v>170</v>
      </c>
      <c r="I1009" s="2"/>
      <c r="J1009" s="2"/>
      <c r="K1009" s="2"/>
      <c r="L1009" s="2"/>
      <c r="O1009" s="58"/>
      <c r="P1009" s="58"/>
    </row>
    <row r="1010" spans="2:16">
      <c r="B1010" s="652"/>
      <c r="C1010" s="548">
        <v>6.63</v>
      </c>
      <c r="D1010" s="535"/>
      <c r="E1010" s="535">
        <f t="shared" si="150"/>
        <v>-6.63</v>
      </c>
      <c r="F1010" s="549">
        <f>SUM($E$2:E1010)/SUM($C$2:C1010)</f>
        <v>2.1833978794396386E-2</v>
      </c>
      <c r="G1010" s="535">
        <f t="shared" si="151"/>
        <v>69.232489999999999</v>
      </c>
      <c r="H1010" s="550" t="s">
        <v>358</v>
      </c>
      <c r="I1010" s="2"/>
      <c r="J1010" s="2"/>
      <c r="K1010" s="2"/>
      <c r="L1010" s="2"/>
      <c r="O1010" s="58"/>
      <c r="P1010" s="58"/>
    </row>
    <row r="1011" spans="2:16">
      <c r="B1011" s="652"/>
      <c r="C1011" s="548">
        <v>6.63</v>
      </c>
      <c r="D1011" s="535"/>
      <c r="E1011" s="535">
        <f t="shared" si="150"/>
        <v>-6.63</v>
      </c>
      <c r="F1011" s="549">
        <f>SUM($E$2:E1011)/SUM($C$2:C1011)</f>
        <v>1.9701868455919532E-2</v>
      </c>
      <c r="G1011" s="535">
        <f t="shared" si="151"/>
        <v>62.602489999999996</v>
      </c>
      <c r="H1011" s="550" t="s">
        <v>10</v>
      </c>
      <c r="I1011" s="2">
        <f>SUM(E1007:E1011)</f>
        <v>-33.15</v>
      </c>
      <c r="L1011" s="2">
        <f>I1011/C1011</f>
        <v>-5</v>
      </c>
      <c r="O1011" s="58"/>
      <c r="P1011" s="58"/>
    </row>
    <row r="1012" spans="2:16">
      <c r="B1012" s="650">
        <v>46064</v>
      </c>
      <c r="C1012" s="545">
        <v>1.82</v>
      </c>
      <c r="D1012" s="536">
        <v>1.84</v>
      </c>
      <c r="E1012" s="536">
        <f t="shared" ref="E1012:E1035" si="152">(C1012*D1012)-C1012</f>
        <v>1.5288000000000002</v>
      </c>
      <c r="F1012" s="546">
        <f>SUM($E$2:E1012)/SUM($C$2:C1012)</f>
        <v>2.0171449150916312E-2</v>
      </c>
      <c r="G1012" s="536">
        <f t="shared" ref="G1012:G1035" si="153">G1011+E1012</f>
        <v>64.131289999999993</v>
      </c>
      <c r="H1012" s="547" t="s">
        <v>15</v>
      </c>
      <c r="I1012" s="2"/>
      <c r="J1012" s="2"/>
      <c r="K1012" s="2"/>
      <c r="L1012" s="2"/>
      <c r="O1012" s="58"/>
      <c r="P1012" s="58"/>
    </row>
    <row r="1013" spans="2:16">
      <c r="B1013" s="652"/>
      <c r="C1013" s="545">
        <v>1.82</v>
      </c>
      <c r="D1013" s="536"/>
      <c r="E1013" s="536">
        <f t="shared" si="152"/>
        <v>-1.82</v>
      </c>
      <c r="F1013" s="546">
        <f>SUM($E$2:E1013)/SUM($C$2:C1013)</f>
        <v>1.958778484375041E-2</v>
      </c>
      <c r="G1013" s="536">
        <f t="shared" si="153"/>
        <v>62.311289999999993</v>
      </c>
      <c r="H1013" s="547" t="s">
        <v>46</v>
      </c>
      <c r="I1013" s="2"/>
      <c r="J1013" s="2"/>
      <c r="K1013" s="2"/>
      <c r="L1013" s="2"/>
      <c r="O1013" s="58"/>
      <c r="P1013" s="58"/>
    </row>
    <row r="1014" spans="2:16">
      <c r="B1014" s="652"/>
      <c r="C1014" s="545">
        <v>1.82</v>
      </c>
      <c r="D1014" s="536">
        <v>1.9</v>
      </c>
      <c r="E1014" s="536">
        <f t="shared" si="152"/>
        <v>1.6379999999999997</v>
      </c>
      <c r="F1014" s="546">
        <f>SUM($E$2:E1014)/SUM($C$2:C1014)</f>
        <v>2.0091201558302747E-2</v>
      </c>
      <c r="G1014" s="536">
        <f t="shared" si="153"/>
        <v>63.949289999999991</v>
      </c>
      <c r="H1014" s="547" t="s">
        <v>64</v>
      </c>
      <c r="I1014" s="2"/>
      <c r="J1014" s="2"/>
      <c r="K1014" s="2"/>
      <c r="L1014" s="2"/>
      <c r="O1014" s="58"/>
      <c r="P1014" s="58"/>
    </row>
    <row r="1015" spans="2:16">
      <c r="B1015" s="652"/>
      <c r="C1015" s="545">
        <v>1.82</v>
      </c>
      <c r="D1015" s="536"/>
      <c r="E1015" s="536">
        <f t="shared" si="152"/>
        <v>-1.82</v>
      </c>
      <c r="F1015" s="546">
        <f>SUM($E$2:E1015)/SUM($C$2:C1015)</f>
        <v>1.9508250203311303E-2</v>
      </c>
      <c r="G1015" s="536">
        <f t="shared" si="153"/>
        <v>62.12928999999999</v>
      </c>
      <c r="H1015" s="547" t="s">
        <v>37</v>
      </c>
      <c r="I1015" s="2"/>
      <c r="J1015" s="2"/>
      <c r="K1015" s="2"/>
      <c r="L1015" s="2"/>
      <c r="O1015" s="58"/>
      <c r="P1015" s="58"/>
    </row>
    <row r="1016" spans="2:16">
      <c r="B1016" s="652"/>
      <c r="C1016" s="545">
        <v>1.82</v>
      </c>
      <c r="D1016" s="536">
        <v>1.91</v>
      </c>
      <c r="E1016" s="536">
        <f t="shared" si="152"/>
        <v>1.6561999999999999</v>
      </c>
      <c r="F1016" s="546">
        <f>SUM($E$2:E1016)/SUM($C$2:C1016)</f>
        <v>2.0016848731716261E-2</v>
      </c>
      <c r="G1016" s="536">
        <f t="shared" si="153"/>
        <v>63.785489999999989</v>
      </c>
      <c r="H1016" s="547" t="s">
        <v>51</v>
      </c>
      <c r="I1016" s="2"/>
      <c r="J1016" s="2"/>
      <c r="K1016" s="2"/>
      <c r="L1016" s="2"/>
      <c r="O1016" s="58"/>
      <c r="P1016" s="58"/>
    </row>
    <row r="1017" spans="2:16">
      <c r="B1017" s="652"/>
      <c r="C1017" s="545">
        <v>1.82</v>
      </c>
      <c r="D1017" s="536"/>
      <c r="E1017" s="536">
        <f t="shared" si="152"/>
        <v>-1.82</v>
      </c>
      <c r="F1017" s="546">
        <f>SUM($E$2:E1017)/SUM($C$2:C1017)</f>
        <v>1.943460533620197E-2</v>
      </c>
      <c r="G1017" s="536">
        <f t="shared" si="153"/>
        <v>61.965489999999988</v>
      </c>
      <c r="H1017" s="547" t="s">
        <v>104</v>
      </c>
      <c r="I1017" s="2"/>
      <c r="J1017" s="2"/>
      <c r="K1017" s="2"/>
      <c r="L1017" s="2"/>
      <c r="O1017" s="58"/>
      <c r="P1017" s="58"/>
    </row>
    <row r="1018" spans="2:16">
      <c r="B1018" s="652"/>
      <c r="C1018" s="545">
        <v>1.82</v>
      </c>
      <c r="D1018" s="536">
        <v>1.9</v>
      </c>
      <c r="E1018" s="536">
        <f t="shared" si="152"/>
        <v>1.6379999999999997</v>
      </c>
      <c r="F1018" s="546">
        <f>SUM($E$2:E1018)/SUM($C$2:C1018)</f>
        <v>1.9936960658008894E-2</v>
      </c>
      <c r="G1018" s="536">
        <f t="shared" si="153"/>
        <v>63.603489999999987</v>
      </c>
      <c r="H1018" s="547" t="s">
        <v>13</v>
      </c>
      <c r="I1018" s="2"/>
      <c r="J1018" s="2"/>
      <c r="K1018" s="2"/>
      <c r="L1018" s="2"/>
      <c r="O1018" s="58"/>
      <c r="P1018" s="58"/>
    </row>
    <row r="1019" spans="2:16">
      <c r="B1019" s="652"/>
      <c r="C1019" s="545">
        <v>1.82</v>
      </c>
      <c r="D1019" s="562"/>
      <c r="E1019" s="536">
        <f t="shared" si="152"/>
        <v>-1.82</v>
      </c>
      <c r="F1019" s="546">
        <f>SUM($E$2:E1019)/SUM($C$2:C1019)</f>
        <v>1.9355426763365147E-2</v>
      </c>
      <c r="G1019" s="536">
        <f t="shared" si="153"/>
        <v>61.783489999999986</v>
      </c>
      <c r="H1019" s="547" t="s">
        <v>47</v>
      </c>
      <c r="I1019" s="2"/>
      <c r="J1019" s="2"/>
      <c r="K1019" s="2"/>
      <c r="L1019" s="2"/>
      <c r="O1019" s="58"/>
      <c r="P1019" s="58"/>
    </row>
    <row r="1020" spans="2:16">
      <c r="B1020" s="652"/>
      <c r="C1020" s="545">
        <v>1.82</v>
      </c>
      <c r="D1020" s="536">
        <v>1.9</v>
      </c>
      <c r="E1020" s="536">
        <f t="shared" si="152"/>
        <v>1.6379999999999997</v>
      </c>
      <c r="F1020" s="546">
        <f>SUM($E$2:E1020)/SUM($C$2:C1020)</f>
        <v>1.9857254678493398E-2</v>
      </c>
      <c r="G1020" s="536">
        <f t="shared" si="153"/>
        <v>63.421489999999984</v>
      </c>
      <c r="H1020" s="547" t="s">
        <v>59</v>
      </c>
      <c r="I1020" s="2"/>
      <c r="J1020" s="2"/>
      <c r="K1020" s="2"/>
      <c r="L1020" s="2"/>
      <c r="O1020" s="58"/>
      <c r="P1020" s="58"/>
    </row>
    <row r="1021" spans="2:16">
      <c r="B1021" s="652"/>
      <c r="C1021" s="548">
        <v>1.82</v>
      </c>
      <c r="D1021" s="535">
        <v>2</v>
      </c>
      <c r="E1021" s="535">
        <f t="shared" si="152"/>
        <v>1.82</v>
      </c>
      <c r="F1021" s="549">
        <f>SUM($E$2:E1021)/SUM($C$2:C1021)</f>
        <v>2.0415462701325753E-2</v>
      </c>
      <c r="G1021" s="535">
        <f t="shared" si="153"/>
        <v>65.241489999999985</v>
      </c>
      <c r="H1021" s="550" t="s">
        <v>27</v>
      </c>
      <c r="I1021" s="2"/>
      <c r="J1021" s="2"/>
      <c r="K1021" s="2"/>
      <c r="L1021" s="2"/>
      <c r="O1021" s="58"/>
      <c r="P1021" s="58"/>
    </row>
    <row r="1022" spans="2:16">
      <c r="B1022" s="652"/>
      <c r="C1022" s="545">
        <v>1.82</v>
      </c>
      <c r="D1022" s="536"/>
      <c r="E1022" s="536">
        <f t="shared" si="152"/>
        <v>-1.82</v>
      </c>
      <c r="F1022" s="546">
        <f>SUM($E$2:E1022)/SUM($C$2:C1022)</f>
        <v>1.9834649461612223E-2</v>
      </c>
      <c r="G1022" s="536">
        <f t="shared" si="153"/>
        <v>63.421489999999984</v>
      </c>
      <c r="H1022" s="547" t="s">
        <v>359</v>
      </c>
      <c r="I1022" s="2"/>
      <c r="J1022" s="2"/>
      <c r="K1022" s="2"/>
      <c r="L1022" s="2"/>
      <c r="O1022" s="58"/>
      <c r="P1022" s="58"/>
    </row>
    <row r="1023" spans="2:16">
      <c r="B1023" s="652"/>
      <c r="C1023" s="545">
        <v>1.82</v>
      </c>
      <c r="D1023" s="536"/>
      <c r="E1023" s="536">
        <f t="shared" si="152"/>
        <v>-1.82</v>
      </c>
      <c r="F1023" s="546">
        <f>SUM($E$2:E1023)/SUM($C$2:C1023)</f>
        <v>1.9254497035316679E-2</v>
      </c>
      <c r="G1023" s="536">
        <f t="shared" si="153"/>
        <v>61.601489999999984</v>
      </c>
      <c r="H1023" s="547" t="s">
        <v>360</v>
      </c>
      <c r="I1023" s="2"/>
      <c r="J1023" s="2"/>
      <c r="K1023" s="2"/>
      <c r="L1023" s="2"/>
      <c r="O1023" s="58"/>
      <c r="P1023" s="58"/>
    </row>
    <row r="1024" spans="2:16">
      <c r="B1024" s="652"/>
      <c r="C1024" s="545">
        <v>1.82</v>
      </c>
      <c r="D1024" s="536">
        <v>1.98</v>
      </c>
      <c r="E1024" s="536">
        <f t="shared" si="152"/>
        <v>1.7836000000000001</v>
      </c>
      <c r="F1024" s="546">
        <f>SUM($E$2:E1024)/SUM($C$2:C1024)</f>
        <v>1.9800724739546631E-2</v>
      </c>
      <c r="G1024" s="536">
        <f t="shared" si="153"/>
        <v>63.385089999999984</v>
      </c>
      <c r="H1024" s="547" t="s">
        <v>361</v>
      </c>
      <c r="I1024" s="2"/>
      <c r="J1024" s="2"/>
      <c r="K1024" s="2"/>
      <c r="L1024" s="2"/>
      <c r="O1024" s="58"/>
      <c r="P1024" s="58"/>
    </row>
    <row r="1025" spans="2:16">
      <c r="B1025" s="652"/>
      <c r="C1025" s="545">
        <v>1.82</v>
      </c>
      <c r="D1025" s="536"/>
      <c r="E1025" s="536">
        <f t="shared" si="152"/>
        <v>-1.82</v>
      </c>
      <c r="F1025" s="546">
        <f>SUM($E$2:E1025)/SUM($C$2:C1025)</f>
        <v>1.9221250901506944E-2</v>
      </c>
      <c r="G1025" s="536">
        <f t="shared" si="153"/>
        <v>61.565089999999984</v>
      </c>
      <c r="H1025" s="547" t="s">
        <v>291</v>
      </c>
      <c r="I1025" s="2"/>
      <c r="J1025" s="2"/>
      <c r="K1025" s="2"/>
      <c r="L1025" s="2"/>
      <c r="O1025" s="58"/>
      <c r="P1025" s="58"/>
    </row>
    <row r="1026" spans="2:16">
      <c r="B1026" s="652"/>
      <c r="C1026" s="545">
        <v>1.82</v>
      </c>
      <c r="D1026" s="536"/>
      <c r="E1026" s="536">
        <f t="shared" si="152"/>
        <v>-1.82</v>
      </c>
      <c r="F1026" s="546">
        <f>SUM($E$2:E1026)/SUM($C$2:C1026)</f>
        <v>1.8642435229765351E-2</v>
      </c>
      <c r="G1026" s="536">
        <f t="shared" si="153"/>
        <v>59.745089999999983</v>
      </c>
      <c r="H1026" s="547" t="s">
        <v>170</v>
      </c>
      <c r="I1026" s="2"/>
      <c r="J1026" s="2"/>
      <c r="K1026" s="2"/>
      <c r="L1026" s="2"/>
      <c r="O1026" s="58"/>
      <c r="P1026" s="58"/>
    </row>
    <row r="1027" spans="2:16">
      <c r="B1027" s="652"/>
      <c r="C1027" s="545">
        <v>1.82</v>
      </c>
      <c r="D1027" s="536"/>
      <c r="E1027" s="536">
        <f t="shared" si="152"/>
        <v>-1.82</v>
      </c>
      <c r="F1027" s="546">
        <f>SUM($E$2:E1027)/SUM($C$2:C1027)</f>
        <v>1.8064276603640513E-2</v>
      </c>
      <c r="G1027" s="536">
        <f t="shared" si="153"/>
        <v>57.925089999999983</v>
      </c>
      <c r="H1027" s="547" t="s">
        <v>362</v>
      </c>
      <c r="I1027" s="2"/>
      <c r="J1027" s="2"/>
      <c r="K1027" s="2"/>
      <c r="L1027" s="2"/>
      <c r="O1027" s="58"/>
      <c r="P1027" s="58"/>
    </row>
    <row r="1028" spans="2:16">
      <c r="B1028" s="652"/>
      <c r="C1028" s="545">
        <v>1.82</v>
      </c>
      <c r="D1028" s="536"/>
      <c r="E1028" s="536">
        <f t="shared" si="152"/>
        <v>-1.82</v>
      </c>
      <c r="F1028" s="546">
        <f>SUM($E$2:E1028)/SUM($C$2:C1028)</f>
        <v>1.7486773904993941E-2</v>
      </c>
      <c r="G1028" s="536">
        <f t="shared" si="153"/>
        <v>56.105089999999983</v>
      </c>
      <c r="H1028" s="547" t="s">
        <v>363</v>
      </c>
      <c r="I1028" s="2"/>
      <c r="J1028" s="2"/>
      <c r="K1028" s="2"/>
      <c r="L1028" s="2"/>
      <c r="O1028" s="58"/>
      <c r="P1028" s="58"/>
    </row>
    <row r="1029" spans="2:16">
      <c r="B1029" s="652"/>
      <c r="C1029" s="545">
        <v>1.82</v>
      </c>
      <c r="D1029" s="536">
        <v>1.845</v>
      </c>
      <c r="E1029" s="536">
        <f t="shared" si="152"/>
        <v>1.5378999999999998</v>
      </c>
      <c r="F1029" s="546">
        <f>SUM($E$2:E1029)/SUM($C$2:C1029)</f>
        <v>1.7955919320925069E-2</v>
      </c>
      <c r="G1029" s="536">
        <f t="shared" si="153"/>
        <v>57.642989999999983</v>
      </c>
      <c r="H1029" s="547" t="s">
        <v>364</v>
      </c>
      <c r="I1029" s="2"/>
      <c r="J1029" s="2"/>
      <c r="K1029" s="2"/>
      <c r="L1029" s="2"/>
      <c r="O1029" s="58"/>
      <c r="P1029" s="58"/>
    </row>
    <row r="1030" spans="2:16">
      <c r="B1030" s="652"/>
      <c r="C1030" s="545">
        <v>1.82</v>
      </c>
      <c r="D1030" s="536"/>
      <c r="E1030" s="536">
        <f t="shared" si="152"/>
        <v>-1.82</v>
      </c>
      <c r="F1030" s="546">
        <f>SUM($E$2:E1030)/SUM($C$2:C1030)</f>
        <v>1.7379132459753279E-2</v>
      </c>
      <c r="G1030" s="536">
        <f t="shared" si="153"/>
        <v>55.822989999999983</v>
      </c>
      <c r="H1030" s="547" t="s">
        <v>365</v>
      </c>
      <c r="I1030" s="2"/>
      <c r="J1030" s="2"/>
      <c r="K1030" s="2"/>
      <c r="L1030" s="2"/>
      <c r="O1030" s="58"/>
      <c r="P1030" s="58"/>
    </row>
    <row r="1031" spans="2:16">
      <c r="B1031" s="652"/>
      <c r="C1031" s="548">
        <v>1.82</v>
      </c>
      <c r="D1031" s="535">
        <v>1.99</v>
      </c>
      <c r="E1031" s="535">
        <f t="shared" si="152"/>
        <v>1.8017999999999998</v>
      </c>
      <c r="F1031" s="549">
        <f>SUM($E$2:E1031)/SUM($C$2:C1031)</f>
        <v>1.7929919816795131E-2</v>
      </c>
      <c r="G1031" s="535">
        <f t="shared" si="153"/>
        <v>57.624789999999983</v>
      </c>
      <c r="H1031" s="550" t="s">
        <v>366</v>
      </c>
      <c r="I1031" s="2"/>
      <c r="J1031" s="2"/>
      <c r="K1031" s="2"/>
      <c r="L1031" s="2"/>
      <c r="O1031" s="58"/>
      <c r="P1031" s="58"/>
    </row>
    <row r="1032" spans="2:16">
      <c r="B1032" s="652"/>
      <c r="C1032" s="545">
        <v>1.82</v>
      </c>
      <c r="D1032" s="536">
        <v>1.94</v>
      </c>
      <c r="E1032" s="536">
        <f t="shared" si="152"/>
        <v>1.7108000000000001</v>
      </c>
      <c r="F1032" s="546">
        <f>SUM($E$2:E1032)/SUM($C$2:C1032)</f>
        <v>1.8451785142316841E-2</v>
      </c>
      <c r="G1032" s="536">
        <f t="shared" si="153"/>
        <v>59.335589999999982</v>
      </c>
      <c r="H1032" s="547" t="s">
        <v>14</v>
      </c>
      <c r="I1032" s="2"/>
      <c r="J1032" s="2"/>
      <c r="K1032" s="2"/>
      <c r="L1032" s="2"/>
      <c r="O1032" s="58"/>
      <c r="P1032" s="58"/>
    </row>
    <row r="1033" spans="2:16">
      <c r="B1033" s="652"/>
      <c r="C1033" s="545">
        <v>1.82</v>
      </c>
      <c r="D1033" s="536">
        <v>1.93</v>
      </c>
      <c r="E1033" s="536">
        <f t="shared" si="152"/>
        <v>1.6925999999999999</v>
      </c>
      <c r="F1033" s="546">
        <f>SUM($E$2:E1033)/SUM($C$2:C1033)</f>
        <v>1.8967403567332605E-2</v>
      </c>
      <c r="G1033" s="536">
        <f t="shared" si="153"/>
        <v>61.028189999999981</v>
      </c>
      <c r="H1033" s="547" t="s">
        <v>51</v>
      </c>
      <c r="I1033" s="2"/>
      <c r="J1033" s="2"/>
      <c r="K1033" s="2"/>
      <c r="L1033" s="2"/>
      <c r="O1033" s="58"/>
      <c r="P1033" s="58"/>
    </row>
    <row r="1034" spans="2:16">
      <c r="B1034" s="652"/>
      <c r="C1034" s="545">
        <v>1.82</v>
      </c>
      <c r="D1034" s="536"/>
      <c r="E1034" s="536">
        <f t="shared" si="152"/>
        <v>-1.82</v>
      </c>
      <c r="F1034" s="546">
        <f>SUM($E$2:E1034)/SUM($C$2:C1034)</f>
        <v>1.8391349185394468E-2</v>
      </c>
      <c r="G1034" s="536">
        <f t="shared" si="153"/>
        <v>59.208189999999981</v>
      </c>
      <c r="H1034" s="547" t="s">
        <v>25</v>
      </c>
      <c r="I1034" s="2"/>
      <c r="J1034" s="2"/>
      <c r="K1034" s="2"/>
      <c r="L1034" s="2"/>
      <c r="O1034" s="58"/>
      <c r="P1034" s="58"/>
    </row>
    <row r="1035" spans="2:16">
      <c r="B1035" s="652"/>
      <c r="C1035" s="548">
        <v>1.82</v>
      </c>
      <c r="D1035" s="535"/>
      <c r="E1035" s="535">
        <f t="shared" si="152"/>
        <v>-1.82</v>
      </c>
      <c r="F1035" s="549">
        <f>SUM($E$2:E1035)/SUM($C$2:C1035)</f>
        <v>1.7815945758839082E-2</v>
      </c>
      <c r="G1035" s="535">
        <f t="shared" si="153"/>
        <v>57.38818999999998</v>
      </c>
      <c r="H1035" s="550" t="s">
        <v>27</v>
      </c>
      <c r="I1035" s="2">
        <f>SUM(E1012:E1035)</f>
        <v>-5.2143000000000024</v>
      </c>
      <c r="L1035" s="2">
        <f>I1035/C1035</f>
        <v>-2.8650000000000011</v>
      </c>
      <c r="O1035" s="58"/>
      <c r="P1035" s="58"/>
    </row>
    <row r="1036" spans="2:16">
      <c r="B1036" s="650">
        <v>46065</v>
      </c>
      <c r="C1036" s="548">
        <v>8.42</v>
      </c>
      <c r="D1036" s="535"/>
      <c r="E1036" s="535">
        <f t="shared" ref="E1036:E1040" si="154">(C1036*D1036)-C1036</f>
        <v>-8.42</v>
      </c>
      <c r="F1036" s="549">
        <f>SUM($E$2:E1036)/SUM($C$2:C1036)</f>
        <v>1.5162354973851086E-2</v>
      </c>
      <c r="G1036" s="535">
        <f t="shared" ref="G1036:G1040" si="155">G1035+E1036</f>
        <v>48.968189999999979</v>
      </c>
      <c r="H1036" s="550" t="s">
        <v>47</v>
      </c>
      <c r="I1036" s="2"/>
      <c r="J1036" s="2"/>
      <c r="K1036" s="2"/>
      <c r="L1036" s="2"/>
      <c r="O1036" s="58"/>
      <c r="P1036" s="58"/>
    </row>
    <row r="1037" spans="2:16">
      <c r="B1037" s="652"/>
      <c r="C1037" s="545">
        <v>8.42</v>
      </c>
      <c r="D1037" s="536"/>
      <c r="E1037" s="536">
        <f t="shared" si="154"/>
        <v>-8.42</v>
      </c>
      <c r="F1037" s="546">
        <f>SUM($E$2:E1037)/SUM($C$2:C1037)</f>
        <v>1.2522564785161186E-2</v>
      </c>
      <c r="G1037" s="536">
        <f t="shared" si="155"/>
        <v>40.548189999999977</v>
      </c>
      <c r="H1037" s="547" t="s">
        <v>367</v>
      </c>
      <c r="I1037" s="2"/>
      <c r="J1037" s="2"/>
      <c r="K1037" s="2"/>
      <c r="L1037" s="2"/>
      <c r="O1037" s="58"/>
      <c r="P1037" s="58"/>
    </row>
    <row r="1038" spans="2:16">
      <c r="B1038" s="652"/>
      <c r="C1038" s="545">
        <v>8.42</v>
      </c>
      <c r="D1038" s="536"/>
      <c r="E1038" s="536">
        <f t="shared" si="154"/>
        <v>-8.42</v>
      </c>
      <c r="F1038" s="546">
        <f>SUM($E$2:E1038)/SUM($C$2:C1038)</f>
        <v>9.896467812335337E-3</v>
      </c>
      <c r="G1038" s="536">
        <f t="shared" si="155"/>
        <v>32.128189999999975</v>
      </c>
      <c r="H1038" s="547" t="s">
        <v>368</v>
      </c>
      <c r="I1038" s="2"/>
      <c r="J1038" s="2"/>
      <c r="K1038" s="2"/>
      <c r="L1038" s="2"/>
      <c r="O1038" s="58"/>
      <c r="P1038" s="58"/>
    </row>
    <row r="1039" spans="2:16">
      <c r="B1039" s="652"/>
      <c r="C1039" s="548">
        <v>8.42</v>
      </c>
      <c r="D1039" s="535">
        <v>1.98</v>
      </c>
      <c r="E1039" s="535">
        <f t="shared" si="154"/>
        <v>8.251599999999998</v>
      </c>
      <c r="F1039" s="549">
        <f>SUM($E$2:E1039)/SUM($C$2:C1039)</f>
        <v>1.2406037144568801E-2</v>
      </c>
      <c r="G1039" s="535">
        <f t="shared" si="155"/>
        <v>40.379789999999971</v>
      </c>
      <c r="H1039" s="550" t="s">
        <v>115</v>
      </c>
      <c r="I1039" s="2"/>
      <c r="J1039" s="2"/>
      <c r="K1039" s="2"/>
      <c r="L1039" s="2"/>
      <c r="O1039" s="58"/>
      <c r="P1039" s="58"/>
    </row>
    <row r="1040" spans="2:16">
      <c r="B1040" s="651"/>
      <c r="C1040" s="548">
        <v>8.42</v>
      </c>
      <c r="D1040" s="535"/>
      <c r="E1040" s="535">
        <f t="shared" si="154"/>
        <v>-8.42</v>
      </c>
      <c r="F1040" s="549">
        <f>SUM($E$2:E1040)/SUM($C$2:C1040)</f>
        <v>9.7937927293787544E-3</v>
      </c>
      <c r="G1040" s="535">
        <f t="shared" si="155"/>
        <v>31.95978999999997</v>
      </c>
      <c r="H1040" s="550" t="s">
        <v>47</v>
      </c>
      <c r="I1040" s="490">
        <f>SUM(E1036:E1040)</f>
        <v>-25.428400000000003</v>
      </c>
      <c r="J1040" s="490">
        <f>SUM(E994:E1040)</f>
        <v>-49.565500000000021</v>
      </c>
      <c r="L1040" s="2">
        <f>I1040/C1040</f>
        <v>-3.0200000000000005</v>
      </c>
      <c r="O1040" s="58"/>
      <c r="P1040" s="58"/>
    </row>
    <row r="1041" spans="2:16">
      <c r="B1041" s="652">
        <v>46072</v>
      </c>
      <c r="C1041" s="545">
        <v>2.44</v>
      </c>
      <c r="D1041" s="536">
        <v>1.86</v>
      </c>
      <c r="E1041" s="536">
        <f t="shared" ref="E1041:E1060" si="156">(C1041*D1041)-C1041</f>
        <v>2.0984000000000003</v>
      </c>
      <c r="F1041" s="546">
        <f>SUM($E$2:E1041)/SUM($C$2:C1041)</f>
        <v>1.0429030746759447E-2</v>
      </c>
      <c r="G1041" s="536">
        <f t="shared" ref="G1041:G1060" si="157">G1040+E1041</f>
        <v>34.058189999999968</v>
      </c>
      <c r="H1041" s="547" t="s">
        <v>46</v>
      </c>
      <c r="I1041" s="2"/>
      <c r="J1041" s="2"/>
      <c r="K1041" s="2"/>
      <c r="L1041" s="2"/>
      <c r="O1041" s="58"/>
      <c r="P1041" s="58"/>
    </row>
    <row r="1042" spans="2:16">
      <c r="B1042" s="652"/>
      <c r="C1042" s="545">
        <v>2.44</v>
      </c>
      <c r="D1042" s="536">
        <v>1.87</v>
      </c>
      <c r="E1042" s="536">
        <f t="shared" si="156"/>
        <v>2.1228000000000002</v>
      </c>
      <c r="F1042" s="546">
        <f>SUM($E$2:E1042)/SUM($C$2:C1042)</f>
        <v>1.1070786224622426E-2</v>
      </c>
      <c r="G1042" s="536">
        <f t="shared" si="157"/>
        <v>36.180989999999966</v>
      </c>
      <c r="H1042" s="547" t="s">
        <v>51</v>
      </c>
      <c r="I1042" s="2"/>
      <c r="J1042" s="2"/>
      <c r="K1042" s="2"/>
      <c r="L1042" s="2"/>
      <c r="O1042" s="58"/>
      <c r="P1042" s="58"/>
    </row>
    <row r="1043" spans="2:16">
      <c r="B1043" s="652"/>
      <c r="C1043" s="545">
        <v>2.44</v>
      </c>
      <c r="D1043" s="536">
        <v>1.9</v>
      </c>
      <c r="E1043" s="536">
        <f t="shared" si="156"/>
        <v>2.1960000000000002</v>
      </c>
      <c r="F1043" s="546">
        <f>SUM($E$2:E1043)/SUM($C$2:C1043)</f>
        <v>1.1733965431313545E-2</v>
      </c>
      <c r="G1043" s="536">
        <f t="shared" si="157"/>
        <v>38.376989999999964</v>
      </c>
      <c r="H1043" s="547" t="s">
        <v>11</v>
      </c>
      <c r="I1043" s="2"/>
      <c r="J1043" s="2"/>
      <c r="K1043" s="2"/>
      <c r="L1043" s="2"/>
      <c r="O1043" s="58"/>
      <c r="P1043" s="58"/>
    </row>
    <row r="1044" spans="2:16">
      <c r="B1044" s="652"/>
      <c r="C1044" s="545">
        <v>2.44</v>
      </c>
      <c r="D1044" s="536">
        <v>1.9</v>
      </c>
      <c r="E1044" s="536">
        <f t="shared" si="156"/>
        <v>2.1960000000000002</v>
      </c>
      <c r="F1044" s="546">
        <f>SUM($E$2:E1044)/SUM($C$2:C1044)</f>
        <v>1.2396155855583282E-2</v>
      </c>
      <c r="G1044" s="536">
        <f t="shared" si="157"/>
        <v>40.572989999999962</v>
      </c>
      <c r="H1044" s="547" t="s">
        <v>29</v>
      </c>
      <c r="I1044" s="2"/>
      <c r="J1044" s="2"/>
      <c r="K1044" s="2"/>
      <c r="L1044" s="2"/>
      <c r="O1044" s="58"/>
      <c r="P1044" s="58"/>
    </row>
    <row r="1045" spans="2:16">
      <c r="B1045" s="652"/>
      <c r="C1045" s="545">
        <v>2.44</v>
      </c>
      <c r="D1045" s="536"/>
      <c r="E1045" s="536">
        <f t="shared" si="156"/>
        <v>-2.44</v>
      </c>
      <c r="F1045" s="546">
        <f>SUM($E$2:E1045)/SUM($C$2:C1045)</f>
        <v>1.1641990309787532E-2</v>
      </c>
      <c r="G1045" s="536">
        <f t="shared" si="157"/>
        <v>38.132989999999964</v>
      </c>
      <c r="H1045" s="547" t="s">
        <v>12</v>
      </c>
      <c r="I1045" s="2"/>
      <c r="J1045" s="2"/>
      <c r="K1045" s="2"/>
      <c r="L1045" s="2"/>
      <c r="O1045" s="58"/>
      <c r="P1045" s="58"/>
    </row>
    <row r="1046" spans="2:16">
      <c r="B1046" s="652"/>
      <c r="C1046" s="545">
        <v>2.44</v>
      </c>
      <c r="D1046" s="536">
        <v>1.9</v>
      </c>
      <c r="E1046" s="536">
        <f t="shared" si="156"/>
        <v>2.1960000000000002</v>
      </c>
      <c r="F1046" s="546">
        <f>SUM($E$2:E1046)/SUM($C$2:C1046)</f>
        <v>1.2303263359884728E-2</v>
      </c>
      <c r="G1046" s="536">
        <f t="shared" si="157"/>
        <v>40.328989999999962</v>
      </c>
      <c r="H1046" s="547" t="s">
        <v>27</v>
      </c>
      <c r="I1046" s="2"/>
      <c r="J1046" s="2"/>
      <c r="K1046" s="2"/>
      <c r="L1046" s="2"/>
      <c r="O1046" s="58"/>
      <c r="P1046" s="58"/>
    </row>
    <row r="1047" spans="2:16">
      <c r="B1047" s="652"/>
      <c r="C1047" s="548">
        <v>2.44</v>
      </c>
      <c r="D1047" s="535"/>
      <c r="E1047" s="535">
        <f t="shared" si="156"/>
        <v>-2.44</v>
      </c>
      <c r="F1047" s="549">
        <f>SUM($E$2:E1047)/SUM($C$2:C1047)</f>
        <v>1.1550288841129686E-2</v>
      </c>
      <c r="G1047" s="535">
        <f t="shared" si="157"/>
        <v>37.888989999999964</v>
      </c>
      <c r="H1047" s="550" t="s">
        <v>18</v>
      </c>
      <c r="I1047" s="2"/>
      <c r="J1047" s="2"/>
      <c r="K1047" s="2"/>
      <c r="L1047" s="2"/>
      <c r="O1047" s="58"/>
      <c r="P1047" s="58"/>
    </row>
    <row r="1048" spans="2:16">
      <c r="B1048" s="652"/>
      <c r="C1048" s="545">
        <v>2.44</v>
      </c>
      <c r="D1048" s="536"/>
      <c r="E1048" s="536">
        <f t="shared" si="156"/>
        <v>-2.44</v>
      </c>
      <c r="F1048" s="546">
        <f>SUM($E$2:E1048)/SUM($C$2:C1048)</f>
        <v>1.0798433649426183E-2</v>
      </c>
      <c r="G1048" s="536">
        <f t="shared" si="157"/>
        <v>35.448989999999966</v>
      </c>
      <c r="H1048" s="547" t="s">
        <v>369</v>
      </c>
      <c r="I1048" s="2"/>
      <c r="J1048" s="2"/>
      <c r="K1048" s="2"/>
      <c r="L1048" s="2"/>
      <c r="O1048" s="58"/>
      <c r="P1048" s="58"/>
    </row>
    <row r="1049" spans="2:16">
      <c r="B1049" s="652"/>
      <c r="C1049" s="545">
        <v>2.44</v>
      </c>
      <c r="D1049" s="536">
        <v>1.86</v>
      </c>
      <c r="E1049" s="536">
        <f t="shared" si="156"/>
        <v>2.0984000000000003</v>
      </c>
      <c r="F1049" s="546">
        <f>SUM($E$2:E1049)/SUM($C$2:C1049)</f>
        <v>1.1429151079224214E-2</v>
      </c>
      <c r="G1049" s="536">
        <f t="shared" si="157"/>
        <v>37.547389999999965</v>
      </c>
      <c r="H1049" s="547" t="s">
        <v>370</v>
      </c>
      <c r="I1049" s="2"/>
      <c r="J1049" s="2"/>
      <c r="K1049" s="2"/>
      <c r="L1049" s="2"/>
      <c r="O1049" s="58"/>
      <c r="P1049" s="58"/>
    </row>
    <row r="1050" spans="2:16">
      <c r="B1050" s="652"/>
      <c r="C1050" s="545">
        <v>2.44</v>
      </c>
      <c r="D1050" s="536">
        <v>1.845</v>
      </c>
      <c r="E1050" s="536">
        <f t="shared" si="156"/>
        <v>2.0618000000000003</v>
      </c>
      <c r="F1050" s="546">
        <f>SUM($E$2:E1050)/SUM($C$2:C1050)</f>
        <v>1.204779980959152E-2</v>
      </c>
      <c r="G1050" s="536">
        <f t="shared" si="157"/>
        <v>39.609189999999963</v>
      </c>
      <c r="H1050" s="547" t="s">
        <v>122</v>
      </c>
      <c r="I1050" s="2"/>
      <c r="J1050" s="2"/>
      <c r="K1050" s="2"/>
      <c r="L1050" s="2"/>
      <c r="O1050" s="58"/>
      <c r="P1050" s="58"/>
    </row>
    <row r="1051" spans="2:16">
      <c r="B1051" s="652"/>
      <c r="C1051" s="545">
        <v>2.44</v>
      </c>
      <c r="D1051" s="536">
        <v>1.86</v>
      </c>
      <c r="E1051" s="536">
        <f t="shared" si="156"/>
        <v>2.0984000000000003</v>
      </c>
      <c r="F1051" s="546">
        <f>SUM($E$2:E1051)/SUM($C$2:C1051)</f>
        <v>1.267665518782039E-2</v>
      </c>
      <c r="G1051" s="536">
        <f t="shared" si="157"/>
        <v>41.707589999999961</v>
      </c>
      <c r="H1051" s="547" t="s">
        <v>371</v>
      </c>
      <c r="I1051" s="2"/>
      <c r="J1051" s="2"/>
      <c r="K1051" s="2"/>
      <c r="L1051" s="2"/>
      <c r="O1051" s="58"/>
      <c r="P1051" s="58"/>
    </row>
    <row r="1052" spans="2:16">
      <c r="B1052" s="652"/>
      <c r="C1052" s="545">
        <v>2.44</v>
      </c>
      <c r="D1052" s="536">
        <v>1.9</v>
      </c>
      <c r="E1052" s="536">
        <f t="shared" si="156"/>
        <v>2.1960000000000002</v>
      </c>
      <c r="F1052" s="546">
        <f>SUM($E$2:E1052)/SUM($C$2:C1052)</f>
        <v>1.3334221196337101E-2</v>
      </c>
      <c r="G1052" s="536">
        <f t="shared" si="157"/>
        <v>43.903589999999959</v>
      </c>
      <c r="H1052" s="547" t="s">
        <v>372</v>
      </c>
      <c r="I1052" s="2"/>
      <c r="J1052" s="2"/>
      <c r="K1052" s="2"/>
      <c r="L1052" s="2"/>
      <c r="O1052" s="58"/>
      <c r="P1052" s="58"/>
    </row>
    <row r="1053" spans="2:16">
      <c r="B1053" s="652"/>
      <c r="C1053" s="545">
        <v>2.44</v>
      </c>
      <c r="D1053" s="536"/>
      <c r="E1053" s="536">
        <f t="shared" si="156"/>
        <v>-2.44</v>
      </c>
      <c r="F1053" s="546">
        <f>SUM($E$2:E1053)/SUM($C$2:C1053)</f>
        <v>1.2583828782484846E-2</v>
      </c>
      <c r="G1053" s="536">
        <f t="shared" si="157"/>
        <v>41.463589999999961</v>
      </c>
      <c r="H1053" s="547" t="s">
        <v>373</v>
      </c>
      <c r="I1053" s="2"/>
      <c r="J1053" s="2"/>
      <c r="K1053" s="2"/>
      <c r="L1053" s="2"/>
      <c r="O1053" s="58"/>
      <c r="P1053" s="58"/>
    </row>
    <row r="1054" spans="2:16">
      <c r="B1054" s="652"/>
      <c r="C1054" s="545">
        <v>2.44</v>
      </c>
      <c r="D1054" s="536"/>
      <c r="E1054" s="536">
        <f t="shared" si="156"/>
        <v>-2.44</v>
      </c>
      <c r="F1054" s="546">
        <f>SUM($E$2:E1054)/SUM($C$2:C1054)</f>
        <v>1.1834546904710565E-2</v>
      </c>
      <c r="G1054" s="536">
        <f t="shared" si="157"/>
        <v>39.023589999999963</v>
      </c>
      <c r="H1054" s="547" t="s">
        <v>374</v>
      </c>
      <c r="I1054" s="2"/>
      <c r="J1054" s="2"/>
      <c r="K1054" s="2"/>
      <c r="L1054" s="2"/>
      <c r="O1054" s="58"/>
      <c r="P1054" s="58"/>
    </row>
    <row r="1055" spans="2:16">
      <c r="B1055" s="652"/>
      <c r="C1055" s="545">
        <v>2.44</v>
      </c>
      <c r="D1055" s="536">
        <v>1.92</v>
      </c>
      <c r="E1055" s="536">
        <f t="shared" si="156"/>
        <v>2.2448000000000001</v>
      </c>
      <c r="F1055" s="546">
        <f>SUM($E$2:E1055)/SUM($C$2:C1055)</f>
        <v>1.2506065390454697E-2</v>
      </c>
      <c r="G1055" s="536">
        <f t="shared" si="157"/>
        <v>41.268389999999961</v>
      </c>
      <c r="H1055" s="547" t="s">
        <v>375</v>
      </c>
      <c r="I1055" s="2"/>
      <c r="J1055" s="2"/>
      <c r="K1055" s="2"/>
      <c r="L1055" s="2"/>
      <c r="O1055" s="58"/>
      <c r="P1055" s="58"/>
    </row>
    <row r="1056" spans="2:16">
      <c r="B1056" s="652"/>
      <c r="C1056" s="545">
        <v>2.44</v>
      </c>
      <c r="D1056" s="536"/>
      <c r="E1056" s="536">
        <f t="shared" si="156"/>
        <v>-2.44</v>
      </c>
      <c r="F1056" s="546">
        <f>SUM($E$2:E1056)/SUM($C$2:C1056)</f>
        <v>1.1757948224121828E-2</v>
      </c>
      <c r="G1056" s="536">
        <f t="shared" si="157"/>
        <v>38.828389999999963</v>
      </c>
      <c r="H1056" s="547" t="s">
        <v>376</v>
      </c>
      <c r="I1056" s="2"/>
      <c r="J1056" s="2"/>
      <c r="K1056" s="2"/>
      <c r="L1056" s="2"/>
      <c r="O1056" s="58"/>
      <c r="P1056" s="58"/>
    </row>
    <row r="1057" spans="2:16">
      <c r="B1057" s="652"/>
      <c r="C1057" s="548">
        <v>2.44</v>
      </c>
      <c r="D1057" s="535">
        <v>1.95</v>
      </c>
      <c r="E1057" s="535">
        <f t="shared" si="156"/>
        <v>2.3180000000000001</v>
      </c>
      <c r="F1057" s="549">
        <f>SUM($E$2:E1057)/SUM($C$2:C1057)</f>
        <v>1.2450681594674254E-2</v>
      </c>
      <c r="G1057" s="535">
        <f t="shared" si="157"/>
        <v>41.146389999999961</v>
      </c>
      <c r="H1057" s="550" t="s">
        <v>377</v>
      </c>
      <c r="I1057" s="2"/>
      <c r="J1057" s="2"/>
      <c r="K1057" s="2"/>
      <c r="L1057" s="2"/>
      <c r="O1057" s="58"/>
      <c r="P1057" s="58"/>
    </row>
    <row r="1058" spans="2:16">
      <c r="B1058" s="652"/>
      <c r="C1058" s="545">
        <v>2.44</v>
      </c>
      <c r="D1058" s="536">
        <v>2.16</v>
      </c>
      <c r="E1058" s="536">
        <f t="shared" si="156"/>
        <v>2.8304000000000005</v>
      </c>
      <c r="F1058" s="546">
        <f>SUM($E$2:E1058)/SUM($C$2:C1058)</f>
        <v>1.3297327943057316E-2</v>
      </c>
      <c r="G1058" s="536">
        <f t="shared" si="157"/>
        <v>43.976789999999959</v>
      </c>
      <c r="H1058" s="547" t="s">
        <v>11</v>
      </c>
      <c r="I1058" s="2"/>
      <c r="J1058" s="2"/>
      <c r="K1058" s="2"/>
      <c r="L1058" s="2"/>
      <c r="O1058" s="58"/>
      <c r="P1058" s="58"/>
    </row>
    <row r="1059" spans="2:16">
      <c r="B1059" s="652"/>
      <c r="C1059" s="545">
        <v>2.44</v>
      </c>
      <c r="D1059" s="536"/>
      <c r="E1059" s="536">
        <f t="shared" si="156"/>
        <v>-2.44</v>
      </c>
      <c r="F1059" s="546">
        <f>SUM($E$2:E1059)/SUM($C$2:C1059)</f>
        <v>1.2550282055697989E-2</v>
      </c>
      <c r="G1059" s="536">
        <f t="shared" si="157"/>
        <v>41.536789999999961</v>
      </c>
      <c r="H1059" s="547" t="s">
        <v>35</v>
      </c>
      <c r="I1059" s="2"/>
      <c r="J1059" s="2"/>
      <c r="K1059" s="2"/>
      <c r="L1059" s="2"/>
      <c r="O1059" s="58"/>
      <c r="P1059" s="58"/>
    </row>
    <row r="1060" spans="2:16">
      <c r="B1060" s="652"/>
      <c r="C1060" s="548">
        <v>2.44</v>
      </c>
      <c r="D1060" s="535"/>
      <c r="E1060" s="535">
        <f t="shared" si="156"/>
        <v>-2.44</v>
      </c>
      <c r="F1060" s="549">
        <f>SUM($E$2:E1060)/SUM($C$2:C1060)</f>
        <v>1.1804336864860872E-2</v>
      </c>
      <c r="G1060" s="535">
        <f t="shared" si="157"/>
        <v>39.096789999999963</v>
      </c>
      <c r="H1060" s="550" t="s">
        <v>64</v>
      </c>
      <c r="I1060" s="2">
        <f>SUM(E1041:E1060)</f>
        <v>7.137000000000004</v>
      </c>
      <c r="L1060" s="2">
        <f>I1060/C1060</f>
        <v>2.9250000000000016</v>
      </c>
      <c r="O1060" s="58"/>
      <c r="P1060" s="58"/>
    </row>
    <row r="1061" spans="2:16">
      <c r="B1061" s="650">
        <v>46073</v>
      </c>
      <c r="C1061" s="545">
        <v>2.74</v>
      </c>
      <c r="D1061" s="536">
        <v>1.9</v>
      </c>
      <c r="E1061" s="536">
        <f t="shared" ref="E1061:E1075" si="158">(C1061*D1061)-C1061</f>
        <v>2.4660000000000002</v>
      </c>
      <c r="F1061" s="546">
        <f>SUM($E$2:E1061)/SUM($C$2:C1061)</f>
        <v>1.2538513519628498E-2</v>
      </c>
      <c r="G1061" s="536">
        <f t="shared" ref="G1061:G1075" si="159">G1060+E1061</f>
        <v>41.562789999999964</v>
      </c>
      <c r="H1061" s="547" t="s">
        <v>15</v>
      </c>
      <c r="I1061" s="2"/>
      <c r="J1061" s="2"/>
      <c r="K1061" s="2"/>
      <c r="L1061" s="2"/>
      <c r="O1061" s="58"/>
      <c r="P1061" s="58"/>
    </row>
    <row r="1062" spans="2:16">
      <c r="B1062" s="652"/>
      <c r="C1062" s="545">
        <v>2.74</v>
      </c>
      <c r="D1062" s="536"/>
      <c r="E1062" s="536">
        <f t="shared" si="158"/>
        <v>-2.74</v>
      </c>
      <c r="F1062" s="546">
        <f>SUM($E$2:E1062)/SUM($C$2:C1062)</f>
        <v>1.1702247140208816E-2</v>
      </c>
      <c r="G1062" s="536">
        <f t="shared" si="159"/>
        <v>38.822789999999962</v>
      </c>
      <c r="H1062" s="547" t="s">
        <v>11</v>
      </c>
      <c r="I1062" s="2"/>
      <c r="J1062" s="2"/>
      <c r="K1062" s="2"/>
      <c r="L1062" s="2"/>
      <c r="O1062" s="58"/>
      <c r="P1062" s="58"/>
    </row>
    <row r="1063" spans="2:16">
      <c r="B1063" s="652"/>
      <c r="C1063" s="545">
        <v>2.74</v>
      </c>
      <c r="D1063" s="536">
        <v>1.8260000000000001</v>
      </c>
      <c r="E1063" s="536">
        <f t="shared" si="158"/>
        <v>2.2632400000000006</v>
      </c>
      <c r="F1063" s="546">
        <f>SUM($E$2:E1063)/SUM($C$2:C1063)</f>
        <v>1.2374229359483586E-2</v>
      </c>
      <c r="G1063" s="536">
        <f t="shared" si="159"/>
        <v>41.086029999999965</v>
      </c>
      <c r="H1063" s="547" t="s">
        <v>14</v>
      </c>
      <c r="I1063" s="2"/>
      <c r="J1063" s="2"/>
      <c r="K1063" s="2"/>
      <c r="L1063" s="2"/>
      <c r="O1063" s="58"/>
      <c r="P1063" s="58"/>
    </row>
    <row r="1064" spans="2:16">
      <c r="B1064" s="652"/>
      <c r="C1064" s="545">
        <v>2.74</v>
      </c>
      <c r="D1064" s="536">
        <v>1.8160000000000001</v>
      </c>
      <c r="E1064" s="536">
        <f t="shared" si="158"/>
        <v>2.2358400000000005</v>
      </c>
      <c r="F1064" s="546">
        <f>SUM($E$2:E1064)/SUM($C$2:C1064)</f>
        <v>1.3036857927854924E-2</v>
      </c>
      <c r="G1064" s="536">
        <f t="shared" si="159"/>
        <v>43.321869999999969</v>
      </c>
      <c r="H1064" s="547" t="s">
        <v>104</v>
      </c>
      <c r="I1064" s="2"/>
      <c r="J1064" s="2"/>
      <c r="K1064" s="2"/>
      <c r="L1064" s="2"/>
      <c r="O1064" s="58"/>
      <c r="P1064" s="58"/>
    </row>
    <row r="1065" spans="2:16">
      <c r="B1065" s="652"/>
      <c r="C1065" s="545">
        <v>2.74</v>
      </c>
      <c r="D1065" s="536">
        <v>1.8069999999999999</v>
      </c>
      <c r="E1065" s="536">
        <f t="shared" si="158"/>
        <v>2.2111799999999997</v>
      </c>
      <c r="F1065" s="546">
        <f>SUM($E$2:E1065)/SUM($C$2:C1065)</f>
        <v>1.3690979833241546E-2</v>
      </c>
      <c r="G1065" s="536">
        <f t="shared" si="159"/>
        <v>45.533049999999967</v>
      </c>
      <c r="H1065" s="547" t="s">
        <v>30</v>
      </c>
      <c r="I1065" s="2"/>
      <c r="J1065" s="2"/>
      <c r="K1065" s="2"/>
      <c r="L1065" s="2"/>
      <c r="O1065" s="58"/>
      <c r="P1065" s="58"/>
    </row>
    <row r="1066" spans="2:16">
      <c r="B1066" s="652"/>
      <c r="C1066" s="545">
        <v>2.74</v>
      </c>
      <c r="D1066" s="536"/>
      <c r="E1066" s="536">
        <f t="shared" si="158"/>
        <v>-2.74</v>
      </c>
      <c r="F1066" s="546">
        <f>SUM($E$2:E1066)/SUM($C$2:C1066)</f>
        <v>1.2856518382098822E-2</v>
      </c>
      <c r="G1066" s="536">
        <f t="shared" si="159"/>
        <v>42.793049999999965</v>
      </c>
      <c r="H1066" s="547" t="s">
        <v>10</v>
      </c>
      <c r="I1066" s="2"/>
      <c r="J1066" s="2"/>
      <c r="K1066" s="2"/>
      <c r="L1066" s="2"/>
      <c r="O1066" s="58"/>
      <c r="P1066" s="58"/>
    </row>
    <row r="1067" spans="2:16">
      <c r="B1067" s="652"/>
      <c r="C1067" s="548">
        <v>2.74</v>
      </c>
      <c r="D1067" s="535">
        <v>1.798</v>
      </c>
      <c r="E1067" s="535">
        <f t="shared" si="158"/>
        <v>2.1865200000000007</v>
      </c>
      <c r="F1067" s="549">
        <f>SUM($E$2:E1067)/SUM($C$2:C1067)</f>
        <v>1.3502309943714746E-2</v>
      </c>
      <c r="G1067" s="535">
        <f t="shared" si="159"/>
        <v>44.979569999999967</v>
      </c>
      <c r="H1067" s="550" t="s">
        <v>52</v>
      </c>
      <c r="I1067" s="2"/>
      <c r="J1067" s="2"/>
      <c r="K1067" s="2"/>
      <c r="L1067" s="2"/>
      <c r="O1067" s="58"/>
      <c r="P1067" s="58"/>
    </row>
    <row r="1068" spans="2:16">
      <c r="B1068" s="652"/>
      <c r="C1068" s="545">
        <v>2.74</v>
      </c>
      <c r="D1068" s="536">
        <v>1.9</v>
      </c>
      <c r="E1068" s="536">
        <f t="shared" si="158"/>
        <v>2.4660000000000002</v>
      </c>
      <c r="F1068" s="546">
        <f>SUM($E$2:E1068)/SUM($C$2:C1068)</f>
        <v>1.4230867519098659E-2</v>
      </c>
      <c r="G1068" s="536">
        <f t="shared" si="159"/>
        <v>47.445569999999968</v>
      </c>
      <c r="H1068" s="547" t="s">
        <v>378</v>
      </c>
      <c r="I1068" s="2"/>
      <c r="J1068" s="2"/>
      <c r="K1068" s="2"/>
      <c r="L1068" s="2"/>
      <c r="O1068" s="58"/>
      <c r="P1068" s="58"/>
    </row>
    <row r="1069" spans="2:16">
      <c r="B1069" s="652"/>
      <c r="C1069" s="545">
        <v>2.74</v>
      </c>
      <c r="D1069" s="536"/>
      <c r="E1069" s="536">
        <f t="shared" si="158"/>
        <v>-2.74</v>
      </c>
      <c r="F1069" s="546">
        <f>SUM($E$2:E1069)/SUM($C$2:C1069)</f>
        <v>1.3398018419230729E-2</v>
      </c>
      <c r="G1069" s="536">
        <f t="shared" si="159"/>
        <v>44.705569999999966</v>
      </c>
      <c r="H1069" s="547" t="s">
        <v>371</v>
      </c>
      <c r="I1069" s="2"/>
      <c r="J1069" s="2"/>
      <c r="K1069" s="2"/>
      <c r="L1069" s="2"/>
      <c r="O1069" s="58"/>
      <c r="P1069" s="58"/>
    </row>
    <row r="1070" spans="2:16">
      <c r="B1070" s="652"/>
      <c r="C1070" s="545">
        <v>2.74</v>
      </c>
      <c r="D1070" s="536">
        <v>1.8480000000000001</v>
      </c>
      <c r="E1070" s="536">
        <f t="shared" si="158"/>
        <v>2.3235200000000003</v>
      </c>
      <c r="F1070" s="546">
        <f>SUM($E$2:E1070)/SUM($C$2:C1070)</f>
        <v>1.4082800564161302E-2</v>
      </c>
      <c r="G1070" s="536">
        <f t="shared" si="159"/>
        <v>47.029089999999968</v>
      </c>
      <c r="H1070" s="547" t="s">
        <v>227</v>
      </c>
      <c r="I1070" s="2"/>
      <c r="J1070" s="2"/>
      <c r="K1070" s="2"/>
      <c r="L1070" s="2"/>
      <c r="O1070" s="58"/>
      <c r="P1070" s="58"/>
    </row>
    <row r="1071" spans="2:16">
      <c r="B1071" s="652"/>
      <c r="C1071" s="545">
        <v>2.74</v>
      </c>
      <c r="D1071" s="536">
        <v>1.8560000000000001</v>
      </c>
      <c r="E1071" s="536">
        <f t="shared" si="158"/>
        <v>2.3454400000000009</v>
      </c>
      <c r="F1071" s="546">
        <f>SUM($E$2:E1071)/SUM($C$2:C1071)</f>
        <v>1.4773018451862612E-2</v>
      </c>
      <c r="G1071" s="536">
        <f t="shared" si="159"/>
        <v>49.374529999999972</v>
      </c>
      <c r="H1071" s="547" t="s">
        <v>73</v>
      </c>
      <c r="I1071" s="2"/>
      <c r="J1071" s="2"/>
      <c r="K1071" s="2"/>
      <c r="L1071" s="2"/>
      <c r="O1071" s="58"/>
      <c r="P1071" s="58"/>
    </row>
    <row r="1072" spans="2:16">
      <c r="B1072" s="652"/>
      <c r="C1072" s="545">
        <v>2.74</v>
      </c>
      <c r="D1072" s="536">
        <v>1.9</v>
      </c>
      <c r="E1072" s="536">
        <f t="shared" si="158"/>
        <v>2.4660000000000002</v>
      </c>
      <c r="F1072" s="546">
        <f>SUM($E$2:E1072)/SUM($C$2:C1072)</f>
        <v>1.549814795437891E-2</v>
      </c>
      <c r="G1072" s="536">
        <f t="shared" si="159"/>
        <v>51.840529999999973</v>
      </c>
      <c r="H1072" s="547" t="s">
        <v>379</v>
      </c>
      <c r="I1072" s="2"/>
      <c r="J1072" s="2"/>
      <c r="K1072" s="2"/>
      <c r="L1072" s="2"/>
      <c r="O1072" s="58"/>
      <c r="P1072" s="58"/>
    </row>
    <row r="1073" spans="2:16">
      <c r="B1073" s="652"/>
      <c r="C1073" s="548">
        <v>2.74</v>
      </c>
      <c r="D1073" s="535"/>
      <c r="E1073" s="535">
        <f t="shared" si="158"/>
        <v>-2.74</v>
      </c>
      <c r="F1073" s="549">
        <f>SUM($E$2:E1073)/SUM($C$2:C1073)</f>
        <v>1.4666988281471626E-2</v>
      </c>
      <c r="G1073" s="535">
        <f t="shared" si="159"/>
        <v>49.100529999999971</v>
      </c>
      <c r="H1073" s="550" t="s">
        <v>380</v>
      </c>
      <c r="I1073" s="2"/>
      <c r="J1073" s="2"/>
      <c r="K1073" s="2"/>
      <c r="L1073" s="2"/>
      <c r="O1073" s="58"/>
      <c r="P1073" s="58"/>
    </row>
    <row r="1074" spans="2:16">
      <c r="B1074" s="652"/>
      <c r="C1074" s="545">
        <v>2.74</v>
      </c>
      <c r="D1074" s="536">
        <v>1.96</v>
      </c>
      <c r="E1074" s="536">
        <f t="shared" si="158"/>
        <v>2.6303999999999998</v>
      </c>
      <c r="F1074" s="546">
        <f>SUM($E$2:E1074)/SUM($C$2:C1074)</f>
        <v>1.5440086794829245E-2</v>
      </c>
      <c r="G1074" s="536">
        <f t="shared" si="159"/>
        <v>51.730929999999972</v>
      </c>
      <c r="H1074" s="547" t="s">
        <v>15</v>
      </c>
      <c r="I1074" s="2"/>
      <c r="J1074" s="2"/>
      <c r="K1074" s="2"/>
      <c r="L1074" s="2"/>
      <c r="O1074" s="58"/>
      <c r="P1074" s="58"/>
    </row>
    <row r="1075" spans="2:16">
      <c r="B1075" s="651"/>
      <c r="C1075" s="548">
        <v>2.74</v>
      </c>
      <c r="D1075" s="535">
        <v>2.4159999999999999</v>
      </c>
      <c r="E1075" s="535">
        <f t="shared" si="158"/>
        <v>3.8798399999999997</v>
      </c>
      <c r="F1075" s="549">
        <f>SUM($E$2:E1075)/SUM($C$2:C1075)</f>
        <v>1.6584536423742229E-2</v>
      </c>
      <c r="G1075" s="535">
        <f t="shared" si="159"/>
        <v>55.610769999999974</v>
      </c>
      <c r="H1075" s="550" t="s">
        <v>34</v>
      </c>
      <c r="I1075" s="2">
        <f>SUM(E1061:E1075)</f>
        <v>16.513980000000004</v>
      </c>
      <c r="L1075" s="2">
        <f>I1075/C1075</f>
        <v>6.027000000000001</v>
      </c>
      <c r="O1075" s="58"/>
      <c r="P1075" s="58"/>
    </row>
    <row r="1076" spans="2:16">
      <c r="B1076" s="652">
        <v>46074</v>
      </c>
      <c r="C1076" s="545">
        <v>4.2</v>
      </c>
      <c r="D1076" s="536"/>
      <c r="E1076" s="536">
        <f t="shared" ref="E1076:E1085" si="160">(C1076*D1076)-C1076</f>
        <v>-4.2</v>
      </c>
      <c r="F1076" s="546">
        <f>SUM($E$2:E1076)/SUM($C$2:C1076)</f>
        <v>1.5312810324748165E-2</v>
      </c>
      <c r="G1076" s="536">
        <f t="shared" ref="G1076:G1085" si="161">G1075+E1076</f>
        <v>51.410769999999971</v>
      </c>
      <c r="H1076" s="547" t="s">
        <v>13</v>
      </c>
      <c r="I1076" s="2"/>
      <c r="J1076" s="2"/>
      <c r="K1076" s="2"/>
      <c r="L1076" s="2"/>
      <c r="O1076" s="58"/>
      <c r="P1076" s="58"/>
    </row>
    <row r="1077" spans="2:16">
      <c r="B1077" s="652"/>
      <c r="C1077" s="545">
        <v>4.2</v>
      </c>
      <c r="D1077" s="536"/>
      <c r="E1077" s="536">
        <f t="shared" si="160"/>
        <v>-4.2</v>
      </c>
      <c r="F1077" s="546">
        <f>SUM($E$2:E1077)/SUM($C$2:C1077)</f>
        <v>1.4044262056122516E-2</v>
      </c>
      <c r="G1077" s="536">
        <f t="shared" si="161"/>
        <v>47.210769999999968</v>
      </c>
      <c r="H1077" s="547" t="s">
        <v>16</v>
      </c>
      <c r="I1077" s="2"/>
      <c r="J1077" s="2"/>
      <c r="K1077" s="2"/>
      <c r="L1077" s="2"/>
      <c r="O1077" s="58"/>
      <c r="P1077" s="58"/>
    </row>
    <row r="1078" spans="2:16">
      <c r="B1078" s="652"/>
      <c r="C1078" s="548">
        <v>4.2</v>
      </c>
      <c r="D1078" s="535"/>
      <c r="E1078" s="535">
        <f t="shared" si="160"/>
        <v>-4.2</v>
      </c>
      <c r="F1078" s="549">
        <f>SUM($E$2:E1078)/SUM($C$2:C1078)</f>
        <v>1.2778879721430693E-2</v>
      </c>
      <c r="G1078" s="535">
        <f t="shared" si="161"/>
        <v>43.010769999999965</v>
      </c>
      <c r="H1078" s="550" t="s">
        <v>12</v>
      </c>
      <c r="I1078" s="2"/>
      <c r="J1078" s="2"/>
      <c r="K1078" s="2"/>
      <c r="L1078" s="2"/>
      <c r="O1078" s="58"/>
      <c r="P1078" s="58"/>
    </row>
    <row r="1079" spans="2:16">
      <c r="B1079" s="652"/>
      <c r="C1079" s="545">
        <v>4.2</v>
      </c>
      <c r="D1079" s="536"/>
      <c r="E1079" s="536">
        <f t="shared" si="160"/>
        <v>-4.2</v>
      </c>
      <c r="F1079" s="546">
        <f>SUM($E$2:E1079)/SUM($C$2:C1079)</f>
        <v>1.1516651483544305E-2</v>
      </c>
      <c r="G1079" s="536">
        <f t="shared" si="161"/>
        <v>38.810769999999962</v>
      </c>
      <c r="H1079" s="547" t="s">
        <v>381</v>
      </c>
      <c r="I1079" s="2"/>
      <c r="J1079" s="2"/>
      <c r="K1079" s="2"/>
      <c r="L1079" s="2"/>
      <c r="O1079" s="58"/>
      <c r="P1079" s="58"/>
    </row>
    <row r="1080" spans="2:16">
      <c r="B1080" s="652"/>
      <c r="C1080" s="545">
        <v>4.2</v>
      </c>
      <c r="D1080" s="536"/>
      <c r="E1080" s="536">
        <f t="shared" si="160"/>
        <v>-4.2</v>
      </c>
      <c r="F1080" s="546">
        <f>SUM($E$2:E1080)/SUM($C$2:C1080)</f>
        <v>1.0257565564272049E-2</v>
      </c>
      <c r="G1080" s="536">
        <f t="shared" si="161"/>
        <v>34.61076999999996</v>
      </c>
      <c r="H1080" s="547" t="s">
        <v>382</v>
      </c>
      <c r="I1080" s="2"/>
      <c r="J1080" s="2"/>
      <c r="K1080" s="2"/>
      <c r="L1080" s="2"/>
      <c r="O1080" s="58"/>
      <c r="P1080" s="58"/>
    </row>
    <row r="1081" spans="2:16">
      <c r="B1081" s="652"/>
      <c r="C1081" s="545">
        <v>4.2</v>
      </c>
      <c r="D1081" s="536"/>
      <c r="E1081" s="536">
        <f t="shared" si="160"/>
        <v>-4.2</v>
      </c>
      <c r="F1081" s="546">
        <f>SUM($E$2:E1081)/SUM($C$2:C1081)</f>
        <v>9.0016102439933569E-3</v>
      </c>
      <c r="G1081" s="536">
        <f t="shared" si="161"/>
        <v>30.41076999999996</v>
      </c>
      <c r="H1081" s="547" t="s">
        <v>383</v>
      </c>
      <c r="I1081" s="2"/>
      <c r="J1081" s="2"/>
      <c r="K1081" s="2"/>
      <c r="L1081" s="2"/>
      <c r="O1081" s="58"/>
      <c r="P1081" s="58"/>
    </row>
    <row r="1082" spans="2:16">
      <c r="B1082" s="652"/>
      <c r="C1082" s="545">
        <v>4.2</v>
      </c>
      <c r="D1082" s="536"/>
      <c r="E1082" s="536">
        <f t="shared" si="160"/>
        <v>-4.2</v>
      </c>
      <c r="F1082" s="546">
        <f>SUM($E$2:E1082)/SUM($C$2:C1082)</f>
        <v>7.7487738612947721E-3</v>
      </c>
      <c r="G1082" s="536">
        <f t="shared" si="161"/>
        <v>26.210769999999961</v>
      </c>
      <c r="H1082" s="547" t="s">
        <v>384</v>
      </c>
      <c r="I1082" s="2"/>
      <c r="J1082" s="2"/>
      <c r="K1082" s="2"/>
      <c r="L1082" s="2"/>
      <c r="O1082" s="58"/>
      <c r="P1082" s="58"/>
    </row>
    <row r="1083" spans="2:16">
      <c r="B1083" s="652"/>
      <c r="C1083" s="548">
        <v>4.2</v>
      </c>
      <c r="D1083" s="535"/>
      <c r="E1083" s="535">
        <f t="shared" si="160"/>
        <v>-4.2</v>
      </c>
      <c r="F1083" s="549">
        <f>SUM($E$2:E1083)/SUM($C$2:C1083)</f>
        <v>6.4990448126090276E-3</v>
      </c>
      <c r="G1083" s="535">
        <f t="shared" si="161"/>
        <v>22.010769999999962</v>
      </c>
      <c r="H1083" s="550" t="s">
        <v>385</v>
      </c>
      <c r="I1083" s="2"/>
      <c r="J1083" s="2"/>
      <c r="K1083" s="2"/>
      <c r="L1083" s="2"/>
      <c r="O1083" s="58"/>
      <c r="P1083" s="58"/>
    </row>
    <row r="1084" spans="2:16">
      <c r="B1084" s="652"/>
      <c r="C1084" s="545">
        <v>4.2</v>
      </c>
      <c r="D1084" s="536">
        <v>2.41</v>
      </c>
      <c r="E1084" s="536">
        <f t="shared" si="160"/>
        <v>5.9220000000000015</v>
      </c>
      <c r="F1084" s="546">
        <f>SUM($E$2:E1084)/SUM($C$2:C1084)</f>
        <v>8.2373981486123012E-3</v>
      </c>
      <c r="G1084" s="536">
        <f t="shared" si="161"/>
        <v>27.932769999999962</v>
      </c>
      <c r="H1084" s="547" t="s">
        <v>13</v>
      </c>
      <c r="I1084" s="2"/>
      <c r="J1084" s="2"/>
      <c r="K1084" s="2"/>
      <c r="L1084" s="2"/>
      <c r="O1084" s="58"/>
      <c r="P1084" s="58"/>
    </row>
    <row r="1085" spans="2:16">
      <c r="B1085" s="652"/>
      <c r="C1085" s="548">
        <v>4.2</v>
      </c>
      <c r="D1085" s="535"/>
      <c r="E1085" s="535">
        <f t="shared" si="160"/>
        <v>-4.2</v>
      </c>
      <c r="F1085" s="549">
        <f>SUM($E$2:E1085)/SUM($C$2:C1085)</f>
        <v>6.9901566048238741E-3</v>
      </c>
      <c r="G1085" s="535">
        <f t="shared" si="161"/>
        <v>23.732769999999963</v>
      </c>
      <c r="H1085" s="550" t="s">
        <v>35</v>
      </c>
      <c r="I1085" s="2">
        <f>SUM(E1076:E1085)</f>
        <v>-31.878</v>
      </c>
      <c r="L1085" s="2">
        <f>I1085/C1085</f>
        <v>-7.59</v>
      </c>
      <c r="O1085" s="58"/>
      <c r="P1085" s="58"/>
    </row>
    <row r="1086" spans="2:16">
      <c r="B1086" s="650">
        <v>46075</v>
      </c>
      <c r="C1086" s="545">
        <v>2.19</v>
      </c>
      <c r="D1086" s="536">
        <v>1.91</v>
      </c>
      <c r="E1086" s="536">
        <f t="shared" ref="E1086:E1103" si="162">(C1086*D1086)-C1086</f>
        <v>1.9929000000000001</v>
      </c>
      <c r="F1086" s="546">
        <f>SUM($E$2:E1086)/SUM($C$2:C1086)</f>
        <v>7.572253161278129E-3</v>
      </c>
      <c r="G1086" s="536">
        <f t="shared" ref="G1086:G1103" si="163">G1085+E1086</f>
        <v>25.725669999999962</v>
      </c>
      <c r="H1086" s="547" t="s">
        <v>30</v>
      </c>
      <c r="I1086" s="2"/>
      <c r="J1086" s="2"/>
      <c r="K1086" s="2"/>
      <c r="L1086" s="2"/>
      <c r="O1086" s="58"/>
      <c r="P1086" s="58"/>
    </row>
    <row r="1087" spans="2:16">
      <c r="B1087" s="652"/>
      <c r="C1087" s="545">
        <v>2.19</v>
      </c>
      <c r="D1087" s="536">
        <v>1.8160000000000001</v>
      </c>
      <c r="E1087" s="536">
        <f t="shared" si="162"/>
        <v>1.7870400000000002</v>
      </c>
      <c r="F1087" s="546">
        <f>SUM($E$2:E1087)/SUM($C$2:C1087)</f>
        <v>8.0930446676765622E-3</v>
      </c>
      <c r="G1087" s="536">
        <f t="shared" si="163"/>
        <v>27.512709999999963</v>
      </c>
      <c r="H1087" s="547" t="s">
        <v>14</v>
      </c>
      <c r="I1087" s="2"/>
      <c r="J1087" s="2"/>
      <c r="K1087" s="2"/>
      <c r="L1087" s="2"/>
      <c r="O1087" s="58"/>
      <c r="P1087" s="58"/>
    </row>
    <row r="1088" spans="2:16">
      <c r="B1088" s="652"/>
      <c r="C1088" s="545">
        <v>2.19</v>
      </c>
      <c r="D1088" s="536"/>
      <c r="E1088" s="536">
        <f t="shared" si="162"/>
        <v>-2.19</v>
      </c>
      <c r="F1088" s="546">
        <f>SUM($E$2:E1088)/SUM($C$2:C1088)</f>
        <v>7.4440462821967184E-3</v>
      </c>
      <c r="G1088" s="536">
        <f t="shared" si="163"/>
        <v>25.322709999999962</v>
      </c>
      <c r="H1088" s="547" t="s">
        <v>60</v>
      </c>
      <c r="I1088" s="2"/>
      <c r="J1088" s="2"/>
      <c r="K1088" s="2"/>
      <c r="L1088" s="2"/>
      <c r="O1088" s="58"/>
      <c r="P1088" s="58"/>
    </row>
    <row r="1089" spans="2:16">
      <c r="B1089" s="652"/>
      <c r="C1089" s="545">
        <v>2.19</v>
      </c>
      <c r="D1089" s="536">
        <v>1.9390000000000001</v>
      </c>
      <c r="E1089" s="536">
        <f t="shared" si="162"/>
        <v>2.0564100000000001</v>
      </c>
      <c r="F1089" s="546">
        <f>SUM($E$2:E1089)/SUM($C$2:C1089)</f>
        <v>8.0433851459929713E-3</v>
      </c>
      <c r="G1089" s="536">
        <f t="shared" si="163"/>
        <v>27.379119999999961</v>
      </c>
      <c r="H1089" s="547" t="s">
        <v>10</v>
      </c>
      <c r="I1089" s="2"/>
      <c r="J1089" s="2"/>
      <c r="K1089" s="2"/>
      <c r="L1089" s="2"/>
      <c r="O1089" s="58"/>
      <c r="P1089" s="58"/>
    </row>
    <row r="1090" spans="2:16">
      <c r="B1090" s="652"/>
      <c r="C1090" s="548">
        <v>2.19</v>
      </c>
      <c r="D1090" s="535">
        <v>1.8160000000000001</v>
      </c>
      <c r="E1090" s="535">
        <f t="shared" si="162"/>
        <v>1.7870400000000002</v>
      </c>
      <c r="F1090" s="549">
        <f>SUM($E$2:E1090)/SUM($C$2:C1090)</f>
        <v>8.5628691884020083E-3</v>
      </c>
      <c r="G1090" s="535">
        <f t="shared" si="163"/>
        <v>29.166159999999962</v>
      </c>
      <c r="H1090" s="550" t="s">
        <v>104</v>
      </c>
      <c r="I1090" s="2"/>
      <c r="J1090" s="2"/>
      <c r="K1090" s="2"/>
      <c r="L1090" s="2"/>
      <c r="O1090" s="58"/>
      <c r="P1090" s="58"/>
    </row>
    <row r="1091" spans="2:16">
      <c r="B1091" s="652"/>
      <c r="C1091" s="545">
        <v>2.19</v>
      </c>
      <c r="D1091" s="536">
        <v>1.87</v>
      </c>
      <c r="E1091" s="536">
        <f t="shared" si="162"/>
        <v>1.9053</v>
      </c>
      <c r="F1091" s="546">
        <f>SUM($E$2:E1091)/SUM($C$2:C1091)</f>
        <v>9.1163831928433286E-3</v>
      </c>
      <c r="G1091" s="536">
        <f t="shared" si="163"/>
        <v>31.071459999999963</v>
      </c>
      <c r="H1091" s="547" t="s">
        <v>386</v>
      </c>
      <c r="I1091" s="2"/>
      <c r="J1091" s="2"/>
      <c r="K1091" s="2"/>
      <c r="L1091" s="2"/>
      <c r="O1091" s="58"/>
      <c r="P1091" s="58"/>
    </row>
    <row r="1092" spans="2:16">
      <c r="B1092" s="652"/>
      <c r="C1092" s="545">
        <v>2.19</v>
      </c>
      <c r="D1092" s="536"/>
      <c r="E1092" s="536">
        <f t="shared" si="162"/>
        <v>-2.19</v>
      </c>
      <c r="F1092" s="546">
        <f>SUM($E$2:E1092)/SUM($C$2:C1092)</f>
        <v>8.4683946635390264E-3</v>
      </c>
      <c r="G1092" s="536">
        <f t="shared" si="163"/>
        <v>28.881459999999961</v>
      </c>
      <c r="H1092" s="547" t="s">
        <v>387</v>
      </c>
      <c r="I1092" s="2"/>
      <c r="J1092" s="2"/>
      <c r="K1092" s="2"/>
      <c r="L1092" s="2"/>
      <c r="O1092" s="58"/>
      <c r="P1092" s="58"/>
    </row>
    <row r="1093" spans="2:16">
      <c r="B1093" s="652"/>
      <c r="C1093" s="545">
        <v>2.19</v>
      </c>
      <c r="D1093" s="536">
        <v>1.9</v>
      </c>
      <c r="E1093" s="536">
        <f t="shared" si="162"/>
        <v>1.9709999999999996</v>
      </c>
      <c r="F1093" s="546">
        <f>SUM($E$2:E1093)/SUM($C$2:C1093)</f>
        <v>9.0405105649794867E-3</v>
      </c>
      <c r="G1093" s="536">
        <f t="shared" si="163"/>
        <v>30.852459999999962</v>
      </c>
      <c r="H1093" s="547" t="s">
        <v>388</v>
      </c>
      <c r="I1093" s="2"/>
      <c r="J1093" s="2"/>
      <c r="K1093" s="2"/>
      <c r="L1093" s="2"/>
      <c r="O1093" s="58"/>
      <c r="P1093" s="58"/>
    </row>
    <row r="1094" spans="2:16">
      <c r="B1094" s="652"/>
      <c r="C1094" s="545">
        <v>2.19</v>
      </c>
      <c r="D1094" s="536"/>
      <c r="E1094" s="536">
        <f t="shared" si="162"/>
        <v>-2.19</v>
      </c>
      <c r="F1094" s="546">
        <f>SUM($E$2:E1094)/SUM($C$2:C1094)</f>
        <v>8.3934018179262077E-3</v>
      </c>
      <c r="G1094" s="536">
        <f t="shared" si="163"/>
        <v>28.66245999999996</v>
      </c>
      <c r="H1094" s="547" t="s">
        <v>389</v>
      </c>
      <c r="I1094" s="2"/>
      <c r="J1094" s="2"/>
      <c r="K1094" s="2"/>
      <c r="L1094" s="2"/>
      <c r="O1094" s="58"/>
      <c r="P1094" s="58"/>
    </row>
    <row r="1095" spans="2:16">
      <c r="B1095" s="652"/>
      <c r="C1095" s="545">
        <v>2.19</v>
      </c>
      <c r="D1095" s="536">
        <v>1.845</v>
      </c>
      <c r="E1095" s="536">
        <f t="shared" si="162"/>
        <v>1.8505499999999997</v>
      </c>
      <c r="F1095" s="546">
        <f>SUM($E$2:E1095)/SUM($C$2:C1095)</f>
        <v>8.9295829467935517E-3</v>
      </c>
      <c r="G1095" s="536">
        <f t="shared" si="163"/>
        <v>30.513009999999959</v>
      </c>
      <c r="H1095" s="547" t="s">
        <v>390</v>
      </c>
      <c r="I1095" s="2"/>
      <c r="J1095" s="2"/>
      <c r="K1095" s="2"/>
      <c r="L1095" s="2"/>
      <c r="O1095" s="58"/>
      <c r="P1095" s="58"/>
    </row>
    <row r="1096" spans="2:16">
      <c r="B1096" s="652"/>
      <c r="C1096" s="548">
        <v>2.19</v>
      </c>
      <c r="D1096" s="535">
        <v>1.9</v>
      </c>
      <c r="E1096" s="535">
        <f t="shared" si="162"/>
        <v>1.9709999999999996</v>
      </c>
      <c r="F1096" s="549">
        <f>SUM($E$2:E1096)/SUM($C$2:C1096)</f>
        <v>9.5003041593794638E-3</v>
      </c>
      <c r="G1096" s="535">
        <f t="shared" si="163"/>
        <v>32.484009999999955</v>
      </c>
      <c r="H1096" s="550" t="s">
        <v>391</v>
      </c>
      <c r="I1096" s="2"/>
      <c r="J1096" s="2"/>
      <c r="K1096" s="2"/>
      <c r="L1096" s="2"/>
      <c r="O1096" s="58"/>
      <c r="P1096" s="58"/>
    </row>
    <row r="1097" spans="2:16">
      <c r="B1097" s="652"/>
      <c r="C1097" s="545">
        <v>2.19</v>
      </c>
      <c r="D1097" s="536">
        <v>2.54</v>
      </c>
      <c r="E1097" s="536">
        <f t="shared" si="162"/>
        <v>3.3725999999999998</v>
      </c>
      <c r="F1097" s="546">
        <f>SUM($E$2:E1097)/SUM($C$2:C1097)</f>
        <v>1.0479945637083639E-2</v>
      </c>
      <c r="G1097" s="536">
        <f t="shared" si="163"/>
        <v>35.856609999999954</v>
      </c>
      <c r="H1097" s="547" t="s">
        <v>30</v>
      </c>
      <c r="I1097" s="2"/>
      <c r="J1097" s="2"/>
      <c r="K1097" s="2"/>
      <c r="L1097" s="2"/>
      <c r="O1097" s="58"/>
      <c r="P1097" s="58"/>
    </row>
    <row r="1098" spans="2:16">
      <c r="B1098" s="652"/>
      <c r="C1098" s="545">
        <v>2.19</v>
      </c>
      <c r="D1098" s="536"/>
      <c r="E1098" s="536">
        <f t="shared" si="162"/>
        <v>-2.19</v>
      </c>
      <c r="F1098" s="546">
        <f>SUM($E$2:E1098)/SUM($C$2:C1098)</f>
        <v>9.8335718708742227E-3</v>
      </c>
      <c r="G1098" s="536">
        <f t="shared" si="163"/>
        <v>33.666609999999956</v>
      </c>
      <c r="H1098" s="547" t="s">
        <v>34</v>
      </c>
      <c r="I1098" s="2"/>
      <c r="J1098" s="2"/>
      <c r="K1098" s="2"/>
      <c r="L1098" s="2"/>
      <c r="O1098" s="58"/>
      <c r="P1098" s="58"/>
    </row>
    <row r="1099" spans="2:16">
      <c r="B1099" s="652"/>
      <c r="C1099" s="545">
        <v>2.19</v>
      </c>
      <c r="D1099" s="536">
        <v>1.92</v>
      </c>
      <c r="E1099" s="536">
        <f t="shared" si="162"/>
        <v>2.0147999999999997</v>
      </c>
      <c r="F1099" s="546">
        <f>SUM($E$2:E1099)/SUM($C$2:C1099)</f>
        <v>1.0415405901635462E-2</v>
      </c>
      <c r="G1099" s="536">
        <f t="shared" si="163"/>
        <v>35.681409999999957</v>
      </c>
      <c r="H1099" s="547" t="s">
        <v>27</v>
      </c>
      <c r="I1099" s="2"/>
      <c r="J1099" s="2"/>
      <c r="K1099" s="2"/>
      <c r="L1099" s="2"/>
      <c r="O1099" s="58"/>
      <c r="P1099" s="58"/>
    </row>
    <row r="1100" spans="2:16">
      <c r="B1100" s="652"/>
      <c r="C1100" s="545">
        <v>2.19</v>
      </c>
      <c r="D1100" s="536"/>
      <c r="E1100" s="536">
        <f t="shared" si="162"/>
        <v>-2.19</v>
      </c>
      <c r="F1100" s="546">
        <f>SUM($E$2:E1100)/SUM($C$2:C1100)</f>
        <v>9.7698992421280575E-3</v>
      </c>
      <c r="G1100" s="536">
        <f t="shared" si="163"/>
        <v>33.491409999999959</v>
      </c>
      <c r="H1100" s="547" t="s">
        <v>60</v>
      </c>
      <c r="I1100" s="2"/>
      <c r="J1100" s="2"/>
      <c r="K1100" s="2"/>
      <c r="L1100" s="2"/>
      <c r="O1100" s="58"/>
      <c r="P1100" s="58"/>
    </row>
    <row r="1101" spans="2:16">
      <c r="B1101" s="652"/>
      <c r="C1101" s="545">
        <v>2.19</v>
      </c>
      <c r="D1101" s="536"/>
      <c r="E1101" s="536">
        <f t="shared" si="162"/>
        <v>-2.19</v>
      </c>
      <c r="F1101" s="546">
        <f>SUM($E$2:E1101)/SUM($C$2:C1101)</f>
        <v>9.1252168234597399E-3</v>
      </c>
      <c r="G1101" s="536">
        <f t="shared" si="163"/>
        <v>31.301409999999958</v>
      </c>
      <c r="H1101" s="547" t="s">
        <v>10</v>
      </c>
      <c r="I1101" s="2"/>
      <c r="J1101" s="2"/>
      <c r="K1101" s="2"/>
      <c r="L1101" s="2"/>
      <c r="O1101" s="58"/>
      <c r="P1101" s="58"/>
    </row>
    <row r="1102" spans="2:16">
      <c r="B1102" s="652"/>
      <c r="C1102" s="545">
        <v>2.19</v>
      </c>
      <c r="D1102" s="536"/>
      <c r="E1102" s="536">
        <f t="shared" si="162"/>
        <v>-2.19</v>
      </c>
      <c r="F1102" s="546">
        <f>SUM($E$2:E1102)/SUM($C$2:C1102)</f>
        <v>8.4813570679407521E-3</v>
      </c>
      <c r="G1102" s="536">
        <f t="shared" si="163"/>
        <v>29.111409999999957</v>
      </c>
      <c r="H1102" s="547" t="s">
        <v>35</v>
      </c>
      <c r="I1102" s="2"/>
      <c r="J1102" s="2"/>
      <c r="K1102" s="2"/>
      <c r="L1102" s="2"/>
      <c r="O1102" s="58"/>
      <c r="P1102" s="58"/>
    </row>
    <row r="1103" spans="2:16">
      <c r="B1103" s="652"/>
      <c r="C1103" s="548">
        <v>2.19</v>
      </c>
      <c r="D1103" s="535"/>
      <c r="E1103" s="535">
        <f t="shared" si="162"/>
        <v>-2.19</v>
      </c>
      <c r="F1103" s="549">
        <f>SUM($E$2:E1103)/SUM($C$2:C1103)</f>
        <v>7.8383184019052768E-3</v>
      </c>
      <c r="G1103" s="535">
        <f t="shared" si="163"/>
        <v>26.921409999999955</v>
      </c>
      <c r="H1103" s="550" t="s">
        <v>36</v>
      </c>
      <c r="I1103" s="490">
        <f>SUM(E1086:E1103)</f>
        <v>3.1886400000000044</v>
      </c>
      <c r="J1103" s="490">
        <f>SUM(E1041:E1103)</f>
        <v>-5.0383799999999859</v>
      </c>
      <c r="L1103" s="2">
        <f>I1103/C1103</f>
        <v>1.456000000000002</v>
      </c>
      <c r="O1103" s="58"/>
      <c r="P1103" s="58"/>
    </row>
    <row r="1104" spans="2:16">
      <c r="B1104" s="650">
        <v>46076</v>
      </c>
      <c r="C1104" s="545">
        <v>8.08</v>
      </c>
      <c r="D1104" s="536">
        <v>1.85</v>
      </c>
      <c r="E1104" s="536">
        <f t="shared" ref="E1104:E1108" si="164">(C1104*D1104)-C1104</f>
        <v>6.8680000000000003</v>
      </c>
      <c r="F1104" s="546">
        <f>SUM($E$2:E1104)/SUM($C$2:C1104)</f>
        <v>9.8148849584769431E-3</v>
      </c>
      <c r="G1104" s="536">
        <f t="shared" ref="G1104:G1108" si="165">G1103+E1104</f>
        <v>33.789409999999954</v>
      </c>
      <c r="H1104" s="547" t="s">
        <v>97</v>
      </c>
      <c r="I1104" s="2"/>
      <c r="J1104" s="2"/>
      <c r="K1104" s="2"/>
      <c r="L1104" s="2"/>
      <c r="O1104" s="58"/>
      <c r="P1104" s="58"/>
    </row>
    <row r="1105" spans="2:16">
      <c r="B1105" s="652"/>
      <c r="C1105" s="545">
        <v>8.08</v>
      </c>
      <c r="D1105" s="536">
        <v>1.8160000000000001</v>
      </c>
      <c r="E1105" s="536">
        <f t="shared" si="164"/>
        <v>6.59328</v>
      </c>
      <c r="F1105" s="546">
        <f>SUM($E$2:E1105)/SUM($C$2:C1105)</f>
        <v>1.1702583496341316E-2</v>
      </c>
      <c r="G1105" s="536">
        <f t="shared" si="165"/>
        <v>40.382689999999954</v>
      </c>
      <c r="H1105" s="547" t="s">
        <v>26</v>
      </c>
      <c r="I1105" s="2"/>
      <c r="J1105" s="2"/>
      <c r="K1105" s="2"/>
      <c r="L1105" s="2"/>
      <c r="O1105" s="58"/>
      <c r="P1105" s="58"/>
    </row>
    <row r="1106" spans="2:16">
      <c r="B1106" s="652"/>
      <c r="C1106" s="548">
        <v>8.08</v>
      </c>
      <c r="D1106" s="535"/>
      <c r="E1106" s="535">
        <f t="shared" si="164"/>
        <v>-8.08</v>
      </c>
      <c r="F1106" s="549">
        <f>SUM($E$2:E1106)/SUM($C$2:C1106)</f>
        <v>9.3391956239537149E-3</v>
      </c>
      <c r="G1106" s="535">
        <f t="shared" si="165"/>
        <v>32.302689999999956</v>
      </c>
      <c r="H1106" s="550" t="s">
        <v>53</v>
      </c>
      <c r="I1106" s="2"/>
      <c r="J1106" s="2"/>
      <c r="K1106" s="2"/>
      <c r="L1106" s="2"/>
      <c r="O1106" s="58"/>
      <c r="P1106" s="58"/>
    </row>
    <row r="1107" spans="2:16">
      <c r="B1107" s="652"/>
      <c r="C1107" s="548">
        <v>8.08</v>
      </c>
      <c r="D1107" s="535"/>
      <c r="E1107" s="535">
        <f t="shared" si="164"/>
        <v>-8.08</v>
      </c>
      <c r="F1107" s="549">
        <f>SUM($E$2:E1107)/SUM($C$2:C1107)</f>
        <v>6.9868240017767593E-3</v>
      </c>
      <c r="G1107" s="535">
        <f t="shared" si="165"/>
        <v>24.222689999999957</v>
      </c>
      <c r="H1107" s="550" t="s">
        <v>83</v>
      </c>
      <c r="I1107" s="2"/>
      <c r="J1107" s="2"/>
      <c r="K1107" s="2"/>
      <c r="L1107" s="2"/>
      <c r="O1107" s="58"/>
      <c r="P1107" s="58"/>
    </row>
    <row r="1108" spans="2:16">
      <c r="B1108" s="651"/>
      <c r="C1108" s="548">
        <v>8.08</v>
      </c>
      <c r="D1108" s="535">
        <v>1.992</v>
      </c>
      <c r="E1108" s="535">
        <f t="shared" si="164"/>
        <v>8.0153599999999994</v>
      </c>
      <c r="F1108" s="549">
        <f>SUM($E$2:E1108)/SUM($C$2:C1108)</f>
        <v>9.2771633875204911E-3</v>
      </c>
      <c r="G1108" s="535">
        <f t="shared" si="165"/>
        <v>32.238049999999959</v>
      </c>
      <c r="H1108" s="550" t="s">
        <v>12</v>
      </c>
      <c r="I1108" s="2">
        <f>SUM(E1104:E1108)</f>
        <v>5.3166399999999996</v>
      </c>
      <c r="L1108" s="2">
        <f>I1108/C1108</f>
        <v>0.65799999999999992</v>
      </c>
      <c r="O1108" s="58"/>
      <c r="P1108" s="58"/>
    </row>
    <row r="1109" spans="2:16">
      <c r="B1109" s="652">
        <v>46077</v>
      </c>
      <c r="C1109" s="545">
        <v>2.2200000000000002</v>
      </c>
      <c r="D1109" s="536">
        <v>1.83</v>
      </c>
      <c r="E1109" s="536">
        <f t="shared" ref="E1109:E1122" si="166">(C1109*D1109)-C1109</f>
        <v>1.8426000000000005</v>
      </c>
      <c r="F1109" s="546">
        <f>SUM($E$2:E1109)/SUM($C$2:C1109)</f>
        <v>9.8011480468536052E-3</v>
      </c>
      <c r="G1109" s="536">
        <f t="shared" ref="G1109:G1122" si="167">G1108+E1109</f>
        <v>34.080649999999956</v>
      </c>
      <c r="H1109" s="547" t="s">
        <v>46</v>
      </c>
      <c r="I1109" s="2"/>
      <c r="J1109" s="2"/>
      <c r="K1109" s="2"/>
      <c r="L1109" s="2"/>
      <c r="O1109" s="58"/>
      <c r="P1109" s="58"/>
    </row>
    <row r="1110" spans="2:16">
      <c r="B1110" s="652"/>
      <c r="C1110" s="545">
        <v>2.2200000000000002</v>
      </c>
      <c r="D1110" s="530"/>
      <c r="E1110" s="536">
        <f t="shared" si="166"/>
        <v>-2.2200000000000002</v>
      </c>
      <c r="F1110" s="546">
        <f>SUM($E$2:E1110)/SUM($C$2:C1110)</f>
        <v>9.1568590257599201E-3</v>
      </c>
      <c r="G1110" s="536">
        <f t="shared" si="167"/>
        <v>31.860649999999957</v>
      </c>
      <c r="H1110" s="547" t="s">
        <v>36</v>
      </c>
      <c r="I1110" s="2"/>
      <c r="J1110" s="2"/>
      <c r="K1110" s="2"/>
      <c r="L1110" s="2"/>
      <c r="O1110" s="58"/>
      <c r="P1110" s="58"/>
    </row>
    <row r="1111" spans="2:16">
      <c r="B1111" s="652"/>
      <c r="C1111" s="548">
        <v>2.2200000000000002</v>
      </c>
      <c r="D1111" s="535">
        <v>1.92</v>
      </c>
      <c r="E1111" s="535">
        <f t="shared" si="166"/>
        <v>2.0424000000000002</v>
      </c>
      <c r="F1111" s="549">
        <f>SUM($E$2:E1111)/SUM($C$2:C1111)</f>
        <v>9.7376387632300294E-3</v>
      </c>
      <c r="G1111" s="535">
        <f t="shared" si="167"/>
        <v>33.903049999999958</v>
      </c>
      <c r="H1111" s="550" t="s">
        <v>14</v>
      </c>
      <c r="I1111" s="2"/>
      <c r="J1111" s="2"/>
      <c r="K1111" s="2"/>
      <c r="L1111" s="2"/>
      <c r="O1111" s="58"/>
      <c r="P1111" s="58"/>
    </row>
    <row r="1112" spans="2:16">
      <c r="B1112" s="652"/>
      <c r="C1112" s="545">
        <v>2.2200000000000002</v>
      </c>
      <c r="D1112" s="536"/>
      <c r="E1112" s="536">
        <f t="shared" si="166"/>
        <v>-2.2200000000000002</v>
      </c>
      <c r="F1112" s="546">
        <f>SUM($E$2:E1112)/SUM($C$2:C1112)</f>
        <v>9.0942113224660639E-3</v>
      </c>
      <c r="G1112" s="536">
        <f t="shared" si="167"/>
        <v>31.683049999999959</v>
      </c>
      <c r="H1112" s="547" t="s">
        <v>392</v>
      </c>
      <c r="I1112" s="2"/>
      <c r="J1112" s="2"/>
      <c r="K1112" s="2"/>
      <c r="L1112" s="2"/>
      <c r="O1112" s="58"/>
      <c r="P1112" s="58"/>
    </row>
    <row r="1113" spans="2:16">
      <c r="B1113" s="652"/>
      <c r="C1113" s="545">
        <v>2.2200000000000002</v>
      </c>
      <c r="D1113" s="536">
        <v>1.86</v>
      </c>
      <c r="E1113" s="536">
        <f t="shared" si="166"/>
        <v>1.9092000000000007</v>
      </c>
      <c r="F1113" s="546">
        <f>SUM($E$2:E1113)/SUM($C$2:C1113)</f>
        <v>9.6360822583466971E-3</v>
      </c>
      <c r="G1113" s="536">
        <f t="shared" si="167"/>
        <v>33.592249999999957</v>
      </c>
      <c r="H1113" s="547" t="s">
        <v>393</v>
      </c>
      <c r="I1113" s="2"/>
      <c r="J1113" s="2"/>
      <c r="K1113" s="2"/>
      <c r="L1113" s="2"/>
      <c r="O1113" s="58"/>
      <c r="P1113" s="58"/>
    </row>
    <row r="1114" spans="2:16">
      <c r="B1114" s="652"/>
      <c r="C1114" s="545">
        <v>2.2200000000000002</v>
      </c>
      <c r="D1114" s="536">
        <v>1.98</v>
      </c>
      <c r="E1114" s="536">
        <f t="shared" si="166"/>
        <v>2.1755999999999998</v>
      </c>
      <c r="F1114" s="546">
        <f>SUM($E$2:E1114)/SUM($C$2:C1114)</f>
        <v>1.0253632847997979E-2</v>
      </c>
      <c r="G1114" s="536">
        <f t="shared" si="167"/>
        <v>35.76784999999996</v>
      </c>
      <c r="H1114" s="547" t="s">
        <v>394</v>
      </c>
      <c r="I1114" s="2"/>
      <c r="J1114" s="2"/>
      <c r="K1114" s="2"/>
      <c r="L1114" s="2"/>
      <c r="O1114" s="58"/>
      <c r="P1114" s="58"/>
    </row>
    <row r="1115" spans="2:16">
      <c r="B1115" s="652"/>
      <c r="C1115" s="545">
        <v>2.2200000000000002</v>
      </c>
      <c r="D1115" s="536"/>
      <c r="E1115" s="536">
        <f t="shared" si="166"/>
        <v>-2.2200000000000002</v>
      </c>
      <c r="F1115" s="546">
        <f>SUM($E$2:E1115)/SUM($C$2:C1115)</f>
        <v>9.6111049038397744E-3</v>
      </c>
      <c r="G1115" s="536">
        <f t="shared" si="167"/>
        <v>33.547849999999961</v>
      </c>
      <c r="H1115" s="547" t="s">
        <v>395</v>
      </c>
      <c r="I1115" s="2"/>
      <c r="J1115" s="2"/>
      <c r="K1115" s="2"/>
      <c r="L1115" s="2"/>
      <c r="O1115" s="58"/>
      <c r="P1115" s="58"/>
    </row>
    <row r="1116" spans="2:16">
      <c r="B1116" s="652"/>
      <c r="C1116" s="545">
        <v>2.2200000000000002</v>
      </c>
      <c r="D1116" s="530"/>
      <c r="E1116" s="536">
        <f t="shared" si="166"/>
        <v>-2.2200000000000002</v>
      </c>
      <c r="F1116" s="546">
        <f>SUM($E$2:E1116)/SUM($C$2:C1116)</f>
        <v>8.96939374418434E-3</v>
      </c>
      <c r="G1116" s="536">
        <f t="shared" si="167"/>
        <v>31.327849999999962</v>
      </c>
      <c r="H1116" s="547" t="s">
        <v>396</v>
      </c>
      <c r="I1116" s="2"/>
      <c r="J1116" s="2"/>
      <c r="K1116" s="2"/>
      <c r="L1116" s="2"/>
      <c r="O1116" s="58"/>
      <c r="P1116" s="58"/>
    </row>
    <row r="1117" spans="2:16">
      <c r="B1117" s="652"/>
      <c r="C1117" s="548">
        <v>2.2200000000000002</v>
      </c>
      <c r="D1117" s="535">
        <v>1.9</v>
      </c>
      <c r="E1117" s="535">
        <f t="shared" si="166"/>
        <v>1.9979999999999998</v>
      </c>
      <c r="F1117" s="549">
        <f>SUM($E$2:E1117)/SUM($C$2:C1117)</f>
        <v>9.5353751248222016E-3</v>
      </c>
      <c r="G1117" s="535">
        <f t="shared" si="167"/>
        <v>33.32584999999996</v>
      </c>
      <c r="H1117" s="550" t="s">
        <v>397</v>
      </c>
      <c r="I1117" s="2"/>
      <c r="J1117" s="2"/>
      <c r="K1117" s="2"/>
      <c r="L1117" s="2"/>
      <c r="O1117" s="58"/>
      <c r="P1117" s="58"/>
    </row>
    <row r="1118" spans="2:16">
      <c r="B1118" s="652"/>
      <c r="C1118" s="545">
        <v>2.2200000000000002</v>
      </c>
      <c r="D1118" s="536">
        <v>1.95</v>
      </c>
      <c r="E1118" s="536">
        <f t="shared" si="166"/>
        <v>2.1090000000000004</v>
      </c>
      <c r="F1118" s="546">
        <f>SUM($E$2:E1118)/SUM($C$2:C1118)</f>
        <v>1.0132377708960579E-2</v>
      </c>
      <c r="G1118" s="536">
        <f t="shared" si="167"/>
        <v>35.434849999999962</v>
      </c>
      <c r="H1118" s="547" t="s">
        <v>30</v>
      </c>
      <c r="I1118" s="2"/>
      <c r="J1118" s="2"/>
      <c r="K1118" s="2"/>
      <c r="L1118" s="2"/>
      <c r="O1118" s="58"/>
      <c r="P1118" s="58"/>
    </row>
    <row r="1119" spans="2:16">
      <c r="B1119" s="652"/>
      <c r="C1119" s="545">
        <v>2.2200000000000002</v>
      </c>
      <c r="D1119" s="536"/>
      <c r="E1119" s="536">
        <f t="shared" si="166"/>
        <v>-2.2200000000000002</v>
      </c>
      <c r="F1119" s="546">
        <f>SUM($E$2:E1119)/SUM($C$2:C1119)</f>
        <v>9.4915571482049425E-3</v>
      </c>
      <c r="G1119" s="536">
        <f t="shared" si="167"/>
        <v>33.214849999999963</v>
      </c>
      <c r="H1119" s="547" t="s">
        <v>29</v>
      </c>
      <c r="I1119" s="2"/>
      <c r="J1119" s="2"/>
      <c r="K1119" s="2"/>
      <c r="L1119" s="2"/>
      <c r="O1119" s="58"/>
      <c r="P1119" s="58"/>
    </row>
    <row r="1120" spans="2:16">
      <c r="B1120" s="652"/>
      <c r="C1120" s="545">
        <v>2.2200000000000002</v>
      </c>
      <c r="D1120" s="536"/>
      <c r="E1120" s="536">
        <f t="shared" si="166"/>
        <v>-2.2200000000000002</v>
      </c>
      <c r="F1120" s="546">
        <f>SUM($E$2:E1120)/SUM($C$2:C1120)</f>
        <v>8.8515491356881987E-3</v>
      </c>
      <c r="G1120" s="536">
        <f t="shared" si="167"/>
        <v>30.994849999999964</v>
      </c>
      <c r="H1120" s="547" t="s">
        <v>35</v>
      </c>
      <c r="I1120" s="2"/>
      <c r="J1120" s="2"/>
      <c r="K1120" s="2"/>
      <c r="L1120" s="2"/>
      <c r="O1120" s="58"/>
      <c r="P1120" s="58"/>
    </row>
    <row r="1121" spans="2:16">
      <c r="B1121" s="652"/>
      <c r="C1121" s="545">
        <v>2.2200000000000002</v>
      </c>
      <c r="D1121" s="536">
        <v>2.9550000000000001</v>
      </c>
      <c r="E1121" s="536">
        <f t="shared" si="166"/>
        <v>4.3401000000000014</v>
      </c>
      <c r="F1121" s="546">
        <f>SUM($E$2:E1121)/SUM($C$2:C1121)</f>
        <v>1.0084606932374347E-2</v>
      </c>
      <c r="G1121" s="536">
        <f t="shared" si="167"/>
        <v>35.334949999999964</v>
      </c>
      <c r="H1121" s="547" t="s">
        <v>34</v>
      </c>
      <c r="I1121" s="2"/>
      <c r="J1121" s="2"/>
      <c r="K1121" s="2"/>
      <c r="L1121" s="2"/>
      <c r="O1121" s="58"/>
      <c r="P1121" s="58"/>
    </row>
    <row r="1122" spans="2:16">
      <c r="B1122" s="652"/>
      <c r="C1122" s="548">
        <v>2.2200000000000002</v>
      </c>
      <c r="D1122" s="572"/>
      <c r="E1122" s="535">
        <f t="shared" si="166"/>
        <v>-2.2200000000000002</v>
      </c>
      <c r="F1122" s="549">
        <f>SUM($E$2:E1122)/SUM($C$2:C1122)</f>
        <v>9.4450338983533885E-3</v>
      </c>
      <c r="G1122" s="535">
        <f t="shared" si="167"/>
        <v>33.114949999999965</v>
      </c>
      <c r="H1122" s="550" t="s">
        <v>36</v>
      </c>
      <c r="I1122" s="2">
        <f>SUM(E1109:E1122)</f>
        <v>0.87690000000000135</v>
      </c>
      <c r="L1122" s="2">
        <f>I1122/C1122</f>
        <v>0.39500000000000057</v>
      </c>
      <c r="O1122" s="58"/>
      <c r="P1122" s="58"/>
    </row>
    <row r="1123" spans="2:16">
      <c r="B1123" s="650">
        <v>46078</v>
      </c>
      <c r="C1123" s="545">
        <v>4.07</v>
      </c>
      <c r="D1123" s="541"/>
      <c r="E1123" s="541">
        <f t="shared" ref="E1123:E1134" si="168">(C1123*D1123)-C1123</f>
        <v>-4.07</v>
      </c>
      <c r="F1123" s="546">
        <f>SUM($E$2:E1123)/SUM($C$2:C1123)</f>
        <v>8.2745844895075055E-3</v>
      </c>
      <c r="G1123" s="536">
        <f t="shared" ref="G1123:G1134" si="169">G1122+E1123</f>
        <v>29.044949999999965</v>
      </c>
      <c r="H1123" s="547" t="s">
        <v>97</v>
      </c>
      <c r="I1123" s="2"/>
      <c r="J1123" s="2"/>
      <c r="K1123" s="2"/>
      <c r="L1123" s="2"/>
      <c r="O1123" s="58"/>
      <c r="P1123" s="58"/>
    </row>
    <row r="1124" spans="2:16">
      <c r="B1124" s="652"/>
      <c r="C1124" s="545">
        <v>4.07</v>
      </c>
      <c r="D1124" s="541">
        <v>1.9</v>
      </c>
      <c r="E1124" s="541">
        <f t="shared" si="168"/>
        <v>3.6630000000000003</v>
      </c>
      <c r="F1124" s="546">
        <f>SUM($E$2:E1124)/SUM($C$2:C1124)</f>
        <v>9.3073407679108155E-3</v>
      </c>
      <c r="G1124" s="536">
        <f t="shared" si="169"/>
        <v>32.707949999999968</v>
      </c>
      <c r="H1124" s="547" t="s">
        <v>25</v>
      </c>
      <c r="I1124" s="2"/>
      <c r="J1124" s="2"/>
      <c r="K1124" s="2"/>
      <c r="L1124" s="2"/>
      <c r="O1124" s="58"/>
      <c r="P1124" s="58"/>
    </row>
    <row r="1125" spans="2:16">
      <c r="B1125" s="652"/>
      <c r="C1125" s="545">
        <v>4.07</v>
      </c>
      <c r="D1125" s="530"/>
      <c r="E1125" s="541">
        <f t="shared" si="168"/>
        <v>-4.07</v>
      </c>
      <c r="F1125" s="546">
        <f>SUM($E$2:E1125)/SUM($C$2:C1125)</f>
        <v>8.1397586320588119E-3</v>
      </c>
      <c r="G1125" s="536">
        <f t="shared" si="169"/>
        <v>28.637949999999968</v>
      </c>
      <c r="H1125" s="547" t="s">
        <v>53</v>
      </c>
      <c r="I1125" s="2"/>
      <c r="J1125" s="2"/>
      <c r="K1125" s="2"/>
      <c r="L1125" s="2"/>
      <c r="O1125" s="58"/>
      <c r="P1125" s="58"/>
    </row>
    <row r="1126" spans="2:16">
      <c r="B1126" s="652"/>
      <c r="C1126" s="545">
        <v>4.07</v>
      </c>
      <c r="D1126" s="541">
        <v>1.8</v>
      </c>
      <c r="E1126" s="541">
        <f t="shared" si="168"/>
        <v>3.2560000000000002</v>
      </c>
      <c r="F1126" s="546">
        <f>SUM($E$2:E1126)/SUM($C$2:C1126)</f>
        <v>9.0547361846494145E-3</v>
      </c>
      <c r="G1126" s="536">
        <f t="shared" si="169"/>
        <v>31.893949999999968</v>
      </c>
      <c r="H1126" s="547" t="s">
        <v>34</v>
      </c>
      <c r="I1126" s="2"/>
      <c r="J1126" s="2"/>
      <c r="K1126" s="2"/>
      <c r="L1126" s="2"/>
      <c r="O1126" s="58"/>
      <c r="P1126" s="58"/>
    </row>
    <row r="1127" spans="2:16">
      <c r="B1127" s="652"/>
      <c r="C1127" s="548">
        <v>4.07</v>
      </c>
      <c r="D1127" s="542">
        <v>1.9</v>
      </c>
      <c r="E1127" s="542">
        <f t="shared" si="168"/>
        <v>3.6630000000000003</v>
      </c>
      <c r="F1127" s="549">
        <f>SUM($E$2:E1127)/SUM($C$2:C1127)</f>
        <v>1.0083016203401709E-2</v>
      </c>
      <c r="G1127" s="535">
        <f t="shared" si="169"/>
        <v>35.556949999999972</v>
      </c>
      <c r="H1127" s="550" t="s">
        <v>59</v>
      </c>
      <c r="I1127" s="2"/>
      <c r="J1127" s="2"/>
      <c r="K1127" s="2"/>
      <c r="L1127" s="2"/>
      <c r="O1127" s="58"/>
      <c r="P1127" s="58"/>
    </row>
    <row r="1128" spans="2:16">
      <c r="B1128" s="652"/>
      <c r="C1128" s="545">
        <v>4.07</v>
      </c>
      <c r="D1128" s="541">
        <v>1.9</v>
      </c>
      <c r="E1128" s="541">
        <f t="shared" si="168"/>
        <v>3.6630000000000003</v>
      </c>
      <c r="F1128" s="546">
        <f>SUM($E$2:E1128)/SUM($C$2:C1128)</f>
        <v>1.1108925389959988E-2</v>
      </c>
      <c r="G1128" s="536">
        <f t="shared" si="169"/>
        <v>39.219949999999969</v>
      </c>
      <c r="H1128" s="547" t="s">
        <v>398</v>
      </c>
      <c r="I1128" s="2"/>
      <c r="J1128" s="2"/>
      <c r="K1128" s="2"/>
      <c r="L1128" s="2"/>
      <c r="O1128" s="58"/>
      <c r="P1128" s="58"/>
    </row>
    <row r="1129" spans="2:16">
      <c r="B1129" s="652"/>
      <c r="C1129" s="545">
        <v>4.07</v>
      </c>
      <c r="D1129" s="541"/>
      <c r="E1129" s="541">
        <f t="shared" si="168"/>
        <v>-4.07</v>
      </c>
      <c r="F1129" s="546">
        <f>SUM($E$2:E1129)/SUM($C$2:C1129)</f>
        <v>9.9446465755284544E-3</v>
      </c>
      <c r="G1129" s="536">
        <f t="shared" si="169"/>
        <v>35.149949999999968</v>
      </c>
      <c r="H1129" s="547" t="s">
        <v>399</v>
      </c>
      <c r="I1129" s="2"/>
      <c r="J1129" s="2"/>
      <c r="K1129" s="2"/>
      <c r="L1129" s="2"/>
      <c r="O1129" s="58"/>
      <c r="P1129" s="58"/>
    </row>
    <row r="1130" spans="2:16">
      <c r="B1130" s="652"/>
      <c r="C1130" s="545">
        <v>4.07</v>
      </c>
      <c r="D1130" s="541"/>
      <c r="E1130" s="541">
        <f t="shared" si="168"/>
        <v>-4.07</v>
      </c>
      <c r="F1130" s="546">
        <f>SUM($E$2:E1130)/SUM($C$2:C1130)</f>
        <v>8.7830459810717323E-3</v>
      </c>
      <c r="G1130" s="536">
        <f t="shared" si="169"/>
        <v>31.079949999999968</v>
      </c>
      <c r="H1130" s="547" t="s">
        <v>400</v>
      </c>
      <c r="I1130" s="2"/>
      <c r="J1130" s="2"/>
      <c r="K1130" s="2"/>
      <c r="L1130" s="2"/>
      <c r="O1130" s="58"/>
      <c r="P1130" s="58"/>
    </row>
    <row r="1131" spans="2:16">
      <c r="B1131" s="652"/>
      <c r="C1131" s="548">
        <v>4.07</v>
      </c>
      <c r="D1131" s="542">
        <v>1.9</v>
      </c>
      <c r="E1131" s="542">
        <f t="shared" si="168"/>
        <v>3.6630000000000003</v>
      </c>
      <c r="F1131" s="549">
        <f>SUM($E$2:E1131)/SUM($C$2:C1131)</f>
        <v>9.8069128066163788E-3</v>
      </c>
      <c r="G1131" s="535">
        <f t="shared" si="169"/>
        <v>34.742949999999965</v>
      </c>
      <c r="H1131" s="550" t="s">
        <v>401</v>
      </c>
      <c r="I1131" s="2"/>
      <c r="J1131" s="2"/>
      <c r="K1131" s="2"/>
      <c r="L1131" s="2"/>
      <c r="O1131" s="58"/>
      <c r="P1131" s="58"/>
    </row>
    <row r="1132" spans="2:16">
      <c r="B1132" s="652"/>
      <c r="C1132" s="545">
        <v>4.07</v>
      </c>
      <c r="D1132" s="541"/>
      <c r="E1132" s="536">
        <f t="shared" si="168"/>
        <v>-4.07</v>
      </c>
      <c r="F1132" s="546">
        <f>SUM($E$2:E1132)/SUM($C$2:C1132)</f>
        <v>8.6481361915206958E-3</v>
      </c>
      <c r="G1132" s="536">
        <f t="shared" si="169"/>
        <v>30.672949999999965</v>
      </c>
      <c r="H1132" s="547" t="s">
        <v>30</v>
      </c>
      <c r="I1132" s="2"/>
      <c r="J1132" s="2"/>
      <c r="K1132" s="2"/>
      <c r="L1132" s="2"/>
      <c r="O1132" s="58"/>
      <c r="P1132" s="58"/>
    </row>
    <row r="1133" spans="2:16">
      <c r="B1133" s="652"/>
      <c r="C1133" s="545">
        <v>4.07</v>
      </c>
      <c r="D1133" s="541"/>
      <c r="E1133" s="536">
        <f t="shared" si="168"/>
        <v>-4.07</v>
      </c>
      <c r="F1133" s="546">
        <f>SUM($E$2:E1133)/SUM($C$2:C1133)</f>
        <v>7.4920159736850634E-3</v>
      </c>
      <c r="G1133" s="536">
        <f t="shared" si="169"/>
        <v>26.602949999999964</v>
      </c>
      <c r="H1133" s="547" t="s">
        <v>26</v>
      </c>
      <c r="I1133" s="2"/>
      <c r="J1133" s="2"/>
      <c r="K1133" s="2"/>
      <c r="L1133" s="2"/>
      <c r="O1133" s="58"/>
      <c r="P1133" s="58"/>
    </row>
    <row r="1134" spans="2:16">
      <c r="B1134" s="652"/>
      <c r="C1134" s="548">
        <v>4.07</v>
      </c>
      <c r="D1134" s="542">
        <v>3.6</v>
      </c>
      <c r="E1134" s="535">
        <f t="shared" si="168"/>
        <v>10.582000000000001</v>
      </c>
      <c r="F1134" s="549">
        <f>SUM($E$2:E1134)/SUM($C$2:C1134)</f>
        <v>1.0460166361454954E-2</v>
      </c>
      <c r="G1134" s="535">
        <f t="shared" si="169"/>
        <v>37.184949999999965</v>
      </c>
      <c r="H1134" s="550" t="s">
        <v>34</v>
      </c>
      <c r="I1134" s="2">
        <f>SUM(E1123:E1134)</f>
        <v>4.07</v>
      </c>
      <c r="L1134" s="2">
        <f>I1134/C1134</f>
        <v>1</v>
      </c>
      <c r="O1134" s="58"/>
      <c r="P1134" s="58"/>
    </row>
    <row r="1135" spans="2:16">
      <c r="B1135" s="650">
        <v>46079</v>
      </c>
      <c r="C1135" s="545">
        <v>2.46</v>
      </c>
      <c r="D1135" s="541"/>
      <c r="E1135" s="541">
        <f t="shared" ref="E1135:E1148" si="170">(C1135*D1135)-C1135</f>
        <v>-2.46</v>
      </c>
      <c r="F1135" s="546">
        <f>SUM($E$2:E1135)/SUM($C$2:C1135)</f>
        <v>9.7614108175421276E-3</v>
      </c>
      <c r="G1135" s="536">
        <f t="shared" ref="G1135:G1148" si="171">G1134+E1135</f>
        <v>34.724949999999964</v>
      </c>
      <c r="H1135" s="547" t="s">
        <v>51</v>
      </c>
      <c r="I1135" s="2"/>
      <c r="J1135" s="2"/>
      <c r="K1135" s="2"/>
      <c r="L1135" s="2"/>
      <c r="O1135" s="58"/>
      <c r="P1135" s="58"/>
    </row>
    <row r="1136" spans="2:16">
      <c r="B1136" s="652"/>
      <c r="C1136" s="545">
        <v>2.46</v>
      </c>
      <c r="D1136" s="541"/>
      <c r="E1136" s="541">
        <f t="shared" si="170"/>
        <v>-2.46</v>
      </c>
      <c r="F1136" s="546">
        <f>SUM($E$2:E1136)/SUM($C$2:C1136)</f>
        <v>9.0636210156102535E-3</v>
      </c>
      <c r="G1136" s="536">
        <f t="shared" si="171"/>
        <v>32.264949999999963</v>
      </c>
      <c r="H1136" s="547" t="s">
        <v>14</v>
      </c>
      <c r="I1136" s="2"/>
      <c r="J1136" s="2"/>
      <c r="K1136" s="2"/>
      <c r="L1136" s="2"/>
      <c r="O1136" s="58"/>
      <c r="P1136" s="58"/>
    </row>
    <row r="1137" spans="2:16">
      <c r="B1137" s="652"/>
      <c r="C1137" s="545">
        <v>2.46</v>
      </c>
      <c r="D1137" s="541">
        <v>1.8</v>
      </c>
      <c r="E1137" s="541">
        <f t="shared" si="170"/>
        <v>1.968</v>
      </c>
      <c r="F1137" s="546">
        <f>SUM($E$2:E1137)/SUM($C$2:C1137)</f>
        <v>9.609815596147377E-3</v>
      </c>
      <c r="G1137" s="536">
        <f t="shared" si="171"/>
        <v>34.23294999999996</v>
      </c>
      <c r="H1137" s="547" t="s">
        <v>17</v>
      </c>
      <c r="I1137" s="2"/>
      <c r="J1137" s="2"/>
      <c r="K1137" s="2"/>
      <c r="L1137" s="2"/>
      <c r="O1137" s="58"/>
      <c r="P1137" s="58"/>
    </row>
    <row r="1138" spans="2:16">
      <c r="B1138" s="652"/>
      <c r="C1138" s="548">
        <v>2.46</v>
      </c>
      <c r="D1138" s="542">
        <v>1.8</v>
      </c>
      <c r="E1138" s="542">
        <f t="shared" si="170"/>
        <v>1.968</v>
      </c>
      <c r="F1138" s="549">
        <f>SUM($E$2:E1138)/SUM($C$2:C1138)</f>
        <v>1.0155256329335812E-2</v>
      </c>
      <c r="G1138" s="535">
        <f t="shared" si="171"/>
        <v>36.200949999999963</v>
      </c>
      <c r="H1138" s="550" t="s">
        <v>47</v>
      </c>
      <c r="I1138" s="2"/>
      <c r="J1138" s="2"/>
      <c r="K1138" s="2"/>
      <c r="L1138" s="2"/>
      <c r="O1138" s="58"/>
      <c r="P1138" s="58"/>
    </row>
    <row r="1139" spans="2:16">
      <c r="B1139" s="652"/>
      <c r="C1139" s="545">
        <v>2.46</v>
      </c>
      <c r="D1139" s="541">
        <v>1.88</v>
      </c>
      <c r="E1139" s="541">
        <f t="shared" si="170"/>
        <v>2.1647999999999996</v>
      </c>
      <c r="F1139" s="546">
        <f>SUM($E$2:E1139)/SUM($C$2:C1139)</f>
        <v>1.0755113940586572E-2</v>
      </c>
      <c r="G1139" s="536">
        <f t="shared" si="171"/>
        <v>38.365749999999963</v>
      </c>
      <c r="H1139" s="547" t="s">
        <v>402</v>
      </c>
      <c r="I1139" s="2"/>
      <c r="J1139" s="2"/>
      <c r="K1139" s="2"/>
      <c r="L1139" s="2"/>
      <c r="O1139" s="58"/>
      <c r="P1139" s="58"/>
    </row>
    <row r="1140" spans="2:16">
      <c r="B1140" s="652"/>
      <c r="C1140" s="545">
        <v>2.46</v>
      </c>
      <c r="D1140" s="541">
        <v>1.88</v>
      </c>
      <c r="E1140" s="541">
        <f t="shared" si="170"/>
        <v>2.1647999999999996</v>
      </c>
      <c r="F1140" s="546">
        <f>SUM($E$2:E1140)/SUM($C$2:C1140)</f>
        <v>1.1354144780890059E-2</v>
      </c>
      <c r="G1140" s="536">
        <f t="shared" si="171"/>
        <v>40.530549999999963</v>
      </c>
      <c r="H1140" s="547" t="s">
        <v>403</v>
      </c>
      <c r="I1140" s="2"/>
      <c r="J1140" s="2"/>
      <c r="K1140" s="2"/>
      <c r="L1140" s="2"/>
      <c r="O1140" s="58"/>
      <c r="P1140" s="58"/>
    </row>
    <row r="1141" spans="2:16">
      <c r="B1141" s="652"/>
      <c r="C1141" s="545">
        <v>2.46</v>
      </c>
      <c r="D1141" s="541"/>
      <c r="E1141" s="541">
        <f t="shared" si="170"/>
        <v>-2.46</v>
      </c>
      <c r="F1141" s="546">
        <f>SUM($E$2:E1141)/SUM($C$2:C1141)</f>
        <v>1.0657660835411876E-2</v>
      </c>
      <c r="G1141" s="536">
        <f t="shared" si="171"/>
        <v>38.070549999999962</v>
      </c>
      <c r="H1141" s="547" t="s">
        <v>404</v>
      </c>
      <c r="I1141" s="2"/>
      <c r="J1141" s="2"/>
      <c r="K1141" s="2"/>
      <c r="L1141" s="2"/>
      <c r="O1141" s="58"/>
      <c r="P1141" s="58"/>
    </row>
    <row r="1142" spans="2:16">
      <c r="B1142" s="652"/>
      <c r="C1142" s="545">
        <v>2.46</v>
      </c>
      <c r="D1142" s="541">
        <v>1.88</v>
      </c>
      <c r="E1142" s="541">
        <f t="shared" si="170"/>
        <v>2.1647999999999996</v>
      </c>
      <c r="F1142" s="546">
        <f>SUM($E$2:E1142)/SUM($C$2:C1142)</f>
        <v>1.1255934247004501E-2</v>
      </c>
      <c r="G1142" s="536">
        <f t="shared" si="171"/>
        <v>40.235349999999961</v>
      </c>
      <c r="H1142" s="547" t="s">
        <v>405</v>
      </c>
      <c r="I1142" s="2"/>
      <c r="J1142" s="2"/>
      <c r="K1142" s="2"/>
      <c r="L1142" s="2"/>
      <c r="O1142" s="58"/>
      <c r="P1142" s="58"/>
    </row>
    <row r="1143" spans="2:16">
      <c r="B1143" s="652"/>
      <c r="C1143" s="545">
        <v>2.46</v>
      </c>
      <c r="D1143" s="541"/>
      <c r="E1143" s="541">
        <f t="shared" si="170"/>
        <v>-2.46</v>
      </c>
      <c r="F1143" s="546">
        <f>SUM($E$2:E1143)/SUM($C$2:C1143)</f>
        <v>1.0560475811073321E-2</v>
      </c>
      <c r="G1143" s="536">
        <f t="shared" si="171"/>
        <v>37.77534999999996</v>
      </c>
      <c r="H1143" s="547" t="s">
        <v>406</v>
      </c>
      <c r="I1143" s="2"/>
      <c r="J1143" s="2"/>
      <c r="K1143" s="2"/>
      <c r="L1143" s="2"/>
      <c r="O1143" s="58"/>
      <c r="P1143" s="58"/>
    </row>
    <row r="1144" spans="2:16">
      <c r="B1144" s="652"/>
      <c r="C1144" s="548">
        <v>2.46</v>
      </c>
      <c r="D1144" s="542"/>
      <c r="E1144" s="542">
        <f t="shared" si="170"/>
        <v>-2.46</v>
      </c>
      <c r="F1144" s="549">
        <f>SUM($E$2:E1144)/SUM($C$2:C1144)</f>
        <v>9.8659732756717633E-3</v>
      </c>
      <c r="G1144" s="535">
        <f t="shared" si="171"/>
        <v>35.31534999999996</v>
      </c>
      <c r="H1144" s="550" t="s">
        <v>407</v>
      </c>
      <c r="I1144" s="2"/>
      <c r="J1144" s="2"/>
      <c r="K1144" s="2"/>
      <c r="L1144" s="2"/>
      <c r="O1144" s="58"/>
      <c r="P1144" s="58"/>
    </row>
    <row r="1145" spans="2:16">
      <c r="B1145" s="652"/>
      <c r="C1145" s="545">
        <v>2.46</v>
      </c>
      <c r="D1145" s="541"/>
      <c r="E1145" s="541">
        <f t="shared" si="170"/>
        <v>-2.46</v>
      </c>
      <c r="F1145" s="546">
        <f>SUM($E$2:E1145)/SUM($C$2:C1145)</f>
        <v>9.1724246713400272E-3</v>
      </c>
      <c r="G1145" s="536">
        <f t="shared" si="171"/>
        <v>32.855349999999959</v>
      </c>
      <c r="H1145" s="547" t="s">
        <v>35</v>
      </c>
      <c r="I1145" s="2"/>
      <c r="J1145" s="2"/>
      <c r="K1145" s="2"/>
      <c r="L1145" s="2"/>
      <c r="O1145" s="58"/>
      <c r="P1145" s="58"/>
    </row>
    <row r="1146" spans="2:16">
      <c r="B1146" s="652"/>
      <c r="C1146" s="545">
        <v>2.46</v>
      </c>
      <c r="D1146" s="541">
        <v>2.7549999999999999</v>
      </c>
      <c r="E1146" s="541">
        <f t="shared" si="170"/>
        <v>4.3172999999999995</v>
      </c>
      <c r="F1146" s="546">
        <f>SUM($E$2:E1146)/SUM($C$2:C1146)</f>
        <v>1.0370588908138764E-2</v>
      </c>
      <c r="G1146" s="536">
        <f t="shared" si="171"/>
        <v>37.172649999999962</v>
      </c>
      <c r="H1146" s="547" t="s">
        <v>36</v>
      </c>
      <c r="I1146" s="2"/>
      <c r="J1146" s="2"/>
      <c r="K1146" s="2"/>
      <c r="L1146" s="2"/>
      <c r="O1146" s="58"/>
      <c r="P1146" s="58"/>
    </row>
    <row r="1147" spans="2:16">
      <c r="B1147" s="652"/>
      <c r="C1147" s="545">
        <v>2.46</v>
      </c>
      <c r="D1147" s="541"/>
      <c r="E1147" s="541">
        <f t="shared" si="170"/>
        <v>-2.46</v>
      </c>
      <c r="F1147" s="546">
        <f>SUM($E$2:E1147)/SUM($C$2:C1147)</f>
        <v>9.6776455369414274E-3</v>
      </c>
      <c r="G1147" s="536">
        <f t="shared" si="171"/>
        <v>34.712649999999961</v>
      </c>
      <c r="H1147" s="547" t="s">
        <v>47</v>
      </c>
      <c r="I1147" s="2"/>
      <c r="J1147" s="2"/>
      <c r="K1147" s="2"/>
      <c r="L1147" s="2"/>
      <c r="O1147" s="58"/>
      <c r="P1147" s="58"/>
    </row>
    <row r="1148" spans="2:16">
      <c r="B1148" s="651"/>
      <c r="C1148" s="548">
        <v>2.46</v>
      </c>
      <c r="D1148" s="542"/>
      <c r="E1148" s="535">
        <f t="shared" si="170"/>
        <v>-2.46</v>
      </c>
      <c r="F1148" s="549">
        <f>SUM($E$2:E1148)/SUM($C$2:C1148)</f>
        <v>8.9856519982726233E-3</v>
      </c>
      <c r="G1148" s="535">
        <f t="shared" si="171"/>
        <v>32.25264999999996</v>
      </c>
      <c r="H1148" s="550" t="s">
        <v>18</v>
      </c>
      <c r="I1148" s="2">
        <f>SUM(E1135:E1148)</f>
        <v>-4.9323000000000015</v>
      </c>
      <c r="L1148" s="2">
        <f>I1148/C1148</f>
        <v>-2.0050000000000008</v>
      </c>
      <c r="O1148" s="58"/>
      <c r="P1148" s="58"/>
    </row>
    <row r="1149" spans="2:16">
      <c r="B1149" s="652">
        <v>46080</v>
      </c>
      <c r="C1149" s="545">
        <v>4.88</v>
      </c>
      <c r="D1149" s="541"/>
      <c r="E1149" s="541">
        <f t="shared" ref="E1149:E1159" si="172">(C1149*D1149)-C1149</f>
        <v>-4.88</v>
      </c>
      <c r="F1149" s="546">
        <f>SUM($E$2:E1149)/SUM($C$2:C1149)</f>
        <v>7.6157201959807415E-3</v>
      </c>
      <c r="G1149" s="536">
        <f t="shared" ref="G1149:G1159" si="173">G1148+E1149</f>
        <v>27.372649999999961</v>
      </c>
      <c r="H1149" s="547" t="s">
        <v>97</v>
      </c>
      <c r="I1149" s="2"/>
      <c r="J1149" s="2"/>
      <c r="K1149" s="2"/>
      <c r="L1149" s="2"/>
      <c r="O1149" s="58"/>
      <c r="P1149" s="58"/>
    </row>
    <row r="1150" spans="2:16">
      <c r="B1150" s="652"/>
      <c r="C1150" s="545">
        <v>4.88</v>
      </c>
      <c r="D1150" s="541"/>
      <c r="E1150" s="541">
        <f t="shared" si="172"/>
        <v>-4.88</v>
      </c>
      <c r="F1150" s="546">
        <f>SUM($E$2:E1150)/SUM($C$2:C1150)</f>
        <v>6.249503349439133E-3</v>
      </c>
      <c r="G1150" s="536">
        <f t="shared" si="173"/>
        <v>22.492649999999962</v>
      </c>
      <c r="H1150" s="547" t="s">
        <v>37</v>
      </c>
      <c r="I1150" s="2"/>
      <c r="J1150" s="2"/>
      <c r="K1150" s="2"/>
      <c r="L1150" s="2"/>
      <c r="O1150" s="58"/>
      <c r="P1150" s="58"/>
    </row>
    <row r="1151" spans="2:16">
      <c r="B1151" s="652"/>
      <c r="C1151" s="545">
        <v>4.88</v>
      </c>
      <c r="D1151" s="541"/>
      <c r="E1151" s="541">
        <f t="shared" si="172"/>
        <v>-4.88</v>
      </c>
      <c r="F1151" s="546">
        <f>SUM($E$2:E1151)/SUM($C$2:C1151)</f>
        <v>4.8869863678866745E-3</v>
      </c>
      <c r="G1151" s="536">
        <f t="shared" si="173"/>
        <v>17.612649999999963</v>
      </c>
      <c r="H1151" s="547" t="s">
        <v>34</v>
      </c>
      <c r="I1151" s="2"/>
      <c r="J1151" s="2"/>
      <c r="K1151" s="2"/>
      <c r="L1151" s="2"/>
      <c r="O1151" s="58"/>
      <c r="P1151" s="58"/>
    </row>
    <row r="1152" spans="2:16">
      <c r="B1152" s="652"/>
      <c r="C1152" s="545">
        <v>4.88</v>
      </c>
      <c r="D1152" s="541">
        <v>1.91</v>
      </c>
      <c r="E1152" s="541">
        <f t="shared" si="172"/>
        <v>4.4408000000000003</v>
      </c>
      <c r="F1152" s="546">
        <f>SUM($E$2:E1152)/SUM($C$2:C1152)</f>
        <v>6.1109017504093746E-3</v>
      </c>
      <c r="G1152" s="536">
        <f t="shared" si="173"/>
        <v>22.053449999999962</v>
      </c>
      <c r="H1152" s="547" t="s">
        <v>17</v>
      </c>
      <c r="I1152" s="2"/>
      <c r="J1152" s="2"/>
      <c r="K1152" s="2"/>
      <c r="L1152" s="2"/>
      <c r="O1152" s="58"/>
      <c r="P1152" s="58"/>
    </row>
    <row r="1153" spans="2:16">
      <c r="B1153" s="652"/>
      <c r="C1153" s="548">
        <v>4.88</v>
      </c>
      <c r="D1153" s="542"/>
      <c r="E1153" s="542">
        <f t="shared" si="172"/>
        <v>-4.88</v>
      </c>
      <c r="F1153" s="549">
        <f>SUM($E$2:E1153)/SUM($C$2:C1153)</f>
        <v>4.7522518159806015E-3</v>
      </c>
      <c r="G1153" s="535">
        <f t="shared" si="173"/>
        <v>17.173449999999963</v>
      </c>
      <c r="H1153" s="550" t="s">
        <v>30</v>
      </c>
      <c r="I1153" s="2"/>
      <c r="J1153" s="2"/>
      <c r="K1153" s="2"/>
      <c r="L1153" s="2"/>
      <c r="O1153" s="58"/>
      <c r="P1153" s="58"/>
    </row>
    <row r="1154" spans="2:16">
      <c r="B1154" s="652"/>
      <c r="C1154" s="545">
        <v>4.88</v>
      </c>
      <c r="D1154" s="541"/>
      <c r="E1154" s="541">
        <f t="shared" si="172"/>
        <v>-4.88</v>
      </c>
      <c r="F1154" s="546">
        <f>SUM($E$2:E1154)/SUM($C$2:C1154)</f>
        <v>3.3972663687638466E-3</v>
      </c>
      <c r="G1154" s="536">
        <f t="shared" si="173"/>
        <v>12.293449999999964</v>
      </c>
      <c r="H1154" s="547" t="s">
        <v>408</v>
      </c>
      <c r="I1154" s="2"/>
      <c r="J1154" s="2"/>
      <c r="K1154" s="2"/>
      <c r="L1154" s="2"/>
      <c r="O1154" s="58"/>
      <c r="P1154" s="58"/>
    </row>
    <row r="1155" spans="2:16">
      <c r="B1155" s="652"/>
      <c r="C1155" s="545">
        <v>4.88</v>
      </c>
      <c r="D1155" s="541">
        <v>1.87</v>
      </c>
      <c r="E1155" s="541">
        <f t="shared" si="172"/>
        <v>4.2456000000000005</v>
      </c>
      <c r="F1155" s="546">
        <f>SUM($E$2:E1155)/SUM($C$2:C1155)</f>
        <v>4.5643726662821134E-3</v>
      </c>
      <c r="G1155" s="536">
        <f t="shared" si="173"/>
        <v>16.539049999999964</v>
      </c>
      <c r="H1155" s="547" t="s">
        <v>92</v>
      </c>
      <c r="I1155" s="2"/>
      <c r="J1155" s="2"/>
      <c r="K1155" s="2"/>
      <c r="L1155" s="2"/>
      <c r="O1155" s="58"/>
      <c r="P1155" s="58"/>
    </row>
    <row r="1156" spans="2:16">
      <c r="B1156" s="652"/>
      <c r="C1156" s="548">
        <v>4.88</v>
      </c>
      <c r="D1156" s="542"/>
      <c r="E1156" s="542">
        <f t="shared" si="172"/>
        <v>-4.88</v>
      </c>
      <c r="F1156" s="549">
        <f>SUM($E$2:E1156)/SUM($C$2:C1156)</f>
        <v>3.2132846799820085E-3</v>
      </c>
      <c r="G1156" s="535">
        <f t="shared" si="173"/>
        <v>11.659049999999965</v>
      </c>
      <c r="H1156" s="550" t="s">
        <v>409</v>
      </c>
      <c r="I1156" s="2"/>
      <c r="J1156" s="2"/>
      <c r="K1156" s="2"/>
      <c r="L1156" s="2"/>
      <c r="O1156" s="58"/>
      <c r="P1156" s="58"/>
    </row>
    <row r="1157" spans="2:16">
      <c r="B1157" s="652"/>
      <c r="C1157" s="545">
        <v>4.88</v>
      </c>
      <c r="D1157" s="541"/>
      <c r="E1157" s="541">
        <f t="shared" si="172"/>
        <v>-4.88</v>
      </c>
      <c r="F1157" s="546">
        <f>SUM($E$2:E1157)/SUM($C$2:C1157)</f>
        <v>1.8658261015558819E-3</v>
      </c>
      <c r="G1157" s="536">
        <f t="shared" si="173"/>
        <v>6.7790499999999652</v>
      </c>
      <c r="H1157" s="547" t="s">
        <v>46</v>
      </c>
      <c r="I1157" s="2"/>
      <c r="J1157" s="2"/>
      <c r="K1157" s="2"/>
      <c r="L1157" s="2"/>
      <c r="O1157" s="58"/>
      <c r="P1157" s="58"/>
    </row>
    <row r="1158" spans="2:16">
      <c r="B1158" s="652"/>
      <c r="C1158" s="545">
        <v>4.88</v>
      </c>
      <c r="D1158" s="541"/>
      <c r="E1158" s="541">
        <f t="shared" si="172"/>
        <v>-4.88</v>
      </c>
      <c r="F1158" s="546">
        <f>SUM($E$2:E1158)/SUM($C$2:C1158)</f>
        <v>5.2198232618225139E-4</v>
      </c>
      <c r="G1158" s="536">
        <f t="shared" si="173"/>
        <v>1.8990499999999653</v>
      </c>
      <c r="H1158" s="547" t="s">
        <v>34</v>
      </c>
      <c r="I1158" s="2"/>
      <c r="J1158" s="2"/>
      <c r="K1158" s="2"/>
      <c r="L1158" s="2"/>
      <c r="O1158" s="58"/>
      <c r="P1158" s="58"/>
    </row>
    <row r="1159" spans="2:16">
      <c r="B1159" s="652"/>
      <c r="C1159" s="548">
        <v>4.88</v>
      </c>
      <c r="D1159" s="542">
        <v>1.95</v>
      </c>
      <c r="E1159" s="542">
        <f t="shared" si="172"/>
        <v>4.6360000000000001</v>
      </c>
      <c r="F1159" s="549">
        <f>SUM($E$2:E1159)/SUM($C$2:C1159)</f>
        <v>1.7938501741681897E-3</v>
      </c>
      <c r="G1159" s="535">
        <f t="shared" si="173"/>
        <v>6.5350499999999654</v>
      </c>
      <c r="H1159" s="550" t="s">
        <v>26</v>
      </c>
      <c r="I1159" s="2">
        <f>SUM(E1149:E1159)</f>
        <v>-25.717599999999997</v>
      </c>
      <c r="L1159" s="2">
        <f>I1159/C1159</f>
        <v>-5.27</v>
      </c>
      <c r="O1159" s="58"/>
      <c r="P1159" s="58"/>
    </row>
    <row r="1160" spans="2:16">
      <c r="B1160" s="650">
        <v>46081</v>
      </c>
      <c r="C1160" s="545">
        <v>4.71</v>
      </c>
      <c r="D1160" s="541">
        <v>1.7969999999999999</v>
      </c>
      <c r="E1160" s="541">
        <f t="shared" ref="E1160:E1168" si="174">(C1160*D1160)-C1160</f>
        <v>3.75387</v>
      </c>
      <c r="F1160" s="546">
        <f>SUM($E$2:E1160)/SUM($C$2:C1160)</f>
        <v>2.8206286632270735E-3</v>
      </c>
      <c r="G1160" s="536">
        <f t="shared" ref="G1160:G1168" si="175">G1159+E1160</f>
        <v>10.288919999999965</v>
      </c>
      <c r="H1160" s="547" t="s">
        <v>15</v>
      </c>
      <c r="I1160" s="2"/>
      <c r="J1160" s="2"/>
      <c r="K1160" s="2"/>
      <c r="L1160" s="2"/>
      <c r="O1160" s="58"/>
      <c r="P1160" s="58"/>
    </row>
    <row r="1161" spans="2:16">
      <c r="B1161" s="652"/>
      <c r="C1161" s="548">
        <v>4.71</v>
      </c>
      <c r="D1161" s="542">
        <v>1.8260000000000001</v>
      </c>
      <c r="E1161" s="542">
        <f t="shared" si="174"/>
        <v>3.89046</v>
      </c>
      <c r="F1161" s="549">
        <f>SUM($E$2:E1161)/SUM($C$2:C1161)</f>
        <v>3.8821558132212382E-3</v>
      </c>
      <c r="G1161" s="535">
        <f t="shared" si="175"/>
        <v>14.179379999999966</v>
      </c>
      <c r="H1161" s="550" t="s">
        <v>47</v>
      </c>
      <c r="I1161" s="2"/>
      <c r="J1161" s="2"/>
      <c r="K1161" s="2"/>
      <c r="L1161" s="2"/>
      <c r="O1161" s="58"/>
      <c r="P1161" s="58"/>
    </row>
    <row r="1162" spans="2:16">
      <c r="B1162" s="652"/>
      <c r="C1162" s="545">
        <v>4.71</v>
      </c>
      <c r="D1162" s="541">
        <v>1.9</v>
      </c>
      <c r="E1162" s="541">
        <f t="shared" si="174"/>
        <v>4.2389999999999999</v>
      </c>
      <c r="F1162" s="546">
        <f>SUM($E$2:E1162)/SUM($C$2:C1162)</f>
        <v>5.036252173817906E-3</v>
      </c>
      <c r="G1162" s="536">
        <f t="shared" si="175"/>
        <v>18.418379999999967</v>
      </c>
      <c r="H1162" s="547" t="s">
        <v>410</v>
      </c>
      <c r="I1162" s="2"/>
      <c r="J1162" s="2"/>
      <c r="K1162" s="2"/>
      <c r="L1162" s="2"/>
      <c r="O1162" s="58"/>
      <c r="P1162" s="58"/>
    </row>
    <row r="1163" spans="2:16">
      <c r="B1163" s="652"/>
      <c r="C1163" s="545">
        <v>4.71</v>
      </c>
      <c r="D1163" s="541">
        <v>1.9</v>
      </c>
      <c r="E1163" s="541">
        <f t="shared" si="174"/>
        <v>4.2389999999999999</v>
      </c>
      <c r="F1163" s="546">
        <f>SUM($E$2:E1163)/SUM($C$2:C1163)</f>
        <v>6.1873796721346958E-3</v>
      </c>
      <c r="G1163" s="536">
        <f t="shared" si="175"/>
        <v>22.657379999999968</v>
      </c>
      <c r="H1163" s="547" t="s">
        <v>411</v>
      </c>
      <c r="I1163" s="2"/>
      <c r="J1163" s="2"/>
      <c r="K1163" s="2"/>
      <c r="L1163" s="2"/>
      <c r="O1163" s="58"/>
      <c r="P1163" s="58"/>
    </row>
    <row r="1164" spans="2:16">
      <c r="B1164" s="652"/>
      <c r="C1164" s="545">
        <v>4.71</v>
      </c>
      <c r="D1164" s="541"/>
      <c r="E1164" s="541">
        <f t="shared" si="174"/>
        <v>-4.71</v>
      </c>
      <c r="F1164" s="546">
        <f>SUM($E$2:E1164)/SUM($C$2:C1164)</f>
        <v>4.894855696589164E-3</v>
      </c>
      <c r="G1164" s="536">
        <f t="shared" si="175"/>
        <v>17.947379999999967</v>
      </c>
      <c r="H1164" s="547" t="s">
        <v>228</v>
      </c>
      <c r="I1164" s="2"/>
      <c r="J1164" s="2"/>
      <c r="K1164" s="2"/>
      <c r="L1164" s="2"/>
      <c r="O1164" s="58"/>
      <c r="P1164" s="58"/>
    </row>
    <row r="1165" spans="2:16">
      <c r="B1165" s="652"/>
      <c r="C1165" s="548">
        <v>4.71</v>
      </c>
      <c r="D1165" s="542">
        <v>1.87</v>
      </c>
      <c r="E1165" s="542">
        <f t="shared" si="174"/>
        <v>4.0977000000000006</v>
      </c>
      <c r="F1165" s="549">
        <f>SUM($E$2:E1165)/SUM($C$2:C1165)</f>
        <v>6.0047231354646135E-3</v>
      </c>
      <c r="G1165" s="535">
        <f t="shared" si="175"/>
        <v>22.045079999999967</v>
      </c>
      <c r="H1165" s="550" t="s">
        <v>407</v>
      </c>
      <c r="I1165" s="2"/>
      <c r="J1165" s="2"/>
      <c r="K1165" s="2"/>
      <c r="L1165" s="2"/>
      <c r="O1165" s="58"/>
      <c r="P1165" s="58"/>
    </row>
    <row r="1166" spans="2:16">
      <c r="B1166" s="652"/>
      <c r="C1166" s="545">
        <v>4.71</v>
      </c>
      <c r="D1166" s="541">
        <v>2.37</v>
      </c>
      <c r="E1166" s="541">
        <f t="shared" si="174"/>
        <v>6.452700000000001</v>
      </c>
      <c r="F1166" s="546">
        <f>SUM($E$2:E1166)/SUM($C$2:C1166)</f>
        <v>7.7523884657235732E-3</v>
      </c>
      <c r="G1166" s="536">
        <f t="shared" si="175"/>
        <v>28.497779999999967</v>
      </c>
      <c r="H1166" s="547" t="s">
        <v>16</v>
      </c>
      <c r="I1166" s="2"/>
      <c r="J1166" s="2"/>
      <c r="K1166" s="2"/>
      <c r="L1166" s="2"/>
      <c r="O1166" s="58"/>
      <c r="P1166" s="58"/>
    </row>
    <row r="1167" spans="2:16">
      <c r="B1167" s="652"/>
      <c r="C1167" s="545">
        <v>4.71</v>
      </c>
      <c r="D1167" s="541"/>
      <c r="E1167" s="541">
        <f t="shared" si="174"/>
        <v>-4.71</v>
      </c>
      <c r="F1167" s="546">
        <f>SUM($E$2:E1167)/SUM($C$2:C1167)</f>
        <v>6.4628237486788883E-3</v>
      </c>
      <c r="G1167" s="536">
        <f t="shared" si="175"/>
        <v>23.787779999999966</v>
      </c>
      <c r="H1167" s="547" t="s">
        <v>27</v>
      </c>
      <c r="I1167" s="2"/>
      <c r="J1167" s="2"/>
      <c r="K1167" s="2"/>
      <c r="L1167" s="2"/>
      <c r="O1167" s="58"/>
      <c r="P1167" s="58"/>
    </row>
    <row r="1168" spans="2:16">
      <c r="B1168" s="651"/>
      <c r="C1168" s="548">
        <v>4.71</v>
      </c>
      <c r="D1168" s="542"/>
      <c r="E1168" s="542">
        <f t="shared" si="174"/>
        <v>-4.71</v>
      </c>
      <c r="F1168" s="549">
        <f>SUM($E$2:E1168)/SUM($C$2:C1168)</f>
        <v>5.1765551823129766E-3</v>
      </c>
      <c r="G1168" s="535">
        <f t="shared" si="175"/>
        <v>19.077779999999965</v>
      </c>
      <c r="H1168" s="550" t="s">
        <v>47</v>
      </c>
      <c r="I1168" s="490">
        <f>SUM(E1160:E1168)</f>
        <v>12.542729999999999</v>
      </c>
      <c r="J1168" s="450"/>
      <c r="K1168" s="490">
        <f>SUM(E913:E1168)</f>
        <v>-37.54132000000002</v>
      </c>
      <c r="L1168" s="490">
        <f>I1168/C1168</f>
        <v>2.6629999999999998</v>
      </c>
      <c r="O1168" s="58"/>
      <c r="P1168" s="58"/>
    </row>
    <row r="1169" spans="2:16">
      <c r="B1169" s="652">
        <v>46082</v>
      </c>
      <c r="C1169" s="545">
        <v>2.1800000000000002</v>
      </c>
      <c r="D1169" s="541">
        <v>1.784</v>
      </c>
      <c r="E1169" s="541">
        <f t="shared" ref="E1169:E1183" si="176">(C1169*D1169)-C1169</f>
        <v>1.70912</v>
      </c>
      <c r="F1169" s="546">
        <f>SUM($E$2:E1169)/SUM($C$2:C1169)</f>
        <v>5.6369725566763973E-3</v>
      </c>
      <c r="G1169" s="536">
        <f t="shared" ref="G1169:G1183" si="177">G1168+E1169</f>
        <v>20.786899999999964</v>
      </c>
      <c r="H1169" s="547" t="s">
        <v>59</v>
      </c>
      <c r="I1169" s="2"/>
      <c r="J1169" s="2"/>
      <c r="K1169" s="2"/>
      <c r="L1169" s="2"/>
      <c r="O1169" s="58"/>
      <c r="P1169" s="58"/>
    </row>
    <row r="1170" spans="2:16">
      <c r="B1170" s="652"/>
      <c r="C1170" s="545">
        <v>2.1800000000000002</v>
      </c>
      <c r="D1170" s="541">
        <v>1.784</v>
      </c>
      <c r="E1170" s="541">
        <f t="shared" si="176"/>
        <v>1.70912</v>
      </c>
      <c r="F1170" s="546">
        <f>SUM($E$2:E1170)/SUM($C$2:C1170)</f>
        <v>6.0968458824102994E-3</v>
      </c>
      <c r="G1170" s="536">
        <f t="shared" si="177"/>
        <v>22.496019999999962</v>
      </c>
      <c r="H1170" s="547" t="s">
        <v>60</v>
      </c>
      <c r="I1170" s="2"/>
      <c r="J1170" s="2"/>
      <c r="K1170" s="2"/>
      <c r="L1170" s="2"/>
      <c r="O1170" s="58"/>
      <c r="P1170" s="58"/>
    </row>
    <row r="1171" spans="2:16">
      <c r="B1171" s="652"/>
      <c r="C1171" s="545">
        <v>2.1800000000000002</v>
      </c>
      <c r="D1171" s="541"/>
      <c r="E1171" s="541">
        <f t="shared" si="176"/>
        <v>-2.1800000000000002</v>
      </c>
      <c r="F1171" s="546">
        <f>SUM($E$2:E1171)/SUM($C$2:C1171)</f>
        <v>5.5027735945134522E-3</v>
      </c>
      <c r="G1171" s="536">
        <f t="shared" si="177"/>
        <v>20.316019999999963</v>
      </c>
      <c r="H1171" s="547" t="s">
        <v>14</v>
      </c>
      <c r="I1171" s="2"/>
      <c r="J1171" s="2"/>
      <c r="K1171" s="2"/>
      <c r="L1171" s="2"/>
      <c r="O1171" s="58"/>
      <c r="P1171" s="58"/>
    </row>
    <row r="1172" spans="2:16">
      <c r="B1172" s="652"/>
      <c r="C1172" s="545">
        <v>2.1800000000000002</v>
      </c>
      <c r="D1172" s="541">
        <v>1.9</v>
      </c>
      <c r="E1172" s="541">
        <f t="shared" si="176"/>
        <v>1.9620000000000002</v>
      </c>
      <c r="F1172" s="546">
        <f>SUM($E$2:E1172)/SUM($C$2:C1172)</f>
        <v>6.0306377127017051E-3</v>
      </c>
      <c r="G1172" s="536">
        <f t="shared" si="177"/>
        <v>22.278019999999962</v>
      </c>
      <c r="H1172" s="547" t="s">
        <v>37</v>
      </c>
      <c r="I1172" s="2"/>
      <c r="J1172" s="2"/>
      <c r="K1172" s="2"/>
      <c r="L1172" s="2"/>
      <c r="O1172" s="58"/>
      <c r="P1172" s="58"/>
    </row>
    <row r="1173" spans="2:16">
      <c r="B1173" s="652"/>
      <c r="C1173" s="545">
        <v>2.1800000000000002</v>
      </c>
      <c r="D1173" s="541"/>
      <c r="E1173" s="541">
        <f t="shared" si="176"/>
        <v>-2.1800000000000002</v>
      </c>
      <c r="F1173" s="546">
        <f>SUM($E$2:E1173)/SUM($C$2:C1173)</f>
        <v>5.4373052116699549E-3</v>
      </c>
      <c r="G1173" s="536">
        <f t="shared" si="177"/>
        <v>20.098019999999963</v>
      </c>
      <c r="H1173" s="547" t="s">
        <v>18</v>
      </c>
      <c r="I1173" s="2"/>
      <c r="J1173" s="2"/>
      <c r="K1173" s="2"/>
      <c r="L1173" s="2"/>
      <c r="O1173" s="58"/>
      <c r="P1173" s="58"/>
    </row>
    <row r="1174" spans="2:16">
      <c r="B1174" s="652"/>
      <c r="C1174" s="548">
        <v>2.1800000000000002</v>
      </c>
      <c r="D1174" s="542"/>
      <c r="E1174" s="542">
        <f t="shared" si="176"/>
        <v>-2.1800000000000002</v>
      </c>
      <c r="F1174" s="549">
        <f>SUM($E$2:E1174)/SUM($C$2:C1174)</f>
        <v>4.8446721643909414E-3</v>
      </c>
      <c r="G1174" s="535">
        <f t="shared" si="177"/>
        <v>17.918019999999963</v>
      </c>
      <c r="H1174" s="550" t="s">
        <v>10</v>
      </c>
      <c r="I1174" s="2"/>
      <c r="J1174" s="2"/>
      <c r="K1174" s="2"/>
      <c r="L1174" s="2"/>
      <c r="O1174" s="58"/>
      <c r="P1174" s="58"/>
    </row>
    <row r="1175" spans="2:16">
      <c r="B1175" s="652"/>
      <c r="C1175" s="545">
        <v>2.1800000000000002</v>
      </c>
      <c r="D1175" s="541">
        <v>1.9</v>
      </c>
      <c r="E1175" s="541">
        <f t="shared" si="176"/>
        <v>1.9620000000000002</v>
      </c>
      <c r="F1175" s="546">
        <f>SUM($E$2:E1175)/SUM($C$2:C1175)</f>
        <v>5.3719910935287269E-3</v>
      </c>
      <c r="G1175" s="536">
        <f t="shared" si="177"/>
        <v>19.880019999999963</v>
      </c>
      <c r="H1175" s="547" t="s">
        <v>412</v>
      </c>
      <c r="I1175" s="2"/>
      <c r="J1175" s="2"/>
      <c r="K1175" s="2"/>
      <c r="L1175" s="2"/>
      <c r="O1175" s="58"/>
      <c r="P1175" s="58"/>
    </row>
    <row r="1176" spans="2:16">
      <c r="B1176" s="652"/>
      <c r="C1176" s="545">
        <v>2.1800000000000002</v>
      </c>
      <c r="D1176" s="541">
        <v>1.84</v>
      </c>
      <c r="E1176" s="541">
        <f t="shared" si="176"/>
        <v>1.8312000000000004</v>
      </c>
      <c r="F1176" s="546">
        <f>SUM($E$2:E1176)/SUM($C$2:C1176)</f>
        <v>5.8633650745639546E-3</v>
      </c>
      <c r="G1176" s="536">
        <f t="shared" si="177"/>
        <v>21.711219999999962</v>
      </c>
      <c r="H1176" s="547" t="s">
        <v>413</v>
      </c>
      <c r="I1176" s="2"/>
      <c r="J1176" s="2"/>
      <c r="K1176" s="2"/>
      <c r="L1176" s="2"/>
      <c r="O1176" s="58"/>
      <c r="P1176" s="58"/>
    </row>
    <row r="1177" spans="2:16">
      <c r="B1177" s="652"/>
      <c r="C1177" s="545">
        <v>2.1800000000000002</v>
      </c>
      <c r="D1177" s="541">
        <v>1.8560000000000001</v>
      </c>
      <c r="E1177" s="541">
        <f t="shared" si="176"/>
        <v>1.8660800000000006</v>
      </c>
      <c r="F1177" s="546">
        <f>SUM($E$2:E1177)/SUM($C$2:C1177)</f>
        <v>6.3635750221319818E-3</v>
      </c>
      <c r="G1177" s="536">
        <f t="shared" si="177"/>
        <v>23.577299999999962</v>
      </c>
      <c r="H1177" s="547" t="s">
        <v>414</v>
      </c>
      <c r="I1177" s="2"/>
      <c r="J1177" s="2"/>
      <c r="K1177" s="2"/>
      <c r="L1177" s="2"/>
      <c r="O1177" s="58"/>
      <c r="P1177" s="58"/>
    </row>
    <row r="1178" spans="2:16">
      <c r="B1178" s="652"/>
      <c r="C1178" s="545">
        <v>2.1800000000000002</v>
      </c>
      <c r="D1178" s="541">
        <v>1.8560000000000001</v>
      </c>
      <c r="E1178" s="541">
        <f t="shared" si="176"/>
        <v>1.8660800000000006</v>
      </c>
      <c r="F1178" s="546">
        <f>SUM($E$2:E1178)/SUM($C$2:C1178)</f>
        <v>6.8631966810709568E-3</v>
      </c>
      <c r="G1178" s="536">
        <f t="shared" si="177"/>
        <v>25.443379999999962</v>
      </c>
      <c r="H1178" s="547" t="s">
        <v>415</v>
      </c>
      <c r="I1178" s="2"/>
      <c r="J1178" s="2"/>
      <c r="K1178" s="2"/>
      <c r="L1178" s="2"/>
      <c r="O1178" s="58"/>
      <c r="P1178" s="58"/>
    </row>
    <row r="1179" spans="2:16">
      <c r="B1179" s="652"/>
      <c r="C1179" s="545">
        <v>2.1800000000000002</v>
      </c>
      <c r="D1179" s="541">
        <v>1.87</v>
      </c>
      <c r="E1179" s="541">
        <f t="shared" si="176"/>
        <v>1.8966000000000007</v>
      </c>
      <c r="F1179" s="546">
        <f>SUM($E$2:E1179)/SUM($C$2:C1179)</f>
        <v>7.3704588343127906E-3</v>
      </c>
      <c r="G1179" s="536">
        <f t="shared" si="177"/>
        <v>27.339979999999962</v>
      </c>
      <c r="H1179" s="547" t="s">
        <v>416</v>
      </c>
      <c r="I1179" s="2"/>
      <c r="J1179" s="2"/>
      <c r="K1179" s="2"/>
      <c r="L1179" s="2"/>
      <c r="O1179" s="58"/>
      <c r="P1179" s="58"/>
    </row>
    <row r="1180" spans="2:16">
      <c r="B1180" s="652"/>
      <c r="C1180" s="545">
        <v>2.1800000000000002</v>
      </c>
      <c r="D1180" s="541">
        <v>1.825</v>
      </c>
      <c r="E1180" s="541">
        <f t="shared" si="176"/>
        <v>1.7985000000000002</v>
      </c>
      <c r="F1180" s="546">
        <f>SUM($E$2:E1180)/SUM($C$2:C1180)</f>
        <v>7.8506943134729317E-3</v>
      </c>
      <c r="G1180" s="536">
        <f t="shared" si="177"/>
        <v>29.138479999999962</v>
      </c>
      <c r="H1180" s="547" t="s">
        <v>417</v>
      </c>
      <c r="I1180" s="2"/>
      <c r="J1180" s="2"/>
      <c r="K1180" s="2"/>
      <c r="L1180" s="2"/>
      <c r="O1180" s="58"/>
      <c r="P1180" s="58"/>
    </row>
    <row r="1181" spans="2:16">
      <c r="B1181" s="652"/>
      <c r="C1181" s="545">
        <v>2.1800000000000002</v>
      </c>
      <c r="D1181" s="541">
        <v>1.9</v>
      </c>
      <c r="E1181" s="541">
        <f t="shared" si="176"/>
        <v>1.9620000000000002</v>
      </c>
      <c r="F1181" s="546">
        <f>SUM($E$2:E1181)/SUM($C$2:C1181)</f>
        <v>8.3743914523285983E-3</v>
      </c>
      <c r="G1181" s="536">
        <f t="shared" si="177"/>
        <v>31.100479999999962</v>
      </c>
      <c r="H1181" s="547" t="s">
        <v>418</v>
      </c>
      <c r="I1181" s="2"/>
      <c r="J1181" s="2"/>
      <c r="K1181" s="2"/>
      <c r="L1181" s="2"/>
      <c r="O1181" s="58"/>
      <c r="P1181" s="58"/>
    </row>
    <row r="1182" spans="2:16">
      <c r="B1182" s="652"/>
      <c r="C1182" s="548">
        <v>2.1800000000000002</v>
      </c>
      <c r="D1182" s="542">
        <v>1.9</v>
      </c>
      <c r="E1182" s="542">
        <f t="shared" si="176"/>
        <v>1.9620000000000002</v>
      </c>
      <c r="F1182" s="549">
        <f>SUM($E$2:E1182)/SUM($C$2:C1182)</f>
        <v>8.8974741249858331E-3</v>
      </c>
      <c r="G1182" s="535">
        <f t="shared" si="177"/>
        <v>33.062479999999965</v>
      </c>
      <c r="H1182" s="550" t="s">
        <v>242</v>
      </c>
      <c r="I1182" s="2"/>
      <c r="J1182" s="2"/>
      <c r="K1182" s="2"/>
      <c r="L1182" s="2"/>
      <c r="O1182" s="58"/>
      <c r="P1182" s="58"/>
    </row>
    <row r="1183" spans="2:16">
      <c r="B1183" s="652"/>
      <c r="C1183" s="548">
        <v>2.1800000000000002</v>
      </c>
      <c r="D1183" s="577">
        <v>1.984</v>
      </c>
      <c r="E1183" s="577">
        <f t="shared" si="176"/>
        <v>2.1451199999999999</v>
      </c>
      <c r="F1183" s="578">
        <f>SUM($E$2:E1183)/SUM($C$2:C1183)</f>
        <v>9.4691941088506683E-3</v>
      </c>
      <c r="G1183" s="579">
        <f t="shared" si="177"/>
        <v>35.207599999999964</v>
      </c>
      <c r="H1183" s="580" t="s">
        <v>29</v>
      </c>
      <c r="I1183" s="490">
        <f>SUM(E1169:E1183)</f>
        <v>16.129820000000002</v>
      </c>
      <c r="J1183" s="490">
        <f>SUM(E1104:E1183)</f>
        <v>8.2861900000000031</v>
      </c>
      <c r="L1183" s="2">
        <f>I1183/C1183</f>
        <v>7.3990000000000009</v>
      </c>
      <c r="O1183" s="58"/>
      <c r="P1183" s="58"/>
    </row>
    <row r="1184" spans="2:16">
      <c r="B1184" s="650">
        <v>46083</v>
      </c>
      <c r="C1184" s="545">
        <v>6.13</v>
      </c>
      <c r="D1184" s="581"/>
      <c r="E1184" s="573">
        <f t="shared" ref="E1184:E1187" si="178">(C1184*D1184)-C1184</f>
        <v>-6.13</v>
      </c>
      <c r="F1184" s="574">
        <f>SUM($E$2:E1184)/SUM($C$2:C1184)</f>
        <v>7.8076391219708318E-3</v>
      </c>
      <c r="G1184" s="575">
        <f t="shared" ref="G1184:G1187" si="179">G1183+E1184</f>
        <v>29.077599999999965</v>
      </c>
      <c r="H1184" s="576" t="s">
        <v>47</v>
      </c>
      <c r="I1184" s="2"/>
      <c r="J1184" s="2"/>
      <c r="K1184" s="2"/>
      <c r="L1184" s="2"/>
      <c r="O1184" s="58"/>
      <c r="P1184" s="58"/>
    </row>
    <row r="1185" spans="2:16">
      <c r="B1185" s="652"/>
      <c r="C1185" s="545">
        <v>6.13</v>
      </c>
      <c r="D1185" s="541"/>
      <c r="E1185" s="541">
        <f t="shared" si="178"/>
        <v>-6.13</v>
      </c>
      <c r="F1185" s="546">
        <f>SUM($E$2:E1185)/SUM($C$2:C1185)</f>
        <v>6.1515448828269211E-3</v>
      </c>
      <c r="G1185" s="536">
        <f t="shared" si="179"/>
        <v>22.947599999999966</v>
      </c>
      <c r="H1185" s="547" t="s">
        <v>419</v>
      </c>
      <c r="I1185" s="2"/>
      <c r="J1185" s="2"/>
      <c r="K1185" s="2"/>
      <c r="L1185" s="2"/>
      <c r="O1185" s="58"/>
      <c r="P1185" s="58"/>
    </row>
    <row r="1186" spans="2:16">
      <c r="B1186" s="652"/>
      <c r="C1186" s="548">
        <v>6.13</v>
      </c>
      <c r="D1186" s="542"/>
      <c r="E1186" s="542">
        <f t="shared" si="178"/>
        <v>-6.13</v>
      </c>
      <c r="F1186" s="549">
        <f>SUM($E$2:E1186)/SUM($C$2:C1186)</f>
        <v>4.5008845152294278E-3</v>
      </c>
      <c r="G1186" s="535">
        <f t="shared" si="179"/>
        <v>16.817599999999967</v>
      </c>
      <c r="H1186" s="550" t="s">
        <v>420</v>
      </c>
      <c r="I1186" s="2"/>
      <c r="J1186" s="2"/>
      <c r="K1186" s="2"/>
      <c r="L1186" s="2"/>
      <c r="O1186" s="58"/>
      <c r="P1186" s="58"/>
    </row>
    <row r="1187" spans="2:16">
      <c r="B1187" s="652"/>
      <c r="C1187" s="548">
        <v>6.13</v>
      </c>
      <c r="D1187" s="542"/>
      <c r="E1187" s="542">
        <f t="shared" si="178"/>
        <v>-6.13</v>
      </c>
      <c r="F1187" s="549">
        <f>SUM($E$2:E1187)/SUM($C$2:C1187)</f>
        <v>2.8556313190688742E-3</v>
      </c>
      <c r="G1187" s="535">
        <f t="shared" si="179"/>
        <v>10.687599999999968</v>
      </c>
      <c r="H1187" s="550" t="s">
        <v>27</v>
      </c>
      <c r="I1187" s="2">
        <f>SUM(E1184:E1187)</f>
        <v>-24.52</v>
      </c>
      <c r="L1187" s="2">
        <f>I1187/C1187</f>
        <v>-4</v>
      </c>
      <c r="O1187" s="58"/>
      <c r="P1187" s="58"/>
    </row>
    <row r="1188" spans="2:16">
      <c r="B1188" s="650">
        <v>46084</v>
      </c>
      <c r="C1188" s="545">
        <v>2.37</v>
      </c>
      <c r="D1188" s="541">
        <v>1.83</v>
      </c>
      <c r="E1188" s="541">
        <f t="shared" ref="E1188:E1202" si="180">(C1188*D1188)-C1188</f>
        <v>1.9671000000000003</v>
      </c>
      <c r="F1188" s="546">
        <f>SUM($E$2:E1188)/SUM($C$2:C1188)</f>
        <v>3.3790830999115961E-3</v>
      </c>
      <c r="G1188" s="536">
        <f t="shared" ref="G1188:G1202" si="181">G1187+E1188</f>
        <v>12.654699999999968</v>
      </c>
      <c r="H1188" s="547" t="s">
        <v>15</v>
      </c>
      <c r="I1188" s="2"/>
      <c r="J1188" s="2"/>
      <c r="K1188" s="2"/>
      <c r="L1188" s="2"/>
      <c r="O1188" s="58"/>
      <c r="P1188" s="58"/>
    </row>
    <row r="1189" spans="2:16">
      <c r="B1189" s="652"/>
      <c r="C1189" s="545">
        <v>2.37</v>
      </c>
      <c r="D1189" s="541"/>
      <c r="E1189" s="541">
        <f t="shared" si="180"/>
        <v>-2.37</v>
      </c>
      <c r="F1189" s="546">
        <f>SUM($E$2:E1189)/SUM($C$2:C1189)</f>
        <v>2.7445041602399368E-3</v>
      </c>
      <c r="G1189" s="536">
        <f t="shared" si="181"/>
        <v>10.284699999999969</v>
      </c>
      <c r="H1189" s="547" t="s">
        <v>64</v>
      </c>
      <c r="I1189" s="2"/>
      <c r="J1189" s="2"/>
      <c r="K1189" s="2"/>
      <c r="L1189" s="2"/>
      <c r="O1189" s="58"/>
      <c r="P1189" s="58"/>
    </row>
    <row r="1190" spans="2:16">
      <c r="B1190" s="652"/>
      <c r="C1190" s="545">
        <v>2.37</v>
      </c>
      <c r="D1190" s="541"/>
      <c r="E1190" s="541">
        <f t="shared" si="180"/>
        <v>-2.37</v>
      </c>
      <c r="F1190" s="546">
        <f>SUM($E$2:E1190)/SUM($C$2:C1190)</f>
        <v>2.1107273818254399E-3</v>
      </c>
      <c r="G1190" s="536">
        <f t="shared" si="181"/>
        <v>7.9146999999999688</v>
      </c>
      <c r="H1190" s="547" t="s">
        <v>16</v>
      </c>
      <c r="I1190" s="2"/>
      <c r="J1190" s="2"/>
      <c r="K1190" s="2"/>
      <c r="L1190" s="2"/>
      <c r="O1190" s="58"/>
      <c r="P1190" s="58"/>
    </row>
    <row r="1191" spans="2:16">
      <c r="B1191" s="652"/>
      <c r="C1191" s="545">
        <v>2.37</v>
      </c>
      <c r="D1191" s="541">
        <v>1.9</v>
      </c>
      <c r="E1191" s="541">
        <f t="shared" si="180"/>
        <v>2.133</v>
      </c>
      <c r="F1191" s="546">
        <f>SUM($E$2:E1191)/SUM($C$2:C1191)</f>
        <v>2.6778727759239939E-3</v>
      </c>
      <c r="G1191" s="536">
        <f t="shared" si="181"/>
        <v>10.047699999999969</v>
      </c>
      <c r="H1191" s="547" t="s">
        <v>25</v>
      </c>
      <c r="I1191" s="2"/>
      <c r="J1191" s="2"/>
      <c r="K1191" s="2"/>
      <c r="L1191" s="2"/>
      <c r="O1191" s="58"/>
      <c r="P1191" s="58"/>
    </row>
    <row r="1192" spans="2:16">
      <c r="B1192" s="652"/>
      <c r="C1192" s="545">
        <v>2.37</v>
      </c>
      <c r="D1192" s="541">
        <v>1.87</v>
      </c>
      <c r="E1192" s="541">
        <f t="shared" si="180"/>
        <v>2.0619000000000005</v>
      </c>
      <c r="F1192" s="546">
        <f>SUM($E$2:E1192)/SUM($C$2:C1192)</f>
        <v>3.2253648298437151E-3</v>
      </c>
      <c r="G1192" s="536">
        <f t="shared" si="181"/>
        <v>12.109599999999968</v>
      </c>
      <c r="H1192" s="547" t="s">
        <v>51</v>
      </c>
      <c r="I1192" s="2"/>
      <c r="J1192" s="2"/>
      <c r="K1192" s="2"/>
      <c r="L1192" s="2"/>
      <c r="O1192" s="58"/>
      <c r="P1192" s="58"/>
    </row>
    <row r="1193" spans="2:16">
      <c r="B1193" s="652"/>
      <c r="C1193" s="545">
        <v>2.37</v>
      </c>
      <c r="D1193" s="541">
        <v>1.84</v>
      </c>
      <c r="E1193" s="541">
        <f t="shared" si="180"/>
        <v>1.9908000000000001</v>
      </c>
      <c r="F1193" s="546">
        <f>SUM($E$2:E1193)/SUM($C$2:C1193)</f>
        <v>3.7532407382760932E-3</v>
      </c>
      <c r="G1193" s="536">
        <f t="shared" si="181"/>
        <v>14.100399999999969</v>
      </c>
      <c r="H1193" s="547" t="s">
        <v>104</v>
      </c>
      <c r="I1193" s="2"/>
      <c r="J1193" s="2"/>
      <c r="K1193" s="2"/>
      <c r="L1193" s="2"/>
      <c r="O1193" s="58"/>
      <c r="P1193" s="58"/>
    </row>
    <row r="1194" spans="2:16">
      <c r="B1194" s="652"/>
      <c r="C1194" s="548">
        <v>2.37</v>
      </c>
      <c r="D1194" s="542">
        <v>1.85</v>
      </c>
      <c r="E1194" s="542">
        <f t="shared" si="180"/>
        <v>2.0145</v>
      </c>
      <c r="F1194" s="549">
        <f>SUM($E$2:E1194)/SUM($C$2:C1194)</f>
        <v>4.2867555323829404E-3</v>
      </c>
      <c r="G1194" s="535">
        <f t="shared" si="181"/>
        <v>16.11489999999997</v>
      </c>
      <c r="H1194" s="550" t="s">
        <v>10</v>
      </c>
      <c r="I1194" s="2"/>
      <c r="J1194" s="2"/>
      <c r="K1194" s="2"/>
      <c r="L1194" s="2"/>
      <c r="O1194" s="58"/>
      <c r="P1194" s="58"/>
    </row>
    <row r="1195" spans="2:16">
      <c r="B1195" s="652"/>
      <c r="C1195" s="545">
        <v>2.37</v>
      </c>
      <c r="D1195" s="541">
        <v>1.845</v>
      </c>
      <c r="E1195" s="541">
        <f t="shared" si="180"/>
        <v>2.00265</v>
      </c>
      <c r="F1195" s="546">
        <f>SUM($E$2:E1195)/SUM($C$2:C1195)</f>
        <v>4.816447788175221E-3</v>
      </c>
      <c r="G1195" s="536">
        <f t="shared" si="181"/>
        <v>18.117549999999969</v>
      </c>
      <c r="H1195" s="547" t="s">
        <v>421</v>
      </c>
      <c r="I1195" s="2"/>
      <c r="J1195" s="2"/>
      <c r="K1195" s="2"/>
      <c r="L1195" s="2"/>
      <c r="O1195" s="58"/>
      <c r="P1195" s="58"/>
    </row>
    <row r="1196" spans="2:16">
      <c r="B1196" s="652"/>
      <c r="C1196" s="545">
        <v>2.37</v>
      </c>
      <c r="D1196" s="541">
        <v>1.9</v>
      </c>
      <c r="E1196" s="541">
        <f t="shared" si="180"/>
        <v>2.133</v>
      </c>
      <c r="F1196" s="546">
        <f>SUM($E$2:E1196)/SUM($C$2:C1196)</f>
        <v>5.3801039859509786E-3</v>
      </c>
      <c r="G1196" s="536">
        <f t="shared" si="181"/>
        <v>20.250549999999969</v>
      </c>
      <c r="H1196" s="547" t="s">
        <v>422</v>
      </c>
      <c r="I1196" s="2"/>
      <c r="J1196" s="2"/>
      <c r="K1196" s="2"/>
      <c r="L1196" s="2"/>
      <c r="O1196" s="58"/>
      <c r="P1196" s="58"/>
    </row>
    <row r="1197" spans="2:16">
      <c r="B1197" s="652"/>
      <c r="C1197" s="545">
        <v>2.37</v>
      </c>
      <c r="D1197" s="541">
        <v>1.9</v>
      </c>
      <c r="E1197" s="541">
        <f t="shared" si="180"/>
        <v>2.133</v>
      </c>
      <c r="F1197" s="546">
        <f>SUM($E$2:E1197)/SUM($C$2:C1197)</f>
        <v>5.9430508132563443E-3</v>
      </c>
      <c r="G1197" s="536">
        <f t="shared" si="181"/>
        <v>22.383549999999968</v>
      </c>
      <c r="H1197" s="547" t="s">
        <v>169</v>
      </c>
      <c r="I1197" s="2"/>
      <c r="J1197" s="2"/>
      <c r="K1197" s="2"/>
      <c r="L1197" s="2"/>
      <c r="O1197" s="58"/>
      <c r="P1197" s="58"/>
    </row>
    <row r="1198" spans="2:16">
      <c r="B1198" s="652"/>
      <c r="C1198" s="545">
        <v>2.37</v>
      </c>
      <c r="D1198" s="541">
        <v>1.86</v>
      </c>
      <c r="E1198" s="541">
        <f t="shared" si="180"/>
        <v>2.0382000000000007</v>
      </c>
      <c r="F1198" s="546">
        <f>SUM($E$2:E1198)/SUM($C$2:C1198)</f>
        <v>6.4801351125451136E-3</v>
      </c>
      <c r="G1198" s="536">
        <f t="shared" si="181"/>
        <v>24.421749999999967</v>
      </c>
      <c r="H1198" s="547" t="s">
        <v>423</v>
      </c>
      <c r="I1198" s="2"/>
      <c r="J1198" s="2"/>
      <c r="K1198" s="2"/>
      <c r="L1198" s="2"/>
      <c r="O1198" s="58"/>
      <c r="P1198" s="58"/>
    </row>
    <row r="1199" spans="2:16">
      <c r="B1199" s="652"/>
      <c r="C1199" s="545">
        <v>2.37</v>
      </c>
      <c r="D1199" s="541">
        <v>1.845</v>
      </c>
      <c r="E1199" s="541">
        <f t="shared" si="180"/>
        <v>2.00265</v>
      </c>
      <c r="F1199" s="546">
        <f>SUM($E$2:E1199)/SUM($C$2:C1199)</f>
        <v>7.0071173244799596E-3</v>
      </c>
      <c r="G1199" s="536">
        <f t="shared" si="181"/>
        <v>26.424399999999967</v>
      </c>
      <c r="H1199" s="547" t="s">
        <v>185</v>
      </c>
      <c r="I1199" s="2"/>
      <c r="J1199" s="2"/>
      <c r="K1199" s="2"/>
      <c r="L1199" s="2"/>
      <c r="O1199" s="58"/>
      <c r="P1199" s="58"/>
    </row>
    <row r="1200" spans="2:16">
      <c r="B1200" s="652"/>
      <c r="C1200" s="548">
        <v>2.37</v>
      </c>
      <c r="D1200" s="542">
        <v>1.835</v>
      </c>
      <c r="E1200" s="542">
        <f t="shared" si="180"/>
        <v>1.9789500000000002</v>
      </c>
      <c r="F1200" s="549">
        <f>SUM($E$2:E1200)/SUM($C$2:C1200)</f>
        <v>7.5271568458572082E-3</v>
      </c>
      <c r="G1200" s="535">
        <f t="shared" si="181"/>
        <v>28.403349999999968</v>
      </c>
      <c r="H1200" s="550" t="s">
        <v>424</v>
      </c>
      <c r="I1200" s="2"/>
      <c r="J1200" s="2"/>
      <c r="K1200" s="2"/>
      <c r="L1200" s="2"/>
      <c r="O1200" s="58"/>
      <c r="P1200" s="58"/>
    </row>
    <row r="1201" spans="2:16">
      <c r="B1201" s="652"/>
      <c r="C1201" s="545">
        <v>2.37</v>
      </c>
      <c r="D1201" s="541">
        <v>2.21</v>
      </c>
      <c r="E1201" s="541">
        <f t="shared" si="180"/>
        <v>2.8677000000000001</v>
      </c>
      <c r="F1201" s="546">
        <f>SUM($E$2:E1201)/SUM($C$2:C1201)</f>
        <v>8.2819228670857926E-3</v>
      </c>
      <c r="G1201" s="536">
        <f t="shared" si="181"/>
        <v>31.271049999999967</v>
      </c>
      <c r="H1201" s="547" t="s">
        <v>46</v>
      </c>
      <c r="I1201" s="2"/>
      <c r="J1201" s="2"/>
      <c r="K1201" s="2"/>
      <c r="L1201" s="2"/>
      <c r="O1201" s="58"/>
      <c r="P1201" s="58"/>
    </row>
    <row r="1202" spans="2:16">
      <c r="B1202" s="651"/>
      <c r="C1202" s="548">
        <v>2.37</v>
      </c>
      <c r="D1202" s="542"/>
      <c r="E1202" s="542">
        <f t="shared" si="180"/>
        <v>-2.37</v>
      </c>
      <c r="F1202" s="549">
        <f>SUM($E$2:E1202)/SUM($C$2:C1202)</f>
        <v>7.6494432519274794E-3</v>
      </c>
      <c r="G1202" s="535">
        <f t="shared" si="181"/>
        <v>28.901049999999966</v>
      </c>
      <c r="H1202" s="550" t="s">
        <v>25</v>
      </c>
      <c r="I1202" s="2">
        <f>SUM(E1188:E1202)</f>
        <v>18.213449999999998</v>
      </c>
      <c r="L1202" s="2">
        <f>I1202/C1202</f>
        <v>7.6849999999999987</v>
      </c>
      <c r="O1202" s="58"/>
      <c r="P1202" s="58"/>
    </row>
    <row r="1203" spans="2:16">
      <c r="B1203" s="652">
        <v>46085</v>
      </c>
      <c r="C1203" s="545">
        <v>4.05</v>
      </c>
      <c r="D1203" s="541">
        <v>1.8</v>
      </c>
      <c r="E1203" s="541">
        <f t="shared" ref="E1203:E1211" si="182">(C1203*D1203)-C1203</f>
        <v>3.24</v>
      </c>
      <c r="F1203" s="546">
        <f>SUM($E$2:E1203)/SUM($C$2:C1203)</f>
        <v>8.4978874952408804E-3</v>
      </c>
      <c r="G1203" s="536">
        <f t="shared" ref="G1203:G1211" si="183">G1202+E1203</f>
        <v>32.141049999999964</v>
      </c>
      <c r="H1203" s="547" t="s">
        <v>51</v>
      </c>
      <c r="I1203" s="2"/>
      <c r="J1203" s="2"/>
      <c r="K1203" s="2"/>
      <c r="L1203" s="2"/>
      <c r="O1203" s="58"/>
      <c r="P1203" s="58"/>
    </row>
    <row r="1204" spans="2:16">
      <c r="B1204" s="652"/>
      <c r="C1204" s="545">
        <v>4.05</v>
      </c>
      <c r="D1204" s="541">
        <v>1.784</v>
      </c>
      <c r="E1204" s="541">
        <f t="shared" si="182"/>
        <v>3.1752000000000002</v>
      </c>
      <c r="F1204" s="546">
        <f>SUM($E$2:E1204)/SUM($C$2:C1204)</f>
        <v>9.3274022856146416E-3</v>
      </c>
      <c r="G1204" s="536">
        <f t="shared" si="183"/>
        <v>35.316249999999968</v>
      </c>
      <c r="H1204" s="547" t="s">
        <v>26</v>
      </c>
      <c r="I1204" s="2"/>
      <c r="J1204" s="2"/>
      <c r="K1204" s="2"/>
      <c r="L1204" s="2"/>
      <c r="O1204" s="58"/>
      <c r="P1204" s="58"/>
    </row>
    <row r="1205" spans="2:16">
      <c r="B1205" s="652"/>
      <c r="C1205" s="548">
        <v>4.05</v>
      </c>
      <c r="D1205" s="542"/>
      <c r="E1205" s="542">
        <f t="shared" si="182"/>
        <v>-4.05</v>
      </c>
      <c r="F1205" s="549">
        <f>SUM($E$2:E1205)/SUM($C$2:C1205)</f>
        <v>8.2489301751293743E-3</v>
      </c>
      <c r="G1205" s="535">
        <f t="shared" si="183"/>
        <v>31.266249999999967</v>
      </c>
      <c r="H1205" s="550" t="s">
        <v>18</v>
      </c>
      <c r="I1205" s="2"/>
      <c r="J1205" s="2"/>
      <c r="K1205" s="2"/>
      <c r="L1205" s="2"/>
      <c r="O1205" s="58"/>
      <c r="P1205" s="58"/>
    </row>
    <row r="1206" spans="2:16">
      <c r="B1206" s="652"/>
      <c r="C1206" s="545">
        <v>4.05</v>
      </c>
      <c r="D1206" s="541">
        <v>1.82</v>
      </c>
      <c r="E1206" s="541">
        <f t="shared" si="182"/>
        <v>3.3209999999999997</v>
      </c>
      <c r="F1206" s="546">
        <f>SUM($E$2:E1206)/SUM($C$2:C1206)</f>
        <v>9.1153650520900235E-3</v>
      </c>
      <c r="G1206" s="536">
        <f t="shared" si="183"/>
        <v>34.587249999999969</v>
      </c>
      <c r="H1206" s="547" t="s">
        <v>425</v>
      </c>
      <c r="I1206" s="2"/>
      <c r="J1206" s="2"/>
      <c r="K1206" s="2"/>
      <c r="L1206" s="2"/>
      <c r="O1206" s="58"/>
      <c r="P1206" s="58"/>
    </row>
    <row r="1207" spans="2:16">
      <c r="B1207" s="652"/>
      <c r="C1207" s="545">
        <v>4.05</v>
      </c>
      <c r="D1207" s="541">
        <v>1.84</v>
      </c>
      <c r="E1207" s="541">
        <f t="shared" si="182"/>
        <v>3.4020000000000001</v>
      </c>
      <c r="F1207" s="546">
        <f>SUM($E$2:E1207)/SUM($C$2:C1207)</f>
        <v>1.0001276839965842E-2</v>
      </c>
      <c r="G1207" s="536">
        <f t="shared" si="183"/>
        <v>37.98924999999997</v>
      </c>
      <c r="H1207" s="547" t="s">
        <v>162</v>
      </c>
      <c r="I1207" s="2"/>
      <c r="J1207" s="2"/>
      <c r="K1207" s="2"/>
      <c r="L1207" s="2"/>
      <c r="O1207" s="58"/>
      <c r="P1207" s="58"/>
    </row>
    <row r="1208" spans="2:16">
      <c r="B1208" s="652"/>
      <c r="C1208" s="545">
        <v>4.05</v>
      </c>
      <c r="D1208" s="541"/>
      <c r="E1208" s="541">
        <f t="shared" si="182"/>
        <v>-4.05</v>
      </c>
      <c r="F1208" s="546">
        <f>SUM($E$2:E1208)/SUM($C$2:C1208)</f>
        <v>8.9255330060039259E-3</v>
      </c>
      <c r="G1208" s="536">
        <f t="shared" si="183"/>
        <v>33.939249999999973</v>
      </c>
      <c r="H1208" s="547" t="s">
        <v>426</v>
      </c>
      <c r="I1208" s="2"/>
      <c r="J1208" s="2"/>
      <c r="K1208" s="2"/>
      <c r="L1208" s="2"/>
      <c r="O1208" s="58"/>
      <c r="P1208" s="58"/>
    </row>
    <row r="1209" spans="2:16">
      <c r="B1209" s="652"/>
      <c r="C1209" s="548">
        <v>4.05</v>
      </c>
      <c r="D1209" s="542"/>
      <c r="E1209" s="542">
        <f t="shared" si="182"/>
        <v>-4.05</v>
      </c>
      <c r="F1209" s="549">
        <f>SUM($E$2:E1209)/SUM($C$2:C1209)</f>
        <v>7.8520782653012655E-3</v>
      </c>
      <c r="G1209" s="535">
        <f t="shared" si="183"/>
        <v>29.889249999999972</v>
      </c>
      <c r="H1209" s="550" t="s">
        <v>427</v>
      </c>
      <c r="I1209" s="2"/>
      <c r="J1209" s="2"/>
      <c r="K1209" s="2"/>
      <c r="L1209" s="2"/>
      <c r="O1209" s="58"/>
      <c r="P1209" s="58"/>
    </row>
    <row r="1210" spans="2:16">
      <c r="B1210" s="652"/>
      <c r="C1210" s="545">
        <v>4.05</v>
      </c>
      <c r="D1210" s="541"/>
      <c r="E1210" s="541">
        <f t="shared" si="182"/>
        <v>-4.05</v>
      </c>
      <c r="F1210" s="546">
        <f>SUM($E$2:E1210)/SUM($C$2:C1210)</f>
        <v>6.7809053191237806E-3</v>
      </c>
      <c r="G1210" s="536">
        <f t="shared" si="183"/>
        <v>25.839249999999971</v>
      </c>
      <c r="H1210" s="547" t="s">
        <v>29</v>
      </c>
      <c r="I1210" s="2"/>
      <c r="J1210" s="2"/>
      <c r="K1210" s="2"/>
      <c r="L1210" s="2"/>
      <c r="O1210" s="58"/>
      <c r="P1210" s="58"/>
    </row>
    <row r="1211" spans="2:16">
      <c r="B1211" s="652"/>
      <c r="C1211" s="548">
        <v>4.05</v>
      </c>
      <c r="D1211" s="542"/>
      <c r="E1211" s="542">
        <f t="shared" si="182"/>
        <v>-4.05</v>
      </c>
      <c r="F1211" s="549">
        <f>SUM($E$2:E1211)/SUM($C$2:C1211)</f>
        <v>5.7120068997336309E-3</v>
      </c>
      <c r="G1211" s="535">
        <f t="shared" si="183"/>
        <v>21.789249999999971</v>
      </c>
      <c r="H1211" s="550" t="s">
        <v>26</v>
      </c>
      <c r="I1211" s="2">
        <f>SUM(E1203:E1211)</f>
        <v>-7.1117999999999988</v>
      </c>
      <c r="L1211" s="2">
        <f>I1211/C1211</f>
        <v>-1.7559999999999998</v>
      </c>
      <c r="O1211" s="58"/>
      <c r="P1211" s="58"/>
    </row>
    <row r="1212" spans="2:16">
      <c r="B1212" s="650">
        <v>46086</v>
      </c>
      <c r="C1212" s="545">
        <v>2.67</v>
      </c>
      <c r="D1212" s="541">
        <v>1.8160000000000001</v>
      </c>
      <c r="E1212" s="541">
        <f t="shared" ref="E1212:E1227" si="184">(C1212*D1212)-C1212</f>
        <v>2.1787200000000002</v>
      </c>
      <c r="F1212" s="546">
        <f>SUM($E$2:E1212)/SUM($C$2:C1212)</f>
        <v>6.2787591261909284E-3</v>
      </c>
      <c r="G1212" s="536">
        <f t="shared" ref="G1212:G1227" si="185">G1211+E1212</f>
        <v>23.967969999999973</v>
      </c>
      <c r="H1212" s="547" t="s">
        <v>64</v>
      </c>
      <c r="I1212" s="2"/>
      <c r="J1212" s="2"/>
      <c r="K1212" s="2"/>
      <c r="L1212" s="2"/>
      <c r="O1212" s="58"/>
      <c r="P1212" s="58"/>
    </row>
    <row r="1213" spans="2:16">
      <c r="B1213" s="652"/>
      <c r="C1213" s="545">
        <v>2.67</v>
      </c>
      <c r="D1213" s="541">
        <v>1.83</v>
      </c>
      <c r="E1213" s="541">
        <f t="shared" si="184"/>
        <v>2.2161</v>
      </c>
      <c r="F1213" s="546">
        <f>SUM($E$2:E1213)/SUM($C$2:C1213)</f>
        <v>6.854504473845383E-3</v>
      </c>
      <c r="G1213" s="536">
        <f t="shared" si="185"/>
        <v>26.184069999999974</v>
      </c>
      <c r="H1213" s="547" t="s">
        <v>11</v>
      </c>
      <c r="I1213" s="2"/>
      <c r="J1213" s="2"/>
      <c r="K1213" s="2"/>
      <c r="L1213" s="2"/>
      <c r="O1213" s="58"/>
      <c r="P1213" s="58"/>
    </row>
    <row r="1214" spans="2:16">
      <c r="B1214" s="652"/>
      <c r="C1214" s="545">
        <v>2.67</v>
      </c>
      <c r="D1214" s="541"/>
      <c r="E1214" s="541">
        <f t="shared" si="184"/>
        <v>-2.67</v>
      </c>
      <c r="F1214" s="546">
        <f>SUM($E$2:E1214)/SUM($C$2:C1214)</f>
        <v>6.1512484794579401E-3</v>
      </c>
      <c r="G1214" s="536">
        <f t="shared" si="185"/>
        <v>23.514069999999975</v>
      </c>
      <c r="H1214" s="547" t="s">
        <v>16</v>
      </c>
      <c r="I1214" s="2"/>
      <c r="J1214" s="2"/>
      <c r="K1214" s="2"/>
      <c r="L1214" s="2"/>
      <c r="O1214" s="58"/>
      <c r="P1214" s="58"/>
    </row>
    <row r="1215" spans="2:16">
      <c r="B1215" s="652"/>
      <c r="C1215" s="582">
        <v>2.67</v>
      </c>
      <c r="D1215" s="541"/>
      <c r="E1215" s="541">
        <f t="shared" si="184"/>
        <v>-2.67</v>
      </c>
      <c r="F1215" s="546">
        <f>SUM($E$2:E1215)/SUM($C$2:C1215)</f>
        <v>5.4489742034653059E-3</v>
      </c>
      <c r="G1215" s="536">
        <f t="shared" si="185"/>
        <v>20.844069999999974</v>
      </c>
      <c r="H1215" s="547" t="s">
        <v>12</v>
      </c>
      <c r="I1215" s="2"/>
      <c r="J1215" s="2"/>
      <c r="K1215" s="2"/>
      <c r="L1215" s="2"/>
      <c r="O1215" s="58"/>
      <c r="P1215" s="58"/>
    </row>
    <row r="1216" spans="2:16">
      <c r="B1216" s="652"/>
      <c r="C1216" s="582">
        <v>2.67</v>
      </c>
      <c r="D1216" s="541">
        <v>1.798</v>
      </c>
      <c r="E1216" s="541">
        <f t="shared" si="184"/>
        <v>2.1306599999999998</v>
      </c>
      <c r="F1216" s="546">
        <f>SUM($E$2:E1216)/SUM($C$2:C1216)</f>
        <v>6.0017737768384696E-3</v>
      </c>
      <c r="G1216" s="536">
        <f t="shared" si="185"/>
        <v>22.974729999999973</v>
      </c>
      <c r="H1216" s="547" t="s">
        <v>36</v>
      </c>
      <c r="I1216" s="2"/>
      <c r="J1216" s="2"/>
      <c r="K1216" s="2"/>
      <c r="L1216" s="2"/>
      <c r="O1216" s="58"/>
      <c r="P1216" s="58"/>
    </row>
    <row r="1217" spans="2:16">
      <c r="B1217" s="652"/>
      <c r="C1217" s="539">
        <v>2.67</v>
      </c>
      <c r="D1217" s="542">
        <v>1.784</v>
      </c>
      <c r="E1217" s="542">
        <f t="shared" si="184"/>
        <v>2.09328</v>
      </c>
      <c r="F1217" s="549">
        <f>SUM($E$2:E1217)/SUM($C$2:C1217)</f>
        <v>6.5440446293849848E-3</v>
      </c>
      <c r="G1217" s="535">
        <f t="shared" si="185"/>
        <v>25.068009999999973</v>
      </c>
      <c r="H1217" s="550" t="s">
        <v>59</v>
      </c>
      <c r="I1217" s="2"/>
      <c r="J1217" s="2"/>
      <c r="K1217" s="2"/>
      <c r="L1217" s="2"/>
      <c r="O1217" s="58"/>
      <c r="P1217" s="58"/>
    </row>
    <row r="1218" spans="2:16">
      <c r="B1218" s="652"/>
      <c r="C1218" s="582">
        <v>2.67</v>
      </c>
      <c r="D1218" s="541">
        <v>1.845</v>
      </c>
      <c r="E1218" s="541">
        <f t="shared" si="184"/>
        <v>2.2561499999999999</v>
      </c>
      <c r="F1218" s="546">
        <f>SUM($E$2:E1218)/SUM($C$2:C1218)</f>
        <v>7.128047937432957E-3</v>
      </c>
      <c r="G1218" s="536">
        <f t="shared" si="185"/>
        <v>27.324159999999971</v>
      </c>
      <c r="H1218" s="547" t="s">
        <v>428</v>
      </c>
      <c r="I1218" s="2"/>
      <c r="J1218" s="2"/>
      <c r="K1218" s="2"/>
      <c r="L1218" s="2"/>
      <c r="O1218" s="58"/>
      <c r="P1218" s="58"/>
    </row>
    <row r="1219" spans="2:16">
      <c r="B1219" s="652"/>
      <c r="C1219" s="582">
        <v>2.67</v>
      </c>
      <c r="D1219" s="541">
        <v>1.83</v>
      </c>
      <c r="E1219" s="541">
        <f t="shared" si="184"/>
        <v>2.2161</v>
      </c>
      <c r="F1219" s="546">
        <f>SUM($E$2:E1219)/SUM($C$2:C1219)</f>
        <v>7.7007977059436574E-3</v>
      </c>
      <c r="G1219" s="536">
        <f t="shared" si="185"/>
        <v>29.540259999999972</v>
      </c>
      <c r="H1219" s="547" t="s">
        <v>429</v>
      </c>
      <c r="I1219" s="2"/>
      <c r="J1219" s="2"/>
      <c r="K1219" s="2"/>
      <c r="L1219" s="2"/>
      <c r="O1219" s="58"/>
      <c r="P1219" s="58"/>
    </row>
    <row r="1220" spans="2:16">
      <c r="B1220" s="652"/>
      <c r="C1220" s="582">
        <v>2.67</v>
      </c>
      <c r="D1220" s="541"/>
      <c r="E1220" s="541">
        <f t="shared" si="184"/>
        <v>-2.67</v>
      </c>
      <c r="F1220" s="546">
        <f>SUM($E$2:E1220)/SUM($C$2:C1220)</f>
        <v>6.9998879820354137E-3</v>
      </c>
      <c r="G1220" s="536">
        <f t="shared" si="185"/>
        <v>26.870259999999973</v>
      </c>
      <c r="H1220" s="547" t="s">
        <v>422</v>
      </c>
      <c r="I1220" s="2"/>
      <c r="J1220" s="2"/>
      <c r="K1220" s="2"/>
      <c r="L1220" s="2"/>
      <c r="O1220" s="58"/>
      <c r="P1220" s="58"/>
    </row>
    <row r="1221" spans="2:16">
      <c r="B1221" s="652"/>
      <c r="C1221" s="582">
        <v>2.67</v>
      </c>
      <c r="D1221" s="541">
        <v>1.98</v>
      </c>
      <c r="E1221" s="541">
        <f t="shared" si="184"/>
        <v>2.6166</v>
      </c>
      <c r="F1221" s="546">
        <f>SUM($E$2:E1221)/SUM($C$2:C1221)</f>
        <v>7.676191120806768E-3</v>
      </c>
      <c r="G1221" s="536">
        <f t="shared" si="185"/>
        <v>29.486859999999972</v>
      </c>
      <c r="H1221" s="547" t="s">
        <v>430</v>
      </c>
      <c r="I1221" s="2"/>
      <c r="J1221" s="2"/>
      <c r="K1221" s="2"/>
      <c r="L1221" s="2"/>
      <c r="O1221" s="58"/>
      <c r="P1221" s="58"/>
    </row>
    <row r="1222" spans="2:16">
      <c r="B1222" s="652"/>
      <c r="C1222" s="582">
        <v>2.67</v>
      </c>
      <c r="D1222" s="541">
        <v>1.825</v>
      </c>
      <c r="E1222" s="541">
        <f t="shared" si="184"/>
        <v>2.20275</v>
      </c>
      <c r="F1222" s="546">
        <f>SUM($E$2:E1222)/SUM($C$2:C1222)</f>
        <v>8.2438937463741938E-3</v>
      </c>
      <c r="G1222" s="536">
        <f t="shared" si="185"/>
        <v>31.689609999999973</v>
      </c>
      <c r="H1222" s="547" t="s">
        <v>431</v>
      </c>
      <c r="I1222" s="2"/>
      <c r="J1222" s="2"/>
      <c r="K1222" s="2"/>
      <c r="L1222" s="2"/>
      <c r="O1222" s="58"/>
      <c r="P1222" s="58"/>
    </row>
    <row r="1223" spans="2:16">
      <c r="B1223" s="652"/>
      <c r="C1223" s="582">
        <v>2.67</v>
      </c>
      <c r="D1223" s="541">
        <v>1.835</v>
      </c>
      <c r="E1223" s="541">
        <f t="shared" si="184"/>
        <v>2.2294499999999999</v>
      </c>
      <c r="F1223" s="546">
        <f>SUM($E$2:E1223)/SUM($C$2:C1223)</f>
        <v>8.8177493318913596E-3</v>
      </c>
      <c r="G1223" s="536">
        <f t="shared" si="185"/>
        <v>33.919059999999973</v>
      </c>
      <c r="H1223" s="547" t="s">
        <v>284</v>
      </c>
      <c r="I1223" s="2"/>
      <c r="J1223" s="2"/>
      <c r="K1223" s="2"/>
      <c r="L1223" s="2"/>
      <c r="O1223" s="58"/>
      <c r="P1223" s="58"/>
    </row>
    <row r="1224" spans="2:16">
      <c r="B1224" s="652"/>
      <c r="C1224" s="539">
        <v>2.67</v>
      </c>
      <c r="D1224" s="542"/>
      <c r="E1224" s="542">
        <f t="shared" si="184"/>
        <v>-2.67</v>
      </c>
      <c r="F1224" s="549">
        <f>SUM($E$2:E1224)/SUM($C$2:C1224)</f>
        <v>8.118009534077146E-3</v>
      </c>
      <c r="G1224" s="535">
        <f t="shared" si="185"/>
        <v>31.249059999999972</v>
      </c>
      <c r="H1224" s="550" t="s">
        <v>432</v>
      </c>
      <c r="I1224" s="2"/>
      <c r="J1224" s="2"/>
      <c r="K1224" s="2"/>
      <c r="L1224" s="2"/>
      <c r="O1224" s="58"/>
      <c r="P1224" s="58"/>
    </row>
    <row r="1225" spans="2:16">
      <c r="B1225" s="652"/>
      <c r="C1225" s="582">
        <v>2.67</v>
      </c>
      <c r="D1225" s="541">
        <v>2.46</v>
      </c>
      <c r="E1225" s="541">
        <f t="shared" si="184"/>
        <v>3.8982000000000001</v>
      </c>
      <c r="F1225" s="546">
        <f>SUM($E$2:E1225)/SUM($C$2:C1225)</f>
        <v>9.1243711091842337E-3</v>
      </c>
      <c r="G1225" s="536">
        <f t="shared" si="185"/>
        <v>35.147259999999974</v>
      </c>
      <c r="H1225" s="547" t="s">
        <v>47</v>
      </c>
      <c r="I1225" s="2"/>
      <c r="J1225" s="2"/>
      <c r="K1225" s="2"/>
      <c r="L1225" s="2"/>
      <c r="O1225" s="58"/>
      <c r="P1225" s="58"/>
    </row>
    <row r="1226" spans="2:16">
      <c r="B1226" s="652"/>
      <c r="C1226" s="582">
        <v>2.67</v>
      </c>
      <c r="D1226" s="541">
        <v>1.9</v>
      </c>
      <c r="E1226" s="541">
        <f t="shared" si="184"/>
        <v>2.4029999999999996</v>
      </c>
      <c r="F1226" s="546">
        <f>SUM($E$2:E1226)/SUM($C$2:C1226)</f>
        <v>9.7414474315703319E-3</v>
      </c>
      <c r="G1226" s="536">
        <f t="shared" si="185"/>
        <v>37.550259999999973</v>
      </c>
      <c r="H1226" s="547" t="s">
        <v>27</v>
      </c>
      <c r="I1226" s="2"/>
      <c r="J1226" s="2"/>
      <c r="K1226" s="2"/>
      <c r="L1226" s="2"/>
      <c r="O1226" s="58"/>
      <c r="P1226" s="58"/>
    </row>
    <row r="1227" spans="2:16">
      <c r="B1227" s="652"/>
      <c r="C1227" s="539">
        <v>2.67</v>
      </c>
      <c r="D1227" s="542"/>
      <c r="E1227" s="542">
        <f t="shared" si="184"/>
        <v>-2.67</v>
      </c>
      <c r="F1227" s="549">
        <f>SUM($E$2:E1227)/SUM($C$2:C1227)</f>
        <v>9.0425213099114016E-3</v>
      </c>
      <c r="G1227" s="535">
        <f t="shared" si="185"/>
        <v>34.880259999999971</v>
      </c>
      <c r="H1227" s="550" t="s">
        <v>38</v>
      </c>
      <c r="I1227" s="2">
        <f>SUM(E1212:E1227)</f>
        <v>13.091009999999999</v>
      </c>
      <c r="L1227" s="2">
        <f>I1227/C1227</f>
        <v>4.9029999999999996</v>
      </c>
      <c r="O1227" s="58"/>
      <c r="P1227" s="58"/>
    </row>
    <row r="1228" spans="2:16">
      <c r="B1228" s="650">
        <v>46087</v>
      </c>
      <c r="C1228" s="582">
        <v>3.5</v>
      </c>
      <c r="D1228" s="541"/>
      <c r="E1228" s="541">
        <f t="shared" ref="E1228:E1238" si="186">(C1228*D1228)-C1228</f>
        <v>-3.5</v>
      </c>
      <c r="F1228" s="546">
        <f>SUM($E$2:E1228)/SUM($C$2:C1228)</f>
        <v>8.1277901814621242E-3</v>
      </c>
      <c r="G1228" s="536">
        <f t="shared" ref="G1228:G1238" si="187">G1227+E1228</f>
        <v>31.380259999999971</v>
      </c>
      <c r="H1228" s="547" t="s">
        <v>37</v>
      </c>
      <c r="I1228" s="2"/>
      <c r="J1228" s="2"/>
      <c r="K1228" s="2"/>
      <c r="L1228" s="2"/>
      <c r="O1228" s="58"/>
      <c r="P1228" s="58"/>
    </row>
    <row r="1229" spans="2:16">
      <c r="B1229" s="652"/>
      <c r="C1229" s="582">
        <v>3.5</v>
      </c>
      <c r="D1229" s="541"/>
      <c r="E1229" s="541">
        <f t="shared" si="186"/>
        <v>-3.5</v>
      </c>
      <c r="F1229" s="546">
        <f>SUM($E$2:E1229)/SUM($C$2:C1229)</f>
        <v>7.2147160202465279E-3</v>
      </c>
      <c r="G1229" s="536">
        <f t="shared" si="187"/>
        <v>27.880259999999971</v>
      </c>
      <c r="H1229" s="547" t="s">
        <v>15</v>
      </c>
      <c r="I1229" s="2"/>
      <c r="J1229" s="2"/>
      <c r="K1229" s="2"/>
      <c r="L1229" s="2"/>
      <c r="O1229" s="58"/>
      <c r="P1229" s="58"/>
    </row>
    <row r="1230" spans="2:16">
      <c r="B1230" s="652"/>
      <c r="C1230" s="582">
        <v>3.5</v>
      </c>
      <c r="D1230" s="541">
        <v>1.9</v>
      </c>
      <c r="E1230" s="541">
        <f t="shared" si="186"/>
        <v>3.1499999999999995</v>
      </c>
      <c r="F1230" s="546">
        <f>SUM($E$2:E1230)/SUM($C$2:C1230)</f>
        <v>8.0225913037182996E-3</v>
      </c>
      <c r="G1230" s="536">
        <f t="shared" si="187"/>
        <v>31.03025999999997</v>
      </c>
      <c r="H1230" s="547" t="s">
        <v>59</v>
      </c>
      <c r="I1230" s="2"/>
      <c r="J1230" s="2"/>
      <c r="K1230" s="2"/>
      <c r="L1230" s="2"/>
      <c r="O1230" s="58"/>
      <c r="P1230" s="58"/>
    </row>
    <row r="1231" spans="2:16">
      <c r="B1231" s="652"/>
      <c r="C1231" s="582">
        <v>3.5</v>
      </c>
      <c r="D1231" s="541"/>
      <c r="E1231" s="541">
        <f t="shared" si="186"/>
        <v>-3.5</v>
      </c>
      <c r="F1231" s="546">
        <f>SUM($E$2:E1231)/SUM($C$2:C1231)</f>
        <v>7.1112632253264672E-3</v>
      </c>
      <c r="G1231" s="536">
        <f t="shared" si="187"/>
        <v>27.53025999999997</v>
      </c>
      <c r="H1231" s="547" t="s">
        <v>36</v>
      </c>
      <c r="I1231" s="2"/>
      <c r="J1231" s="2"/>
      <c r="K1231" s="2"/>
      <c r="L1231" s="2"/>
      <c r="O1231" s="58"/>
      <c r="P1231" s="58"/>
    </row>
    <row r="1232" spans="2:16">
      <c r="B1232" s="652"/>
      <c r="C1232" s="539">
        <v>3.5</v>
      </c>
      <c r="D1232" s="542"/>
      <c r="E1232" s="542">
        <f t="shared" si="186"/>
        <v>-3.5</v>
      </c>
      <c r="F1232" s="549">
        <f>SUM($E$2:E1232)/SUM($C$2:C1232)</f>
        <v>6.2015814764920241E-3</v>
      </c>
      <c r="G1232" s="535">
        <f t="shared" si="187"/>
        <v>24.03025999999997</v>
      </c>
      <c r="H1232" s="550" t="s">
        <v>10</v>
      </c>
      <c r="I1232" s="2"/>
      <c r="J1232" s="2"/>
      <c r="K1232" s="2"/>
      <c r="L1232" s="2"/>
      <c r="O1232" s="58"/>
      <c r="P1232" s="58"/>
    </row>
    <row r="1233" spans="2:16">
      <c r="B1233" s="652"/>
      <c r="C1233" s="582">
        <v>3.5</v>
      </c>
      <c r="D1233" s="541">
        <v>1.825</v>
      </c>
      <c r="E1233" s="541">
        <f t="shared" si="186"/>
        <v>2.8875000000000002</v>
      </c>
      <c r="F1233" s="546">
        <f>SUM($E$2:E1233)/SUM($C$2:C1233)</f>
        <v>6.9405006239750501E-3</v>
      </c>
      <c r="G1233" s="536">
        <f t="shared" si="187"/>
        <v>26.917759999999969</v>
      </c>
      <c r="H1233" s="547" t="s">
        <v>433</v>
      </c>
      <c r="I1233" s="2"/>
      <c r="J1233" s="2"/>
      <c r="K1233" s="2"/>
      <c r="L1233" s="2"/>
      <c r="O1233" s="58"/>
      <c r="P1233" s="58"/>
    </row>
    <row r="1234" spans="2:16">
      <c r="B1234" s="652"/>
      <c r="C1234" s="582">
        <v>3.5</v>
      </c>
      <c r="D1234" s="541"/>
      <c r="E1234" s="541">
        <f t="shared" si="186"/>
        <v>-3.5</v>
      </c>
      <c r="F1234" s="546">
        <f>SUM($E$2:E1234)/SUM($C$2:C1234)</f>
        <v>6.0326132318012206E-3</v>
      </c>
      <c r="G1234" s="536">
        <f t="shared" si="187"/>
        <v>23.417759999999969</v>
      </c>
      <c r="H1234" s="547" t="s">
        <v>434</v>
      </c>
      <c r="I1234" s="2"/>
      <c r="J1234" s="2"/>
      <c r="K1234" s="2"/>
      <c r="L1234" s="2"/>
      <c r="O1234" s="58"/>
      <c r="P1234" s="58"/>
    </row>
    <row r="1235" spans="2:16">
      <c r="B1235" s="652"/>
      <c r="C1235" s="582">
        <v>3.5</v>
      </c>
      <c r="D1235" s="541"/>
      <c r="E1235" s="541">
        <f t="shared" si="186"/>
        <v>-3.5</v>
      </c>
      <c r="F1235" s="546">
        <f>SUM($E$2:E1235)/SUM($C$2:C1235)</f>
        <v>5.1263615211974952E-3</v>
      </c>
      <c r="G1235" s="536">
        <f t="shared" si="187"/>
        <v>19.917759999999969</v>
      </c>
      <c r="H1235" s="547" t="s">
        <v>435</v>
      </c>
      <c r="I1235" s="2"/>
      <c r="J1235" s="2"/>
      <c r="K1235" s="2"/>
      <c r="L1235" s="2"/>
      <c r="O1235" s="58"/>
      <c r="P1235" s="58"/>
    </row>
    <row r="1236" spans="2:16">
      <c r="B1236" s="652"/>
      <c r="C1236" s="582">
        <v>3.5</v>
      </c>
      <c r="D1236" s="541"/>
      <c r="E1236" s="541">
        <f t="shared" si="186"/>
        <v>-3.5</v>
      </c>
      <c r="F1236" s="546">
        <f>SUM($E$2:E1236)/SUM($C$2:C1236)</f>
        <v>4.2217410757908261E-3</v>
      </c>
      <c r="G1236" s="536">
        <f t="shared" si="187"/>
        <v>16.417759999999969</v>
      </c>
      <c r="H1236" s="547" t="s">
        <v>23</v>
      </c>
      <c r="I1236" s="2"/>
      <c r="J1236" s="2"/>
      <c r="K1236" s="2"/>
      <c r="L1236" s="2"/>
      <c r="O1236" s="58"/>
      <c r="P1236" s="58"/>
    </row>
    <row r="1237" spans="2:16">
      <c r="B1237" s="652"/>
      <c r="C1237" s="582">
        <v>3.5</v>
      </c>
      <c r="D1237" s="541">
        <v>1.968</v>
      </c>
      <c r="E1237" s="541">
        <f t="shared" si="186"/>
        <v>3.3879999999999999</v>
      </c>
      <c r="F1237" s="546">
        <f>SUM($E$2:E1237)/SUM($C$2:C1237)</f>
        <v>5.0883679824065354E-3</v>
      </c>
      <c r="G1237" s="536">
        <f t="shared" si="187"/>
        <v>19.805759999999971</v>
      </c>
      <c r="H1237" s="547" t="s">
        <v>436</v>
      </c>
      <c r="I1237" s="2"/>
      <c r="J1237" s="2"/>
      <c r="K1237" s="2"/>
      <c r="L1237" s="2"/>
      <c r="O1237" s="58"/>
      <c r="P1237" s="58"/>
    </row>
    <row r="1238" spans="2:16">
      <c r="B1238" s="651"/>
      <c r="C1238" s="539">
        <v>3.5</v>
      </c>
      <c r="D1238" s="542"/>
      <c r="E1238" s="542">
        <f t="shared" si="186"/>
        <v>-3.5</v>
      </c>
      <c r="F1238" s="549">
        <f>SUM($E$2:E1238)/SUM($C$2:C1238)</f>
        <v>4.1854070731494235E-3</v>
      </c>
      <c r="G1238" s="535">
        <f t="shared" si="187"/>
        <v>16.305759999999971</v>
      </c>
      <c r="H1238" s="550" t="s">
        <v>437</v>
      </c>
      <c r="I1238" s="2">
        <f>SUM(E1228:E1238)</f>
        <v>-18.5745</v>
      </c>
      <c r="L1238" s="2">
        <f>I1238/C1238</f>
        <v>-5.3070000000000004</v>
      </c>
      <c r="O1238" s="58"/>
      <c r="P1238" s="58"/>
    </row>
    <row r="1239" spans="2:16">
      <c r="B1239" s="652">
        <v>46088</v>
      </c>
      <c r="C1239" s="582">
        <v>3.98</v>
      </c>
      <c r="D1239" s="541">
        <v>1.8260000000000001</v>
      </c>
      <c r="E1239" s="541">
        <f t="shared" ref="E1239:E1247" si="188">(C1239*D1239)-C1239</f>
        <v>3.28748</v>
      </c>
      <c r="F1239" s="546">
        <f>SUM($E$2:E1239)/SUM($C$2:C1239)</f>
        <v>5.0241138097972997E-3</v>
      </c>
      <c r="G1239" s="536">
        <f t="shared" ref="G1239:G1247" si="189">G1238+E1239</f>
        <v>19.59323999999997</v>
      </c>
      <c r="H1239" s="547" t="s">
        <v>97</v>
      </c>
      <c r="I1239" s="2"/>
      <c r="J1239" s="2"/>
      <c r="K1239" s="2"/>
      <c r="L1239" s="2"/>
      <c r="O1239" s="58"/>
      <c r="P1239" s="58"/>
    </row>
    <row r="1240" spans="2:16">
      <c r="B1240" s="652"/>
      <c r="C1240" s="582">
        <v>3.98</v>
      </c>
      <c r="D1240" s="541"/>
      <c r="E1240" s="541">
        <f t="shared" si="188"/>
        <v>-3.98</v>
      </c>
      <c r="F1240" s="546">
        <f>SUM($E$2:E1240)/SUM($C$2:C1240)</f>
        <v>3.9994774349226946E-3</v>
      </c>
      <c r="G1240" s="536">
        <f t="shared" si="189"/>
        <v>15.613239999999969</v>
      </c>
      <c r="H1240" s="547" t="s">
        <v>14</v>
      </c>
      <c r="I1240" s="2"/>
      <c r="J1240" s="2"/>
      <c r="K1240" s="2"/>
      <c r="L1240" s="2"/>
      <c r="O1240" s="58"/>
      <c r="P1240" s="58"/>
    </row>
    <row r="1241" spans="2:16">
      <c r="B1241" s="652"/>
      <c r="C1241" s="582">
        <v>3.98</v>
      </c>
      <c r="D1241" s="541">
        <v>1.7749999999999999</v>
      </c>
      <c r="E1241" s="541">
        <f t="shared" si="188"/>
        <v>3.0844999999999998</v>
      </c>
      <c r="F1241" s="546">
        <f>SUM($E$2:E1241)/SUM($C$2:C1241)</f>
        <v>4.7847228619683456E-3</v>
      </c>
      <c r="G1241" s="536">
        <f t="shared" si="189"/>
        <v>18.697739999999968</v>
      </c>
      <c r="H1241" s="547" t="s">
        <v>34</v>
      </c>
      <c r="I1241" s="2"/>
      <c r="J1241" s="2"/>
      <c r="K1241" s="2"/>
      <c r="L1241" s="2"/>
      <c r="O1241" s="58"/>
      <c r="P1241" s="58"/>
    </row>
    <row r="1242" spans="2:16">
      <c r="B1242" s="652"/>
      <c r="C1242" s="539">
        <v>3.98</v>
      </c>
      <c r="D1242" s="542">
        <v>1.8260000000000001</v>
      </c>
      <c r="E1242" s="542">
        <f t="shared" si="188"/>
        <v>3.28748</v>
      </c>
      <c r="F1242" s="549">
        <f>SUM($E$2:E1242)/SUM($C$2:C1242)</f>
        <v>5.6202598305630401E-3</v>
      </c>
      <c r="G1242" s="535">
        <f t="shared" si="189"/>
        <v>21.985219999999966</v>
      </c>
      <c r="H1242" s="550" t="s">
        <v>30</v>
      </c>
      <c r="I1242" s="2"/>
      <c r="J1242" s="2"/>
      <c r="K1242" s="2"/>
      <c r="L1242" s="2"/>
      <c r="O1242" s="58"/>
      <c r="P1242" s="58"/>
    </row>
    <row r="1243" spans="2:16">
      <c r="B1243" s="652"/>
      <c r="C1243" s="582">
        <v>3.98</v>
      </c>
      <c r="D1243" s="541"/>
      <c r="E1243" s="541">
        <f t="shared" si="188"/>
        <v>-3.98</v>
      </c>
      <c r="F1243" s="546">
        <f>SUM($E$2:E1243)/SUM($C$2:C1243)</f>
        <v>4.5981418677344633E-3</v>
      </c>
      <c r="G1243" s="536">
        <f t="shared" si="189"/>
        <v>18.005219999999966</v>
      </c>
      <c r="H1243" s="547" t="s">
        <v>438</v>
      </c>
      <c r="I1243" s="2"/>
      <c r="J1243" s="2"/>
      <c r="K1243" s="2"/>
      <c r="L1243" s="2"/>
      <c r="O1243" s="58"/>
      <c r="P1243" s="58"/>
    </row>
    <row r="1244" spans="2:16">
      <c r="B1244" s="652"/>
      <c r="C1244" s="582">
        <v>3.98</v>
      </c>
      <c r="D1244" s="541"/>
      <c r="E1244" s="541">
        <f t="shared" si="188"/>
        <v>-3.98</v>
      </c>
      <c r="F1244" s="546">
        <f>SUM($E$2:E1244)/SUM($C$2:C1244)</f>
        <v>3.5780995678284569E-3</v>
      </c>
      <c r="G1244" s="536">
        <f t="shared" si="189"/>
        <v>14.025219999999965</v>
      </c>
      <c r="H1244" s="547" t="s">
        <v>178</v>
      </c>
      <c r="I1244" s="2"/>
      <c r="J1244" s="2"/>
      <c r="K1244" s="2"/>
      <c r="L1244" s="2"/>
      <c r="O1244" s="58"/>
      <c r="P1244" s="58"/>
    </row>
    <row r="1245" spans="2:16">
      <c r="B1245" s="652"/>
      <c r="C1245" s="539">
        <v>3.98</v>
      </c>
      <c r="D1245" s="542">
        <v>1.835</v>
      </c>
      <c r="E1245" s="542">
        <f t="shared" si="188"/>
        <v>3.3233000000000001</v>
      </c>
      <c r="F1245" s="549">
        <f>SUM($E$2:E1245)/SUM($C$2:C1245)</f>
        <v>4.4214469941789691E-3</v>
      </c>
      <c r="G1245" s="535">
        <f t="shared" si="189"/>
        <v>17.348519999999965</v>
      </c>
      <c r="H1245" s="550" t="s">
        <v>439</v>
      </c>
      <c r="I1245" s="2"/>
      <c r="J1245" s="2"/>
      <c r="K1245" s="2"/>
      <c r="L1245" s="2"/>
      <c r="O1245" s="58"/>
      <c r="P1245" s="58"/>
    </row>
    <row r="1246" spans="2:16">
      <c r="B1246" s="652"/>
      <c r="C1246" s="582">
        <v>3.98</v>
      </c>
      <c r="D1246" s="541">
        <v>7.6</v>
      </c>
      <c r="E1246" s="541">
        <f t="shared" si="188"/>
        <v>26.267999999999997</v>
      </c>
      <c r="F1246" s="546">
        <f>SUM($E$2:E1246)/SUM($C$2:C1246)</f>
        <v>1.1104850166764216E-2</v>
      </c>
      <c r="G1246" s="536">
        <f t="shared" si="189"/>
        <v>43.616519999999966</v>
      </c>
      <c r="H1246" s="547" t="s">
        <v>28</v>
      </c>
      <c r="I1246" s="2"/>
      <c r="J1246" s="2"/>
      <c r="K1246" s="2"/>
      <c r="L1246" s="2"/>
      <c r="O1246" s="58"/>
      <c r="P1246" s="58"/>
    </row>
    <row r="1247" spans="2:16">
      <c r="B1247" s="652"/>
      <c r="C1247" s="539">
        <v>3.98</v>
      </c>
      <c r="D1247" s="542"/>
      <c r="E1247" s="542">
        <f t="shared" si="188"/>
        <v>-3.98</v>
      </c>
      <c r="F1247" s="549">
        <f>SUM($E$2:E1247)/SUM($C$2:C1247)</f>
        <v>1.0081318927277863E-2</v>
      </c>
      <c r="G1247" s="535">
        <f t="shared" si="189"/>
        <v>39.636519999999969</v>
      </c>
      <c r="H1247" s="550" t="s">
        <v>26</v>
      </c>
      <c r="I1247" s="2">
        <f>SUM(E1239:E1247)</f>
        <v>23.330759999999998</v>
      </c>
      <c r="L1247" s="2">
        <f>I1247/C1247</f>
        <v>5.8619999999999992</v>
      </c>
      <c r="O1247" s="58"/>
      <c r="P1247" s="58"/>
    </row>
    <row r="1248" spans="2:16">
      <c r="B1248" s="650">
        <v>46089</v>
      </c>
      <c r="C1248" s="582">
        <v>2.4700000000000002</v>
      </c>
      <c r="D1248" s="541">
        <v>1.774</v>
      </c>
      <c r="E1248" s="541">
        <f t="shared" ref="E1248:E1266" si="190">(C1248*D1248)-C1248</f>
        <v>1.9117799999999998</v>
      </c>
      <c r="F1248" s="546">
        <f>SUM($E$2:E1248)/SUM($C$2:C1248)</f>
        <v>1.0560934382268043E-2</v>
      </c>
      <c r="G1248" s="536">
        <f t="shared" ref="G1248:G1266" si="191">G1247+E1248</f>
        <v>41.548299999999969</v>
      </c>
      <c r="H1248" s="547" t="s">
        <v>46</v>
      </c>
      <c r="I1248" s="2"/>
      <c r="J1248" s="2"/>
      <c r="K1248" s="2"/>
      <c r="L1248" s="2"/>
      <c r="O1248" s="58"/>
      <c r="P1248" s="58"/>
    </row>
    <row r="1249" spans="2:16">
      <c r="B1249" s="652"/>
      <c r="C1249" s="582">
        <v>2.4700000000000002</v>
      </c>
      <c r="D1249" s="541"/>
      <c r="E1249" s="541">
        <f t="shared" si="190"/>
        <v>-2.4700000000000002</v>
      </c>
      <c r="F1249" s="546">
        <f>SUM($E$2:E1249)/SUM($C$2:C1249)</f>
        <v>9.9268661948574751E-3</v>
      </c>
      <c r="G1249" s="536">
        <f t="shared" si="191"/>
        <v>39.07829999999997</v>
      </c>
      <c r="H1249" s="547" t="s">
        <v>16</v>
      </c>
      <c r="I1249" s="2"/>
      <c r="J1249" s="2"/>
      <c r="K1249" s="2"/>
      <c r="L1249" s="2"/>
      <c r="O1249" s="58"/>
      <c r="P1249" s="58"/>
    </row>
    <row r="1250" spans="2:16">
      <c r="B1250" s="652"/>
      <c r="C1250" s="582">
        <v>2.4700000000000002</v>
      </c>
      <c r="D1250" s="541"/>
      <c r="E1250" s="541">
        <f t="shared" si="190"/>
        <v>-2.4700000000000002</v>
      </c>
      <c r="F1250" s="546">
        <f>SUM($E$2:E1250)/SUM($C$2:C1250)</f>
        <v>9.2935931903053368E-3</v>
      </c>
      <c r="G1250" s="536">
        <f t="shared" si="191"/>
        <v>36.608299999999971</v>
      </c>
      <c r="H1250" s="547" t="s">
        <v>25</v>
      </c>
      <c r="I1250" s="2"/>
      <c r="J1250" s="2"/>
      <c r="K1250" s="2"/>
      <c r="L1250" s="2"/>
      <c r="O1250" s="58"/>
      <c r="P1250" s="58"/>
    </row>
    <row r="1251" spans="2:16">
      <c r="B1251" s="652"/>
      <c r="C1251" s="582">
        <v>2.4700000000000002</v>
      </c>
      <c r="D1251" s="541"/>
      <c r="E1251" s="541">
        <f t="shared" si="190"/>
        <v>-2.4700000000000002</v>
      </c>
      <c r="F1251" s="546">
        <f>SUM($E$2:E1251)/SUM($C$2:C1251)</f>
        <v>8.6611138736946442E-3</v>
      </c>
      <c r="G1251" s="536">
        <f t="shared" si="191"/>
        <v>34.138299999999973</v>
      </c>
      <c r="H1251" s="547" t="s">
        <v>13</v>
      </c>
      <c r="I1251" s="2"/>
      <c r="J1251" s="2"/>
      <c r="K1251" s="2"/>
      <c r="L1251" s="2"/>
      <c r="O1251" s="58"/>
      <c r="P1251" s="58"/>
    </row>
    <row r="1252" spans="2:16">
      <c r="B1252" s="652"/>
      <c r="C1252" s="582">
        <v>2.4700000000000002</v>
      </c>
      <c r="D1252" s="541"/>
      <c r="E1252" s="541">
        <f t="shared" si="190"/>
        <v>-2.4700000000000002</v>
      </c>
      <c r="F1252" s="546">
        <f>SUM($E$2:E1252)/SUM($C$2:C1252)</f>
        <v>8.0294267538532586E-3</v>
      </c>
      <c r="G1252" s="536">
        <f t="shared" si="191"/>
        <v>31.668299999999974</v>
      </c>
      <c r="H1252" s="547" t="s">
        <v>34</v>
      </c>
      <c r="I1252" s="2"/>
      <c r="J1252" s="2"/>
      <c r="K1252" s="2"/>
      <c r="L1252" s="2"/>
      <c r="O1252" s="58"/>
      <c r="P1252" s="58"/>
    </row>
    <row r="1253" spans="2:16">
      <c r="B1253" s="652"/>
      <c r="C1253" s="582">
        <v>2.4700000000000002</v>
      </c>
      <c r="D1253" s="541"/>
      <c r="E1253" s="541">
        <f t="shared" si="190"/>
        <v>-2.4700000000000002</v>
      </c>
      <c r="F1253" s="546">
        <f>SUM($E$2:E1253)/SUM($C$2:C1253)</f>
        <v>7.3985303433421719E-3</v>
      </c>
      <c r="G1253" s="536">
        <f t="shared" si="191"/>
        <v>29.198299999999975</v>
      </c>
      <c r="H1253" s="547" t="s">
        <v>52</v>
      </c>
      <c r="I1253" s="2"/>
      <c r="J1253" s="2"/>
      <c r="K1253" s="2"/>
      <c r="L1253" s="2"/>
      <c r="O1253" s="58"/>
      <c r="P1253" s="58"/>
    </row>
    <row r="1254" spans="2:16">
      <c r="B1254" s="652"/>
      <c r="C1254" s="539">
        <v>2.4700000000000002</v>
      </c>
      <c r="D1254" s="542"/>
      <c r="E1254" s="542">
        <f t="shared" si="190"/>
        <v>-2.4700000000000002</v>
      </c>
      <c r="F1254" s="549">
        <f>SUM($E$2:E1254)/SUM($C$2:C1254)</f>
        <v>6.7684231584438197E-3</v>
      </c>
      <c r="G1254" s="535">
        <f t="shared" si="191"/>
        <v>26.728299999999976</v>
      </c>
      <c r="H1254" s="550" t="s">
        <v>38</v>
      </c>
      <c r="I1254" s="2"/>
      <c r="J1254" s="2"/>
      <c r="K1254" s="2"/>
      <c r="L1254" s="2"/>
      <c r="O1254" s="58"/>
      <c r="P1254" s="58"/>
    </row>
    <row r="1255" spans="2:16">
      <c r="B1255" s="652"/>
      <c r="C1255" s="582">
        <v>2.4700000000000002</v>
      </c>
      <c r="D1255" s="541"/>
      <c r="E1255" s="541">
        <f t="shared" si="190"/>
        <v>-2.4700000000000002</v>
      </c>
      <c r="F1255" s="546">
        <f>SUM($E$2:E1255)/SUM($C$2:C1255)</f>
        <v>6.1391037191504622E-3</v>
      </c>
      <c r="G1255" s="536">
        <f t="shared" si="191"/>
        <v>24.258299999999977</v>
      </c>
      <c r="H1255" s="547" t="s">
        <v>440</v>
      </c>
      <c r="I1255" s="2"/>
      <c r="J1255" s="2"/>
      <c r="K1255" s="2"/>
      <c r="L1255" s="2"/>
      <c r="O1255" s="58"/>
      <c r="P1255" s="58"/>
    </row>
    <row r="1256" spans="2:16">
      <c r="B1256" s="652"/>
      <c r="C1256" s="582">
        <v>2.4700000000000002</v>
      </c>
      <c r="D1256" s="541">
        <v>1.9</v>
      </c>
      <c r="E1256" s="541">
        <f t="shared" si="190"/>
        <v>2.2230000000000003</v>
      </c>
      <c r="F1256" s="546">
        <f>SUM($E$2:E1256)/SUM($C$2:C1256)</f>
        <v>6.6974969081238303E-3</v>
      </c>
      <c r="G1256" s="536">
        <f t="shared" si="191"/>
        <v>26.481299999999976</v>
      </c>
      <c r="H1256" s="547" t="s">
        <v>441</v>
      </c>
      <c r="I1256" s="2"/>
      <c r="J1256" s="2"/>
      <c r="K1256" s="2"/>
      <c r="L1256" s="2"/>
      <c r="O1256" s="58"/>
      <c r="P1256" s="58"/>
    </row>
    <row r="1257" spans="2:16">
      <c r="B1257" s="652"/>
      <c r="C1257" s="582">
        <v>2.4700000000000002</v>
      </c>
      <c r="D1257" s="541"/>
      <c r="E1257" s="541">
        <f t="shared" si="190"/>
        <v>-2.4700000000000002</v>
      </c>
      <c r="F1257" s="546">
        <f>SUM($E$2:E1257)/SUM($C$2:C1257)</f>
        <v>6.0690075270828144E-3</v>
      </c>
      <c r="G1257" s="536">
        <f t="shared" si="191"/>
        <v>24.011299999999977</v>
      </c>
      <c r="H1257" s="547" t="s">
        <v>442</v>
      </c>
      <c r="I1257" s="2"/>
      <c r="J1257" s="2"/>
      <c r="K1257" s="2"/>
      <c r="L1257" s="2"/>
      <c r="O1257" s="58"/>
      <c r="P1257" s="58"/>
    </row>
    <row r="1258" spans="2:16">
      <c r="B1258" s="652"/>
      <c r="C1258" s="582">
        <v>2.4700000000000002</v>
      </c>
      <c r="D1258" s="541"/>
      <c r="E1258" s="541">
        <f t="shared" si="190"/>
        <v>-2.4700000000000002</v>
      </c>
      <c r="F1258" s="546">
        <f>SUM($E$2:E1258)/SUM($C$2:C1258)</f>
        <v>5.441302398423763E-3</v>
      </c>
      <c r="G1258" s="536">
        <f t="shared" si="191"/>
        <v>21.541299999999978</v>
      </c>
      <c r="H1258" s="547" t="s">
        <v>443</v>
      </c>
      <c r="I1258" s="2"/>
      <c r="J1258" s="2"/>
      <c r="K1258" s="2"/>
      <c r="L1258" s="2"/>
      <c r="O1258" s="58"/>
      <c r="P1258" s="58"/>
    </row>
    <row r="1259" spans="2:16">
      <c r="B1259" s="652"/>
      <c r="C1259" s="582">
        <v>2.4700000000000002</v>
      </c>
      <c r="D1259" s="541">
        <v>1.845</v>
      </c>
      <c r="E1259" s="541">
        <f t="shared" si="190"/>
        <v>2.0871499999999998</v>
      </c>
      <c r="F1259" s="546">
        <f>SUM($E$2:E1259)/SUM($C$2:C1259)</f>
        <v>5.9647920390172747E-3</v>
      </c>
      <c r="G1259" s="536">
        <f t="shared" si="191"/>
        <v>23.62844999999998</v>
      </c>
      <c r="H1259" s="547" t="s">
        <v>444</v>
      </c>
      <c r="I1259" s="2"/>
      <c r="J1259" s="2"/>
      <c r="K1259" s="2"/>
      <c r="L1259" s="2"/>
      <c r="O1259" s="58"/>
      <c r="P1259" s="58"/>
    </row>
    <row r="1260" spans="2:16">
      <c r="B1260" s="652"/>
      <c r="C1260" s="539">
        <v>2.4700000000000002</v>
      </c>
      <c r="D1260" s="542">
        <v>1.835</v>
      </c>
      <c r="E1260" s="542">
        <f t="shared" si="190"/>
        <v>2.0624499999999997</v>
      </c>
      <c r="F1260" s="549">
        <f>SUM($E$2:E1260)/SUM($C$2:C1260)</f>
        <v>6.4813978540739807E-3</v>
      </c>
      <c r="G1260" s="535">
        <f t="shared" si="191"/>
        <v>25.690899999999978</v>
      </c>
      <c r="H1260" s="550" t="s">
        <v>445</v>
      </c>
      <c r="I1260" s="2"/>
      <c r="J1260" s="2"/>
      <c r="K1260" s="2"/>
      <c r="L1260" s="2"/>
      <c r="O1260" s="58"/>
      <c r="P1260" s="58"/>
    </row>
    <row r="1261" spans="2:16">
      <c r="B1261" s="652"/>
      <c r="C1261" s="582">
        <v>2.4700000000000002</v>
      </c>
      <c r="D1261" s="541">
        <v>1.992</v>
      </c>
      <c r="E1261" s="541">
        <f t="shared" si="190"/>
        <v>2.4502400000000004</v>
      </c>
      <c r="F1261" s="546">
        <f>SUM($E$2:E1261)/SUM($C$2:C1261)</f>
        <v>7.0951324421495059E-3</v>
      </c>
      <c r="G1261" s="536">
        <f t="shared" si="191"/>
        <v>28.141139999999979</v>
      </c>
      <c r="H1261" s="547" t="s">
        <v>37</v>
      </c>
      <c r="I1261" s="2"/>
      <c r="J1261" s="2"/>
      <c r="K1261" s="2"/>
      <c r="L1261" s="2"/>
      <c r="O1261" s="58"/>
      <c r="P1261" s="58"/>
    </row>
    <row r="1262" spans="2:16">
      <c r="B1262" s="652"/>
      <c r="C1262" s="582">
        <v>2.4700000000000002</v>
      </c>
      <c r="D1262" s="541">
        <v>2.2799999999999998</v>
      </c>
      <c r="E1262" s="541">
        <f t="shared" si="190"/>
        <v>3.1615999999999995</v>
      </c>
      <c r="F1262" s="546">
        <f>SUM($E$2:E1262)/SUM($C$2:C1262)</f>
        <v>7.8873443141760438E-3</v>
      </c>
      <c r="G1262" s="536">
        <f t="shared" si="191"/>
        <v>31.302739999999979</v>
      </c>
      <c r="H1262" s="547" t="s">
        <v>10</v>
      </c>
      <c r="I1262" s="2"/>
      <c r="J1262" s="2"/>
      <c r="K1262" s="2"/>
      <c r="L1262" s="2"/>
      <c r="O1262" s="58"/>
      <c r="P1262" s="58"/>
    </row>
    <row r="1263" spans="2:16">
      <c r="B1263" s="652"/>
      <c r="C1263" s="582">
        <v>2.4700000000000002</v>
      </c>
      <c r="D1263" s="541">
        <v>2.0449999999999999</v>
      </c>
      <c r="E1263" s="541">
        <f t="shared" si="190"/>
        <v>2.5811499999999996</v>
      </c>
      <c r="F1263" s="546">
        <f>SUM($E$2:E1263)/SUM($C$2:C1263)</f>
        <v>8.5324058219177802E-3</v>
      </c>
      <c r="G1263" s="536">
        <f t="shared" si="191"/>
        <v>33.88388999999998</v>
      </c>
      <c r="H1263" s="547" t="s">
        <v>16</v>
      </c>
      <c r="I1263" s="2"/>
      <c r="J1263" s="2"/>
      <c r="K1263" s="2"/>
      <c r="L1263" s="2"/>
      <c r="O1263" s="58"/>
      <c r="P1263" s="58"/>
    </row>
    <row r="1264" spans="2:16">
      <c r="B1264" s="652"/>
      <c r="C1264" s="582">
        <v>2.4700000000000002</v>
      </c>
      <c r="D1264" s="541"/>
      <c r="E1264" s="541">
        <f t="shared" si="190"/>
        <v>-2.4700000000000002</v>
      </c>
      <c r="F1264" s="546">
        <f>SUM($E$2:E1264)/SUM($C$2:C1264)</f>
        <v>7.9055105230177395E-3</v>
      </c>
      <c r="G1264" s="536">
        <f t="shared" si="191"/>
        <v>31.413889999999981</v>
      </c>
      <c r="H1264" s="547" t="s">
        <v>34</v>
      </c>
      <c r="I1264" s="2"/>
      <c r="J1264" s="2"/>
      <c r="K1264" s="2"/>
      <c r="L1264" s="2"/>
      <c r="O1264" s="58"/>
      <c r="P1264" s="58"/>
    </row>
    <row r="1265" spans="2:16">
      <c r="B1265" s="652"/>
      <c r="C1265" s="582">
        <v>2.4700000000000002</v>
      </c>
      <c r="D1265" s="541">
        <v>2.19</v>
      </c>
      <c r="E1265" s="541">
        <f t="shared" si="190"/>
        <v>2.9392999999999998</v>
      </c>
      <c r="F1265" s="546">
        <f>SUM($E$2:E1265)/SUM($C$2:C1265)</f>
        <v>8.6398341104689212E-3</v>
      </c>
      <c r="G1265" s="536">
        <f t="shared" si="191"/>
        <v>34.353189999999984</v>
      </c>
      <c r="H1265" s="547" t="s">
        <v>38</v>
      </c>
      <c r="I1265" s="2"/>
      <c r="J1265" s="2"/>
      <c r="K1265" s="2"/>
      <c r="L1265" s="2"/>
      <c r="O1265" s="58"/>
      <c r="P1265" s="58"/>
    </row>
    <row r="1266" spans="2:16">
      <c r="B1266" s="652"/>
      <c r="C1266" s="539">
        <v>2.4700000000000002</v>
      </c>
      <c r="D1266" s="542">
        <v>2.63</v>
      </c>
      <c r="E1266" s="542">
        <f t="shared" si="190"/>
        <v>4.0260999999999996</v>
      </c>
      <c r="F1266" s="549">
        <f>SUM($E$2:E1266)/SUM($C$2:C1266)</f>
        <v>9.6464066596122482E-3</v>
      </c>
      <c r="G1266" s="535">
        <f t="shared" si="191"/>
        <v>38.379289999999983</v>
      </c>
      <c r="H1266" s="550" t="s">
        <v>36</v>
      </c>
      <c r="I1266" s="490">
        <f>SUM(E1248:E1266)</f>
        <v>-1.2572300000000016</v>
      </c>
      <c r="J1266" s="490">
        <f>SUM(E1184:E1266)</f>
        <v>3.1716899999999866</v>
      </c>
      <c r="L1266" s="2">
        <f>I1266/C1266</f>
        <v>-0.50900000000000056</v>
      </c>
      <c r="O1266" s="58"/>
      <c r="P1266" s="58"/>
    </row>
    <row r="1267" spans="2:16">
      <c r="B1267" s="650">
        <v>46090</v>
      </c>
      <c r="C1267" s="582">
        <v>4.92</v>
      </c>
      <c r="D1267" s="541">
        <v>1.8069999999999999</v>
      </c>
      <c r="E1267" s="541">
        <f t="shared" ref="E1267:E1271" si="192">(C1267*D1267)-C1267</f>
        <v>3.97044</v>
      </c>
      <c r="F1267" s="546">
        <f>SUM($E$2:E1267)/SUM($C$2:C1267)</f>
        <v>1.0631206492733799E-2</v>
      </c>
      <c r="G1267" s="536">
        <f t="shared" ref="G1267:G1271" si="193">G1266+E1267</f>
        <v>42.34972999999998</v>
      </c>
      <c r="H1267" s="547" t="s">
        <v>46</v>
      </c>
      <c r="I1267" s="2"/>
      <c r="J1267" s="2"/>
      <c r="K1267" s="2"/>
      <c r="L1267" s="2"/>
      <c r="O1267" s="58"/>
      <c r="P1267" s="58"/>
    </row>
    <row r="1268" spans="2:16">
      <c r="B1268" s="652"/>
      <c r="C1268" s="539">
        <v>4.92</v>
      </c>
      <c r="D1268" s="542"/>
      <c r="E1268" s="542">
        <f t="shared" si="192"/>
        <v>-4.92</v>
      </c>
      <c r="F1268" s="549">
        <f>SUM($E$2:E1268)/SUM($C$2:C1268)</f>
        <v>9.3845303313316898E-3</v>
      </c>
      <c r="G1268" s="535">
        <f t="shared" si="193"/>
        <v>37.429729999999978</v>
      </c>
      <c r="H1268" s="550" t="s">
        <v>30</v>
      </c>
      <c r="I1268" s="2"/>
      <c r="J1268" s="2"/>
      <c r="K1268" s="2"/>
      <c r="L1268" s="2"/>
      <c r="O1268" s="58"/>
      <c r="P1268" s="58"/>
    </row>
    <row r="1269" spans="2:16">
      <c r="B1269" s="652"/>
      <c r="C1269" s="539">
        <v>4.92</v>
      </c>
      <c r="D1269" s="542"/>
      <c r="E1269" s="542">
        <f t="shared" si="192"/>
        <v>-4.92</v>
      </c>
      <c r="F1269" s="549">
        <f>SUM($E$2:E1269)/SUM($C$2:C1269)</f>
        <v>8.1409260849858375E-3</v>
      </c>
      <c r="G1269" s="535">
        <f t="shared" si="193"/>
        <v>32.509729999999976</v>
      </c>
      <c r="H1269" s="550" t="s">
        <v>409</v>
      </c>
      <c r="I1269" s="2"/>
      <c r="J1269" s="2"/>
      <c r="K1269" s="2"/>
      <c r="L1269" s="2"/>
      <c r="O1269" s="58"/>
      <c r="P1269" s="58"/>
    </row>
    <row r="1270" spans="2:16">
      <c r="B1270" s="652"/>
      <c r="C1270" s="582">
        <v>4.92</v>
      </c>
      <c r="D1270" s="541">
        <v>2.1</v>
      </c>
      <c r="E1270" s="541">
        <f t="shared" si="192"/>
        <v>5.4120000000000008</v>
      </c>
      <c r="F1270" s="546">
        <f>SUM($E$2:E1270)/SUM($C$2:C1270)</f>
        <v>9.4844871182430176E-3</v>
      </c>
      <c r="G1270" s="536">
        <f t="shared" si="193"/>
        <v>37.921729999999975</v>
      </c>
      <c r="H1270" s="547" t="s">
        <v>28</v>
      </c>
      <c r="I1270" s="2"/>
      <c r="J1270" s="2"/>
      <c r="K1270" s="2"/>
      <c r="L1270" s="2"/>
      <c r="O1270" s="58"/>
      <c r="P1270" s="58"/>
    </row>
    <row r="1271" spans="2:16">
      <c r="B1271" s="652"/>
      <c r="C1271" s="539">
        <v>4.92</v>
      </c>
      <c r="D1271" s="542">
        <v>2.08</v>
      </c>
      <c r="E1271" s="542">
        <f t="shared" si="192"/>
        <v>5.313600000000001</v>
      </c>
      <c r="F1271" s="549">
        <f>SUM($E$2:E1271)/SUM($C$2:C1271)</f>
        <v>1.0800165367292714E-2</v>
      </c>
      <c r="G1271" s="535">
        <f t="shared" si="193"/>
        <v>43.235329999999976</v>
      </c>
      <c r="H1271" s="550" t="s">
        <v>18</v>
      </c>
      <c r="I1271" s="2">
        <f>SUM(E1267:E1271)</f>
        <v>4.8560400000000019</v>
      </c>
      <c r="L1271" s="2">
        <f>I1271/C1271</f>
        <v>0.98700000000000043</v>
      </c>
      <c r="O1271" s="58"/>
      <c r="P1271" s="58"/>
    </row>
    <row r="1272" spans="2:16">
      <c r="B1272" s="650">
        <v>46091</v>
      </c>
      <c r="C1272" s="582">
        <v>2.25</v>
      </c>
      <c r="D1272" s="541"/>
      <c r="E1272" s="541">
        <f t="shared" ref="E1272:E1284" si="194">(C1272*D1272)-C1272</f>
        <v>-2.25</v>
      </c>
      <c r="F1272" s="546">
        <f>SUM($E$2:E1272)/SUM($C$2:C1272)</f>
        <v>1.0232365321336343E-2</v>
      </c>
      <c r="G1272" s="536">
        <f t="shared" ref="G1272:G1284" si="195">G1271+E1272</f>
        <v>40.985329999999976</v>
      </c>
      <c r="H1272" s="547" t="s">
        <v>51</v>
      </c>
      <c r="I1272" s="2"/>
      <c r="J1272" s="2"/>
      <c r="K1272" s="2"/>
      <c r="L1272" s="2"/>
      <c r="O1272" s="58"/>
      <c r="P1272" s="58"/>
    </row>
    <row r="1273" spans="2:16">
      <c r="B1273" s="652"/>
      <c r="C1273" s="582">
        <v>2.25</v>
      </c>
      <c r="D1273" s="541"/>
      <c r="E1273" s="541">
        <f t="shared" si="194"/>
        <v>-2.25</v>
      </c>
      <c r="F1273" s="546">
        <f>SUM($E$2:E1273)/SUM($C$2:C1273)</f>
        <v>9.6652028215614087E-3</v>
      </c>
      <c r="G1273" s="536">
        <f t="shared" si="195"/>
        <v>38.735329999999976</v>
      </c>
      <c r="H1273" s="547" t="s">
        <v>28</v>
      </c>
      <c r="I1273" s="2"/>
      <c r="J1273" s="2"/>
      <c r="K1273" s="2"/>
      <c r="L1273" s="2"/>
      <c r="O1273" s="58"/>
      <c r="P1273" s="58"/>
    </row>
    <row r="1274" spans="2:16">
      <c r="B1274" s="652"/>
      <c r="C1274" s="582">
        <v>2.25</v>
      </c>
      <c r="D1274" s="541"/>
      <c r="E1274" s="541">
        <f t="shared" si="194"/>
        <v>-2.25</v>
      </c>
      <c r="F1274" s="546">
        <f>SUM($E$2:E1274)/SUM($C$2:C1274)</f>
        <v>9.098676794780965E-3</v>
      </c>
      <c r="G1274" s="536">
        <f t="shared" si="195"/>
        <v>36.485329999999976</v>
      </c>
      <c r="H1274" s="547" t="s">
        <v>16</v>
      </c>
      <c r="I1274" s="2"/>
      <c r="J1274" s="2"/>
      <c r="K1274" s="2"/>
      <c r="L1274" s="2"/>
      <c r="O1274" s="58"/>
      <c r="P1274" s="58"/>
    </row>
    <row r="1275" spans="2:16">
      <c r="B1275" s="652"/>
      <c r="C1275" s="582">
        <v>2.25</v>
      </c>
      <c r="D1275" s="541">
        <v>1.8160000000000001</v>
      </c>
      <c r="E1275" s="541">
        <f t="shared" si="194"/>
        <v>1.8360000000000003</v>
      </c>
      <c r="F1275" s="546">
        <f>SUM($E$2:E1275)/SUM($C$2:C1275)</f>
        <v>9.5511775305878489E-3</v>
      </c>
      <c r="G1275" s="536">
        <f t="shared" si="195"/>
        <v>38.321329999999975</v>
      </c>
      <c r="H1275" s="547" t="s">
        <v>14</v>
      </c>
      <c r="I1275" s="2"/>
      <c r="J1275" s="2"/>
      <c r="K1275" s="2"/>
      <c r="L1275" s="2"/>
      <c r="O1275" s="58"/>
      <c r="P1275" s="58"/>
    </row>
    <row r="1276" spans="2:16">
      <c r="B1276" s="652"/>
      <c r="C1276" s="539">
        <v>2.25</v>
      </c>
      <c r="D1276" s="542">
        <v>1.84</v>
      </c>
      <c r="E1276" s="542">
        <f t="shared" si="194"/>
        <v>1.8900000000000006</v>
      </c>
      <c r="F1276" s="549">
        <f>SUM($E$2:E1276)/SUM($C$2:C1276)</f>
        <v>1.0016622409987861E-2</v>
      </c>
      <c r="G1276" s="535">
        <f t="shared" si="195"/>
        <v>40.211329999999975</v>
      </c>
      <c r="H1276" s="550" t="s">
        <v>38</v>
      </c>
      <c r="I1276" s="2"/>
      <c r="J1276" s="2"/>
      <c r="K1276" s="2"/>
      <c r="L1276" s="2"/>
      <c r="O1276" s="58"/>
      <c r="P1276" s="58"/>
    </row>
    <row r="1277" spans="2:16">
      <c r="B1277" s="652"/>
      <c r="C1277" s="582">
        <v>2.25</v>
      </c>
      <c r="D1277" s="541">
        <v>1.9</v>
      </c>
      <c r="E1277" s="541">
        <f t="shared" si="194"/>
        <v>2.0249999999999995</v>
      </c>
      <c r="F1277" s="546">
        <f>SUM($E$2:E1277)/SUM($C$2:C1277)</f>
        <v>1.0515155438157064E-2</v>
      </c>
      <c r="G1277" s="536">
        <f t="shared" si="195"/>
        <v>42.236329999999974</v>
      </c>
      <c r="H1277" s="547" t="s">
        <v>446</v>
      </c>
      <c r="I1277" s="2"/>
      <c r="J1277" s="2"/>
      <c r="K1277" s="2"/>
      <c r="L1277" s="2"/>
      <c r="O1277" s="58"/>
      <c r="P1277" s="58"/>
    </row>
    <row r="1278" spans="2:16">
      <c r="B1278" s="652"/>
      <c r="C1278" s="582">
        <v>2.25</v>
      </c>
      <c r="D1278" s="541"/>
      <c r="E1278" s="541">
        <f t="shared" si="194"/>
        <v>-2.25</v>
      </c>
      <c r="F1278" s="546">
        <f>SUM($E$2:E1278)/SUM($C$2:C1278)</f>
        <v>9.9494222385890559E-3</v>
      </c>
      <c r="G1278" s="536">
        <f t="shared" si="195"/>
        <v>39.986329999999974</v>
      </c>
      <c r="H1278" s="547" t="s">
        <v>447</v>
      </c>
      <c r="I1278" s="2"/>
      <c r="J1278" s="2"/>
      <c r="K1278" s="2"/>
      <c r="L1278" s="2"/>
      <c r="O1278" s="58"/>
      <c r="P1278" s="58"/>
    </row>
    <row r="1279" spans="2:16">
      <c r="B1279" s="652"/>
      <c r="C1279" s="582">
        <v>2.25</v>
      </c>
      <c r="D1279" s="541">
        <v>1.87</v>
      </c>
      <c r="E1279" s="541">
        <f t="shared" si="194"/>
        <v>1.9575000000000005</v>
      </c>
      <c r="F1279" s="546">
        <f>SUM($E$2:E1279)/SUM($C$2:C1279)</f>
        <v>1.0430648983763561E-2</v>
      </c>
      <c r="G1279" s="536">
        <f t="shared" si="195"/>
        <v>41.943829999999977</v>
      </c>
      <c r="H1279" s="547" t="s">
        <v>448</v>
      </c>
      <c r="I1279" s="2"/>
      <c r="J1279" s="2"/>
      <c r="K1279" s="2"/>
      <c r="L1279" s="2"/>
      <c r="O1279" s="58"/>
      <c r="P1279" s="58"/>
    </row>
    <row r="1280" spans="2:16">
      <c r="B1280" s="652"/>
      <c r="C1280" s="582">
        <v>2.25</v>
      </c>
      <c r="D1280" s="541">
        <v>1.9</v>
      </c>
      <c r="E1280" s="541">
        <f t="shared" si="194"/>
        <v>2.0249999999999995</v>
      </c>
      <c r="F1280" s="546">
        <f>SUM($E$2:E1280)/SUM($C$2:C1280)</f>
        <v>1.0928114110740472E-2</v>
      </c>
      <c r="G1280" s="536">
        <f t="shared" si="195"/>
        <v>43.968829999999976</v>
      </c>
      <c r="H1280" s="547" t="s">
        <v>449</v>
      </c>
      <c r="I1280" s="2"/>
      <c r="J1280" s="2"/>
      <c r="K1280" s="2"/>
      <c r="L1280" s="2"/>
      <c r="O1280" s="58"/>
      <c r="P1280" s="58"/>
    </row>
    <row r="1281" spans="2:16">
      <c r="B1281" s="652"/>
      <c r="C1281" s="582">
        <v>2.25</v>
      </c>
      <c r="D1281" s="541"/>
      <c r="E1281" s="541">
        <f t="shared" si="194"/>
        <v>-2.25</v>
      </c>
      <c r="F1281" s="546">
        <f>SUM($E$2:E1281)/SUM($C$2:C1281)</f>
        <v>1.0363098683213612E-2</v>
      </c>
      <c r="G1281" s="536">
        <f t="shared" si="195"/>
        <v>41.718829999999976</v>
      </c>
      <c r="H1281" s="547" t="s">
        <v>450</v>
      </c>
      <c r="I1281" s="2"/>
      <c r="J1281" s="2"/>
      <c r="K1281" s="2"/>
      <c r="L1281" s="2"/>
      <c r="O1281" s="58"/>
      <c r="P1281" s="58"/>
    </row>
    <row r="1282" spans="2:16">
      <c r="B1282" s="652"/>
      <c r="C1282" s="539">
        <v>2.25</v>
      </c>
      <c r="D1282" s="542">
        <v>1.84</v>
      </c>
      <c r="E1282" s="542">
        <f t="shared" si="194"/>
        <v>1.8900000000000006</v>
      </c>
      <c r="F1282" s="549">
        <f>SUM($E$2:E1282)/SUM($C$2:C1282)</f>
        <v>1.0826530054916102E-2</v>
      </c>
      <c r="G1282" s="535">
        <f t="shared" si="195"/>
        <v>43.608829999999976</v>
      </c>
      <c r="H1282" s="550" t="s">
        <v>451</v>
      </c>
      <c r="I1282" s="2"/>
      <c r="J1282" s="2"/>
      <c r="K1282" s="2"/>
      <c r="L1282" s="2"/>
      <c r="O1282" s="58"/>
      <c r="P1282" s="58"/>
    </row>
    <row r="1283" spans="2:16">
      <c r="B1283" s="652"/>
      <c r="C1283" s="582">
        <v>2.25</v>
      </c>
      <c r="D1283" s="541"/>
      <c r="E1283" s="541">
        <f t="shared" si="194"/>
        <v>-2.25</v>
      </c>
      <c r="F1283" s="546">
        <f>SUM($E$2:E1283)/SUM($C$2:C1283)</f>
        <v>1.0262202217750408E-2</v>
      </c>
      <c r="G1283" s="536">
        <f t="shared" si="195"/>
        <v>41.358829999999976</v>
      </c>
      <c r="H1283" s="547" t="s">
        <v>34</v>
      </c>
      <c r="I1283" s="2"/>
      <c r="J1283" s="2"/>
      <c r="K1283" s="2"/>
      <c r="L1283" s="2"/>
      <c r="O1283" s="58"/>
      <c r="P1283" s="58"/>
    </row>
    <row r="1284" spans="2:16">
      <c r="B1284" s="652"/>
      <c r="C1284" s="539">
        <v>2.25</v>
      </c>
      <c r="D1284" s="542">
        <v>1.984</v>
      </c>
      <c r="E1284" s="542">
        <f t="shared" si="194"/>
        <v>2.2140000000000004</v>
      </c>
      <c r="F1284" s="549">
        <f>SUM($E$2:E1284)/SUM($C$2:C1284)</f>
        <v>1.0805520699523334E-2</v>
      </c>
      <c r="G1284" s="535">
        <f t="shared" si="195"/>
        <v>43.572829999999975</v>
      </c>
      <c r="H1284" s="550" t="s">
        <v>10</v>
      </c>
      <c r="I1284" s="2">
        <f>SUM(E1272:E1284)</f>
        <v>0.33750000000000124</v>
      </c>
      <c r="L1284" s="2">
        <f>I1284/C1284</f>
        <v>0.15000000000000055</v>
      </c>
      <c r="O1284" s="58"/>
      <c r="P1284" s="58"/>
    </row>
    <row r="1285" spans="2:16">
      <c r="B1285" s="650">
        <v>46092</v>
      </c>
      <c r="C1285" s="582">
        <v>4.13</v>
      </c>
      <c r="D1285" s="541"/>
      <c r="E1285" s="541">
        <f t="shared" ref="E1285:E1295" si="196">(C1285*D1285)-C1285</f>
        <v>-4.13</v>
      </c>
      <c r="F1285" s="546">
        <f>SUM($E$2:E1285)/SUM($C$2:C1285)</f>
        <v>9.7713243108663167E-3</v>
      </c>
      <c r="G1285" s="536">
        <f t="shared" ref="G1285:G1295" si="197">G1284+E1285</f>
        <v>39.442829999999972</v>
      </c>
      <c r="H1285" s="547" t="s">
        <v>64</v>
      </c>
      <c r="I1285" s="2"/>
      <c r="J1285" s="2"/>
      <c r="K1285" s="2"/>
      <c r="L1285" s="2"/>
      <c r="O1285" s="58"/>
      <c r="P1285" s="58"/>
    </row>
    <row r="1286" spans="2:16">
      <c r="B1286" s="652"/>
      <c r="C1286" s="582">
        <v>4.13</v>
      </c>
      <c r="D1286" s="541"/>
      <c r="E1286" s="541">
        <f t="shared" si="196"/>
        <v>-4.13</v>
      </c>
      <c r="F1286" s="546">
        <f>SUM($E$2:E1286)/SUM($C$2:C1286)</f>
        <v>8.7392420162742974E-3</v>
      </c>
      <c r="G1286" s="536">
        <f t="shared" si="197"/>
        <v>35.31282999999997</v>
      </c>
      <c r="H1286" s="547" t="s">
        <v>13</v>
      </c>
      <c r="I1286" s="2"/>
      <c r="J1286" s="2"/>
      <c r="K1286" s="2"/>
      <c r="L1286" s="2"/>
      <c r="O1286" s="58"/>
      <c r="P1286" s="58"/>
    </row>
    <row r="1287" spans="2:16">
      <c r="B1287" s="652"/>
      <c r="C1287" s="582">
        <v>4.13</v>
      </c>
      <c r="D1287" s="541"/>
      <c r="E1287" s="541">
        <f t="shared" si="196"/>
        <v>-4.13</v>
      </c>
      <c r="F1287" s="546">
        <f>SUM($E$2:E1287)/SUM($C$2:C1287)</f>
        <v>7.7092673399507738E-3</v>
      </c>
      <c r="G1287" s="536">
        <f t="shared" si="197"/>
        <v>31.182829999999971</v>
      </c>
      <c r="H1287" s="547" t="s">
        <v>59</v>
      </c>
      <c r="I1287" s="2"/>
      <c r="J1287" s="2"/>
      <c r="K1287" s="2"/>
      <c r="L1287" s="2"/>
      <c r="O1287" s="58"/>
      <c r="P1287" s="58"/>
    </row>
    <row r="1288" spans="2:16">
      <c r="B1288" s="652"/>
      <c r="C1288" s="582">
        <v>4.13</v>
      </c>
      <c r="D1288" s="541">
        <v>2.0139999999999998</v>
      </c>
      <c r="E1288" s="541">
        <f t="shared" si="196"/>
        <v>4.1878199999999994</v>
      </c>
      <c r="F1288" s="546">
        <f>SUM($E$2:E1288)/SUM($C$2:C1288)</f>
        <v>8.7356939278534027E-3</v>
      </c>
      <c r="G1288" s="536">
        <f t="shared" si="197"/>
        <v>35.370649999999969</v>
      </c>
      <c r="H1288" s="547" t="s">
        <v>38</v>
      </c>
      <c r="I1288" s="2"/>
      <c r="J1288" s="2"/>
      <c r="K1288" s="2"/>
      <c r="L1288" s="2"/>
      <c r="O1288" s="58"/>
      <c r="P1288" s="58"/>
    </row>
    <row r="1289" spans="2:16">
      <c r="B1289" s="652"/>
      <c r="C1289" s="539">
        <v>4.13</v>
      </c>
      <c r="D1289" s="542"/>
      <c r="E1289" s="542">
        <f t="shared" si="196"/>
        <v>-4.13</v>
      </c>
      <c r="F1289" s="549">
        <f>SUM($E$2:E1289)/SUM($C$2:C1289)</f>
        <v>7.7078218947918718E-3</v>
      </c>
      <c r="G1289" s="535">
        <f t="shared" si="197"/>
        <v>31.24064999999997</v>
      </c>
      <c r="H1289" s="550" t="s">
        <v>18</v>
      </c>
      <c r="I1289" s="2"/>
      <c r="J1289" s="2"/>
      <c r="K1289" s="2"/>
      <c r="L1289" s="2"/>
      <c r="O1289" s="58"/>
      <c r="P1289" s="58"/>
    </row>
    <row r="1290" spans="2:16">
      <c r="B1290" s="652"/>
      <c r="C1290" s="582">
        <v>4.13</v>
      </c>
      <c r="D1290" s="541"/>
      <c r="E1290" s="541">
        <f t="shared" si="196"/>
        <v>-4.13</v>
      </c>
      <c r="F1290" s="546">
        <f>SUM($E$2:E1290)/SUM($C$2:C1290)</f>
        <v>6.6820424722224703E-3</v>
      </c>
      <c r="G1290" s="536">
        <f t="shared" si="197"/>
        <v>27.110649999999971</v>
      </c>
      <c r="H1290" s="547" t="s">
        <v>292</v>
      </c>
      <c r="I1290" s="2"/>
      <c r="J1290" s="2"/>
      <c r="K1290" s="2"/>
      <c r="L1290" s="2"/>
      <c r="O1290" s="58"/>
      <c r="P1290" s="58"/>
    </row>
    <row r="1291" spans="2:16">
      <c r="B1291" s="652"/>
      <c r="C1291" s="582">
        <v>4.13</v>
      </c>
      <c r="D1291" s="541">
        <v>1.86</v>
      </c>
      <c r="E1291" s="541">
        <f t="shared" si="196"/>
        <v>3.5518000000000001</v>
      </c>
      <c r="F1291" s="546">
        <f>SUM($E$2:E1291)/SUM($C$2:C1291)</f>
        <v>7.5497800003446833E-3</v>
      </c>
      <c r="G1291" s="536">
        <f t="shared" si="197"/>
        <v>30.662449999999971</v>
      </c>
      <c r="H1291" s="547" t="s">
        <v>452</v>
      </c>
      <c r="I1291" s="2"/>
      <c r="J1291" s="2"/>
      <c r="K1291" s="2"/>
      <c r="L1291" s="2"/>
      <c r="O1291" s="58"/>
      <c r="P1291" s="58"/>
    </row>
    <row r="1292" spans="2:16">
      <c r="B1292" s="652"/>
      <c r="C1292" s="582">
        <v>4.13</v>
      </c>
      <c r="D1292" s="541"/>
      <c r="E1292" s="541">
        <f t="shared" si="196"/>
        <v>-4.13</v>
      </c>
      <c r="F1292" s="546">
        <f>SUM($E$2:E1292)/SUM($C$2:C1292)</f>
        <v>6.5262452342885E-3</v>
      </c>
      <c r="G1292" s="536">
        <f t="shared" si="197"/>
        <v>26.532449999999972</v>
      </c>
      <c r="H1292" s="547" t="s">
        <v>453</v>
      </c>
      <c r="I1292" s="2"/>
      <c r="J1292" s="2"/>
      <c r="K1292" s="2"/>
      <c r="L1292" s="2"/>
      <c r="O1292" s="58"/>
      <c r="P1292" s="58"/>
    </row>
    <row r="1293" spans="2:16">
      <c r="B1293" s="652"/>
      <c r="C1293" s="582">
        <v>4.13</v>
      </c>
      <c r="D1293" s="541">
        <v>1.96</v>
      </c>
      <c r="E1293" s="541">
        <f t="shared" si="196"/>
        <v>3.9647999999999994</v>
      </c>
      <c r="F1293" s="546">
        <f>SUM($E$2:E1293)/SUM($C$2:C1293)</f>
        <v>7.4938630784616503E-3</v>
      </c>
      <c r="G1293" s="536">
        <f t="shared" si="197"/>
        <v>30.497249999999973</v>
      </c>
      <c r="H1293" s="547" t="s">
        <v>454</v>
      </c>
      <c r="I1293" s="2"/>
      <c r="J1293" s="2"/>
      <c r="K1293" s="2"/>
      <c r="L1293" s="2"/>
      <c r="O1293" s="58"/>
      <c r="P1293" s="58"/>
    </row>
    <row r="1294" spans="2:16">
      <c r="B1294" s="652"/>
      <c r="C1294" s="539">
        <v>4.13</v>
      </c>
      <c r="D1294" s="542"/>
      <c r="E1294" s="542">
        <f t="shared" si="196"/>
        <v>-4.13</v>
      </c>
      <c r="F1294" s="549">
        <f>SUM($E$2:E1294)/SUM($C$2:C1294)</f>
        <v>6.4724603314873482E-3</v>
      </c>
      <c r="G1294" s="535">
        <f t="shared" si="197"/>
        <v>26.367249999999974</v>
      </c>
      <c r="H1294" s="550" t="s">
        <v>455</v>
      </c>
      <c r="I1294" s="2"/>
      <c r="J1294" s="2"/>
      <c r="K1294" s="2"/>
      <c r="L1294" s="2"/>
      <c r="O1294" s="58"/>
      <c r="P1294" s="58"/>
    </row>
    <row r="1295" spans="2:16">
      <c r="B1295" s="652"/>
      <c r="C1295" s="539">
        <v>4.13</v>
      </c>
      <c r="D1295" s="542">
        <v>2.14</v>
      </c>
      <c r="E1295" s="542">
        <f t="shared" si="196"/>
        <v>4.7082000000000006</v>
      </c>
      <c r="F1295" s="549">
        <f>SUM($E$2:E1295)/SUM($C$2:C1295)</f>
        <v>7.6204728425729694E-3</v>
      </c>
      <c r="G1295" s="535">
        <f t="shared" si="197"/>
        <v>31.075449999999975</v>
      </c>
      <c r="H1295" s="550" t="s">
        <v>13</v>
      </c>
      <c r="I1295" s="2">
        <f>SUM(E1285:E1295)</f>
        <v>-12.497379999999996</v>
      </c>
      <c r="L1295" s="2">
        <f>I1295/C1295</f>
        <v>-3.0259999999999994</v>
      </c>
      <c r="O1295" s="58"/>
      <c r="P1295" s="58"/>
    </row>
    <row r="1296" spans="2:16">
      <c r="B1296" s="650">
        <v>46093</v>
      </c>
      <c r="C1296" s="582">
        <v>2.707686851851852</v>
      </c>
      <c r="D1296" s="541"/>
      <c r="E1296" s="541">
        <f t="shared" ref="E1296:E1310" si="198">(C1296*D1296)-C1296</f>
        <v>-2.707686851851852</v>
      </c>
      <c r="F1296" s="546">
        <f>SUM($E$2:E1296)/SUM($C$2:C1296)</f>
        <v>6.951864732843472E-3</v>
      </c>
      <c r="G1296" s="536">
        <f t="shared" ref="G1296:G1310" si="199">G1295+E1296</f>
        <v>28.367763148148121</v>
      </c>
      <c r="H1296" s="547" t="s">
        <v>97</v>
      </c>
      <c r="I1296" s="2"/>
      <c r="J1296" s="2"/>
      <c r="K1296" s="2"/>
      <c r="L1296" s="2"/>
      <c r="O1296" s="58"/>
      <c r="P1296" s="58"/>
    </row>
    <row r="1297" spans="2:16">
      <c r="B1297" s="652"/>
      <c r="C1297" s="582">
        <v>2.707686851851852</v>
      </c>
      <c r="D1297" s="541"/>
      <c r="E1297" s="541">
        <f t="shared" si="198"/>
        <v>-2.707686851851852</v>
      </c>
      <c r="F1297" s="546">
        <f>SUM($E$2:E1297)/SUM($C$2:C1297)</f>
        <v>6.284143346600009E-3</v>
      </c>
      <c r="G1297" s="536">
        <f t="shared" si="199"/>
        <v>25.660076296296268</v>
      </c>
      <c r="H1297" s="547" t="s">
        <v>64</v>
      </c>
      <c r="I1297" s="2"/>
      <c r="J1297" s="2"/>
      <c r="K1297" s="2"/>
      <c r="L1297" s="2"/>
      <c r="O1297" s="58"/>
      <c r="P1297" s="58"/>
    </row>
    <row r="1298" spans="2:16">
      <c r="B1298" s="652"/>
      <c r="C1298" s="582">
        <v>2.707686851851852</v>
      </c>
      <c r="D1298" s="541">
        <v>1.8</v>
      </c>
      <c r="E1298" s="541">
        <f t="shared" si="198"/>
        <v>2.1661494814814821</v>
      </c>
      <c r="F1298" s="546">
        <f>SUM($E$2:E1298)/SUM($C$2:C1298)</f>
        <v>6.8101166994298029E-3</v>
      </c>
      <c r="G1298" s="536">
        <f t="shared" si="199"/>
        <v>27.826225777777751</v>
      </c>
      <c r="H1298" s="547" t="s">
        <v>14</v>
      </c>
      <c r="I1298" s="2"/>
      <c r="J1298" s="2"/>
      <c r="K1298" s="2"/>
      <c r="L1298" s="2"/>
      <c r="O1298" s="58"/>
      <c r="P1298" s="58"/>
    </row>
    <row r="1299" spans="2:16">
      <c r="B1299" s="652"/>
      <c r="C1299" s="582">
        <v>2.707686851851852</v>
      </c>
      <c r="D1299" s="541">
        <v>1.84</v>
      </c>
      <c r="E1299" s="541">
        <f t="shared" si="198"/>
        <v>2.2744569555555563</v>
      </c>
      <c r="F1299" s="546">
        <f>SUM($E$2:E1299)/SUM($C$2:C1299)</f>
        <v>7.361882748392533E-3</v>
      </c>
      <c r="G1299" s="536">
        <f t="shared" si="199"/>
        <v>30.100682733333308</v>
      </c>
      <c r="H1299" s="547" t="s">
        <v>16</v>
      </c>
      <c r="I1299" s="2"/>
      <c r="J1299" s="2"/>
      <c r="K1299" s="2"/>
      <c r="L1299" s="2"/>
      <c r="O1299" s="58"/>
      <c r="P1299" s="58"/>
    </row>
    <row r="1300" spans="2:16">
      <c r="B1300" s="652"/>
      <c r="C1300" s="582">
        <v>2.707686851851852</v>
      </c>
      <c r="D1300" s="541">
        <v>1.83</v>
      </c>
      <c r="E1300" s="541">
        <f t="shared" si="198"/>
        <v>2.2473800870370377</v>
      </c>
      <c r="F1300" s="546">
        <f>SUM($E$2:E1300)/SUM($C$2:C1300)</f>
        <v>7.906300535408672E-3</v>
      </c>
      <c r="G1300" s="536">
        <f t="shared" si="199"/>
        <v>32.348062820370345</v>
      </c>
      <c r="H1300" s="547" t="s">
        <v>26</v>
      </c>
      <c r="I1300" s="2"/>
      <c r="J1300" s="2"/>
      <c r="K1300" s="2"/>
      <c r="L1300" s="2"/>
      <c r="O1300" s="58"/>
      <c r="P1300" s="58"/>
    </row>
    <row r="1301" spans="2:16">
      <c r="B1301" s="652"/>
      <c r="C1301" s="582">
        <v>2.707686851851852</v>
      </c>
      <c r="D1301" s="530"/>
      <c r="E1301" s="541">
        <f t="shared" si="198"/>
        <v>-2.707686851851852</v>
      </c>
      <c r="F1301" s="546">
        <f>SUM($E$2:E1301)/SUM($C$2:C1301)</f>
        <v>7.2397143357496065E-3</v>
      </c>
      <c r="G1301" s="536">
        <f t="shared" si="199"/>
        <v>29.640375968518491</v>
      </c>
      <c r="H1301" s="547" t="s">
        <v>12</v>
      </c>
      <c r="I1301" s="2"/>
      <c r="J1301" s="2"/>
      <c r="K1301" s="2"/>
      <c r="L1301" s="2"/>
      <c r="O1301" s="58"/>
      <c r="P1301" s="58"/>
    </row>
    <row r="1302" spans="2:16">
      <c r="B1302" s="652"/>
      <c r="C1302" s="582">
        <v>2.707686851851852</v>
      </c>
      <c r="D1302" s="585">
        <v>1.91</v>
      </c>
      <c r="E1302" s="541">
        <f t="shared" si="198"/>
        <v>2.4639950351851851</v>
      </c>
      <c r="F1302" s="546">
        <f>SUM($E$2:E1302)/SUM($C$2:C1302)</f>
        <v>7.8363668493543429E-3</v>
      </c>
      <c r="G1302" s="536">
        <f t="shared" si="199"/>
        <v>32.104371003703676</v>
      </c>
      <c r="H1302" s="547" t="s">
        <v>30</v>
      </c>
      <c r="I1302" s="2"/>
      <c r="J1302" s="2"/>
      <c r="K1302" s="2"/>
      <c r="L1302" s="2"/>
      <c r="O1302" s="58"/>
      <c r="P1302" s="58"/>
    </row>
    <row r="1303" spans="2:16">
      <c r="B1303" s="652"/>
      <c r="C1303" s="539">
        <v>2.707686851851852</v>
      </c>
      <c r="D1303" s="584"/>
      <c r="E1303" s="542">
        <f t="shared" si="198"/>
        <v>-2.707686851851852</v>
      </c>
      <c r="F1303" s="549">
        <f>SUM($E$2:E1303)/SUM($C$2:C1303)</f>
        <v>7.1707073783639939E-3</v>
      </c>
      <c r="G1303" s="535">
        <f t="shared" si="199"/>
        <v>29.396684151851822</v>
      </c>
      <c r="H1303" s="550" t="s">
        <v>10</v>
      </c>
      <c r="I1303" s="2"/>
      <c r="J1303" s="2"/>
      <c r="K1303" s="2"/>
      <c r="L1303" s="2"/>
      <c r="O1303" s="58"/>
      <c r="P1303" s="58"/>
    </row>
    <row r="1304" spans="2:16">
      <c r="B1304" s="652"/>
      <c r="C1304" s="582">
        <v>2.707686851851852</v>
      </c>
      <c r="D1304" s="541"/>
      <c r="E1304" s="541">
        <f t="shared" si="198"/>
        <v>-2.707686851851852</v>
      </c>
      <c r="F1304" s="546">
        <f>SUM($E$2:E1304)/SUM($C$2:C1304)</f>
        <v>6.5059266414163224E-3</v>
      </c>
      <c r="G1304" s="536">
        <f t="shared" si="199"/>
        <v>26.688997299999969</v>
      </c>
      <c r="H1304" s="547" t="s">
        <v>456</v>
      </c>
      <c r="I1304" s="2"/>
      <c r="J1304" s="2"/>
      <c r="K1304" s="2"/>
      <c r="L1304" s="2"/>
      <c r="O1304" s="58"/>
      <c r="P1304" s="58"/>
    </row>
    <row r="1305" spans="2:16">
      <c r="B1305" s="652"/>
      <c r="C1305" s="582">
        <v>2.707686851851852</v>
      </c>
      <c r="D1305" s="541">
        <v>1.85</v>
      </c>
      <c r="E1305" s="541">
        <f t="shared" si="198"/>
        <v>2.3015338240740748</v>
      </c>
      <c r="F1305" s="546">
        <f>SUM($E$2:E1305)/SUM($C$2:C1305)</f>
        <v>7.0623057512122214E-3</v>
      </c>
      <c r="G1305" s="536">
        <f t="shared" si="199"/>
        <v>28.990531124074042</v>
      </c>
      <c r="H1305" s="547" t="s">
        <v>386</v>
      </c>
      <c r="I1305" s="2"/>
      <c r="J1305" s="2"/>
      <c r="K1305" s="2"/>
      <c r="L1305" s="2"/>
      <c r="O1305" s="58"/>
      <c r="P1305" s="58"/>
    </row>
    <row r="1306" spans="2:16">
      <c r="B1306" s="652"/>
      <c r="C1306" s="582">
        <v>2.707686851851852</v>
      </c>
      <c r="D1306" s="541">
        <v>1.8560000000000001</v>
      </c>
      <c r="E1306" s="541">
        <f t="shared" si="198"/>
        <v>2.3177799451851859</v>
      </c>
      <c r="F1306" s="546">
        <f>SUM($E$2:E1306)/SUM($C$2:C1306)</f>
        <v>7.6219064210738601E-3</v>
      </c>
      <c r="G1306" s="536">
        <f t="shared" si="199"/>
        <v>31.308311069259229</v>
      </c>
      <c r="H1306" s="547" t="s">
        <v>457</v>
      </c>
      <c r="I1306" s="2"/>
      <c r="J1306" s="2"/>
      <c r="K1306" s="2"/>
      <c r="L1306" s="2"/>
      <c r="O1306" s="58"/>
      <c r="P1306" s="58"/>
    </row>
    <row r="1307" spans="2:16">
      <c r="B1307" s="652"/>
      <c r="C1307" s="582">
        <v>2.707686851851852</v>
      </c>
      <c r="D1307" s="541">
        <v>1.88</v>
      </c>
      <c r="E1307" s="541">
        <f t="shared" si="198"/>
        <v>2.3827644296296295</v>
      </c>
      <c r="F1307" s="546">
        <f>SUM($E$2:E1307)/SUM($C$2:C1307)</f>
        <v>8.1965796642489725E-3</v>
      </c>
      <c r="G1307" s="536">
        <f t="shared" si="199"/>
        <v>33.691075498888857</v>
      </c>
      <c r="H1307" s="547" t="s">
        <v>458</v>
      </c>
      <c r="I1307" s="2"/>
      <c r="J1307" s="2"/>
      <c r="K1307" s="2"/>
      <c r="L1307" s="2"/>
      <c r="O1307" s="58"/>
      <c r="P1307" s="58"/>
    </row>
    <row r="1308" spans="2:16">
      <c r="B1308" s="652"/>
      <c r="C1308" s="582">
        <v>2.707686851851852</v>
      </c>
      <c r="D1308" s="530"/>
      <c r="E1308" s="541">
        <f t="shared" si="198"/>
        <v>-2.707686851851852</v>
      </c>
      <c r="F1308" s="546">
        <f>SUM($E$2:E1308)/SUM($C$2:C1308)</f>
        <v>7.5328741119968174E-3</v>
      </c>
      <c r="G1308" s="536">
        <f t="shared" si="199"/>
        <v>30.983388647037003</v>
      </c>
      <c r="H1308" s="547" t="s">
        <v>459</v>
      </c>
      <c r="I1308" s="2"/>
      <c r="J1308" s="2"/>
      <c r="K1308" s="2"/>
      <c r="L1308" s="2"/>
      <c r="O1308" s="58"/>
      <c r="P1308" s="58"/>
    </row>
    <row r="1309" spans="2:16">
      <c r="B1309" s="652"/>
      <c r="C1309" s="539">
        <v>2.707686851851852</v>
      </c>
      <c r="D1309" s="583"/>
      <c r="E1309" s="542">
        <f t="shared" si="198"/>
        <v>-2.707686851851852</v>
      </c>
      <c r="F1309" s="549">
        <f>SUM($E$2:E1309)/SUM($C$2:C1309)</f>
        <v>6.8700418324198686E-3</v>
      </c>
      <c r="G1309" s="535">
        <f t="shared" si="199"/>
        <v>28.275701795185149</v>
      </c>
      <c r="H1309" s="550" t="s">
        <v>460</v>
      </c>
      <c r="I1309" s="2"/>
      <c r="J1309" s="2"/>
      <c r="K1309" s="2"/>
      <c r="L1309" s="2"/>
      <c r="O1309" s="58"/>
      <c r="P1309" s="58"/>
    </row>
    <row r="1310" spans="2:16">
      <c r="B1310" s="652"/>
      <c r="C1310" s="539">
        <v>2.707686851851852</v>
      </c>
      <c r="D1310" s="542"/>
      <c r="E1310" s="542">
        <f t="shared" si="198"/>
        <v>-2.707686851851852</v>
      </c>
      <c r="F1310" s="549">
        <f>SUM($E$2:E1310)/SUM($C$2:C1310)</f>
        <v>6.2080811031343238E-3</v>
      </c>
      <c r="G1310" s="535">
        <f t="shared" si="199"/>
        <v>25.568014943333296</v>
      </c>
      <c r="H1310" s="550" t="s">
        <v>26</v>
      </c>
      <c r="I1310" s="2">
        <f>SUM(E1296:E1310)</f>
        <v>-5.5074350566666643</v>
      </c>
      <c r="L1310" s="2">
        <f>I1310/C1310</f>
        <v>-2.0339999999999989</v>
      </c>
      <c r="O1310" s="58"/>
      <c r="P1310" s="58"/>
    </row>
    <row r="1311" spans="2:16">
      <c r="B1311" s="650">
        <v>46094</v>
      </c>
      <c r="C1311" s="582">
        <v>3.02</v>
      </c>
      <c r="D1311" s="541"/>
      <c r="E1311" s="541">
        <f t="shared" ref="E1311:E1328" si="200">(C1311*D1311)-C1311</f>
        <v>-3.02</v>
      </c>
      <c r="F1311" s="546">
        <f>SUM($E$2:E1311)/SUM($C$2:C1311)</f>
        <v>5.4707937685440355E-3</v>
      </c>
      <c r="G1311" s="536">
        <f t="shared" ref="G1311:G1328" si="201">G1310+E1311</f>
        <v>22.548014943333296</v>
      </c>
      <c r="H1311" s="547" t="s">
        <v>97</v>
      </c>
      <c r="I1311" s="2"/>
      <c r="J1311" s="2"/>
      <c r="K1311" s="2"/>
      <c r="L1311" s="2"/>
      <c r="O1311" s="58"/>
      <c r="P1311" s="58"/>
    </row>
    <row r="1312" spans="2:16">
      <c r="B1312" s="652"/>
      <c r="C1312" s="582">
        <v>3.02</v>
      </c>
      <c r="D1312" s="541"/>
      <c r="E1312" s="541">
        <f t="shared" si="200"/>
        <v>-3.02</v>
      </c>
      <c r="F1312" s="546">
        <f>SUM($E$2:E1312)/SUM($C$2:C1312)</f>
        <v>4.7345861203613431E-3</v>
      </c>
      <c r="G1312" s="536">
        <f t="shared" si="201"/>
        <v>19.528014943333297</v>
      </c>
      <c r="H1312" s="547" t="s">
        <v>60</v>
      </c>
      <c r="I1312" s="2"/>
      <c r="J1312" s="2"/>
      <c r="K1312" s="2"/>
      <c r="L1312" s="2"/>
      <c r="O1312" s="58"/>
      <c r="P1312" s="58"/>
    </row>
    <row r="1313" spans="2:16">
      <c r="B1313" s="652"/>
      <c r="C1313" s="582">
        <v>3.02</v>
      </c>
      <c r="D1313" s="541"/>
      <c r="E1313" s="541">
        <f t="shared" si="200"/>
        <v>-3.02</v>
      </c>
      <c r="F1313" s="546">
        <f>SUM($E$2:E1313)/SUM($C$2:C1313)</f>
        <v>3.9994557886761112E-3</v>
      </c>
      <c r="G1313" s="536">
        <f t="shared" si="201"/>
        <v>16.508014943333297</v>
      </c>
      <c r="H1313" s="547" t="s">
        <v>25</v>
      </c>
      <c r="I1313" s="2"/>
      <c r="J1313" s="2"/>
      <c r="K1313" s="2"/>
      <c r="L1313" s="2"/>
      <c r="O1313" s="58"/>
      <c r="P1313" s="58"/>
    </row>
    <row r="1314" spans="2:16">
      <c r="B1314" s="652"/>
      <c r="C1314" s="582">
        <v>3.02</v>
      </c>
      <c r="D1314" s="541">
        <v>1.8</v>
      </c>
      <c r="E1314" s="541">
        <f t="shared" si="200"/>
        <v>2.4159999999999999</v>
      </c>
      <c r="F1314" s="546">
        <f>SUM($E$2:E1314)/SUM($C$2:C1314)</f>
        <v>4.5814366624040009E-3</v>
      </c>
      <c r="G1314" s="536">
        <f t="shared" si="201"/>
        <v>18.924014943333297</v>
      </c>
      <c r="H1314" s="547" t="s">
        <v>17</v>
      </c>
      <c r="I1314" s="2"/>
      <c r="J1314" s="2"/>
      <c r="K1314" s="2"/>
      <c r="L1314" s="2"/>
      <c r="O1314" s="58"/>
      <c r="P1314" s="58"/>
    </row>
    <row r="1315" spans="2:16">
      <c r="B1315" s="652"/>
      <c r="C1315" s="582">
        <v>3.02</v>
      </c>
      <c r="D1315" s="541">
        <v>1.83</v>
      </c>
      <c r="E1315" s="541">
        <f t="shared" si="200"/>
        <v>2.5066000000000002</v>
      </c>
      <c r="F1315" s="546">
        <f>SUM($E$2:E1315)/SUM($C$2:C1315)</f>
        <v>5.1844850617285311E-3</v>
      </c>
      <c r="G1315" s="536">
        <f t="shared" si="201"/>
        <v>21.430614943333296</v>
      </c>
      <c r="H1315" s="547" t="s">
        <v>53</v>
      </c>
      <c r="I1315" s="2"/>
      <c r="J1315" s="2"/>
      <c r="K1315" s="2"/>
      <c r="L1315" s="2"/>
      <c r="O1315" s="58"/>
      <c r="P1315" s="58"/>
    </row>
    <row r="1316" spans="2:16">
      <c r="B1316" s="652"/>
      <c r="C1316" s="582">
        <v>3.02</v>
      </c>
      <c r="D1316" s="541">
        <v>1.8</v>
      </c>
      <c r="E1316" s="541">
        <f t="shared" si="200"/>
        <v>2.4159999999999999</v>
      </c>
      <c r="F1316" s="546">
        <f>SUM($E$2:E1316)/SUM($C$2:C1316)</f>
        <v>5.7647510223659904E-3</v>
      </c>
      <c r="G1316" s="536">
        <f t="shared" si="201"/>
        <v>23.846614943333297</v>
      </c>
      <c r="H1316" s="547" t="s">
        <v>52</v>
      </c>
      <c r="I1316" s="2"/>
      <c r="J1316" s="2"/>
      <c r="K1316" s="2"/>
      <c r="L1316" s="2"/>
      <c r="O1316" s="58"/>
      <c r="P1316" s="58"/>
    </row>
    <row r="1317" spans="2:16">
      <c r="B1317" s="652"/>
      <c r="C1317" s="539">
        <v>3.02</v>
      </c>
      <c r="D1317" s="542">
        <v>1.8</v>
      </c>
      <c r="E1317" s="542">
        <f t="shared" si="200"/>
        <v>2.4159999999999999</v>
      </c>
      <c r="F1317" s="549">
        <f>SUM($E$2:E1317)/SUM($C$2:C1317)</f>
        <v>6.3441703388719111E-3</v>
      </c>
      <c r="G1317" s="535">
        <f t="shared" si="201"/>
        <v>26.262614943333297</v>
      </c>
      <c r="H1317" s="550" t="s">
        <v>18</v>
      </c>
      <c r="I1317" s="2"/>
      <c r="J1317" s="2"/>
      <c r="K1317" s="2"/>
      <c r="L1317" s="2"/>
      <c r="O1317" s="58"/>
      <c r="P1317" s="58"/>
    </row>
    <row r="1318" spans="2:16">
      <c r="B1318" s="652"/>
      <c r="C1318" s="582">
        <v>3.02</v>
      </c>
      <c r="D1318" s="541"/>
      <c r="E1318" s="541">
        <f t="shared" si="200"/>
        <v>-3.02</v>
      </c>
      <c r="F1318" s="546">
        <f>SUM($E$2:E1318)/SUM($C$2:C1318)</f>
        <v>5.6105461688513349E-3</v>
      </c>
      <c r="G1318" s="536">
        <f t="shared" si="201"/>
        <v>23.242614943333297</v>
      </c>
      <c r="H1318" s="547" t="s">
        <v>461</v>
      </c>
      <c r="I1318" s="2"/>
      <c r="J1318" s="2"/>
      <c r="K1318" s="2"/>
      <c r="L1318" s="2"/>
      <c r="O1318" s="58"/>
      <c r="P1318" s="58"/>
    </row>
    <row r="1319" spans="2:16">
      <c r="B1319" s="652"/>
      <c r="C1319" s="582">
        <v>3.02</v>
      </c>
      <c r="D1319" s="541">
        <v>1.89</v>
      </c>
      <c r="E1319" s="541">
        <f t="shared" si="200"/>
        <v>2.6877999999999997</v>
      </c>
      <c r="F1319" s="546">
        <f>SUM($E$2:E1319)/SUM($C$2:C1319)</f>
        <v>6.2547957815222424E-3</v>
      </c>
      <c r="G1319" s="536">
        <f t="shared" si="201"/>
        <v>25.930414943333297</v>
      </c>
      <c r="H1319" s="547" t="s">
        <v>187</v>
      </c>
      <c r="I1319" s="2"/>
      <c r="J1319" s="2"/>
      <c r="K1319" s="2"/>
      <c r="L1319" s="2"/>
      <c r="O1319" s="58"/>
      <c r="P1319" s="58"/>
    </row>
    <row r="1320" spans="2:16">
      <c r="B1320" s="652"/>
      <c r="C1320" s="582">
        <v>3.02</v>
      </c>
      <c r="D1320" s="541"/>
      <c r="E1320" s="541">
        <f t="shared" si="200"/>
        <v>-3.02</v>
      </c>
      <c r="F1320" s="546">
        <f>SUM($E$2:E1320)/SUM($C$2:C1320)</f>
        <v>5.5223047363700374E-3</v>
      </c>
      <c r="G1320" s="536">
        <f t="shared" si="201"/>
        <v>22.910414943333297</v>
      </c>
      <c r="H1320" s="547" t="s">
        <v>462</v>
      </c>
      <c r="I1320" s="2"/>
      <c r="J1320" s="2"/>
      <c r="K1320" s="2"/>
      <c r="L1320" s="2"/>
      <c r="O1320" s="58"/>
      <c r="P1320" s="58"/>
    </row>
    <row r="1321" spans="2:16">
      <c r="B1321" s="652"/>
      <c r="C1321" s="582">
        <v>3.02</v>
      </c>
      <c r="D1321" s="541">
        <v>1.87</v>
      </c>
      <c r="E1321" s="541">
        <f t="shared" si="200"/>
        <v>2.6274000000000002</v>
      </c>
      <c r="F1321" s="546">
        <f>SUM($E$2:E1321)/SUM($C$2:C1321)</f>
        <v>6.1511331027239982E-3</v>
      </c>
      <c r="G1321" s="536">
        <f t="shared" si="201"/>
        <v>25.537814943333299</v>
      </c>
      <c r="H1321" s="547" t="s">
        <v>463</v>
      </c>
      <c r="I1321" s="2"/>
      <c r="J1321" s="2"/>
      <c r="K1321" s="2"/>
      <c r="L1321" s="2"/>
      <c r="O1321" s="58"/>
      <c r="P1321" s="58"/>
    </row>
    <row r="1322" spans="2:16">
      <c r="B1322" s="652"/>
      <c r="C1322" s="582">
        <v>3.02</v>
      </c>
      <c r="D1322" s="541"/>
      <c r="E1322" s="541">
        <f t="shared" si="200"/>
        <v>-3.02</v>
      </c>
      <c r="F1322" s="546">
        <f>SUM($E$2:E1322)/SUM($C$2:C1322)</f>
        <v>5.4197822736036941E-3</v>
      </c>
      <c r="G1322" s="536">
        <f t="shared" si="201"/>
        <v>22.517814943333299</v>
      </c>
      <c r="H1322" s="547" t="s">
        <v>464</v>
      </c>
      <c r="I1322" s="2"/>
      <c r="J1322" s="2"/>
      <c r="K1322" s="2"/>
      <c r="L1322" s="2"/>
      <c r="O1322" s="58"/>
      <c r="P1322" s="58"/>
    </row>
    <row r="1323" spans="2:16">
      <c r="B1323" s="652"/>
      <c r="C1323" s="539">
        <v>3.02</v>
      </c>
      <c r="D1323" s="542">
        <v>1.85</v>
      </c>
      <c r="E1323" s="542">
        <f t="shared" si="200"/>
        <v>2.5670000000000006</v>
      </c>
      <c r="F1323" s="549">
        <f>SUM($E$2:E1323)/SUM($C$2:C1323)</f>
        <v>6.0332445716871482E-3</v>
      </c>
      <c r="G1323" s="535">
        <f t="shared" si="201"/>
        <v>25.084814943333299</v>
      </c>
      <c r="H1323" s="550" t="s">
        <v>465</v>
      </c>
      <c r="I1323" s="2"/>
      <c r="J1323" s="2"/>
      <c r="K1323" s="2"/>
      <c r="L1323" s="2"/>
      <c r="O1323" s="58"/>
      <c r="P1323" s="58"/>
    </row>
    <row r="1324" spans="2:16">
      <c r="B1324" s="652"/>
      <c r="C1324" s="582">
        <v>3.02</v>
      </c>
      <c r="D1324" s="541"/>
      <c r="E1324" s="541">
        <f t="shared" si="200"/>
        <v>-3.02</v>
      </c>
      <c r="F1324" s="546">
        <f>SUM($E$2:E1324)/SUM($C$2:C1324)</f>
        <v>5.3030409736841118E-3</v>
      </c>
      <c r="G1324" s="536">
        <f t="shared" si="201"/>
        <v>22.0648149433333</v>
      </c>
      <c r="H1324" s="547" t="s">
        <v>26</v>
      </c>
      <c r="I1324" s="2"/>
      <c r="J1324" s="2"/>
      <c r="K1324" s="2"/>
      <c r="L1324" s="2"/>
      <c r="O1324" s="58"/>
      <c r="P1324" s="58"/>
    </row>
    <row r="1325" spans="2:16">
      <c r="B1325" s="652"/>
      <c r="C1325" s="582">
        <v>3.02</v>
      </c>
      <c r="D1325" s="530"/>
      <c r="E1325" s="541">
        <f t="shared" si="200"/>
        <v>-3.02</v>
      </c>
      <c r="F1325" s="546">
        <f>SUM($E$2:E1325)/SUM($C$2:C1325)</f>
        <v>4.573896606219304E-3</v>
      </c>
      <c r="G1325" s="536">
        <f t="shared" si="201"/>
        <v>19.0448149433333</v>
      </c>
      <c r="H1325" s="526" t="s">
        <v>60</v>
      </c>
      <c r="I1325" s="2"/>
      <c r="J1325" s="2"/>
      <c r="K1325" s="2"/>
      <c r="L1325" s="2"/>
      <c r="O1325" s="58"/>
      <c r="P1325" s="58"/>
    </row>
    <row r="1326" spans="2:16">
      <c r="B1326" s="652"/>
      <c r="C1326" s="582">
        <v>3.02</v>
      </c>
      <c r="D1326" s="541"/>
      <c r="E1326" s="541">
        <f t="shared" si="200"/>
        <v>-3.02</v>
      </c>
      <c r="F1326" s="546">
        <f>SUM($E$2:E1326)/SUM($C$2:C1326)</f>
        <v>3.8458091661895278E-3</v>
      </c>
      <c r="G1326" s="536">
        <f t="shared" si="201"/>
        <v>16.0248149433333</v>
      </c>
      <c r="H1326" s="547" t="s">
        <v>36</v>
      </c>
      <c r="I1326" s="2"/>
      <c r="J1326" s="2"/>
      <c r="K1326" s="2"/>
      <c r="L1326" s="2"/>
      <c r="O1326" s="58"/>
      <c r="P1326" s="58"/>
    </row>
    <row r="1327" spans="2:16">
      <c r="B1327" s="652"/>
      <c r="C1327" s="582">
        <v>3.02</v>
      </c>
      <c r="D1327" s="530"/>
      <c r="E1327" s="541">
        <f t="shared" si="200"/>
        <v>-3.02</v>
      </c>
      <c r="F1327" s="546">
        <f>SUM($E$2:E1327)/SUM($C$2:C1327)</f>
        <v>3.1187763571636521E-3</v>
      </c>
      <c r="G1327" s="536">
        <f t="shared" si="201"/>
        <v>13.004814943333301</v>
      </c>
      <c r="H1327" s="526" t="s">
        <v>17</v>
      </c>
      <c r="I1327" s="2"/>
      <c r="J1327" s="2"/>
      <c r="K1327" s="2"/>
      <c r="L1327" s="2"/>
      <c r="O1327" s="58"/>
      <c r="P1327" s="58"/>
    </row>
    <row r="1328" spans="2:16">
      <c r="B1328" s="652"/>
      <c r="C1328" s="539">
        <v>3.02</v>
      </c>
      <c r="D1328" s="542"/>
      <c r="E1328" s="542">
        <f t="shared" si="200"/>
        <v>-3.02</v>
      </c>
      <c r="F1328" s="549">
        <f>SUM($E$2:E1328)/SUM($C$2:C1328)</f>
        <v>2.3927958893584706E-3</v>
      </c>
      <c r="G1328" s="535">
        <f t="shared" si="201"/>
        <v>9.9848149433333013</v>
      </c>
      <c r="H1328" s="550" t="s">
        <v>27</v>
      </c>
      <c r="I1328" s="2">
        <f>SUM(E1311:E1328)</f>
        <v>-15.583199999999998</v>
      </c>
      <c r="L1328" s="2">
        <f>I1328/C1328</f>
        <v>-5.1599999999999993</v>
      </c>
      <c r="O1328" s="58"/>
      <c r="P1328" s="58"/>
    </row>
    <row r="1329" spans="2:16">
      <c r="B1329" s="650">
        <v>46095</v>
      </c>
      <c r="C1329" s="582">
        <v>3.38</v>
      </c>
      <c r="D1329" s="541">
        <v>1.85</v>
      </c>
      <c r="E1329" s="541">
        <f t="shared" ref="E1329:E1339" si="202">(C1329*D1329)-C1329</f>
        <v>2.8730000000000002</v>
      </c>
      <c r="F1329" s="546">
        <f>SUM($E$2:E1329)/SUM($C$2:C1329)</f>
        <v>3.078797822240238E-3</v>
      </c>
      <c r="G1329" s="536">
        <f t="shared" ref="G1329:G1339" si="203">G1328+E1329</f>
        <v>12.857814943333302</v>
      </c>
      <c r="H1329" s="547" t="s">
        <v>51</v>
      </c>
      <c r="I1329" s="2"/>
      <c r="J1329" s="2"/>
      <c r="K1329" s="2"/>
      <c r="L1329" s="2"/>
      <c r="O1329" s="58"/>
      <c r="P1329" s="58"/>
    </row>
    <row r="1330" spans="2:16">
      <c r="B1330" s="652"/>
      <c r="C1330" s="582">
        <v>3.38</v>
      </c>
      <c r="D1330" s="541"/>
      <c r="E1330" s="541">
        <f t="shared" si="202"/>
        <v>-3.38</v>
      </c>
      <c r="F1330" s="546">
        <f>SUM($E$2:E1330)/SUM($C$2:C1330)</f>
        <v>2.2676231137356518E-3</v>
      </c>
      <c r="G1330" s="536">
        <f t="shared" si="203"/>
        <v>9.4778149433333034</v>
      </c>
      <c r="H1330" s="547" t="s">
        <v>14</v>
      </c>
      <c r="I1330" s="2"/>
      <c r="J1330" s="2"/>
      <c r="K1330" s="2"/>
      <c r="L1330" s="2"/>
      <c r="O1330" s="58"/>
      <c r="P1330" s="58"/>
    </row>
    <row r="1331" spans="2:16">
      <c r="B1331" s="652"/>
      <c r="C1331" s="582">
        <v>3.38</v>
      </c>
      <c r="D1331" s="541">
        <v>1.84</v>
      </c>
      <c r="E1331" s="541">
        <f t="shared" si="202"/>
        <v>2.8391999999999999</v>
      </c>
      <c r="F1331" s="546">
        <f>SUM($E$2:E1331)/SUM($C$2:C1331)</f>
        <v>2.944537252953989E-3</v>
      </c>
      <c r="G1331" s="536">
        <f t="shared" si="203"/>
        <v>12.317014943333303</v>
      </c>
      <c r="H1331" s="547" t="s">
        <v>37</v>
      </c>
      <c r="I1331" s="2"/>
      <c r="J1331" s="2"/>
      <c r="K1331" s="2"/>
      <c r="L1331" s="2"/>
      <c r="O1331" s="58"/>
      <c r="P1331" s="58"/>
    </row>
    <row r="1332" spans="2:16">
      <c r="B1332" s="652"/>
      <c r="C1332" s="582">
        <v>3.38</v>
      </c>
      <c r="D1332" s="541">
        <v>1.84</v>
      </c>
      <c r="E1332" s="541">
        <f t="shared" si="202"/>
        <v>2.8391999999999999</v>
      </c>
      <c r="F1332" s="546">
        <f>SUM($E$2:E1332)/SUM($C$2:C1332)</f>
        <v>3.6203583395146843E-3</v>
      </c>
      <c r="G1332" s="536">
        <f t="shared" si="203"/>
        <v>15.156214943333303</v>
      </c>
      <c r="H1332" s="547" t="s">
        <v>16</v>
      </c>
      <c r="I1332" s="2"/>
      <c r="J1332" s="2"/>
      <c r="K1332" s="2"/>
      <c r="L1332" s="2"/>
      <c r="O1332" s="58"/>
      <c r="P1332" s="58"/>
    </row>
    <row r="1333" spans="2:16">
      <c r="B1333" s="652"/>
      <c r="C1333" s="582">
        <v>3.38</v>
      </c>
      <c r="D1333" s="541"/>
      <c r="E1333" s="541">
        <f t="shared" si="202"/>
        <v>-3.38</v>
      </c>
      <c r="F1333" s="546">
        <f>SUM($E$2:E1333)/SUM($C$2:C1333)</f>
        <v>2.8107099305838736E-3</v>
      </c>
      <c r="G1333" s="536">
        <f t="shared" si="203"/>
        <v>11.776214943333304</v>
      </c>
      <c r="H1333" s="547" t="s">
        <v>10</v>
      </c>
      <c r="I1333" s="2"/>
      <c r="J1333" s="2"/>
      <c r="K1333" s="2"/>
      <c r="L1333" s="2"/>
      <c r="O1333" s="58"/>
      <c r="P1333" s="58"/>
    </row>
    <row r="1334" spans="2:16">
      <c r="B1334" s="652"/>
      <c r="C1334" s="539">
        <v>3.38</v>
      </c>
      <c r="D1334" s="542">
        <v>1.91</v>
      </c>
      <c r="E1334" s="542">
        <f t="shared" si="202"/>
        <v>3.0757999999999992</v>
      </c>
      <c r="F1334" s="549">
        <f>SUM($E$2:E1334)/SUM($C$2:C1334)</f>
        <v>3.5419747876360061E-3</v>
      </c>
      <c r="G1334" s="535">
        <f t="shared" si="203"/>
        <v>14.852014943333304</v>
      </c>
      <c r="H1334" s="550" t="s">
        <v>18</v>
      </c>
      <c r="I1334" s="2"/>
      <c r="J1334" s="2"/>
      <c r="K1334" s="2"/>
      <c r="L1334" s="2"/>
      <c r="O1334" s="58"/>
      <c r="P1334" s="58"/>
    </row>
    <row r="1335" spans="2:16">
      <c r="B1335" s="652"/>
      <c r="C1335" s="582">
        <v>3.38</v>
      </c>
      <c r="D1335" s="541">
        <v>1.88</v>
      </c>
      <c r="E1335" s="541">
        <f t="shared" si="202"/>
        <v>2.9743999999999993</v>
      </c>
      <c r="F1335" s="546">
        <f>SUM($E$2:E1335)/SUM($C$2:C1335)</f>
        <v>4.2478988346700787E-3</v>
      </c>
      <c r="G1335" s="536">
        <f t="shared" si="203"/>
        <v>17.826414943333305</v>
      </c>
      <c r="H1335" s="547" t="s">
        <v>214</v>
      </c>
      <c r="I1335" s="2"/>
      <c r="J1335" s="2"/>
      <c r="K1335" s="2"/>
      <c r="L1335" s="2"/>
      <c r="O1335" s="58"/>
      <c r="P1335" s="58"/>
    </row>
    <row r="1336" spans="2:16">
      <c r="B1336" s="652"/>
      <c r="C1336" s="582">
        <v>3.38</v>
      </c>
      <c r="D1336" s="541">
        <v>1.89</v>
      </c>
      <c r="E1336" s="541">
        <f t="shared" si="202"/>
        <v>3.0081999999999995</v>
      </c>
      <c r="F1336" s="546">
        <f>SUM($E$2:E1336)/SUM($C$2:C1336)</f>
        <v>4.9607344550253044E-3</v>
      </c>
      <c r="G1336" s="536">
        <f t="shared" si="203"/>
        <v>20.834614943333303</v>
      </c>
      <c r="H1336" s="547" t="s">
        <v>466</v>
      </c>
      <c r="I1336" s="2"/>
      <c r="J1336" s="2"/>
      <c r="K1336" s="2"/>
      <c r="L1336" s="2"/>
      <c r="O1336" s="58"/>
      <c r="P1336" s="58"/>
    </row>
    <row r="1337" spans="2:16">
      <c r="B1337" s="652"/>
      <c r="C1337" s="582">
        <v>3.38</v>
      </c>
      <c r="D1337" s="541"/>
      <c r="E1337" s="541">
        <f t="shared" si="202"/>
        <v>-3.38</v>
      </c>
      <c r="F1337" s="546">
        <f>SUM($E$2:E1337)/SUM($C$2:C1337)</f>
        <v>4.1526124652538311E-3</v>
      </c>
      <c r="G1337" s="536">
        <f t="shared" si="203"/>
        <v>17.454614943333304</v>
      </c>
      <c r="H1337" s="547" t="s">
        <v>310</v>
      </c>
      <c r="I1337" s="2"/>
      <c r="J1337" s="2"/>
      <c r="K1337" s="2"/>
      <c r="L1337" s="2"/>
      <c r="O1337" s="58"/>
      <c r="P1337" s="58"/>
    </row>
    <row r="1338" spans="2:16">
      <c r="B1338" s="652"/>
      <c r="C1338" s="582">
        <v>3.38</v>
      </c>
      <c r="D1338" s="541"/>
      <c r="E1338" s="541">
        <f t="shared" si="202"/>
        <v>-3.38</v>
      </c>
      <c r="F1338" s="546">
        <f>SUM($E$2:E1338)/SUM($C$2:C1338)</f>
        <v>3.3457891061690554E-3</v>
      </c>
      <c r="G1338" s="536">
        <f t="shared" si="203"/>
        <v>14.074614943333305</v>
      </c>
      <c r="H1338" s="547" t="s">
        <v>467</v>
      </c>
      <c r="I1338" s="2"/>
      <c r="J1338" s="2"/>
      <c r="K1338" s="2"/>
      <c r="L1338" s="2"/>
      <c r="O1338" s="58"/>
      <c r="P1338" s="58"/>
    </row>
    <row r="1339" spans="2:16">
      <c r="B1339" s="652"/>
      <c r="C1339" s="539">
        <v>3.38</v>
      </c>
      <c r="D1339" s="542">
        <v>1.86</v>
      </c>
      <c r="E1339" s="542">
        <f t="shared" si="202"/>
        <v>2.9068000000000005</v>
      </c>
      <c r="F1339" s="549">
        <f>SUM($E$2:E1339)/SUM($C$2:C1339)</f>
        <v>4.0335468438139916E-3</v>
      </c>
      <c r="G1339" s="535">
        <f t="shared" si="203"/>
        <v>16.981414943333306</v>
      </c>
      <c r="H1339" s="550" t="s">
        <v>251</v>
      </c>
      <c r="I1339" s="2">
        <f>SUM(E1329:E1339)</f>
        <v>6.996599999999999</v>
      </c>
      <c r="L1339" s="2">
        <f>I1339/C1339</f>
        <v>2.0699999999999998</v>
      </c>
      <c r="O1339" s="58"/>
      <c r="P1339" s="58"/>
    </row>
    <row r="1340" spans="2:16">
      <c r="B1340" s="650">
        <v>46096</v>
      </c>
      <c r="C1340" s="582">
        <v>3.41</v>
      </c>
      <c r="D1340" s="541">
        <v>1.9</v>
      </c>
      <c r="E1340" s="541">
        <f t="shared" ref="E1340:E1354" si="204">(C1340*D1340)-C1340</f>
        <v>3.069</v>
      </c>
      <c r="F1340" s="546">
        <f>SUM($E$2:E1340)/SUM($C$2:C1340)</f>
        <v>4.7586632591343032E-3</v>
      </c>
      <c r="G1340" s="536">
        <f t="shared" ref="G1340:G1354" si="205">G1339+E1340</f>
        <v>20.050414943333305</v>
      </c>
      <c r="H1340" s="547" t="s">
        <v>468</v>
      </c>
      <c r="I1340" s="2"/>
      <c r="J1340" s="2"/>
      <c r="K1340" s="2"/>
      <c r="L1340" s="2"/>
      <c r="O1340" s="58"/>
      <c r="P1340" s="58"/>
    </row>
    <row r="1341" spans="2:16">
      <c r="B1341" s="652"/>
      <c r="C1341" s="582">
        <v>3.41</v>
      </c>
      <c r="D1341" s="541">
        <v>1.9</v>
      </c>
      <c r="E1341" s="541">
        <f t="shared" si="204"/>
        <v>3.069</v>
      </c>
      <c r="F1341" s="546">
        <f>SUM($E$2:E1341)/SUM($C$2:C1341)</f>
        <v>5.4826069327146244E-3</v>
      </c>
      <c r="G1341" s="536">
        <f t="shared" si="205"/>
        <v>23.119414943333304</v>
      </c>
      <c r="H1341" s="547" t="s">
        <v>46</v>
      </c>
      <c r="I1341" s="2"/>
      <c r="J1341" s="2"/>
      <c r="K1341" s="2"/>
      <c r="L1341" s="2"/>
      <c r="O1341" s="58"/>
      <c r="P1341" s="58"/>
    </row>
    <row r="1342" spans="2:16">
      <c r="B1342" s="652"/>
      <c r="C1342" s="582">
        <v>3.41</v>
      </c>
      <c r="D1342" s="541"/>
      <c r="E1342" s="541">
        <f t="shared" si="204"/>
        <v>-3.41</v>
      </c>
      <c r="F1342" s="546">
        <f>SUM($E$2:E1342)/SUM($C$2:C1342)</f>
        <v>4.6701728037411468E-3</v>
      </c>
      <c r="G1342" s="536">
        <f t="shared" si="205"/>
        <v>19.709414943333304</v>
      </c>
      <c r="H1342" s="547" t="s">
        <v>34</v>
      </c>
      <c r="I1342" s="2"/>
      <c r="J1342" s="2"/>
      <c r="K1342" s="2"/>
      <c r="L1342" s="2"/>
      <c r="O1342" s="58"/>
      <c r="P1342" s="58"/>
    </row>
    <row r="1343" spans="2:16">
      <c r="B1343" s="652"/>
      <c r="C1343" s="582">
        <v>3.41</v>
      </c>
      <c r="D1343" s="541">
        <v>1.9</v>
      </c>
      <c r="E1343" s="541">
        <f t="shared" si="204"/>
        <v>3.069</v>
      </c>
      <c r="F1343" s="546">
        <f>SUM($E$2:E1343)/SUM($C$2:C1343)</f>
        <v>5.3930189657720451E-3</v>
      </c>
      <c r="G1343" s="536">
        <f t="shared" si="205"/>
        <v>22.778414943333303</v>
      </c>
      <c r="H1343" s="547" t="s">
        <v>29</v>
      </c>
      <c r="I1343" s="2"/>
      <c r="J1343" s="2"/>
      <c r="K1343" s="2"/>
      <c r="L1343" s="2"/>
      <c r="O1343" s="58"/>
      <c r="P1343" s="58"/>
    </row>
    <row r="1344" spans="2:16">
      <c r="B1344" s="652"/>
      <c r="C1344" s="539">
        <v>3.41</v>
      </c>
      <c r="D1344" s="542">
        <v>1.84</v>
      </c>
      <c r="E1344" s="542">
        <f t="shared" si="204"/>
        <v>2.8644000000000007</v>
      </c>
      <c r="F1344" s="549">
        <f>SUM($E$2:E1344)/SUM($C$2:C1344)</f>
        <v>6.0662968555457841E-3</v>
      </c>
      <c r="G1344" s="535">
        <f t="shared" si="205"/>
        <v>25.642814943333303</v>
      </c>
      <c r="H1344" s="550" t="s">
        <v>38</v>
      </c>
      <c r="I1344" s="2"/>
      <c r="J1344" s="2"/>
      <c r="K1344" s="2"/>
      <c r="L1344" s="2"/>
      <c r="O1344" s="58"/>
      <c r="P1344" s="58"/>
    </row>
    <row r="1345" spans="2:16">
      <c r="B1345" s="652"/>
      <c r="C1345" s="582">
        <v>3.41</v>
      </c>
      <c r="D1345" s="541"/>
      <c r="E1345" s="541">
        <f t="shared" si="204"/>
        <v>-3.41</v>
      </c>
      <c r="F1345" s="546">
        <f>SUM($E$2:E1345)/SUM($C$2:C1345)</f>
        <v>5.2553568314250756E-3</v>
      </c>
      <c r="G1345" s="536">
        <f t="shared" si="205"/>
        <v>22.232814943333302</v>
      </c>
      <c r="H1345" s="547" t="s">
        <v>469</v>
      </c>
      <c r="I1345" s="2"/>
      <c r="J1345" s="2"/>
      <c r="K1345" s="2"/>
      <c r="L1345" s="2"/>
      <c r="O1345" s="58"/>
      <c r="P1345" s="58"/>
    </row>
    <row r="1346" spans="2:16">
      <c r="B1346" s="652"/>
      <c r="C1346" s="582">
        <v>3.41</v>
      </c>
      <c r="D1346" s="541"/>
      <c r="E1346" s="541">
        <f t="shared" si="204"/>
        <v>-3.41</v>
      </c>
      <c r="F1346" s="546">
        <f>SUM($E$2:E1346)/SUM($C$2:C1346)</f>
        <v>4.4457230712631373E-3</v>
      </c>
      <c r="G1346" s="536">
        <f t="shared" si="205"/>
        <v>18.822814943333302</v>
      </c>
      <c r="H1346" s="547" t="s">
        <v>470</v>
      </c>
      <c r="I1346" s="2"/>
      <c r="J1346" s="2"/>
      <c r="K1346" s="2"/>
      <c r="L1346" s="2"/>
      <c r="O1346" s="58"/>
      <c r="P1346" s="58"/>
    </row>
    <row r="1347" spans="2:16">
      <c r="B1347" s="652"/>
      <c r="C1347" s="582">
        <v>3.41</v>
      </c>
      <c r="D1347" s="541"/>
      <c r="E1347" s="541">
        <f t="shared" si="204"/>
        <v>-3.41</v>
      </c>
      <c r="F1347" s="546">
        <f>SUM($E$2:E1347)/SUM($C$2:C1347)</f>
        <v>3.637392421400681E-3</v>
      </c>
      <c r="G1347" s="536">
        <f t="shared" si="205"/>
        <v>15.412814943333302</v>
      </c>
      <c r="H1347" s="547" t="s">
        <v>471</v>
      </c>
      <c r="I1347" s="2"/>
      <c r="J1347" s="2"/>
      <c r="K1347" s="2"/>
      <c r="L1347" s="2"/>
      <c r="O1347" s="58"/>
      <c r="P1347" s="58"/>
    </row>
    <row r="1348" spans="2:16">
      <c r="B1348" s="652"/>
      <c r="C1348" s="582">
        <v>3.41</v>
      </c>
      <c r="D1348" s="541">
        <v>1.85</v>
      </c>
      <c r="E1348" s="541">
        <f t="shared" si="204"/>
        <v>2.8985000000000003</v>
      </c>
      <c r="F1348" s="546">
        <f>SUM($E$2:E1348)/SUM($C$2:C1348)</f>
        <v>4.3179575323503199E-3</v>
      </c>
      <c r="G1348" s="536">
        <f t="shared" si="205"/>
        <v>18.311314943333301</v>
      </c>
      <c r="H1348" s="547" t="s">
        <v>472</v>
      </c>
      <c r="I1348" s="2"/>
      <c r="J1348" s="2"/>
      <c r="K1348" s="2"/>
      <c r="L1348" s="2"/>
      <c r="O1348" s="58"/>
      <c r="P1348" s="58"/>
    </row>
    <row r="1349" spans="2:16">
      <c r="B1349" s="652"/>
      <c r="C1349" s="582">
        <v>3.41</v>
      </c>
      <c r="D1349" s="541">
        <v>1</v>
      </c>
      <c r="E1349" s="541">
        <f t="shared" si="204"/>
        <v>0</v>
      </c>
      <c r="F1349" s="546">
        <f>SUM($E$2:E1349)/SUM($C$2:C1349)</f>
        <v>4.3144882271934784E-3</v>
      </c>
      <c r="G1349" s="536">
        <f t="shared" si="205"/>
        <v>18.311314943333301</v>
      </c>
      <c r="H1349" s="547" t="s">
        <v>473</v>
      </c>
      <c r="I1349" s="2"/>
      <c r="J1349" s="2"/>
      <c r="K1349" s="2"/>
      <c r="L1349" s="2"/>
      <c r="O1349" s="58"/>
      <c r="P1349" s="58"/>
    </row>
    <row r="1350" spans="2:16">
      <c r="B1350" s="652"/>
      <c r="C1350" s="539">
        <v>3.41</v>
      </c>
      <c r="D1350" s="542">
        <v>1.87</v>
      </c>
      <c r="E1350" s="542">
        <f t="shared" si="204"/>
        <v>2.9667000000000003</v>
      </c>
      <c r="F1350" s="549">
        <f>SUM($E$2:E1350)/SUM($C$2:C1350)</f>
        <v>5.0094733150191136E-3</v>
      </c>
      <c r="G1350" s="535">
        <f t="shared" si="205"/>
        <v>21.2780149433333</v>
      </c>
      <c r="H1350" s="550" t="s">
        <v>474</v>
      </c>
      <c r="I1350" s="2"/>
      <c r="J1350" s="2"/>
      <c r="K1350" s="2"/>
      <c r="L1350" s="2"/>
      <c r="O1350" s="58"/>
      <c r="P1350" s="58"/>
    </row>
    <row r="1351" spans="2:16">
      <c r="B1351" s="652"/>
      <c r="C1351" s="582">
        <v>3.41</v>
      </c>
      <c r="D1351" s="541">
        <v>2.4159999999999999</v>
      </c>
      <c r="E1351" s="541">
        <f t="shared" si="204"/>
        <v>4.8285599999999995</v>
      </c>
      <c r="F1351" s="546">
        <f>SUM($E$2:E1351)/SUM($C$2:C1351)</f>
        <v>6.1413286357039762E-3</v>
      </c>
      <c r="G1351" s="536">
        <f t="shared" si="205"/>
        <v>26.1065749433333</v>
      </c>
      <c r="H1351" s="547" t="s">
        <v>25</v>
      </c>
      <c r="I1351" s="2"/>
      <c r="J1351" s="2"/>
      <c r="K1351" s="2"/>
      <c r="L1351" s="2"/>
      <c r="O1351" s="58"/>
      <c r="P1351" s="58"/>
    </row>
    <row r="1352" spans="2:16">
      <c r="B1352" s="652"/>
      <c r="C1352" s="582">
        <v>3.41</v>
      </c>
      <c r="D1352" s="541">
        <v>3.6</v>
      </c>
      <c r="E1352" s="541">
        <f t="shared" si="204"/>
        <v>8.8660000000000014</v>
      </c>
      <c r="F1352" s="546">
        <f>SUM($E$2:E1352)/SUM($C$2:C1352)</f>
        <v>8.2203784232431892E-3</v>
      </c>
      <c r="G1352" s="536">
        <f t="shared" si="205"/>
        <v>34.972574943333299</v>
      </c>
      <c r="H1352" s="547" t="s">
        <v>51</v>
      </c>
      <c r="I1352" s="2"/>
      <c r="J1352" s="2"/>
      <c r="K1352" s="2"/>
      <c r="L1352" s="2"/>
      <c r="O1352" s="58"/>
      <c r="P1352" s="58"/>
    </row>
    <row r="1353" spans="2:16">
      <c r="B1353" s="652"/>
      <c r="C1353" s="582">
        <v>3.41</v>
      </c>
      <c r="D1353" s="541"/>
      <c r="E1353" s="541">
        <f t="shared" si="204"/>
        <v>-3.41</v>
      </c>
      <c r="F1353" s="546">
        <f>SUM($E$2:E1353)/SUM($C$2:C1353)</f>
        <v>7.4129089887979447E-3</v>
      </c>
      <c r="G1353" s="536">
        <f t="shared" si="205"/>
        <v>31.562574943333299</v>
      </c>
      <c r="H1353" s="547" t="s">
        <v>27</v>
      </c>
      <c r="I1353" s="2"/>
      <c r="J1353" s="2"/>
      <c r="K1353" s="2"/>
      <c r="L1353" s="2"/>
      <c r="O1353" s="58"/>
      <c r="P1353" s="58"/>
    </row>
    <row r="1354" spans="2:16">
      <c r="B1354" s="652"/>
      <c r="C1354" s="539">
        <v>3.41</v>
      </c>
      <c r="D1354" s="583"/>
      <c r="E1354" s="542">
        <f t="shared" si="204"/>
        <v>-3.41</v>
      </c>
      <c r="F1354" s="549">
        <f>SUM($E$2:E1354)/SUM($C$2:C1354)</f>
        <v>6.6067319010187468E-3</v>
      </c>
      <c r="G1354" s="535">
        <f t="shared" si="205"/>
        <v>28.152574943333299</v>
      </c>
      <c r="H1354" s="550" t="s">
        <v>47</v>
      </c>
      <c r="I1354" s="2">
        <f>SUM(E1340:E1354)</f>
        <v>11.17116</v>
      </c>
      <c r="J1354" s="2">
        <f>SUM(E1267:E1354)</f>
        <v>-10.226715056666661</v>
      </c>
      <c r="L1354" s="2">
        <f>I1354/C1354</f>
        <v>3.2759999999999998</v>
      </c>
      <c r="O1354" s="58"/>
      <c r="P1354" s="58"/>
    </row>
    <row r="1355" spans="2:16">
      <c r="B1355" s="650">
        <v>46097</v>
      </c>
      <c r="C1355" s="582">
        <v>3.03</v>
      </c>
      <c r="D1355" s="541"/>
      <c r="E1355" s="541">
        <f t="shared" ref="E1355:E1363" si="206">(C1355*D1355)-C1355</f>
        <v>-3.03</v>
      </c>
      <c r="F1355" s="546">
        <f>SUM($E$2:E1355)/SUM($C$2:C1355)</f>
        <v>5.8914745726423015E-3</v>
      </c>
      <c r="G1355" s="536">
        <f t="shared" ref="G1355:G1363" si="207">G1354+E1355</f>
        <v>25.122574943333298</v>
      </c>
      <c r="H1355" s="547" t="s">
        <v>14</v>
      </c>
      <c r="I1355" s="2"/>
      <c r="J1355" s="2"/>
      <c r="K1355" s="2"/>
      <c r="L1355" s="2"/>
      <c r="O1355" s="58"/>
      <c r="P1355" s="58"/>
    </row>
    <row r="1356" spans="2:16">
      <c r="B1356" s="652"/>
      <c r="C1356" s="582">
        <v>3.03</v>
      </c>
      <c r="D1356" s="541"/>
      <c r="E1356" s="541">
        <f t="shared" si="206"/>
        <v>-3.03</v>
      </c>
      <c r="F1356" s="546">
        <f>SUM($E$2:E1356)/SUM($C$2:C1356)</f>
        <v>5.1772329930557482E-3</v>
      </c>
      <c r="G1356" s="536">
        <f t="shared" si="207"/>
        <v>22.092574943333297</v>
      </c>
      <c r="H1356" s="547" t="s">
        <v>35</v>
      </c>
      <c r="I1356" s="2"/>
      <c r="J1356" s="2"/>
      <c r="K1356" s="2"/>
      <c r="L1356" s="2"/>
      <c r="O1356" s="58"/>
      <c r="P1356" s="58"/>
    </row>
    <row r="1357" spans="2:16">
      <c r="B1357" s="652"/>
      <c r="C1357" s="539">
        <v>3.03</v>
      </c>
      <c r="D1357" s="542"/>
      <c r="E1357" s="542">
        <f t="shared" si="206"/>
        <v>-3.03</v>
      </c>
      <c r="F1357" s="549">
        <f>SUM($E$2:E1357)/SUM($C$2:C1357)</f>
        <v>4.4640050000718237E-3</v>
      </c>
      <c r="G1357" s="535">
        <f t="shared" si="207"/>
        <v>19.062574943333296</v>
      </c>
      <c r="H1357" s="550" t="s">
        <v>13</v>
      </c>
      <c r="I1357" s="2"/>
      <c r="J1357" s="2"/>
      <c r="K1357" s="2"/>
      <c r="L1357" s="2"/>
      <c r="O1357" s="58"/>
      <c r="P1357" s="58"/>
    </row>
    <row r="1358" spans="2:16">
      <c r="B1358" s="652"/>
      <c r="C1358" s="582">
        <v>3.03</v>
      </c>
      <c r="D1358" s="541">
        <v>1.87</v>
      </c>
      <c r="E1358" s="541">
        <f t="shared" si="206"/>
        <v>2.6361000000000003</v>
      </c>
      <c r="F1358" s="546">
        <f>SUM($E$2:E1358)/SUM($C$2:C1358)</f>
        <v>5.0777144689577308E-3</v>
      </c>
      <c r="G1358" s="536">
        <f t="shared" si="207"/>
        <v>21.698674943333295</v>
      </c>
      <c r="H1358" s="547" t="s">
        <v>475</v>
      </c>
      <c r="I1358" s="2"/>
      <c r="J1358" s="2"/>
      <c r="K1358" s="2"/>
      <c r="L1358" s="2"/>
      <c r="O1358" s="58"/>
      <c r="P1358" s="58"/>
    </row>
    <row r="1359" spans="2:16">
      <c r="B1359" s="652"/>
      <c r="C1359" s="582">
        <v>3.03</v>
      </c>
      <c r="D1359" s="541">
        <v>1.8560000000000001</v>
      </c>
      <c r="E1359" s="541">
        <f t="shared" si="206"/>
        <v>2.5936800000000004</v>
      </c>
      <c r="F1359" s="546">
        <f>SUM($E$2:E1359)/SUM($C$2:C1359)</f>
        <v>5.6806345660519184E-3</v>
      </c>
      <c r="G1359" s="536">
        <f t="shared" si="207"/>
        <v>24.292354943333294</v>
      </c>
      <c r="H1359" s="547" t="s">
        <v>210</v>
      </c>
      <c r="I1359" s="2"/>
      <c r="J1359" s="2"/>
      <c r="K1359" s="2"/>
      <c r="L1359" s="2"/>
      <c r="O1359" s="58"/>
      <c r="P1359" s="58"/>
    </row>
    <row r="1360" spans="2:16">
      <c r="B1360" s="652"/>
      <c r="C1360" s="539">
        <v>3.03</v>
      </c>
      <c r="D1360" s="542"/>
      <c r="E1360" s="542">
        <f t="shared" si="206"/>
        <v>-3.03</v>
      </c>
      <c r="F1360" s="549">
        <f>SUM($E$2:E1360)/SUM($C$2:C1360)</f>
        <v>4.9685651383583121E-3</v>
      </c>
      <c r="G1360" s="535">
        <f t="shared" si="207"/>
        <v>21.262354943333293</v>
      </c>
      <c r="H1360" s="550" t="s">
        <v>476</v>
      </c>
      <c r="I1360" s="2"/>
      <c r="J1360" s="2"/>
      <c r="K1360" s="2"/>
      <c r="L1360" s="2"/>
      <c r="O1360" s="58"/>
      <c r="P1360" s="58"/>
    </row>
    <row r="1361" spans="2:16">
      <c r="B1361" s="652"/>
      <c r="C1361" s="582">
        <v>3.03</v>
      </c>
      <c r="D1361" s="541"/>
      <c r="E1361" s="541">
        <f t="shared" si="206"/>
        <v>-3.03</v>
      </c>
      <c r="F1361" s="546">
        <f>SUM($E$2:E1361)/SUM($C$2:C1361)</f>
        <v>4.2575033548335152E-3</v>
      </c>
      <c r="G1361" s="536">
        <f t="shared" si="207"/>
        <v>18.232354943333291</v>
      </c>
      <c r="H1361" s="547" t="s">
        <v>28</v>
      </c>
      <c r="I1361" s="2"/>
      <c r="J1361" s="2"/>
      <c r="K1361" s="2"/>
      <c r="L1361" s="2"/>
      <c r="O1361" s="58"/>
      <c r="P1361" s="58"/>
    </row>
    <row r="1362" spans="2:16">
      <c r="B1362" s="652"/>
      <c r="C1362" s="582">
        <v>3.03</v>
      </c>
      <c r="D1362" s="541"/>
      <c r="E1362" s="541">
        <f t="shared" ref="E1362" si="208">(C1362*D1362)-C1362</f>
        <v>-3.03</v>
      </c>
      <c r="F1362" s="546">
        <f>SUM($E$2:E1362)/SUM($C$2:C1362)</f>
        <v>3.5474470781251132E-3</v>
      </c>
      <c r="G1362" s="536">
        <f t="shared" si="207"/>
        <v>15.202354943333292</v>
      </c>
      <c r="H1362" s="547" t="s">
        <v>18</v>
      </c>
      <c r="I1362" s="2"/>
      <c r="J1362" s="2"/>
      <c r="K1362" s="2"/>
      <c r="L1362" s="2"/>
      <c r="O1362" s="58"/>
      <c r="P1362" s="58"/>
    </row>
    <row r="1363" spans="2:16">
      <c r="B1363" s="652"/>
      <c r="C1363" s="539">
        <v>3.03</v>
      </c>
      <c r="D1363" s="542">
        <v>1.9</v>
      </c>
      <c r="E1363" s="542">
        <f t="shared" si="206"/>
        <v>2.7269999999999999</v>
      </c>
      <c r="F1363" s="549">
        <f>SUM($E$2:E1363)/SUM($C$2:C1363)</f>
        <v>4.1808324604421547E-3</v>
      </c>
      <c r="G1363" s="535">
        <f t="shared" si="207"/>
        <v>17.929354943333291</v>
      </c>
      <c r="H1363" s="550" t="s">
        <v>18</v>
      </c>
      <c r="I1363" s="2">
        <f>SUM(E1355:E1363)</f>
        <v>-10.223219999999998</v>
      </c>
      <c r="L1363" s="2">
        <f>I1363/C1363</f>
        <v>-3.3739999999999997</v>
      </c>
      <c r="O1363" s="58"/>
      <c r="P1363" s="58"/>
    </row>
    <row r="1364" spans="2:16">
      <c r="B1364" s="650">
        <v>46098</v>
      </c>
      <c r="C1364" s="582">
        <v>2.99</v>
      </c>
      <c r="D1364" s="541"/>
      <c r="E1364" s="541">
        <f t="shared" ref="E1364:E1373" si="209">(C1364*D1364)-C1364</f>
        <v>-2.99</v>
      </c>
      <c r="F1364" s="546">
        <f>SUM($E$2:E1364)/SUM($C$2:C1364)</f>
        <v>3.4811861919343016E-3</v>
      </c>
      <c r="G1364" s="536">
        <f t="shared" ref="G1364:G1373" si="210">G1363+E1364</f>
        <v>14.93935494333329</v>
      </c>
      <c r="H1364" s="547" t="s">
        <v>15</v>
      </c>
      <c r="I1364" s="2"/>
      <c r="J1364" s="2"/>
      <c r="K1364" s="2"/>
      <c r="L1364" s="2"/>
      <c r="O1364" s="58"/>
      <c r="P1364" s="58"/>
    </row>
    <row r="1365" spans="2:16">
      <c r="B1365" s="652"/>
      <c r="C1365" s="582">
        <v>2.99</v>
      </c>
      <c r="D1365" s="541"/>
      <c r="E1365" s="541">
        <f t="shared" si="209"/>
        <v>-2.99</v>
      </c>
      <c r="F1365" s="546">
        <f>SUM($E$2:E1365)/SUM($C$2:C1365)</f>
        <v>2.7825141783978579E-3</v>
      </c>
      <c r="G1365" s="536">
        <f t="shared" si="210"/>
        <v>11.94935494333329</v>
      </c>
      <c r="H1365" s="547" t="s">
        <v>64</v>
      </c>
      <c r="I1365" s="2"/>
      <c r="J1365" s="2"/>
      <c r="K1365" s="2"/>
      <c r="L1365" s="2"/>
      <c r="O1365" s="58"/>
      <c r="P1365" s="58"/>
    </row>
    <row r="1366" spans="2:16">
      <c r="B1366" s="652"/>
      <c r="C1366" s="582">
        <v>2.99</v>
      </c>
      <c r="D1366" s="541"/>
      <c r="E1366" s="541">
        <f t="shared" si="209"/>
        <v>-2.99</v>
      </c>
      <c r="F1366" s="546">
        <f>SUM($E$2:E1366)/SUM($C$2:C1366)</f>
        <v>2.0848143862787437E-3</v>
      </c>
      <c r="G1366" s="536">
        <f t="shared" si="210"/>
        <v>8.95935494333329</v>
      </c>
      <c r="H1366" s="547" t="s">
        <v>29</v>
      </c>
      <c r="I1366" s="2"/>
      <c r="J1366" s="2"/>
      <c r="K1366" s="2"/>
      <c r="L1366" s="2"/>
      <c r="O1366" s="58"/>
      <c r="P1366" s="58"/>
    </row>
    <row r="1367" spans="2:16">
      <c r="B1367" s="652"/>
      <c r="C1367" s="539">
        <v>2.99</v>
      </c>
      <c r="D1367" s="542">
        <v>1.9</v>
      </c>
      <c r="E1367" s="542">
        <f t="shared" si="209"/>
        <v>2.6909999999999998</v>
      </c>
      <c r="F1367" s="549">
        <f>SUM($E$2:E1367)/SUM($C$2:C1367)</f>
        <v>2.7091169182285125E-3</v>
      </c>
      <c r="G1367" s="535">
        <f t="shared" si="210"/>
        <v>11.650354943333291</v>
      </c>
      <c r="H1367" s="550" t="s">
        <v>59</v>
      </c>
      <c r="I1367" s="2"/>
      <c r="J1367" s="2"/>
      <c r="K1367" s="2"/>
      <c r="L1367" s="2"/>
      <c r="O1367" s="58"/>
      <c r="P1367" s="58"/>
    </row>
    <row r="1368" spans="2:16">
      <c r="B1368" s="652"/>
      <c r="C1368" s="582">
        <v>2.99</v>
      </c>
      <c r="D1368" s="541"/>
      <c r="E1368" s="541">
        <f t="shared" si="209"/>
        <v>-2.99</v>
      </c>
      <c r="F1368" s="546">
        <f>SUM($E$2:E1368)/SUM($C$2:C1368)</f>
        <v>2.0124376417361245E-3</v>
      </c>
      <c r="G1368" s="536">
        <f t="shared" si="210"/>
        <v>8.6603549433332905</v>
      </c>
      <c r="H1368" s="547" t="s">
        <v>434</v>
      </c>
      <c r="I1368" s="2"/>
      <c r="J1368" s="2"/>
      <c r="K1368" s="2"/>
      <c r="L1368" s="2"/>
      <c r="O1368" s="58"/>
      <c r="P1368" s="58"/>
    </row>
    <row r="1369" spans="2:16">
      <c r="B1369" s="652"/>
      <c r="C1369" s="582">
        <v>2.99</v>
      </c>
      <c r="D1369" s="541"/>
      <c r="E1369" s="541">
        <f t="shared" si="209"/>
        <v>-2.99</v>
      </c>
      <c r="F1369" s="546">
        <f>SUM($E$2:E1369)/SUM($C$2:C1369)</f>
        <v>1.3167257944057657E-3</v>
      </c>
      <c r="G1369" s="536">
        <f t="shared" si="210"/>
        <v>5.6703549433332903</v>
      </c>
      <c r="H1369" s="547" t="s">
        <v>477</v>
      </c>
      <c r="I1369" s="2"/>
      <c r="J1369" s="2"/>
      <c r="K1369" s="2"/>
      <c r="L1369" s="2"/>
      <c r="O1369" s="58"/>
      <c r="P1369" s="58"/>
    </row>
    <row r="1370" spans="2:16">
      <c r="B1370" s="652"/>
      <c r="C1370" s="582">
        <v>2.99</v>
      </c>
      <c r="D1370" s="541"/>
      <c r="E1370" s="541">
        <f t="shared" si="209"/>
        <v>-2.99</v>
      </c>
      <c r="F1370" s="546">
        <f>SUM($E$2:E1370)/SUM($C$2:C1370)</f>
        <v>6.2197936253505475E-4</v>
      </c>
      <c r="G1370" s="536">
        <f t="shared" si="210"/>
        <v>2.6803549433332901</v>
      </c>
      <c r="H1370" s="547" t="s">
        <v>400</v>
      </c>
      <c r="I1370" s="2"/>
      <c r="J1370" s="2"/>
      <c r="K1370" s="2"/>
      <c r="L1370" s="2"/>
      <c r="O1370" s="58"/>
      <c r="P1370" s="58"/>
    </row>
    <row r="1371" spans="2:16">
      <c r="B1371" s="652"/>
      <c r="C1371" s="539">
        <v>2.99</v>
      </c>
      <c r="D1371" s="542">
        <v>1.9</v>
      </c>
      <c r="E1371" s="542">
        <f t="shared" si="209"/>
        <v>2.6909999999999998</v>
      </c>
      <c r="F1371" s="549">
        <f>SUM($E$2:E1371)/SUM($C$2:C1371)</f>
        <v>1.24556470867141E-3</v>
      </c>
      <c r="G1371" s="535">
        <f t="shared" si="210"/>
        <v>5.3713549433332899</v>
      </c>
      <c r="H1371" s="550" t="s">
        <v>478</v>
      </c>
      <c r="I1371" s="2"/>
      <c r="J1371" s="2"/>
      <c r="K1371" s="2"/>
      <c r="L1371" s="2"/>
      <c r="O1371" s="58"/>
      <c r="P1371" s="58"/>
    </row>
    <row r="1372" spans="2:16">
      <c r="B1372" s="652"/>
      <c r="C1372" s="582">
        <v>2.99</v>
      </c>
      <c r="D1372" s="541"/>
      <c r="E1372" s="541">
        <f t="shared" si="209"/>
        <v>-2.99</v>
      </c>
      <c r="F1372" s="546">
        <f>SUM($E$2:E1372)/SUM($C$2:C1372)</f>
        <v>5.5183032210441129E-4</v>
      </c>
      <c r="G1372" s="536">
        <f t="shared" si="210"/>
        <v>2.3813549433332897</v>
      </c>
      <c r="H1372" s="547" t="s">
        <v>16</v>
      </c>
      <c r="I1372" s="2"/>
      <c r="J1372" s="2"/>
      <c r="K1372" s="2"/>
      <c r="L1372" s="2"/>
      <c r="O1372" s="58"/>
      <c r="P1372" s="58"/>
    </row>
    <row r="1373" spans="2:16">
      <c r="B1373" s="651"/>
      <c r="C1373" s="539">
        <v>2.99</v>
      </c>
      <c r="D1373" s="542"/>
      <c r="E1373" s="542">
        <f t="shared" si="209"/>
        <v>-2.99</v>
      </c>
      <c r="F1373" s="549">
        <f>SUM($E$2:E1373)/SUM($C$2:C1373)</f>
        <v>-1.4094339269426774E-4</v>
      </c>
      <c r="G1373" s="535">
        <f t="shared" si="210"/>
        <v>-0.60864505666671054</v>
      </c>
      <c r="H1373" s="550" t="s">
        <v>34</v>
      </c>
      <c r="I1373" s="2">
        <f>SUM(E1364:E1373)</f>
        <v>-18.538000000000004</v>
      </c>
      <c r="L1373" s="2">
        <f>I1373/C1373</f>
        <v>-6.2000000000000011</v>
      </c>
      <c r="O1373" s="58"/>
      <c r="P1373" s="58"/>
    </row>
    <row r="1374" spans="2:16">
      <c r="B1374" s="652">
        <v>46099</v>
      </c>
      <c r="C1374" s="582">
        <v>2.59</v>
      </c>
      <c r="D1374" s="541"/>
      <c r="E1374" s="541">
        <f t="shared" ref="E1374:E1387" si="211">(C1374*D1374)-C1374</f>
        <v>-2.59</v>
      </c>
      <c r="F1374" s="546">
        <f>SUM($E$2:E1374)/SUM($C$2:C1374)</f>
        <v>-7.4026339837637606E-4</v>
      </c>
      <c r="G1374" s="536">
        <f t="shared" ref="G1374:G1387" si="212">G1373+E1374</f>
        <v>-3.1986450566667104</v>
      </c>
      <c r="H1374" s="547" t="s">
        <v>28</v>
      </c>
      <c r="I1374" s="2"/>
      <c r="J1374" s="2"/>
      <c r="K1374" s="2"/>
      <c r="L1374" s="2"/>
      <c r="O1374" s="58"/>
      <c r="P1374" s="58"/>
    </row>
    <row r="1375" spans="2:16">
      <c r="B1375" s="652"/>
      <c r="C1375" s="582">
        <v>2.59</v>
      </c>
      <c r="D1375" s="541">
        <v>2</v>
      </c>
      <c r="E1375" s="541">
        <f t="shared" si="211"/>
        <v>2.59</v>
      </c>
      <c r="F1375" s="546">
        <f>SUM($E$2:E1375)/SUM($C$2:C1375)</f>
        <v>-1.4077452970729097E-4</v>
      </c>
      <c r="G1375" s="536">
        <f t="shared" si="212"/>
        <v>-0.60864505666671054</v>
      </c>
      <c r="H1375" s="547" t="s">
        <v>35</v>
      </c>
      <c r="I1375" s="2"/>
      <c r="J1375" s="2"/>
      <c r="K1375" s="2"/>
      <c r="L1375" s="2"/>
      <c r="O1375" s="58"/>
      <c r="P1375" s="58"/>
    </row>
    <row r="1376" spans="2:16">
      <c r="B1376" s="652"/>
      <c r="C1376" s="582">
        <v>2.59</v>
      </c>
      <c r="D1376" s="541"/>
      <c r="E1376" s="541">
        <f t="shared" si="211"/>
        <v>-2.59</v>
      </c>
      <c r="F1376" s="546">
        <f>SUM($E$2:E1376)/SUM($C$2:C1376)</f>
        <v>-7.3937702656060597E-4</v>
      </c>
      <c r="G1376" s="536">
        <f t="shared" si="212"/>
        <v>-3.1986450566667104</v>
      </c>
      <c r="H1376" s="547" t="s">
        <v>104</v>
      </c>
      <c r="I1376" s="2"/>
      <c r="J1376" s="2"/>
      <c r="K1376" s="2"/>
      <c r="L1376" s="2"/>
      <c r="O1376" s="58"/>
      <c r="P1376" s="58"/>
    </row>
    <row r="1377" spans="2:16">
      <c r="B1377" s="652"/>
      <c r="C1377" s="539">
        <v>2.59</v>
      </c>
      <c r="D1377" s="542"/>
      <c r="E1377" s="542">
        <f t="shared" si="211"/>
        <v>-2.59</v>
      </c>
      <c r="F1377" s="549">
        <f>SUM($E$2:E1377)/SUM($C$2:C1377)</f>
        <v>-1.3372632014676635E-3</v>
      </c>
      <c r="G1377" s="535">
        <f t="shared" si="212"/>
        <v>-5.7886450566667103</v>
      </c>
      <c r="H1377" s="550" t="s">
        <v>26</v>
      </c>
      <c r="I1377" s="2"/>
      <c r="J1377" s="2"/>
      <c r="K1377" s="2"/>
      <c r="L1377" s="2"/>
      <c r="O1377" s="58"/>
      <c r="P1377" s="58"/>
    </row>
    <row r="1378" spans="2:16">
      <c r="B1378" s="652"/>
      <c r="C1378" s="582">
        <v>2.59</v>
      </c>
      <c r="D1378" s="541">
        <v>1.9</v>
      </c>
      <c r="E1378" s="541">
        <f t="shared" si="211"/>
        <v>2.3309999999999995</v>
      </c>
      <c r="F1378" s="546">
        <f>SUM($E$2:E1378)/SUM($C$2:C1378)</f>
        <v>-7.9828985307285941E-4</v>
      </c>
      <c r="G1378" s="536">
        <f t="shared" si="212"/>
        <v>-3.4576450566667107</v>
      </c>
      <c r="H1378" s="547" t="s">
        <v>479</v>
      </c>
      <c r="I1378" s="2"/>
      <c r="J1378" s="2"/>
      <c r="K1378" s="2"/>
      <c r="L1378" s="2"/>
      <c r="O1378" s="58"/>
      <c r="P1378" s="58"/>
    </row>
    <row r="1379" spans="2:16">
      <c r="B1379" s="652"/>
      <c r="C1379" s="582">
        <v>2.59</v>
      </c>
      <c r="D1379" s="541"/>
      <c r="E1379" s="541">
        <f t="shared" si="211"/>
        <v>-2.59</v>
      </c>
      <c r="F1379" s="546">
        <f>SUM($E$2:E1379)/SUM($C$2:C1379)</f>
        <v>-1.3954262112719693E-3</v>
      </c>
      <c r="G1379" s="536">
        <f t="shared" si="212"/>
        <v>-6.0476450566667106</v>
      </c>
      <c r="H1379" s="547" t="s">
        <v>480</v>
      </c>
      <c r="I1379" s="2"/>
      <c r="J1379" s="2"/>
      <c r="K1379" s="2"/>
      <c r="L1379" s="2"/>
      <c r="O1379" s="58"/>
      <c r="P1379" s="58"/>
    </row>
    <row r="1380" spans="2:16">
      <c r="B1380" s="652"/>
      <c r="C1380" s="582">
        <v>2.59</v>
      </c>
      <c r="D1380" s="541"/>
      <c r="E1380" s="541">
        <f t="shared" si="211"/>
        <v>-2.59</v>
      </c>
      <c r="F1380" s="546">
        <f>SUM($E$2:E1380)/SUM($C$2:C1380)</f>
        <v>-1.991849282330311E-3</v>
      </c>
      <c r="G1380" s="536">
        <f t="shared" si="212"/>
        <v>-8.6376450566667096</v>
      </c>
      <c r="H1380" s="547" t="s">
        <v>481</v>
      </c>
      <c r="I1380" s="2"/>
      <c r="J1380" s="2"/>
      <c r="K1380" s="2"/>
      <c r="L1380" s="2"/>
      <c r="O1380" s="58"/>
      <c r="P1380" s="58"/>
    </row>
    <row r="1381" spans="2:16">
      <c r="B1381" s="652"/>
      <c r="C1381" s="582">
        <v>2.59</v>
      </c>
      <c r="D1381" s="541"/>
      <c r="E1381" s="541">
        <f t="shared" si="211"/>
        <v>-2.59</v>
      </c>
      <c r="F1381" s="546">
        <f>SUM($E$2:E1381)/SUM($C$2:C1381)</f>
        <v>-2.5875603435311597E-3</v>
      </c>
      <c r="G1381" s="536">
        <f t="shared" si="212"/>
        <v>-11.227645056666709</v>
      </c>
      <c r="H1381" s="547" t="s">
        <v>373</v>
      </c>
      <c r="I1381" s="2"/>
      <c r="J1381" s="2"/>
      <c r="K1381" s="2"/>
      <c r="L1381" s="2"/>
      <c r="O1381" s="58"/>
      <c r="P1381" s="58"/>
    </row>
    <row r="1382" spans="2:16">
      <c r="B1382" s="652"/>
      <c r="C1382" s="582">
        <v>2.59</v>
      </c>
      <c r="D1382" s="541"/>
      <c r="E1382" s="541">
        <f t="shared" si="211"/>
        <v>-2.59</v>
      </c>
      <c r="F1382" s="546">
        <f>SUM($E$2:E1382)/SUM($C$2:C1382)</f>
        <v>-3.1825606691099672E-3</v>
      </c>
      <c r="G1382" s="536">
        <f t="shared" si="212"/>
        <v>-13.817645056666709</v>
      </c>
      <c r="H1382" s="547" t="s">
        <v>482</v>
      </c>
      <c r="I1382" s="2"/>
      <c r="J1382" s="2"/>
      <c r="K1382" s="2"/>
      <c r="L1382" s="2"/>
      <c r="O1382" s="58"/>
      <c r="P1382" s="58"/>
    </row>
    <row r="1383" spans="2:16">
      <c r="B1383" s="652"/>
      <c r="C1383" s="539">
        <v>2.59</v>
      </c>
      <c r="D1383" s="542">
        <v>1.86</v>
      </c>
      <c r="E1383" s="542">
        <f t="shared" si="211"/>
        <v>2.2274000000000003</v>
      </c>
      <c r="F1383" s="549">
        <f>SUM($E$2:E1383)/SUM($C$2:C1383)</f>
        <v>-2.667941354607354E-3</v>
      </c>
      <c r="G1383" s="535">
        <f t="shared" si="212"/>
        <v>-11.59024505666671</v>
      </c>
      <c r="H1383" s="550" t="s">
        <v>483</v>
      </c>
      <c r="I1383" s="2"/>
      <c r="J1383" s="2"/>
      <c r="K1383" s="2"/>
      <c r="L1383" s="2"/>
      <c r="O1383" s="58"/>
      <c r="P1383" s="58"/>
    </row>
    <row r="1384" spans="2:16">
      <c r="B1384" s="652"/>
      <c r="C1384" s="582">
        <v>2.59</v>
      </c>
      <c r="D1384" s="541">
        <v>1.85</v>
      </c>
      <c r="E1384" s="541">
        <f t="shared" si="211"/>
        <v>2.2015000000000002</v>
      </c>
      <c r="F1384" s="546">
        <f>SUM($E$2:E1384)/SUM($C$2:C1384)</f>
        <v>-2.1598936248618567E-3</v>
      </c>
      <c r="G1384" s="536">
        <f t="shared" si="212"/>
        <v>-9.3887450566667106</v>
      </c>
      <c r="H1384" s="547" t="s">
        <v>60</v>
      </c>
      <c r="I1384" s="2"/>
      <c r="J1384" s="2"/>
      <c r="K1384" s="2"/>
      <c r="L1384" s="2"/>
      <c r="O1384" s="58"/>
      <c r="P1384" s="58"/>
    </row>
    <row r="1385" spans="2:16">
      <c r="B1385" s="652"/>
      <c r="C1385" s="582">
        <v>2.59</v>
      </c>
      <c r="D1385" s="541"/>
      <c r="E1385" s="541">
        <f t="shared" si="211"/>
        <v>-2.59</v>
      </c>
      <c r="F1385" s="546">
        <f>SUM($E$2:E1385)/SUM($C$2:C1385)</f>
        <v>-2.75408568743615E-3</v>
      </c>
      <c r="G1385" s="536">
        <f t="shared" si="212"/>
        <v>-11.97874505666671</v>
      </c>
      <c r="H1385" s="547" t="s">
        <v>35</v>
      </c>
      <c r="I1385" s="2"/>
      <c r="J1385" s="2"/>
      <c r="K1385" s="2"/>
      <c r="L1385" s="2"/>
      <c r="O1385" s="58"/>
      <c r="P1385" s="58"/>
    </row>
    <row r="1386" spans="2:16">
      <c r="B1386" s="652"/>
      <c r="C1386" s="582">
        <v>2.59</v>
      </c>
      <c r="D1386" s="541"/>
      <c r="E1386" s="541">
        <f t="shared" si="211"/>
        <v>-2.59</v>
      </c>
      <c r="F1386" s="546">
        <f>SUM($E$2:E1386)/SUM($C$2:C1386)</f>
        <v>-3.347570514275896E-3</v>
      </c>
      <c r="G1386" s="536">
        <f t="shared" si="212"/>
        <v>-14.56874505666671</v>
      </c>
      <c r="H1386" s="547" t="s">
        <v>18</v>
      </c>
      <c r="I1386" s="2"/>
      <c r="J1386" s="2"/>
      <c r="K1386" s="2"/>
      <c r="L1386" s="2"/>
      <c r="O1386" s="58"/>
      <c r="P1386" s="58"/>
    </row>
    <row r="1387" spans="2:16">
      <c r="B1387" s="652"/>
      <c r="C1387" s="539">
        <v>2.59</v>
      </c>
      <c r="D1387" s="542"/>
      <c r="E1387" s="542">
        <f t="shared" si="211"/>
        <v>-2.59</v>
      </c>
      <c r="F1387" s="549">
        <f>SUM($E$2:E1387)/SUM($C$2:C1387)</f>
        <v>-3.9403493673086489E-3</v>
      </c>
      <c r="G1387" s="535">
        <f t="shared" si="212"/>
        <v>-17.15874505666671</v>
      </c>
      <c r="H1387" s="550" t="s">
        <v>17</v>
      </c>
      <c r="I1387" s="2">
        <f>SUM(E1374:E1387)</f>
        <v>-16.5501</v>
      </c>
      <c r="L1387" s="2">
        <f>I1387/C1387</f>
        <v>-6.3900000000000006</v>
      </c>
      <c r="O1387" s="58"/>
      <c r="P1387" s="58"/>
    </row>
    <row r="1388" spans="2:16">
      <c r="B1388" s="650">
        <v>46100</v>
      </c>
      <c r="C1388" s="582">
        <v>2.85</v>
      </c>
      <c r="D1388" s="541"/>
      <c r="E1388" s="541">
        <f t="shared" ref="E1388:E1401" si="213">(C1388*D1388)-C1388</f>
        <v>-2.85</v>
      </c>
      <c r="F1388" s="546">
        <f>SUM($E$2:E1388)/SUM($C$2:C1388)</f>
        <v>-4.5918206452969642E-3</v>
      </c>
      <c r="G1388" s="536">
        <f t="shared" ref="G1388:G1401" si="214">G1387+E1388</f>
        <v>-20.008745056666712</v>
      </c>
      <c r="H1388" s="547" t="s">
        <v>15</v>
      </c>
      <c r="I1388" s="2"/>
      <c r="J1388" s="2"/>
      <c r="K1388" s="2"/>
      <c r="L1388" s="2"/>
      <c r="O1388" s="58"/>
      <c r="P1388" s="58"/>
    </row>
    <row r="1389" spans="2:16">
      <c r="B1389" s="652"/>
      <c r="C1389" s="582">
        <v>2.85</v>
      </c>
      <c r="D1389" s="541"/>
      <c r="E1389" s="541">
        <f t="shared" si="213"/>
        <v>-2.85</v>
      </c>
      <c r="F1389" s="546">
        <f>SUM($E$2:E1389)/SUM($C$2:C1389)</f>
        <v>-5.2424402927240994E-3</v>
      </c>
      <c r="G1389" s="536">
        <f t="shared" si="214"/>
        <v>-22.858745056666713</v>
      </c>
      <c r="H1389" s="547" t="s">
        <v>16</v>
      </c>
      <c r="I1389" s="2"/>
      <c r="J1389" s="2"/>
      <c r="K1389" s="2"/>
      <c r="L1389" s="2"/>
      <c r="O1389" s="58"/>
      <c r="P1389" s="58"/>
    </row>
    <row r="1390" spans="2:16">
      <c r="B1390" s="652"/>
      <c r="C1390" s="582">
        <v>2.85</v>
      </c>
      <c r="D1390" s="541">
        <v>1.83</v>
      </c>
      <c r="E1390" s="541">
        <f t="shared" si="213"/>
        <v>2.3655000000000004</v>
      </c>
      <c r="F1390" s="546">
        <f>SUM($E$2:E1390)/SUM($C$2:C1390)</f>
        <v>-4.6968649285349107E-3</v>
      </c>
      <c r="G1390" s="536">
        <f t="shared" si="214"/>
        <v>-20.493245056666712</v>
      </c>
      <c r="H1390" s="547" t="s">
        <v>35</v>
      </c>
      <c r="I1390" s="2"/>
      <c r="J1390" s="2"/>
      <c r="K1390" s="2"/>
      <c r="L1390" s="2"/>
      <c r="O1390" s="58"/>
      <c r="P1390" s="58"/>
    </row>
    <row r="1391" spans="2:16">
      <c r="B1391" s="652"/>
      <c r="C1391" s="582">
        <v>2.85</v>
      </c>
      <c r="D1391" s="541">
        <v>1.83</v>
      </c>
      <c r="E1391" s="541">
        <f t="shared" si="213"/>
        <v>2.3655000000000004</v>
      </c>
      <c r="F1391" s="546">
        <f>SUM($E$2:E1391)/SUM($C$2:C1391)</f>
        <v>-4.1520018322233048E-3</v>
      </c>
      <c r="G1391" s="536">
        <f t="shared" si="214"/>
        <v>-18.127745056666711</v>
      </c>
      <c r="H1391" s="547" t="s">
        <v>13</v>
      </c>
      <c r="I1391" s="2"/>
      <c r="J1391" s="2"/>
      <c r="K1391" s="2"/>
      <c r="L1391" s="2"/>
      <c r="O1391" s="58"/>
      <c r="P1391" s="58"/>
    </row>
    <row r="1392" spans="2:16">
      <c r="B1392" s="652"/>
      <c r="C1392" s="539">
        <v>2.85</v>
      </c>
      <c r="D1392" s="542"/>
      <c r="E1392" s="542">
        <f t="shared" si="213"/>
        <v>-2.85</v>
      </c>
      <c r="F1392" s="549">
        <f>SUM($E$2:E1392)/SUM($C$2:C1392)</f>
        <v>-4.8016351126636088E-3</v>
      </c>
      <c r="G1392" s="535">
        <f t="shared" si="214"/>
        <v>-20.977745056666713</v>
      </c>
      <c r="H1392" s="550" t="s">
        <v>38</v>
      </c>
      <c r="I1392" s="2"/>
      <c r="J1392" s="2"/>
      <c r="K1392" s="2"/>
      <c r="L1392" s="2"/>
      <c r="O1392" s="58"/>
      <c r="P1392" s="58"/>
    </row>
    <row r="1393" spans="2:16">
      <c r="B1393" s="652"/>
      <c r="C1393" s="582">
        <v>2.85</v>
      </c>
      <c r="D1393" s="541"/>
      <c r="E1393" s="541">
        <f t="shared" si="213"/>
        <v>-2.85</v>
      </c>
      <c r="F1393" s="546">
        <f>SUM($E$2:E1393)/SUM($C$2:C1393)</f>
        <v>-5.4504213797528771E-3</v>
      </c>
      <c r="G1393" s="536">
        <f t="shared" si="214"/>
        <v>-23.827745056666714</v>
      </c>
      <c r="H1393" s="547" t="s">
        <v>484</v>
      </c>
      <c r="I1393" s="2"/>
      <c r="J1393" s="2"/>
      <c r="K1393" s="2"/>
      <c r="L1393" s="2"/>
      <c r="O1393" s="58"/>
      <c r="P1393" s="58"/>
    </row>
    <row r="1394" spans="2:16">
      <c r="B1394" s="652"/>
      <c r="C1394" s="582">
        <v>2.85</v>
      </c>
      <c r="D1394" s="541">
        <v>1.87</v>
      </c>
      <c r="E1394" s="541">
        <f t="shared" si="213"/>
        <v>2.4795000000000003</v>
      </c>
      <c r="F1394" s="546">
        <f>SUM($E$2:E1394)/SUM($C$2:C1394)</f>
        <v>-4.880072596558315E-3</v>
      </c>
      <c r="G1394" s="536">
        <f t="shared" si="214"/>
        <v>-21.348245056666713</v>
      </c>
      <c r="H1394" s="547" t="s">
        <v>477</v>
      </c>
      <c r="I1394" s="2"/>
      <c r="J1394" s="2"/>
      <c r="K1394" s="2"/>
      <c r="L1394" s="2"/>
      <c r="O1394" s="58"/>
      <c r="P1394" s="58"/>
    </row>
    <row r="1395" spans="2:16">
      <c r="B1395" s="652"/>
      <c r="C1395" s="582">
        <v>2.85</v>
      </c>
      <c r="D1395" s="541"/>
      <c r="E1395" s="541">
        <f t="shared" si="213"/>
        <v>-2.85</v>
      </c>
      <c r="F1395" s="546">
        <f>SUM($E$2:E1395)/SUM($C$2:C1395)</f>
        <v>-5.5279629880402893E-3</v>
      </c>
      <c r="G1395" s="536">
        <f t="shared" si="214"/>
        <v>-24.198245056666714</v>
      </c>
      <c r="H1395" s="547" t="s">
        <v>485</v>
      </c>
      <c r="I1395" s="2"/>
      <c r="J1395" s="2"/>
      <c r="K1395" s="2"/>
      <c r="L1395" s="2"/>
      <c r="O1395" s="58"/>
      <c r="P1395" s="58"/>
    </row>
    <row r="1396" spans="2:16">
      <c r="B1396" s="652"/>
      <c r="C1396" s="582">
        <v>2.85</v>
      </c>
      <c r="D1396" s="541">
        <v>1.87</v>
      </c>
      <c r="E1396" s="541">
        <f t="shared" si="213"/>
        <v>2.4795000000000003</v>
      </c>
      <c r="F1396" s="546">
        <f>SUM($E$2:E1396)/SUM($C$2:C1396)</f>
        <v>-4.9583059409287695E-3</v>
      </c>
      <c r="G1396" s="536">
        <f t="shared" si="214"/>
        <v>-21.718745056666712</v>
      </c>
      <c r="H1396" s="547" t="s">
        <v>184</v>
      </c>
      <c r="I1396" s="2"/>
      <c r="J1396" s="2"/>
      <c r="K1396" s="2"/>
      <c r="L1396" s="2"/>
      <c r="O1396" s="58"/>
      <c r="P1396" s="58"/>
    </row>
    <row r="1397" spans="2:16">
      <c r="B1397" s="652"/>
      <c r="C1397" s="582">
        <v>2.85</v>
      </c>
      <c r="D1397" s="541">
        <v>1.87</v>
      </c>
      <c r="E1397" s="541">
        <f t="shared" si="213"/>
        <v>2.4795000000000003</v>
      </c>
      <c r="F1397" s="546">
        <f>SUM($E$2:E1397)/SUM($C$2:C1397)</f>
        <v>-4.3893896997363683E-3</v>
      </c>
      <c r="G1397" s="536">
        <f t="shared" si="214"/>
        <v>-19.239245056666711</v>
      </c>
      <c r="H1397" s="547" t="s">
        <v>486</v>
      </c>
      <c r="I1397" s="2"/>
      <c r="J1397" s="2"/>
      <c r="K1397" s="2"/>
      <c r="L1397" s="2"/>
      <c r="O1397" s="58"/>
      <c r="P1397" s="58"/>
    </row>
    <row r="1398" spans="2:16">
      <c r="B1398" s="652"/>
      <c r="C1398" s="539">
        <v>2.85</v>
      </c>
      <c r="D1398" s="542"/>
      <c r="E1398" s="542">
        <f t="shared" si="213"/>
        <v>-2.85</v>
      </c>
      <c r="F1398" s="549">
        <f>SUM($E$2:E1398)/SUM($C$2:C1398)</f>
        <v>-5.0363359416722648E-3</v>
      </c>
      <c r="G1398" s="535">
        <f t="shared" si="214"/>
        <v>-22.089245056666712</v>
      </c>
      <c r="H1398" s="550" t="s">
        <v>487</v>
      </c>
      <c r="I1398" s="2"/>
      <c r="J1398" s="2"/>
      <c r="K1398" s="2"/>
      <c r="L1398" s="2"/>
      <c r="O1398" s="58"/>
      <c r="P1398" s="58"/>
    </row>
    <row r="1399" spans="2:16">
      <c r="B1399" s="652"/>
      <c r="C1399" s="582">
        <v>2.85</v>
      </c>
      <c r="D1399" s="541">
        <v>1.82</v>
      </c>
      <c r="E1399" s="541">
        <f t="shared" si="213"/>
        <v>2.3370000000000002</v>
      </c>
      <c r="F1399" s="546">
        <f>SUM($E$2:E1399)/SUM($C$2:C1399)</f>
        <v>-4.5005767361405392E-3</v>
      </c>
      <c r="G1399" s="536">
        <f t="shared" si="214"/>
        <v>-19.752245056666712</v>
      </c>
      <c r="H1399" s="547" t="s">
        <v>35</v>
      </c>
      <c r="I1399" s="2"/>
      <c r="J1399" s="2"/>
      <c r="K1399" s="2"/>
      <c r="L1399" s="2"/>
      <c r="O1399" s="58"/>
      <c r="P1399" s="58"/>
    </row>
    <row r="1400" spans="2:16">
      <c r="B1400" s="652"/>
      <c r="C1400" s="582">
        <v>2.85</v>
      </c>
      <c r="D1400" s="541"/>
      <c r="E1400" s="541">
        <f t="shared" si="213"/>
        <v>-2.85</v>
      </c>
      <c r="F1400" s="546">
        <f>SUM($E$2:E1400)/SUM($C$2:C1400)</f>
        <v>-5.1466111445831316E-3</v>
      </c>
      <c r="G1400" s="536">
        <f t="shared" si="214"/>
        <v>-22.602245056666714</v>
      </c>
      <c r="H1400" s="547" t="s">
        <v>18</v>
      </c>
      <c r="I1400" s="2"/>
      <c r="J1400" s="2"/>
      <c r="K1400" s="2"/>
      <c r="L1400" s="2"/>
      <c r="O1400" s="58"/>
      <c r="P1400" s="58"/>
    </row>
    <row r="1401" spans="2:16">
      <c r="B1401" s="651"/>
      <c r="C1401" s="539">
        <v>2.85</v>
      </c>
      <c r="D1401" s="542">
        <v>2.9119999999999999</v>
      </c>
      <c r="E1401" s="542">
        <f t="shared" si="213"/>
        <v>5.4492000000000012</v>
      </c>
      <c r="F1401" s="549">
        <f>SUM($E$2:E1401)/SUM($C$2:C1401)</f>
        <v>-3.9032759797341934E-3</v>
      </c>
      <c r="G1401" s="535">
        <f t="shared" si="214"/>
        <v>-17.153045056666713</v>
      </c>
      <c r="H1401" s="550" t="s">
        <v>47</v>
      </c>
      <c r="I1401" s="2">
        <f>SUM(E1388:E1401)</f>
        <v>5.7000000000027029E-3</v>
      </c>
      <c r="L1401" s="2">
        <f>I1401/C1401</f>
        <v>2.0000000000009485E-3</v>
      </c>
      <c r="O1401" s="58"/>
      <c r="P1401" s="58"/>
    </row>
    <row r="1402" spans="2:16">
      <c r="B1402" s="652">
        <v>46101</v>
      </c>
      <c r="C1402" s="582">
        <v>3.79</v>
      </c>
      <c r="D1402" s="541"/>
      <c r="E1402" s="541">
        <f t="shared" ref="E1402:E1407" si="215">(C1402*D1402)-C1402</f>
        <v>-3.79</v>
      </c>
      <c r="F1402" s="546">
        <f>SUM($E$2:E1402)/SUM($C$2:C1402)</f>
        <v>-4.7616061184699359E-3</v>
      </c>
      <c r="G1402" s="536">
        <f t="shared" ref="G1402:G1407" si="216">G1401+E1402</f>
        <v>-20.943045056666712</v>
      </c>
      <c r="H1402" s="547" t="s">
        <v>26</v>
      </c>
      <c r="I1402" s="2"/>
      <c r="J1402" s="2"/>
      <c r="K1402" s="2"/>
      <c r="L1402" s="2"/>
      <c r="O1402" s="58"/>
      <c r="P1402" s="58"/>
    </row>
    <row r="1403" spans="2:16">
      <c r="B1403" s="652"/>
      <c r="C1403" s="539">
        <v>3.79</v>
      </c>
      <c r="D1403" s="542">
        <v>1.86</v>
      </c>
      <c r="E1403" s="542">
        <f t="shared" si="215"/>
        <v>3.2594000000000003</v>
      </c>
      <c r="F1403" s="549">
        <f>SUM($E$2:E1403)/SUM($C$2:C1403)</f>
        <v>-4.0170881522320814E-3</v>
      </c>
      <c r="G1403" s="535">
        <f t="shared" si="216"/>
        <v>-17.683645056666712</v>
      </c>
      <c r="H1403" s="550" t="s">
        <v>59</v>
      </c>
      <c r="I1403" s="2"/>
      <c r="J1403" s="2"/>
      <c r="K1403" s="2"/>
      <c r="L1403" s="2"/>
      <c r="O1403" s="58"/>
      <c r="P1403" s="58"/>
    </row>
    <row r="1404" spans="2:16">
      <c r="B1404" s="652"/>
      <c r="C1404" s="582">
        <v>3.79</v>
      </c>
      <c r="D1404" s="541"/>
      <c r="E1404" s="541">
        <f t="shared" si="215"/>
        <v>-3.79</v>
      </c>
      <c r="F1404" s="546">
        <f>SUM($E$2:E1404)/SUM($C$2:C1404)</f>
        <v>-4.8738436982667648E-3</v>
      </c>
      <c r="G1404" s="536">
        <f t="shared" si="216"/>
        <v>-21.473645056666712</v>
      </c>
      <c r="H1404" s="547" t="s">
        <v>488</v>
      </c>
      <c r="I1404" s="2"/>
      <c r="J1404" s="2"/>
      <c r="K1404" s="2"/>
      <c r="L1404" s="2"/>
      <c r="O1404" s="58"/>
      <c r="P1404" s="58"/>
    </row>
    <row r="1405" spans="2:16">
      <c r="B1405" s="652"/>
      <c r="C1405" s="582">
        <v>3.79</v>
      </c>
      <c r="D1405" s="541"/>
      <c r="E1405" s="541">
        <f t="shared" si="215"/>
        <v>-3.79</v>
      </c>
      <c r="F1405" s="546">
        <f>SUM($E$2:E1405)/SUM($C$2:C1405)</f>
        <v>-5.7291265299027928E-3</v>
      </c>
      <c r="G1405" s="536">
        <f t="shared" si="216"/>
        <v>-25.263645056666711</v>
      </c>
      <c r="H1405" s="547" t="s">
        <v>489</v>
      </c>
      <c r="I1405" s="2"/>
      <c r="J1405" s="2"/>
      <c r="K1405" s="2"/>
      <c r="L1405" s="2"/>
      <c r="O1405" s="58"/>
      <c r="P1405" s="58"/>
    </row>
    <row r="1406" spans="2:16">
      <c r="B1406" s="652"/>
      <c r="C1406" s="582">
        <v>3.79</v>
      </c>
      <c r="D1406" s="541">
        <v>1.87</v>
      </c>
      <c r="E1406" s="541">
        <f t="shared" si="215"/>
        <v>3.2973000000000008</v>
      </c>
      <c r="F1406" s="546">
        <f>SUM($E$2:E1406)/SUM($C$2:C1406)</f>
        <v>-4.9771084122395134E-3</v>
      </c>
      <c r="G1406" s="536">
        <f t="shared" si="216"/>
        <v>-21.966345056666711</v>
      </c>
      <c r="H1406" s="547" t="s">
        <v>490</v>
      </c>
      <c r="I1406" s="2"/>
      <c r="J1406" s="2"/>
      <c r="K1406" s="2"/>
      <c r="L1406" s="2"/>
      <c r="O1406" s="58"/>
      <c r="P1406" s="58"/>
    </row>
    <row r="1407" spans="2:16">
      <c r="B1407" s="652"/>
      <c r="C1407" s="539">
        <v>3.79</v>
      </c>
      <c r="D1407" s="542">
        <v>1.86</v>
      </c>
      <c r="E1407" s="542">
        <f t="shared" si="215"/>
        <v>3.2594000000000003</v>
      </c>
      <c r="F1407" s="549">
        <f>SUM($E$2:E1407)/SUM($C$2:C1407)</f>
        <v>-4.2349607221696299E-3</v>
      </c>
      <c r="G1407" s="535">
        <f t="shared" si="216"/>
        <v>-18.706945056666711</v>
      </c>
      <c r="H1407" s="550" t="s">
        <v>491</v>
      </c>
      <c r="I1407" s="2">
        <f>SUM(E1402:E1407)</f>
        <v>-1.5538999999999987</v>
      </c>
      <c r="L1407" s="2">
        <f>I1407/C1407</f>
        <v>-0.40999999999999964</v>
      </c>
      <c r="O1407" s="58"/>
      <c r="P1407" s="58"/>
    </row>
    <row r="1408" spans="2:16">
      <c r="B1408" s="650">
        <v>46103</v>
      </c>
      <c r="C1408" s="582">
        <v>4.54</v>
      </c>
      <c r="D1408" s="541"/>
      <c r="E1408" s="541">
        <f t="shared" ref="E1408:E1433" si="217">(C1408*D1408)-C1408</f>
        <v>-4.54</v>
      </c>
      <c r="F1408" s="546">
        <f>SUM($E$2:E1408)/SUM($C$2:C1408)</f>
        <v>-5.2573425252493309E-3</v>
      </c>
      <c r="G1408" s="536">
        <f t="shared" ref="G1408:G1433" si="218">G1407+E1408</f>
        <v>-23.246945056666711</v>
      </c>
      <c r="H1408" s="547" t="s">
        <v>59</v>
      </c>
      <c r="I1408" s="2"/>
      <c r="J1408" s="2"/>
      <c r="K1408" s="2"/>
      <c r="L1408" s="2"/>
      <c r="O1408" s="58"/>
      <c r="P1408" s="58"/>
    </row>
    <row r="1409" spans="2:16">
      <c r="B1409" s="652"/>
      <c r="C1409" s="582">
        <v>4.54</v>
      </c>
      <c r="D1409" s="541"/>
      <c r="E1409" s="541">
        <f t="shared" si="217"/>
        <v>-4.54</v>
      </c>
      <c r="F1409" s="546">
        <f>SUM($E$2:E1409)/SUM($C$2:C1409)</f>
        <v>-6.2776270615915869E-3</v>
      </c>
      <c r="G1409" s="536">
        <f t="shared" si="218"/>
        <v>-27.78694505666671</v>
      </c>
      <c r="H1409" s="547" t="s">
        <v>38</v>
      </c>
      <c r="I1409" s="2"/>
      <c r="J1409" s="2"/>
      <c r="K1409" s="2"/>
      <c r="L1409" s="2"/>
      <c r="O1409" s="58"/>
      <c r="P1409" s="58"/>
    </row>
    <row r="1410" spans="2:16">
      <c r="B1410" s="652"/>
      <c r="C1410" s="582">
        <v>4.54</v>
      </c>
      <c r="D1410" s="541"/>
      <c r="E1410" s="541">
        <f t="shared" si="217"/>
        <v>-4.54</v>
      </c>
      <c r="F1410" s="546">
        <f>SUM($E$2:E1410)/SUM($C$2:C1410)</f>
        <v>-7.2958207779380783E-3</v>
      </c>
      <c r="G1410" s="536">
        <f t="shared" si="218"/>
        <v>-32.326945056666709</v>
      </c>
      <c r="H1410" s="547" t="s">
        <v>29</v>
      </c>
      <c r="I1410" s="2"/>
      <c r="J1410" s="2"/>
      <c r="K1410" s="2"/>
      <c r="L1410" s="2"/>
      <c r="O1410" s="58"/>
      <c r="P1410" s="58"/>
    </row>
    <row r="1411" spans="2:16">
      <c r="B1411" s="652"/>
      <c r="C1411" s="539">
        <v>4.54</v>
      </c>
      <c r="D1411" s="542">
        <v>1.91</v>
      </c>
      <c r="E1411" s="542">
        <f t="shared" si="217"/>
        <v>4.1314000000000002</v>
      </c>
      <c r="F1411" s="549">
        <f>SUM($E$2:E1411)/SUM($C$2:C1411)</f>
        <v>-6.3568977340253104E-3</v>
      </c>
      <c r="G1411" s="535">
        <f t="shared" si="218"/>
        <v>-28.19554505666671</v>
      </c>
      <c r="H1411" s="550" t="s">
        <v>37</v>
      </c>
      <c r="I1411" s="2"/>
      <c r="J1411" s="2"/>
      <c r="K1411" s="2"/>
      <c r="L1411" s="2"/>
      <c r="O1411" s="58"/>
      <c r="P1411" s="58"/>
    </row>
    <row r="1412" spans="2:16">
      <c r="B1412" s="652"/>
      <c r="C1412" s="582">
        <v>4.54</v>
      </c>
      <c r="D1412" s="541"/>
      <c r="E1412" s="541">
        <f t="shared" si="217"/>
        <v>-4.54</v>
      </c>
      <c r="F1412" s="546">
        <f>SUM($E$2:E1412)/SUM($C$2:C1412)</f>
        <v>-7.3729281254036388E-3</v>
      </c>
      <c r="G1412" s="536">
        <f t="shared" si="218"/>
        <v>-32.735545056666709</v>
      </c>
      <c r="H1412" s="547" t="s">
        <v>492</v>
      </c>
      <c r="I1412" s="2"/>
      <c r="J1412" s="2"/>
      <c r="K1412" s="2"/>
      <c r="L1412" s="2"/>
      <c r="O1412" s="58"/>
      <c r="P1412" s="58"/>
    </row>
    <row r="1413" spans="2:16">
      <c r="B1413" s="651"/>
      <c r="C1413" s="539">
        <v>4.54</v>
      </c>
      <c r="D1413" s="542"/>
      <c r="E1413" s="542">
        <f t="shared" si="217"/>
        <v>-4.54</v>
      </c>
      <c r="F1413" s="549">
        <f>SUM($E$2:E1413)/SUM($C$2:C1413)</f>
        <v>-8.3868827951154978E-3</v>
      </c>
      <c r="G1413" s="535">
        <f t="shared" si="218"/>
        <v>-37.275545056666708</v>
      </c>
      <c r="H1413" s="550" t="s">
        <v>493</v>
      </c>
      <c r="I1413" s="490">
        <f>SUM(E1408:E1413)</f>
        <v>-18.5686</v>
      </c>
      <c r="J1413" s="490">
        <f>SUM(E1355:E1413)</f>
        <v>-65.428120000000021</v>
      </c>
      <c r="L1413" s="2">
        <f>I1413/C1413</f>
        <v>-4.09</v>
      </c>
      <c r="O1413" s="58"/>
      <c r="P1413" s="58"/>
    </row>
    <row r="1414" spans="2:16">
      <c r="B1414" s="652">
        <v>46104</v>
      </c>
      <c r="C1414" s="582">
        <v>2.21</v>
      </c>
      <c r="D1414" s="541"/>
      <c r="E1414" s="541">
        <f t="shared" si="217"/>
        <v>-2.21</v>
      </c>
      <c r="F1414" s="546">
        <f>SUM($E$2:E1414)/SUM($C$2:C1414)</f>
        <v>-8.8797106106614631E-3</v>
      </c>
      <c r="G1414" s="536">
        <f t="shared" si="218"/>
        <v>-39.485545056666709</v>
      </c>
      <c r="H1414" s="547" t="s">
        <v>64</v>
      </c>
      <c r="I1414" s="2"/>
      <c r="J1414" s="2"/>
      <c r="K1414" s="2"/>
      <c r="L1414" s="2"/>
      <c r="O1414" s="58"/>
      <c r="P1414" s="58"/>
    </row>
    <row r="1415" spans="2:16">
      <c r="B1415" s="652"/>
      <c r="C1415" s="582">
        <v>2.21</v>
      </c>
      <c r="D1415" s="541">
        <v>1.83</v>
      </c>
      <c r="E1415" s="541">
        <f t="shared" si="217"/>
        <v>1.8342999999999998</v>
      </c>
      <c r="F1415" s="546">
        <f>SUM($E$2:E1415)/SUM($C$2:C1415)</f>
        <v>-8.4629978015495592E-3</v>
      </c>
      <c r="G1415" s="536">
        <f t="shared" si="218"/>
        <v>-37.65124505666671</v>
      </c>
      <c r="H1415" s="547" t="s">
        <v>16</v>
      </c>
      <c r="I1415" s="2"/>
      <c r="J1415" s="2"/>
      <c r="K1415" s="2"/>
      <c r="L1415" s="2"/>
      <c r="O1415" s="58"/>
      <c r="P1415" s="58"/>
    </row>
    <row r="1416" spans="2:16">
      <c r="B1416" s="652"/>
      <c r="C1416" s="582">
        <v>2.21</v>
      </c>
      <c r="D1416" s="541"/>
      <c r="E1416" s="541">
        <f t="shared" si="217"/>
        <v>-2.21</v>
      </c>
      <c r="F1416" s="546">
        <f>SUM($E$2:E1416)/SUM($C$2:C1416)</f>
        <v>-8.9552984452732094E-3</v>
      </c>
      <c r="G1416" s="536">
        <f t="shared" si="218"/>
        <v>-39.861245056666711</v>
      </c>
      <c r="H1416" s="547" t="s">
        <v>14</v>
      </c>
      <c r="I1416" s="2"/>
      <c r="J1416" s="2"/>
      <c r="K1416" s="2"/>
      <c r="L1416" s="2"/>
      <c r="O1416" s="58"/>
      <c r="P1416" s="58"/>
    </row>
    <row r="1417" spans="2:16">
      <c r="B1417" s="652"/>
      <c r="C1417" s="582">
        <v>2.21</v>
      </c>
      <c r="D1417" s="541"/>
      <c r="E1417" s="541">
        <f t="shared" si="217"/>
        <v>-2.21</v>
      </c>
      <c r="F1417" s="546">
        <f>SUM($E$2:E1417)/SUM($C$2:C1417)</f>
        <v>-9.4471104745514674E-3</v>
      </c>
      <c r="G1417" s="536">
        <f t="shared" si="218"/>
        <v>-42.071245056666712</v>
      </c>
      <c r="H1417" s="547" t="s">
        <v>17</v>
      </c>
      <c r="I1417" s="2"/>
      <c r="J1417" s="2"/>
      <c r="K1417" s="2"/>
      <c r="L1417" s="2"/>
      <c r="O1417" s="58"/>
      <c r="P1417" s="58"/>
    </row>
    <row r="1418" spans="2:16">
      <c r="B1418" s="652"/>
      <c r="C1418" s="582">
        <v>2.21</v>
      </c>
      <c r="D1418" s="541"/>
      <c r="E1418" s="541">
        <f t="shared" si="217"/>
        <v>-2.21</v>
      </c>
      <c r="F1418" s="546">
        <f>SUM($E$2:E1418)/SUM($C$2:C1418)</f>
        <v>-9.9384346164572909E-3</v>
      </c>
      <c r="G1418" s="536">
        <f t="shared" si="218"/>
        <v>-44.281245056666712</v>
      </c>
      <c r="H1418" s="547" t="s">
        <v>52</v>
      </c>
      <c r="I1418" s="2"/>
      <c r="J1418" s="2"/>
      <c r="K1418" s="2"/>
      <c r="L1418" s="2"/>
      <c r="O1418" s="58"/>
      <c r="P1418" s="58"/>
    </row>
    <row r="1419" spans="2:16">
      <c r="B1419" s="652"/>
      <c r="C1419" s="539">
        <v>2.21</v>
      </c>
      <c r="D1419" s="542"/>
      <c r="E1419" s="542">
        <f t="shared" si="217"/>
        <v>-2.21</v>
      </c>
      <c r="F1419" s="549">
        <f>SUM($E$2:E1419)/SUM($C$2:C1419)</f>
        <v>-1.0429271596621811E-2</v>
      </c>
      <c r="G1419" s="535">
        <f t="shared" si="218"/>
        <v>-46.491245056666713</v>
      </c>
      <c r="H1419" s="550" t="s">
        <v>18</v>
      </c>
      <c r="I1419" s="2"/>
      <c r="J1419" s="2"/>
      <c r="K1419" s="2"/>
      <c r="L1419" s="2"/>
      <c r="O1419" s="58"/>
      <c r="P1419" s="58"/>
    </row>
    <row r="1420" spans="2:16">
      <c r="B1420" s="652"/>
      <c r="C1420" s="582">
        <v>2.21</v>
      </c>
      <c r="D1420" s="541"/>
      <c r="E1420" s="541">
        <f t="shared" si="217"/>
        <v>-2.21</v>
      </c>
      <c r="F1420" s="546">
        <f>SUM($E$2:E1420)/SUM($C$2:C1420)</f>
        <v>-1.0919622139237903E-2</v>
      </c>
      <c r="G1420" s="536">
        <f t="shared" si="218"/>
        <v>-48.701245056666714</v>
      </c>
      <c r="H1420" s="547" t="s">
        <v>265</v>
      </c>
      <c r="I1420" s="2"/>
      <c r="J1420" s="2"/>
      <c r="K1420" s="2"/>
      <c r="L1420" s="2"/>
      <c r="O1420" s="58"/>
      <c r="P1420" s="58"/>
    </row>
    <row r="1421" spans="2:16">
      <c r="B1421" s="652"/>
      <c r="C1421" s="582">
        <v>2.21</v>
      </c>
      <c r="D1421" s="541"/>
      <c r="E1421" s="541">
        <f t="shared" si="217"/>
        <v>-2.21</v>
      </c>
      <c r="F1421" s="546">
        <f>SUM($E$2:E1421)/SUM($C$2:C1421)</f>
        <v>-1.1409486967063754E-2</v>
      </c>
      <c r="G1421" s="536">
        <f t="shared" si="218"/>
        <v>-50.911245056666715</v>
      </c>
      <c r="H1421" s="547" t="s">
        <v>494</v>
      </c>
      <c r="I1421" s="2"/>
      <c r="J1421" s="2"/>
      <c r="K1421" s="2"/>
      <c r="L1421" s="2"/>
      <c r="O1421" s="58"/>
      <c r="P1421" s="58"/>
    </row>
    <row r="1422" spans="2:16">
      <c r="B1422" s="652"/>
      <c r="C1422" s="582">
        <v>2.21</v>
      </c>
      <c r="D1422" s="541"/>
      <c r="E1422" s="541">
        <f t="shared" si="217"/>
        <v>-2.21</v>
      </c>
      <c r="F1422" s="546">
        <f>SUM($E$2:E1422)/SUM($C$2:C1422)</f>
        <v>-1.1898866801426404E-2</v>
      </c>
      <c r="G1422" s="536">
        <f t="shared" si="218"/>
        <v>-53.121245056666716</v>
      </c>
      <c r="H1422" s="547" t="s">
        <v>495</v>
      </c>
      <c r="I1422" s="2"/>
      <c r="J1422" s="2"/>
      <c r="K1422" s="2"/>
      <c r="L1422" s="2"/>
      <c r="O1422" s="58"/>
      <c r="P1422" s="58"/>
    </row>
    <row r="1423" spans="2:16">
      <c r="B1423" s="652"/>
      <c r="C1423" s="582">
        <v>2.21</v>
      </c>
      <c r="D1423" s="541"/>
      <c r="E1423" s="541">
        <f t="shared" si="217"/>
        <v>-2.21</v>
      </c>
      <c r="F1423" s="546">
        <f>SUM($E$2:E1423)/SUM($C$2:C1423)</f>
        <v>-1.2387762362225293E-2</v>
      </c>
      <c r="G1423" s="536">
        <f t="shared" si="218"/>
        <v>-55.331245056666717</v>
      </c>
      <c r="H1423" s="547" t="s">
        <v>496</v>
      </c>
      <c r="I1423" s="2"/>
      <c r="J1423" s="2"/>
      <c r="K1423" s="2"/>
      <c r="L1423" s="2"/>
      <c r="O1423" s="58"/>
      <c r="P1423" s="58"/>
    </row>
    <row r="1424" spans="2:16">
      <c r="B1424" s="652"/>
      <c r="C1424" s="582">
        <v>2.21</v>
      </c>
      <c r="D1424" s="541"/>
      <c r="E1424" s="541">
        <f t="shared" si="217"/>
        <v>-2.21</v>
      </c>
      <c r="F1424" s="546">
        <f>SUM($E$2:E1424)/SUM($C$2:C1424)</f>
        <v>-1.2876174367935794E-2</v>
      </c>
      <c r="G1424" s="536">
        <f t="shared" si="218"/>
        <v>-57.541245056666718</v>
      </c>
      <c r="H1424" s="547" t="s">
        <v>497</v>
      </c>
      <c r="I1424" s="2"/>
      <c r="J1424" s="2"/>
      <c r="K1424" s="2"/>
      <c r="L1424" s="2"/>
      <c r="O1424" s="58"/>
      <c r="P1424" s="58"/>
    </row>
    <row r="1425" spans="2:16">
      <c r="B1425" s="652"/>
      <c r="C1425" s="582">
        <v>2.21</v>
      </c>
      <c r="D1425" s="541"/>
      <c r="E1425" s="541">
        <f t="shared" si="217"/>
        <v>-2.21</v>
      </c>
      <c r="F1425" s="546">
        <f>SUM($E$2:E1425)/SUM($C$2:C1425)</f>
        <v>-1.3364103535612723E-2</v>
      </c>
      <c r="G1425" s="536">
        <f t="shared" si="218"/>
        <v>-59.751245056666718</v>
      </c>
      <c r="H1425" s="547" t="s">
        <v>498</v>
      </c>
      <c r="I1425" s="2"/>
      <c r="J1425" s="2"/>
      <c r="K1425" s="2"/>
      <c r="L1425" s="2"/>
      <c r="O1425" s="58"/>
      <c r="P1425" s="58"/>
    </row>
    <row r="1426" spans="2:16">
      <c r="B1426" s="652"/>
      <c r="C1426" s="539">
        <v>2.21</v>
      </c>
      <c r="D1426" s="542"/>
      <c r="E1426" s="542">
        <f t="shared" si="217"/>
        <v>-2.21</v>
      </c>
      <c r="F1426" s="549">
        <f>SUM($E$2:E1426)/SUM($C$2:C1426)</f>
        <v>-1.3851550580893858E-2</v>
      </c>
      <c r="G1426" s="535">
        <f t="shared" si="218"/>
        <v>-61.961245056666719</v>
      </c>
      <c r="H1426" s="550" t="s">
        <v>499</v>
      </c>
      <c r="I1426" s="2"/>
      <c r="J1426" s="2"/>
      <c r="K1426" s="2"/>
      <c r="L1426" s="2"/>
      <c r="O1426" s="58"/>
      <c r="P1426" s="58"/>
    </row>
    <row r="1427" spans="2:16">
      <c r="B1427" s="652"/>
      <c r="C1427" s="582">
        <v>2.21</v>
      </c>
      <c r="D1427" s="541">
        <v>2.1429999999999998</v>
      </c>
      <c r="E1427" s="541">
        <f t="shared" si="217"/>
        <v>2.5260299999999996</v>
      </c>
      <c r="F1427" s="546">
        <f>SUM($E$2:E1427)/SUM($C$2:C1427)</f>
        <v>-1.3280290794700753E-2</v>
      </c>
      <c r="G1427" s="536">
        <f t="shared" si="218"/>
        <v>-59.435215056666721</v>
      </c>
      <c r="H1427" s="547" t="s">
        <v>97</v>
      </c>
      <c r="I1427" s="2"/>
      <c r="J1427" s="2"/>
      <c r="K1427" s="2"/>
      <c r="L1427" s="2"/>
      <c r="O1427" s="58"/>
      <c r="P1427" s="58"/>
    </row>
    <row r="1428" spans="2:16">
      <c r="B1428" s="652"/>
      <c r="C1428" s="582">
        <v>2.21</v>
      </c>
      <c r="D1428" s="541"/>
      <c r="E1428" s="541">
        <f t="shared" si="217"/>
        <v>-2.21</v>
      </c>
      <c r="F1428" s="546">
        <f>SUM($E$2:E1428)/SUM($C$2:C1428)</f>
        <v>-1.3767298036189599E-2</v>
      </c>
      <c r="G1428" s="536">
        <f t="shared" si="218"/>
        <v>-61.645215056666721</v>
      </c>
      <c r="H1428" s="547" t="s">
        <v>16</v>
      </c>
      <c r="I1428" s="2"/>
      <c r="J1428" s="2"/>
      <c r="K1428" s="2"/>
      <c r="L1428" s="2"/>
      <c r="O1428" s="58"/>
      <c r="P1428" s="58"/>
    </row>
    <row r="1429" spans="2:16">
      <c r="B1429" s="652"/>
      <c r="C1429" s="582">
        <v>2.21</v>
      </c>
      <c r="D1429" s="541">
        <v>3.6</v>
      </c>
      <c r="E1429" s="541">
        <f t="shared" si="217"/>
        <v>5.7460000000000004</v>
      </c>
      <c r="F1429" s="546">
        <f>SUM($E$2:E1429)/SUM($C$2:C1429)</f>
        <v>-1.2477878525054244E-2</v>
      </c>
      <c r="G1429" s="536">
        <f t="shared" si="218"/>
        <v>-55.899215056666719</v>
      </c>
      <c r="H1429" s="547" t="s">
        <v>35</v>
      </c>
      <c r="I1429" s="2"/>
      <c r="J1429" s="2"/>
      <c r="K1429" s="2"/>
      <c r="L1429" s="2"/>
      <c r="O1429" s="58"/>
      <c r="P1429" s="58"/>
    </row>
    <row r="1430" spans="2:16">
      <c r="B1430" s="652"/>
      <c r="C1430" s="582">
        <v>2.21</v>
      </c>
      <c r="D1430" s="541"/>
      <c r="E1430" s="541">
        <f t="shared" si="217"/>
        <v>-2.21</v>
      </c>
      <c r="F1430" s="546">
        <f>SUM($E$2:E1430)/SUM($C$2:C1430)</f>
        <v>-1.2964801153754181E-2</v>
      </c>
      <c r="G1430" s="536">
        <f t="shared" si="218"/>
        <v>-58.10921505666672</v>
      </c>
      <c r="H1430" s="547" t="s">
        <v>47</v>
      </c>
      <c r="I1430" s="2"/>
      <c r="J1430" s="2"/>
      <c r="K1430" s="2"/>
      <c r="L1430" s="2"/>
      <c r="O1430" s="58"/>
      <c r="P1430" s="58"/>
    </row>
    <row r="1431" spans="2:16">
      <c r="B1431" s="652"/>
      <c r="C1431" s="582">
        <v>2.21</v>
      </c>
      <c r="D1431" s="541"/>
      <c r="E1431" s="541">
        <f t="shared" si="217"/>
        <v>-2.21</v>
      </c>
      <c r="F1431" s="546">
        <f>SUM($E$2:E1431)/SUM($C$2:C1431)</f>
        <v>-1.3451243840194976E-2</v>
      </c>
      <c r="G1431" s="536">
        <f t="shared" si="218"/>
        <v>-60.319215056666721</v>
      </c>
      <c r="H1431" s="547" t="s">
        <v>17</v>
      </c>
      <c r="I1431" s="2"/>
      <c r="J1431" s="2"/>
      <c r="K1431" s="2"/>
      <c r="L1431" s="2"/>
      <c r="O1431" s="58"/>
      <c r="P1431" s="58"/>
    </row>
    <row r="1432" spans="2:16">
      <c r="B1432" s="652"/>
      <c r="C1432" s="582">
        <v>2.21</v>
      </c>
      <c r="D1432" s="541"/>
      <c r="E1432" s="541">
        <f t="shared" si="217"/>
        <v>-2.21</v>
      </c>
      <c r="F1432" s="546">
        <f>SUM($E$2:E1432)/SUM($C$2:C1432)</f>
        <v>-1.3937207293620028E-2</v>
      </c>
      <c r="G1432" s="536">
        <f t="shared" si="218"/>
        <v>-62.529215056666722</v>
      </c>
      <c r="H1432" s="547" t="s">
        <v>28</v>
      </c>
      <c r="I1432" s="2"/>
      <c r="J1432" s="2"/>
      <c r="K1432" s="2"/>
      <c r="L1432" s="2"/>
      <c r="O1432" s="58"/>
      <c r="P1432" s="58"/>
    </row>
    <row r="1433" spans="2:16">
      <c r="B1433" s="652"/>
      <c r="C1433" s="539">
        <v>2.21</v>
      </c>
      <c r="D1433" s="542"/>
      <c r="E1433" s="542">
        <f t="shared" si="217"/>
        <v>-2.21</v>
      </c>
      <c r="F1433" s="549">
        <f>SUM($E$2:E1433)/SUM($C$2:C1433)</f>
        <v>-1.4422692221875959E-2</v>
      </c>
      <c r="G1433" s="535">
        <f t="shared" si="218"/>
        <v>-64.739215056666723</v>
      </c>
      <c r="H1433" s="550" t="s">
        <v>34</v>
      </c>
      <c r="I1433" s="2">
        <f>SUM(E1414:E1433)</f>
        <v>-27.463670000000008</v>
      </c>
      <c r="L1433" s="2">
        <f>I1433/C1433</f>
        <v>-12.427000000000003</v>
      </c>
      <c r="O1433" s="58"/>
      <c r="P1433" s="58"/>
    </row>
    <row r="1434" spans="2:16">
      <c r="B1434" s="650">
        <v>46105</v>
      </c>
      <c r="C1434" s="582">
        <v>5.29</v>
      </c>
      <c r="D1434" s="541"/>
      <c r="E1434" s="541">
        <f t="shared" ref="E1434:E1441" si="219">(C1434*D1434)-C1434</f>
        <v>-5.29</v>
      </c>
      <c r="F1434" s="546">
        <f>SUM($E$2:E1434)/SUM($C$2:C1434)</f>
        <v>-1.5582841177733482E-2</v>
      </c>
      <c r="G1434" s="536">
        <f t="shared" ref="G1434:G1441" si="220">G1433+E1434</f>
        <v>-70.029215056666729</v>
      </c>
      <c r="H1434" s="547" t="s">
        <v>15</v>
      </c>
      <c r="I1434" s="2"/>
      <c r="J1434" s="2"/>
      <c r="K1434" s="2"/>
      <c r="L1434" s="2"/>
      <c r="O1434" s="58"/>
      <c r="P1434" s="58"/>
    </row>
    <row r="1435" spans="2:16">
      <c r="B1435" s="652"/>
      <c r="C1435" s="582">
        <v>5.29</v>
      </c>
      <c r="D1435" s="541"/>
      <c r="E1435" s="541">
        <f t="shared" si="219"/>
        <v>-5.29</v>
      </c>
      <c r="F1435" s="546">
        <f>SUM($E$2:E1435)/SUM($C$2:C1435)</f>
        <v>-1.6740262061213516E-2</v>
      </c>
      <c r="G1435" s="536">
        <f t="shared" si="220"/>
        <v>-75.319215056666735</v>
      </c>
      <c r="H1435" s="547" t="s">
        <v>29</v>
      </c>
      <c r="I1435" s="2"/>
      <c r="J1435" s="2"/>
      <c r="K1435" s="2"/>
      <c r="L1435" s="2"/>
      <c r="O1435" s="58"/>
      <c r="P1435" s="58"/>
    </row>
    <row r="1436" spans="2:16">
      <c r="B1436" s="652"/>
      <c r="C1436" s="582">
        <v>5.29</v>
      </c>
      <c r="D1436" s="541"/>
      <c r="E1436" s="541">
        <f t="shared" si="219"/>
        <v>-5.29</v>
      </c>
      <c r="F1436" s="546">
        <f>SUM($E$2:E1436)/SUM($C$2:C1436)</f>
        <v>-1.7894964483545904E-2</v>
      </c>
      <c r="G1436" s="536">
        <f t="shared" si="220"/>
        <v>-80.609215056666741</v>
      </c>
      <c r="H1436" s="547" t="s">
        <v>46</v>
      </c>
      <c r="I1436" s="2"/>
      <c r="J1436" s="2"/>
      <c r="K1436" s="2"/>
      <c r="L1436" s="2"/>
      <c r="O1436" s="58"/>
      <c r="P1436" s="58"/>
    </row>
    <row r="1437" spans="2:16">
      <c r="B1437" s="652"/>
      <c r="C1437" s="539">
        <v>5.29</v>
      </c>
      <c r="D1437" s="542"/>
      <c r="E1437" s="542">
        <f t="shared" si="219"/>
        <v>-5.29</v>
      </c>
      <c r="F1437" s="549">
        <f>SUM($E$2:E1437)/SUM($C$2:C1437)</f>
        <v>-1.9046958010865235E-2</v>
      </c>
      <c r="G1437" s="535">
        <f t="shared" si="220"/>
        <v>-85.899215056666748</v>
      </c>
      <c r="H1437" s="550" t="s">
        <v>36</v>
      </c>
      <c r="I1437" s="2"/>
      <c r="J1437" s="2"/>
      <c r="K1437" s="2"/>
      <c r="L1437" s="2"/>
      <c r="O1437" s="58"/>
      <c r="P1437" s="58"/>
    </row>
    <row r="1438" spans="2:16">
      <c r="B1438" s="652"/>
      <c r="C1438" s="582">
        <v>5.29</v>
      </c>
      <c r="D1438" s="541">
        <v>1.9</v>
      </c>
      <c r="E1438" s="541">
        <f t="shared" si="219"/>
        <v>4.7610000000000001</v>
      </c>
      <c r="F1438" s="546">
        <f>SUM($E$2:E1438)/SUM($C$2:C1438)</f>
        <v>-1.7970193629164688E-2</v>
      </c>
      <c r="G1438" s="536">
        <f t="shared" si="220"/>
        <v>-81.138215056666752</v>
      </c>
      <c r="H1438" s="547" t="s">
        <v>500</v>
      </c>
      <c r="I1438" s="2"/>
      <c r="J1438" s="2"/>
      <c r="K1438" s="2"/>
      <c r="L1438" s="2"/>
      <c r="O1438" s="58"/>
      <c r="P1438" s="58"/>
    </row>
    <row r="1439" spans="2:16">
      <c r="B1439" s="652"/>
      <c r="C1439" s="582">
        <v>5.29</v>
      </c>
      <c r="D1439" s="541"/>
      <c r="E1439" s="541">
        <f t="shared" si="219"/>
        <v>-5.29</v>
      </c>
      <c r="F1439" s="546">
        <f>SUM($E$2:E1439)/SUM($C$2:C1439)</f>
        <v>-1.9119402905628993E-2</v>
      </c>
      <c r="G1439" s="536">
        <f t="shared" si="220"/>
        <v>-86.428215056666758</v>
      </c>
      <c r="H1439" s="547" t="s">
        <v>501</v>
      </c>
      <c r="I1439" s="2"/>
      <c r="J1439" s="2"/>
      <c r="K1439" s="2"/>
      <c r="L1439" s="2"/>
      <c r="O1439" s="58"/>
      <c r="P1439" s="58"/>
    </row>
    <row r="1440" spans="2:16">
      <c r="B1440" s="652"/>
      <c r="C1440" s="582">
        <v>5.29</v>
      </c>
      <c r="D1440" s="541"/>
      <c r="E1440" s="541">
        <f t="shared" si="219"/>
        <v>-5.29</v>
      </c>
      <c r="F1440" s="546">
        <f>SUM($E$2:E1440)/SUM($C$2:C1440)</f>
        <v>-2.0265925627681345E-2</v>
      </c>
      <c r="G1440" s="536">
        <f t="shared" si="220"/>
        <v>-91.718215056666764</v>
      </c>
      <c r="H1440" s="547" t="s">
        <v>300</v>
      </c>
      <c r="I1440" s="2"/>
      <c r="J1440" s="2"/>
      <c r="K1440" s="2"/>
      <c r="L1440" s="2"/>
      <c r="O1440" s="58"/>
      <c r="P1440" s="58"/>
    </row>
    <row r="1441" spans="2:16">
      <c r="B1441" s="651"/>
      <c r="C1441" s="539">
        <v>5.29</v>
      </c>
      <c r="D1441" s="542"/>
      <c r="E1441" s="542">
        <f t="shared" si="219"/>
        <v>-5.29</v>
      </c>
      <c r="F1441" s="549">
        <f>SUM($E$2:E1441)/SUM($C$2:C1441)</f>
        <v>-2.1409771205028308E-2</v>
      </c>
      <c r="G1441" s="535">
        <f t="shared" si="220"/>
        <v>-97.008215056666771</v>
      </c>
      <c r="H1441" s="550" t="s">
        <v>502</v>
      </c>
      <c r="I1441" s="2">
        <f>SUM(E1434:E1441)</f>
        <v>-32.268999999999998</v>
      </c>
      <c r="L1441" s="2">
        <f>I1441/C1441</f>
        <v>-6.1</v>
      </c>
      <c r="O1441" s="58"/>
      <c r="P1441" s="58"/>
    </row>
    <row r="1442" spans="2:16">
      <c r="B1442" s="652">
        <v>46106</v>
      </c>
      <c r="C1442" s="582">
        <v>1.67</v>
      </c>
      <c r="D1442" s="541"/>
      <c r="E1442" s="541">
        <f t="shared" ref="E1442:E1459" si="221">(C1442*D1442)-C1442</f>
        <v>-1.67</v>
      </c>
      <c r="F1442" s="546">
        <f>SUM($E$2:E1442)/SUM($C$2:C1442)</f>
        <v>-2.1770317320070738E-2</v>
      </c>
      <c r="G1442" s="536">
        <f t="shared" ref="G1442:G1459" si="222">G1441+E1442</f>
        <v>-98.678215056666772</v>
      </c>
      <c r="H1442" s="547" t="s">
        <v>60</v>
      </c>
      <c r="I1442" s="2"/>
      <c r="J1442" s="2"/>
      <c r="K1442" s="2"/>
      <c r="L1442" s="2"/>
      <c r="O1442" s="58"/>
      <c r="P1442" s="58"/>
    </row>
    <row r="1443" spans="2:16">
      <c r="B1443" s="652"/>
      <c r="C1443" s="582">
        <v>1.67</v>
      </c>
      <c r="D1443" s="541"/>
      <c r="E1443" s="541">
        <f t="shared" si="221"/>
        <v>-1.67</v>
      </c>
      <c r="F1443" s="546">
        <f>SUM($E$2:E1443)/SUM($C$2:C1443)</f>
        <v>-2.2130597857916837E-2</v>
      </c>
      <c r="G1443" s="536">
        <f t="shared" si="222"/>
        <v>-100.34821505666677</v>
      </c>
      <c r="H1443" s="547" t="s">
        <v>51</v>
      </c>
      <c r="I1443" s="2"/>
      <c r="J1443" s="2"/>
      <c r="K1443" s="2"/>
      <c r="L1443" s="2"/>
      <c r="O1443" s="58"/>
      <c r="P1443" s="58"/>
    </row>
    <row r="1444" spans="2:16">
      <c r="B1444" s="652"/>
      <c r="C1444" s="582">
        <v>1.67</v>
      </c>
      <c r="D1444" s="541">
        <v>1.91</v>
      </c>
      <c r="E1444" s="541">
        <f t="shared" si="221"/>
        <v>1.5196999999999998</v>
      </c>
      <c r="F1444" s="546">
        <f>SUM($E$2:E1444)/SUM($C$2:C1444)</f>
        <v>-2.1787421935659475E-2</v>
      </c>
      <c r="G1444" s="536">
        <f t="shared" si="222"/>
        <v>-98.828515056666774</v>
      </c>
      <c r="H1444" s="547" t="s">
        <v>46</v>
      </c>
      <c r="I1444" s="2"/>
      <c r="J1444" s="2"/>
      <c r="K1444" s="2"/>
      <c r="L1444" s="2"/>
      <c r="O1444" s="58"/>
      <c r="P1444" s="58"/>
    </row>
    <row r="1445" spans="2:16">
      <c r="B1445" s="652"/>
      <c r="C1445" s="582">
        <v>1.67</v>
      </c>
      <c r="D1445" s="541"/>
      <c r="E1445" s="541">
        <f t="shared" si="221"/>
        <v>-1.67</v>
      </c>
      <c r="F1445" s="546">
        <f>SUM($E$2:E1445)/SUM($C$2:C1445)</f>
        <v>-2.2147430992300376E-2</v>
      </c>
      <c r="G1445" s="536">
        <f t="shared" si="222"/>
        <v>-100.49851505666678</v>
      </c>
      <c r="H1445" s="547" t="s">
        <v>59</v>
      </c>
      <c r="I1445" s="2"/>
      <c r="J1445" s="2"/>
      <c r="K1445" s="2"/>
      <c r="L1445" s="2"/>
      <c r="O1445" s="58"/>
      <c r="P1445" s="58"/>
    </row>
    <row r="1446" spans="2:16">
      <c r="B1446" s="652"/>
      <c r="C1446" s="582">
        <v>1.67</v>
      </c>
      <c r="D1446" s="541">
        <v>2</v>
      </c>
      <c r="E1446" s="541">
        <f t="shared" si="221"/>
        <v>1.67</v>
      </c>
      <c r="F1446" s="546">
        <f>SUM($E$2:E1446)/SUM($C$2:C1446)</f>
        <v>-2.1771391097843405E-2</v>
      </c>
      <c r="G1446" s="536">
        <f t="shared" si="222"/>
        <v>-98.828515056666774</v>
      </c>
      <c r="H1446" s="547" t="s">
        <v>27</v>
      </c>
      <c r="I1446" s="2"/>
      <c r="J1446" s="2"/>
      <c r="K1446" s="2"/>
      <c r="L1446" s="2"/>
      <c r="O1446" s="58"/>
      <c r="P1446" s="58"/>
    </row>
    <row r="1447" spans="2:16">
      <c r="B1447" s="652"/>
      <c r="C1447" s="582">
        <v>1.67</v>
      </c>
      <c r="D1447" s="541"/>
      <c r="E1447" s="541">
        <f t="shared" si="221"/>
        <v>-1.67</v>
      </c>
      <c r="F1447" s="546">
        <f>SUM($E$2:E1447)/SUM($C$2:C1447)</f>
        <v>-2.2131141258421475E-2</v>
      </c>
      <c r="G1447" s="536">
        <f t="shared" si="222"/>
        <v>-100.49851505666678</v>
      </c>
      <c r="H1447" s="547" t="s">
        <v>52</v>
      </c>
      <c r="I1447" s="2"/>
      <c r="J1447" s="2"/>
      <c r="K1447" s="2"/>
      <c r="L1447" s="2"/>
      <c r="O1447" s="58"/>
      <c r="P1447" s="58"/>
    </row>
    <row r="1448" spans="2:16">
      <c r="B1448" s="652"/>
      <c r="C1448" s="539">
        <v>1.67</v>
      </c>
      <c r="D1448" s="542"/>
      <c r="E1448" s="542">
        <f t="shared" si="221"/>
        <v>-1.67</v>
      </c>
      <c r="F1448" s="549">
        <f>SUM($E$2:E1448)/SUM($C$2:C1448)</f>
        <v>-2.2490626915182721E-2</v>
      </c>
      <c r="G1448" s="535">
        <f t="shared" si="222"/>
        <v>-102.16851505666678</v>
      </c>
      <c r="H1448" s="550" t="s">
        <v>18</v>
      </c>
      <c r="I1448" s="2"/>
      <c r="J1448" s="2"/>
      <c r="K1448" s="2"/>
      <c r="L1448" s="2"/>
      <c r="O1448" s="58"/>
      <c r="P1448" s="58"/>
    </row>
    <row r="1449" spans="2:16">
      <c r="B1449" s="652"/>
      <c r="C1449" s="582">
        <v>1.67</v>
      </c>
      <c r="D1449" s="541"/>
      <c r="E1449" s="541">
        <f t="shared" si="221"/>
        <v>-1.67</v>
      </c>
      <c r="F1449" s="546">
        <f>SUM($E$2:E1449)/SUM($C$2:C1449)</f>
        <v>-2.2849848359731844E-2</v>
      </c>
      <c r="G1449" s="536">
        <f t="shared" si="222"/>
        <v>-103.83851505666678</v>
      </c>
      <c r="H1449" s="547" t="s">
        <v>503</v>
      </c>
      <c r="I1449" s="2"/>
      <c r="J1449" s="2"/>
      <c r="K1449" s="2"/>
      <c r="L1449" s="2"/>
      <c r="O1449" s="58"/>
      <c r="P1449" s="58"/>
    </row>
    <row r="1450" spans="2:16">
      <c r="B1450" s="652"/>
      <c r="C1450" s="582">
        <v>1.67</v>
      </c>
      <c r="D1450" s="541"/>
      <c r="E1450" s="541">
        <f t="shared" si="221"/>
        <v>-1.67</v>
      </c>
      <c r="F1450" s="546">
        <f>SUM($E$2:E1450)/SUM($C$2:C1450)</f>
        <v>-2.3208805883245059E-2</v>
      </c>
      <c r="G1450" s="536">
        <f t="shared" si="222"/>
        <v>-105.50851505666678</v>
      </c>
      <c r="H1450" s="547" t="s">
        <v>504</v>
      </c>
      <c r="I1450" s="2"/>
      <c r="J1450" s="2"/>
      <c r="K1450" s="2"/>
      <c r="L1450" s="2"/>
      <c r="O1450" s="58"/>
      <c r="P1450" s="58"/>
    </row>
    <row r="1451" spans="2:16">
      <c r="B1451" s="652"/>
      <c r="C1451" s="582">
        <v>1.67</v>
      </c>
      <c r="D1451" s="541"/>
      <c r="E1451" s="541">
        <f t="shared" si="221"/>
        <v>-1.67</v>
      </c>
      <c r="F1451" s="546">
        <f>SUM($E$2:E1451)/SUM($C$2:C1451)</f>
        <v>-2.356749977647089E-2</v>
      </c>
      <c r="G1451" s="536">
        <f t="shared" si="222"/>
        <v>-107.17851505666678</v>
      </c>
      <c r="H1451" s="547" t="s">
        <v>505</v>
      </c>
      <c r="I1451" s="2"/>
      <c r="J1451" s="2"/>
      <c r="K1451" s="2"/>
      <c r="L1451" s="2"/>
      <c r="O1451" s="58"/>
      <c r="P1451" s="58"/>
    </row>
    <row r="1452" spans="2:16">
      <c r="B1452" s="652"/>
      <c r="C1452" s="582">
        <v>1.67</v>
      </c>
      <c r="D1452" s="541">
        <v>1.89</v>
      </c>
      <c r="E1452" s="541">
        <f t="shared" si="221"/>
        <v>1.4863</v>
      </c>
      <c r="F1452" s="546">
        <f>SUM($E$2:E1452)/SUM($C$2:C1452)</f>
        <v>-2.323214581773814E-2</v>
      </c>
      <c r="G1452" s="536">
        <f t="shared" si="222"/>
        <v>-105.69221505666678</v>
      </c>
      <c r="H1452" s="547" t="s">
        <v>506</v>
      </c>
      <c r="I1452" s="2"/>
      <c r="J1452" s="2"/>
      <c r="K1452" s="2"/>
      <c r="L1452" s="2"/>
      <c r="O1452" s="58"/>
      <c r="P1452" s="58"/>
    </row>
    <row r="1453" spans="2:16">
      <c r="B1453" s="652"/>
      <c r="C1453" s="582">
        <v>1.67</v>
      </c>
      <c r="D1453" s="541">
        <v>1.89</v>
      </c>
      <c r="E1453" s="541">
        <f t="shared" si="221"/>
        <v>1.4863</v>
      </c>
      <c r="F1453" s="546">
        <f>SUM($E$2:E1453)/SUM($C$2:C1453)</f>
        <v>-2.2897037973299002E-2</v>
      </c>
      <c r="G1453" s="536">
        <f t="shared" si="222"/>
        <v>-104.20591505666678</v>
      </c>
      <c r="H1453" s="547" t="s">
        <v>507</v>
      </c>
      <c r="I1453" s="2"/>
      <c r="J1453" s="2"/>
      <c r="K1453" s="2"/>
      <c r="L1453" s="2"/>
      <c r="O1453" s="58"/>
      <c r="P1453" s="58"/>
    </row>
    <row r="1454" spans="2:16">
      <c r="B1454" s="652"/>
      <c r="C1454" s="582">
        <v>1.67</v>
      </c>
      <c r="D1454" s="541"/>
      <c r="E1454" s="541">
        <f t="shared" si="221"/>
        <v>-1.67</v>
      </c>
      <c r="F1454" s="546">
        <f>SUM($E$2:E1454)/SUM($C$2:C1454)</f>
        <v>-2.3255451506716811E-2</v>
      </c>
      <c r="G1454" s="536">
        <f t="shared" si="222"/>
        <v>-105.87591505666678</v>
      </c>
      <c r="H1454" s="547" t="s">
        <v>508</v>
      </c>
      <c r="I1454" s="2"/>
      <c r="J1454" s="2"/>
      <c r="K1454" s="2"/>
      <c r="L1454" s="2"/>
      <c r="O1454" s="58"/>
      <c r="P1454" s="58"/>
    </row>
    <row r="1455" spans="2:16">
      <c r="B1455" s="652"/>
      <c r="C1455" s="539">
        <v>1.67</v>
      </c>
      <c r="D1455" s="542">
        <v>1.9</v>
      </c>
      <c r="E1455" s="542">
        <f t="shared" si="221"/>
        <v>1.5029999999999997</v>
      </c>
      <c r="F1455" s="549">
        <f>SUM($E$2:E1455)/SUM($C$2:C1455)</f>
        <v>-2.2916914090410048E-2</v>
      </c>
      <c r="G1455" s="535">
        <f t="shared" si="222"/>
        <v>-104.37291505666678</v>
      </c>
      <c r="H1455" s="550" t="s">
        <v>509</v>
      </c>
      <c r="I1455" s="2"/>
      <c r="J1455" s="2"/>
      <c r="K1455" s="2"/>
      <c r="L1455" s="2"/>
      <c r="O1455" s="58"/>
      <c r="P1455" s="58"/>
    </row>
    <row r="1456" spans="2:16">
      <c r="B1456" s="652"/>
      <c r="C1456" s="582">
        <v>1.67</v>
      </c>
      <c r="D1456" s="541">
        <v>2.23</v>
      </c>
      <c r="E1456" s="541">
        <f t="shared" si="221"/>
        <v>2.0541</v>
      </c>
      <c r="F1456" s="546">
        <f>SUM($E$2:E1456)/SUM($C$2:C1456)</f>
        <v>-2.2457665481139852E-2</v>
      </c>
      <c r="G1456" s="536">
        <f t="shared" si="222"/>
        <v>-102.31881505666678</v>
      </c>
      <c r="H1456" s="547" t="s">
        <v>14</v>
      </c>
      <c r="I1456" s="2"/>
      <c r="J1456" s="2"/>
      <c r="K1456" s="2"/>
      <c r="L1456" s="2"/>
      <c r="O1456" s="58"/>
      <c r="P1456" s="58"/>
    </row>
    <row r="1457" spans="2:16">
      <c r="B1457" s="652"/>
      <c r="C1457" s="582">
        <v>1.67</v>
      </c>
      <c r="D1457" s="541">
        <v>2.16</v>
      </c>
      <c r="E1457" s="541">
        <f t="shared" si="221"/>
        <v>1.9372000000000003</v>
      </c>
      <c r="F1457" s="546">
        <f>SUM($E$2:E1457)/SUM($C$2:C1457)</f>
        <v>-2.2024402064654076E-2</v>
      </c>
      <c r="G1457" s="536">
        <f t="shared" si="222"/>
        <v>-100.38161505666677</v>
      </c>
      <c r="H1457" s="547" t="s">
        <v>37</v>
      </c>
      <c r="I1457" s="2"/>
      <c r="J1457" s="2"/>
      <c r="K1457" s="2"/>
      <c r="L1457" s="2"/>
      <c r="O1457" s="58"/>
      <c r="P1457" s="58"/>
    </row>
    <row r="1458" spans="2:16">
      <c r="B1458" s="652"/>
      <c r="C1458" s="582">
        <v>1.67</v>
      </c>
      <c r="D1458" s="541">
        <v>2.16</v>
      </c>
      <c r="E1458" s="541">
        <f t="shared" si="221"/>
        <v>1.9372000000000003</v>
      </c>
      <c r="F1458" s="546">
        <f>SUM($E$2:E1458)/SUM($C$2:C1458)</f>
        <v>-2.1591456035314448E-2</v>
      </c>
      <c r="G1458" s="536">
        <f t="shared" si="222"/>
        <v>-98.44441505666677</v>
      </c>
      <c r="H1458" s="547" t="s">
        <v>16</v>
      </c>
      <c r="I1458" s="2"/>
      <c r="J1458" s="2"/>
      <c r="K1458" s="2"/>
      <c r="L1458" s="2"/>
      <c r="O1458" s="58"/>
      <c r="P1458" s="58"/>
    </row>
    <row r="1459" spans="2:16">
      <c r="B1459" s="652"/>
      <c r="C1459" s="539">
        <v>1.67</v>
      </c>
      <c r="D1459" s="542">
        <v>1.8320000000000001</v>
      </c>
      <c r="E1459" s="542">
        <f t="shared" si="221"/>
        <v>1.38944</v>
      </c>
      <c r="F1459" s="549">
        <f>SUM($E$2:E1459)/SUM($C$2:C1459)</f>
        <v>-2.127892126848805E-2</v>
      </c>
      <c r="G1459" s="535">
        <f t="shared" si="222"/>
        <v>-97.054975056666777</v>
      </c>
      <c r="H1459" s="550" t="s">
        <v>104</v>
      </c>
      <c r="I1459" s="2">
        <f>SUM(E1442:E1459)</f>
        <v>-4.675999999999858E-2</v>
      </c>
      <c r="L1459" s="2">
        <f>I1459/C1459</f>
        <v>-2.7999999999999151E-2</v>
      </c>
      <c r="O1459" s="58"/>
      <c r="P1459" s="58"/>
    </row>
    <row r="1460" spans="2:16">
      <c r="B1460" s="650">
        <v>46107</v>
      </c>
      <c r="C1460" s="582">
        <v>6.7</v>
      </c>
      <c r="D1460" s="541"/>
      <c r="E1460" s="541">
        <f t="shared" ref="E1460:E1466" si="223">(C1460*D1460)-C1460</f>
        <v>-6.7</v>
      </c>
      <c r="F1460" s="546">
        <f>SUM($E$2:E1460)/SUM($C$2:C1460)</f>
        <v>-2.2714503458288737E-2</v>
      </c>
      <c r="G1460" s="536">
        <f t="shared" ref="G1460:G1466" si="224">G1459+E1460</f>
        <v>-103.75497505666678</v>
      </c>
      <c r="H1460" s="547" t="s">
        <v>15</v>
      </c>
      <c r="I1460" s="2"/>
      <c r="J1460" s="2"/>
      <c r="K1460" s="2"/>
      <c r="L1460" s="2"/>
      <c r="O1460" s="58"/>
      <c r="P1460" s="58"/>
    </row>
    <row r="1461" spans="2:16">
      <c r="B1461" s="652"/>
      <c r="C1461" s="539">
        <v>6.7</v>
      </c>
      <c r="D1461" s="542">
        <v>1.86</v>
      </c>
      <c r="E1461" s="542">
        <f t="shared" si="223"/>
        <v>5.7620000000000013</v>
      </c>
      <c r="F1461" s="549">
        <f>SUM($E$2:E1461)/SUM($C$2:C1461)</f>
        <v>-2.1421639500549226E-2</v>
      </c>
      <c r="G1461" s="535">
        <f t="shared" si="224"/>
        <v>-97.992975056666779</v>
      </c>
      <c r="H1461" s="550" t="s">
        <v>64</v>
      </c>
      <c r="I1461" s="2"/>
      <c r="J1461" s="2"/>
      <c r="K1461" s="2"/>
      <c r="L1461" s="2"/>
      <c r="O1461" s="58"/>
      <c r="P1461" s="58"/>
    </row>
    <row r="1462" spans="2:16">
      <c r="B1462" s="652"/>
      <c r="C1462" s="582">
        <v>6.7</v>
      </c>
      <c r="D1462" s="541">
        <v>1.87</v>
      </c>
      <c r="E1462" s="541">
        <f t="shared" si="223"/>
        <v>5.8290000000000015</v>
      </c>
      <c r="F1462" s="546">
        <f>SUM($E$2:E1462)/SUM($C$2:C1462)</f>
        <v>-2.0117932143190805E-2</v>
      </c>
      <c r="G1462" s="536">
        <f t="shared" si="224"/>
        <v>-92.163975056666771</v>
      </c>
      <c r="H1462" s="547" t="s">
        <v>510</v>
      </c>
      <c r="I1462" s="2"/>
      <c r="J1462" s="2"/>
      <c r="K1462" s="2"/>
      <c r="L1462" s="2"/>
      <c r="O1462" s="58"/>
      <c r="P1462" s="58"/>
    </row>
    <row r="1463" spans="2:16">
      <c r="B1463" s="652"/>
      <c r="C1463" s="582">
        <v>6.7</v>
      </c>
      <c r="D1463" s="541">
        <v>1.9</v>
      </c>
      <c r="E1463" s="541">
        <f t="shared" si="223"/>
        <v>6.03</v>
      </c>
      <c r="F1463" s="546">
        <f>SUM($E$2:E1463)/SUM($C$2:C1463)</f>
        <v>-1.8774221536121613E-2</v>
      </c>
      <c r="G1463" s="536">
        <f t="shared" si="224"/>
        <v>-86.13397505666677</v>
      </c>
      <c r="H1463" s="547" t="s">
        <v>511</v>
      </c>
      <c r="I1463" s="2"/>
      <c r="J1463" s="2"/>
      <c r="K1463" s="2"/>
      <c r="L1463" s="2"/>
      <c r="O1463" s="58"/>
      <c r="P1463" s="58"/>
    </row>
    <row r="1464" spans="2:16">
      <c r="B1464" s="652"/>
      <c r="C1464" s="539">
        <v>6.7</v>
      </c>
      <c r="D1464" s="542"/>
      <c r="E1464" s="542">
        <f t="shared" si="223"/>
        <v>-6.7</v>
      </c>
      <c r="F1464" s="549">
        <f>SUM($E$2:E1464)/SUM($C$2:C1464)</f>
        <v>-2.0205082491458179E-2</v>
      </c>
      <c r="G1464" s="535">
        <f t="shared" si="224"/>
        <v>-92.833975056666773</v>
      </c>
      <c r="H1464" s="550" t="s">
        <v>512</v>
      </c>
      <c r="I1464" s="2"/>
      <c r="J1464" s="2"/>
      <c r="K1464" s="2"/>
      <c r="L1464" s="2"/>
      <c r="O1464" s="58"/>
      <c r="P1464" s="58"/>
    </row>
    <row r="1465" spans="2:16">
      <c r="B1465" s="652"/>
      <c r="C1465" s="582">
        <v>6.7</v>
      </c>
      <c r="D1465" s="541"/>
      <c r="E1465" s="541">
        <f t="shared" si="223"/>
        <v>-6.7</v>
      </c>
      <c r="F1465" s="546">
        <f>SUM($E$2:E1465)/SUM($C$2:C1465)</f>
        <v>-2.1631776450936016E-2</v>
      </c>
      <c r="G1465" s="536">
        <f t="shared" si="224"/>
        <v>-99.533975056666776</v>
      </c>
      <c r="H1465" s="547" t="s">
        <v>29</v>
      </c>
      <c r="I1465" s="2"/>
      <c r="J1465" s="2"/>
      <c r="K1465" s="2"/>
      <c r="L1465" s="2"/>
      <c r="O1465" s="58"/>
      <c r="P1465" s="58"/>
    </row>
    <row r="1466" spans="2:16">
      <c r="B1466" s="652"/>
      <c r="C1466" s="539">
        <v>6.7</v>
      </c>
      <c r="D1466" s="542"/>
      <c r="E1466" s="542">
        <f t="shared" si="223"/>
        <v>-6.7</v>
      </c>
      <c r="F1466" s="549">
        <f>SUM($E$2:E1466)/SUM($C$2:C1466)</f>
        <v>-2.3054321590962223E-2</v>
      </c>
      <c r="G1466" s="535">
        <f t="shared" si="224"/>
        <v>-106.23397505666678</v>
      </c>
      <c r="H1466" s="550" t="s">
        <v>513</v>
      </c>
      <c r="I1466" s="2">
        <f>SUM(E1460:E1466)</f>
        <v>-9.1789999999999985</v>
      </c>
      <c r="L1466" s="2">
        <f>I1466/C1466</f>
        <v>-1.3699999999999997</v>
      </c>
      <c r="O1466" s="58"/>
      <c r="P1466" s="58"/>
    </row>
    <row r="1467" spans="2:16">
      <c r="B1467" s="650">
        <v>46108</v>
      </c>
      <c r="C1467" s="582">
        <v>1.98</v>
      </c>
      <c r="D1467" s="541">
        <v>1.84</v>
      </c>
      <c r="E1467" s="541">
        <f t="shared" ref="E1467:E1483" si="225">(C1467*D1467)-C1467</f>
        <v>1.6632000000000002</v>
      </c>
      <c r="F1467" s="546">
        <f>SUM($E$2:E1467)/SUM($C$2:C1467)</f>
        <v>-2.2683636033801864E-2</v>
      </c>
      <c r="G1467" s="536">
        <f t="shared" ref="G1467:G1483" si="226">G1466+E1467</f>
        <v>-104.57077505666678</v>
      </c>
      <c r="H1467" s="547" t="s">
        <v>60</v>
      </c>
      <c r="I1467" s="2"/>
      <c r="J1467" s="2"/>
      <c r="K1467" s="2"/>
      <c r="L1467" s="2"/>
      <c r="O1467" s="58"/>
      <c r="P1467" s="58"/>
    </row>
    <row r="1468" spans="2:16">
      <c r="B1468" s="652"/>
      <c r="C1468" s="582">
        <v>1.98</v>
      </c>
      <c r="D1468" s="541"/>
      <c r="E1468" s="541">
        <f t="shared" si="225"/>
        <v>-1.98</v>
      </c>
      <c r="F1468" s="546">
        <f>SUM($E$2:E1468)/SUM($C$2:C1468)</f>
        <v>-2.3103217419445699E-2</v>
      </c>
      <c r="G1468" s="536">
        <f t="shared" si="226"/>
        <v>-106.55077505666678</v>
      </c>
      <c r="H1468" s="588" t="s">
        <v>46</v>
      </c>
      <c r="I1468" s="2"/>
      <c r="J1468" s="2"/>
      <c r="K1468" s="2"/>
      <c r="L1468" s="2"/>
      <c r="O1468" s="58"/>
      <c r="P1468" s="58"/>
    </row>
    <row r="1469" spans="2:16">
      <c r="B1469" s="652"/>
      <c r="C1469" s="582">
        <v>1.98</v>
      </c>
      <c r="D1469" s="541"/>
      <c r="E1469" s="541">
        <f t="shared" si="225"/>
        <v>-1.98</v>
      </c>
      <c r="F1469" s="546">
        <f>SUM($E$2:E1469)/SUM($C$2:C1469)</f>
        <v>-2.3522438690398006E-2</v>
      </c>
      <c r="G1469" s="536">
        <f t="shared" si="226"/>
        <v>-108.53077505666678</v>
      </c>
      <c r="H1469" s="547" t="s">
        <v>30</v>
      </c>
      <c r="I1469" s="2"/>
      <c r="J1469" s="2"/>
      <c r="K1469" s="2"/>
      <c r="L1469" s="2"/>
      <c r="O1469" s="58"/>
      <c r="P1469" s="58"/>
    </row>
    <row r="1470" spans="2:16">
      <c r="B1470" s="652"/>
      <c r="C1470" s="582">
        <v>1.98</v>
      </c>
      <c r="D1470" s="541"/>
      <c r="E1470" s="541">
        <f t="shared" si="225"/>
        <v>-1.98</v>
      </c>
      <c r="F1470" s="546">
        <f>SUM($E$2:E1470)/SUM($C$2:C1470)</f>
        <v>-2.3941300310074111E-2</v>
      </c>
      <c r="G1470" s="536">
        <f t="shared" si="226"/>
        <v>-110.51077505666679</v>
      </c>
      <c r="H1470" s="547" t="s">
        <v>25</v>
      </c>
      <c r="I1470" s="2"/>
      <c r="J1470" s="2"/>
      <c r="K1470" s="2"/>
      <c r="L1470" s="2"/>
      <c r="O1470" s="58"/>
      <c r="P1470" s="58"/>
    </row>
    <row r="1471" spans="2:16">
      <c r="B1471" s="652"/>
      <c r="C1471" s="582">
        <v>1.98</v>
      </c>
      <c r="D1471" s="541"/>
      <c r="E1471" s="541">
        <f t="shared" si="225"/>
        <v>-1.98</v>
      </c>
      <c r="F1471" s="546">
        <f>SUM($E$2:E1471)/SUM($C$2:C1471)</f>
        <v>-2.435980274109455E-2</v>
      </c>
      <c r="G1471" s="536">
        <f t="shared" si="226"/>
        <v>-112.49077505666679</v>
      </c>
      <c r="H1471" s="588" t="s">
        <v>59</v>
      </c>
      <c r="I1471" s="2"/>
      <c r="J1471" s="2"/>
      <c r="K1471" s="2"/>
      <c r="L1471" s="2"/>
      <c r="O1471" s="58"/>
      <c r="P1471" s="58"/>
    </row>
    <row r="1472" spans="2:16">
      <c r="B1472" s="652"/>
      <c r="C1472" s="582">
        <v>1.98</v>
      </c>
      <c r="D1472" s="541"/>
      <c r="E1472" s="541">
        <f t="shared" si="225"/>
        <v>-1.98</v>
      </c>
      <c r="F1472" s="546">
        <f>SUM($E$2:E1472)/SUM($C$2:C1472)</f>
        <v>-2.4777946445286778E-2</v>
      </c>
      <c r="G1472" s="536">
        <f t="shared" si="226"/>
        <v>-114.4707750566668</v>
      </c>
      <c r="H1472" s="547" t="s">
        <v>27</v>
      </c>
      <c r="I1472" s="2"/>
      <c r="J1472" s="2"/>
      <c r="K1472" s="2"/>
      <c r="L1472" s="2"/>
      <c r="O1472" s="58"/>
      <c r="P1472" s="58"/>
    </row>
    <row r="1473" spans="2:16">
      <c r="B1473" s="652"/>
      <c r="C1473" s="582">
        <v>1.98</v>
      </c>
      <c r="D1473" s="541">
        <v>1.89</v>
      </c>
      <c r="E1473" s="541">
        <f t="shared" si="225"/>
        <v>1.7622</v>
      </c>
      <c r="F1473" s="546">
        <f>SUM($E$2:E1473)/SUM($C$2:C1473)</f>
        <v>-2.4386055281626871E-2</v>
      </c>
      <c r="G1473" s="536">
        <f t="shared" si="226"/>
        <v>-112.7085750566668</v>
      </c>
      <c r="H1473" s="547" t="s">
        <v>52</v>
      </c>
      <c r="I1473" s="2"/>
      <c r="J1473" s="2"/>
      <c r="K1473" s="2"/>
      <c r="L1473" s="2"/>
      <c r="O1473" s="58"/>
      <c r="P1473" s="58"/>
    </row>
    <row r="1474" spans="2:16">
      <c r="B1474" s="652"/>
      <c r="C1474" s="539">
        <v>1.98</v>
      </c>
      <c r="D1474" s="542">
        <v>1.92</v>
      </c>
      <c r="E1474" s="542">
        <f t="shared" si="225"/>
        <v>1.8215999999999997</v>
      </c>
      <c r="F1474" s="549">
        <f>SUM($E$2:E1474)/SUM($C$2:C1474)</f>
        <v>-2.3981653240672977E-2</v>
      </c>
      <c r="G1474" s="535">
        <f t="shared" si="226"/>
        <v>-110.8869750566668</v>
      </c>
      <c r="H1474" s="550" t="s">
        <v>10</v>
      </c>
      <c r="I1474" s="2"/>
      <c r="J1474" s="2"/>
      <c r="K1474" s="2"/>
      <c r="L1474" s="2"/>
      <c r="O1474" s="58"/>
      <c r="P1474" s="58"/>
    </row>
    <row r="1475" spans="2:16">
      <c r="B1475" s="652"/>
      <c r="C1475" s="582">
        <v>1.98</v>
      </c>
      <c r="D1475" s="541">
        <v>1.9</v>
      </c>
      <c r="E1475" s="541">
        <f t="shared" si="225"/>
        <v>1.782</v>
      </c>
      <c r="F1475" s="546">
        <f>SUM($E$2:E1475)/SUM($C$2:C1475)</f>
        <v>-2.3586158066607195E-2</v>
      </c>
      <c r="G1475" s="536">
        <f t="shared" si="226"/>
        <v>-109.1049750566668</v>
      </c>
      <c r="H1475" s="547" t="s">
        <v>514</v>
      </c>
      <c r="I1475" s="2"/>
      <c r="J1475" s="2"/>
      <c r="K1475" s="2"/>
      <c r="L1475" s="2"/>
      <c r="O1475" s="58"/>
      <c r="P1475" s="58"/>
    </row>
    <row r="1476" spans="2:16">
      <c r="B1476" s="652"/>
      <c r="C1476" s="582">
        <v>1.98</v>
      </c>
      <c r="D1476" s="541"/>
      <c r="E1476" s="541">
        <f t="shared" si="225"/>
        <v>-1.98</v>
      </c>
      <c r="F1476" s="546">
        <f>SUM($E$2:E1476)/SUM($C$2:C1476)</f>
        <v>-2.4003917163138246E-2</v>
      </c>
      <c r="G1476" s="536">
        <f t="shared" si="226"/>
        <v>-111.08497505666681</v>
      </c>
      <c r="H1476" s="547" t="s">
        <v>506</v>
      </c>
      <c r="I1476" s="2"/>
      <c r="J1476" s="2"/>
      <c r="K1476" s="2"/>
      <c r="L1476" s="2"/>
      <c r="O1476" s="58"/>
      <c r="P1476" s="58"/>
    </row>
    <row r="1477" spans="2:16">
      <c r="B1477" s="652"/>
      <c r="C1477" s="582">
        <v>1.98</v>
      </c>
      <c r="D1477" s="541"/>
      <c r="E1477" s="541">
        <f t="shared" si="225"/>
        <v>-1.98</v>
      </c>
      <c r="F1477" s="546">
        <f>SUM($E$2:E1477)/SUM($C$2:C1477)</f>
        <v>-2.4421318935720009E-2</v>
      </c>
      <c r="G1477" s="536">
        <f t="shared" si="226"/>
        <v>-113.06497505666681</v>
      </c>
      <c r="H1477" s="547" t="s">
        <v>515</v>
      </c>
      <c r="I1477" s="2"/>
      <c r="J1477" s="2"/>
      <c r="K1477" s="2"/>
      <c r="L1477" s="2"/>
      <c r="O1477" s="58"/>
      <c r="P1477" s="58"/>
    </row>
    <row r="1478" spans="2:16">
      <c r="B1478" s="652"/>
      <c r="C1478" s="582">
        <v>1.98</v>
      </c>
      <c r="D1478" s="541"/>
      <c r="E1478" s="541">
        <f t="shared" si="225"/>
        <v>-1.98</v>
      </c>
      <c r="F1478" s="546">
        <f>SUM($E$2:E1478)/SUM($C$2:C1478)</f>
        <v>-2.4838363842603992E-2</v>
      </c>
      <c r="G1478" s="536">
        <f t="shared" si="226"/>
        <v>-115.04497505666681</v>
      </c>
      <c r="H1478" s="547" t="s">
        <v>516</v>
      </c>
      <c r="I1478" s="2"/>
      <c r="J1478" s="2"/>
      <c r="K1478" s="2"/>
      <c r="L1478" s="2"/>
      <c r="O1478" s="58"/>
      <c r="P1478" s="58"/>
    </row>
    <row r="1479" spans="2:16">
      <c r="B1479" s="652"/>
      <c r="C1479" s="582">
        <v>1.98</v>
      </c>
      <c r="D1479" s="541"/>
      <c r="E1479" s="541">
        <f t="shared" si="225"/>
        <v>-1.98</v>
      </c>
      <c r="F1479" s="546">
        <f>SUM($E$2:E1479)/SUM($C$2:C1479)</f>
        <v>-2.5255052341258452E-2</v>
      </c>
      <c r="G1479" s="536">
        <f t="shared" si="226"/>
        <v>-117.02497505666682</v>
      </c>
      <c r="H1479" s="547" t="s">
        <v>517</v>
      </c>
      <c r="I1479" s="2"/>
      <c r="J1479" s="2"/>
      <c r="K1479" s="2"/>
      <c r="L1479" s="2"/>
      <c r="O1479" s="58"/>
      <c r="P1479" s="58"/>
    </row>
    <row r="1480" spans="2:16">
      <c r="B1480" s="652"/>
      <c r="C1480" s="582">
        <v>1.98</v>
      </c>
      <c r="D1480" s="541"/>
      <c r="E1480" s="541">
        <f t="shared" si="225"/>
        <v>-1.98</v>
      </c>
      <c r="F1480" s="546">
        <f>SUM($E$2:E1480)/SUM($C$2:C1480)</f>
        <v>-2.5671384888370074E-2</v>
      </c>
      <c r="G1480" s="536">
        <f t="shared" si="226"/>
        <v>-119.00497505666682</v>
      </c>
      <c r="H1480" s="547" t="s">
        <v>518</v>
      </c>
      <c r="I1480" s="2"/>
      <c r="J1480" s="2"/>
      <c r="K1480" s="2"/>
      <c r="L1480" s="2"/>
      <c r="O1480" s="58"/>
      <c r="P1480" s="58"/>
    </row>
    <row r="1481" spans="2:16">
      <c r="B1481" s="652"/>
      <c r="C1481" s="539">
        <v>1.98</v>
      </c>
      <c r="D1481" s="542">
        <v>1.8879999999999999</v>
      </c>
      <c r="E1481" s="542">
        <f t="shared" si="225"/>
        <v>1.7582399999999998</v>
      </c>
      <c r="F1481" s="549">
        <f>SUM($E$2:E1481)/SUM($C$2:C1481)</f>
        <v>-2.5281304659986445E-2</v>
      </c>
      <c r="G1481" s="535">
        <f t="shared" si="226"/>
        <v>-117.24673505666682</v>
      </c>
      <c r="H1481" s="550" t="s">
        <v>249</v>
      </c>
      <c r="I1481" s="2"/>
      <c r="J1481" s="2"/>
      <c r="K1481" s="2"/>
      <c r="L1481" s="2"/>
      <c r="O1481" s="58"/>
      <c r="P1481" s="58"/>
    </row>
    <row r="1482" spans="2:16">
      <c r="B1482" s="652"/>
      <c r="C1482" s="582">
        <v>1.98</v>
      </c>
      <c r="D1482" s="541"/>
      <c r="E1482" s="541">
        <f t="shared" si="225"/>
        <v>-1.98</v>
      </c>
      <c r="F1482" s="546">
        <f>SUM($E$2:E1482)/SUM($C$2:C1482)</f>
        <v>-2.5697270659865309E-2</v>
      </c>
      <c r="G1482" s="536">
        <f t="shared" si="226"/>
        <v>-119.22673505666683</v>
      </c>
      <c r="H1482" s="547" t="s">
        <v>16</v>
      </c>
      <c r="I1482" s="2"/>
      <c r="J1482" s="2"/>
      <c r="K1482" s="2"/>
      <c r="L1482" s="2"/>
      <c r="O1482" s="58"/>
      <c r="P1482" s="58"/>
    </row>
    <row r="1483" spans="2:16">
      <c r="B1483" s="652"/>
      <c r="C1483" s="539">
        <v>1.98</v>
      </c>
      <c r="D1483" s="542"/>
      <c r="E1483" s="542">
        <f t="shared" si="225"/>
        <v>-1.98</v>
      </c>
      <c r="F1483" s="549">
        <f>SUM($E$2:E1483)/SUM($C$2:C1483)</f>
        <v>-2.6112881780115924E-2</v>
      </c>
      <c r="G1483" s="535">
        <f t="shared" si="226"/>
        <v>-121.20673505666683</v>
      </c>
      <c r="H1483" s="550" t="s">
        <v>26</v>
      </c>
      <c r="I1483" s="2">
        <f>SUM(E1467:E1483)</f>
        <v>-14.972760000000005</v>
      </c>
      <c r="L1483" s="2">
        <f>I1483/C1483</f>
        <v>-7.5620000000000021</v>
      </c>
      <c r="O1483" s="58"/>
      <c r="P1483" s="58"/>
    </row>
    <row r="1484" spans="2:16">
      <c r="B1484" s="650">
        <v>46109</v>
      </c>
      <c r="C1484" s="582">
        <v>3.22</v>
      </c>
      <c r="D1484" s="541"/>
      <c r="E1484" s="541">
        <f t="shared" ref="E1484:E1495" si="227">(C1484*D1484)-C1484</f>
        <v>-3.22</v>
      </c>
      <c r="F1484" s="546">
        <f>SUM($E$2:E1484)/SUM($C$2:C1484)</f>
        <v>-2.6788017939348062E-2</v>
      </c>
      <c r="G1484" s="536">
        <f t="shared" ref="G1484:G1495" si="228">G1483+E1484</f>
        <v>-124.42673505666683</v>
      </c>
      <c r="H1484" s="547" t="s">
        <v>34</v>
      </c>
      <c r="I1484" s="2"/>
      <c r="J1484" s="2"/>
      <c r="K1484" s="2"/>
      <c r="L1484" s="2"/>
      <c r="O1484" s="58"/>
      <c r="P1484" s="58"/>
    </row>
    <row r="1485" spans="2:16">
      <c r="B1485" s="652"/>
      <c r="C1485" s="582">
        <v>3.22</v>
      </c>
      <c r="D1485" s="541">
        <v>1.88</v>
      </c>
      <c r="E1485" s="541">
        <f t="shared" si="227"/>
        <v>2.8336000000000001</v>
      </c>
      <c r="F1485" s="546">
        <f>SUM($E$2:E1485)/SUM($C$2:C1485)</f>
        <v>-2.6159832949709479E-2</v>
      </c>
      <c r="G1485" s="536">
        <f t="shared" si="228"/>
        <v>-121.59313505666682</v>
      </c>
      <c r="H1485" s="547" t="s">
        <v>15</v>
      </c>
      <c r="I1485" s="2"/>
      <c r="J1485" s="2"/>
      <c r="K1485" s="2"/>
      <c r="L1485" s="2"/>
      <c r="O1485" s="58"/>
      <c r="P1485" s="58"/>
    </row>
    <row r="1486" spans="2:16">
      <c r="B1486" s="652"/>
      <c r="C1486" s="582">
        <v>3.22</v>
      </c>
      <c r="D1486" s="541">
        <v>1.9550000000000001</v>
      </c>
      <c r="E1486" s="541">
        <f t="shared" si="227"/>
        <v>3.0751000000000004</v>
      </c>
      <c r="F1486" s="546">
        <f>SUM($E$2:E1486)/SUM($C$2:C1486)</f>
        <v>-2.5480596809219776E-2</v>
      </c>
      <c r="G1486" s="536">
        <f t="shared" si="228"/>
        <v>-118.51803505666682</v>
      </c>
      <c r="H1486" s="547" t="s">
        <v>14</v>
      </c>
      <c r="I1486" s="2"/>
      <c r="J1486" s="2"/>
      <c r="K1486" s="2"/>
      <c r="L1486" s="2"/>
      <c r="O1486" s="58"/>
      <c r="P1486" s="58"/>
    </row>
    <row r="1487" spans="2:16">
      <c r="B1487" s="652"/>
      <c r="C1487" s="582">
        <v>3.22</v>
      </c>
      <c r="D1487" s="541"/>
      <c r="E1487" s="541">
        <f t="shared" si="227"/>
        <v>-3.22</v>
      </c>
      <c r="F1487" s="546">
        <f>SUM($E$2:E1487)/SUM($C$2:C1487)</f>
        <v>-2.6154769205790827E-2</v>
      </c>
      <c r="G1487" s="536">
        <f t="shared" si="228"/>
        <v>-121.73803505666682</v>
      </c>
      <c r="H1487" s="547" t="s">
        <v>26</v>
      </c>
      <c r="I1487" s="2"/>
      <c r="J1487" s="2"/>
      <c r="K1487" s="2"/>
      <c r="L1487" s="2"/>
      <c r="O1487" s="58"/>
      <c r="P1487" s="58"/>
    </row>
    <row r="1488" spans="2:16">
      <c r="B1488" s="652"/>
      <c r="C1488" s="539">
        <v>3.22</v>
      </c>
      <c r="D1488" s="542"/>
      <c r="E1488" s="542">
        <f t="shared" si="227"/>
        <v>-3.22</v>
      </c>
      <c r="F1488" s="549">
        <f>SUM($E$2:E1488)/SUM($C$2:C1488)</f>
        <v>-2.6828009462463349E-2</v>
      </c>
      <c r="G1488" s="535">
        <f t="shared" si="228"/>
        <v>-124.95803505666682</v>
      </c>
      <c r="H1488" s="550" t="s">
        <v>36</v>
      </c>
      <c r="I1488" s="2"/>
      <c r="J1488" s="2"/>
      <c r="K1488" s="2"/>
      <c r="L1488" s="2"/>
      <c r="O1488" s="58"/>
      <c r="P1488" s="58"/>
    </row>
    <row r="1489" spans="2:16">
      <c r="B1489" s="652"/>
      <c r="C1489" s="582">
        <v>3.22</v>
      </c>
      <c r="D1489" s="541">
        <v>1.9</v>
      </c>
      <c r="E1489" s="541">
        <f t="shared" si="227"/>
        <v>2.8980000000000001</v>
      </c>
      <c r="F1489" s="546">
        <f>SUM($E$2:E1489)/SUM($C$2:C1489)</f>
        <v>-2.6187715875920121E-2</v>
      </c>
      <c r="G1489" s="536">
        <f t="shared" si="228"/>
        <v>-122.06003505666682</v>
      </c>
      <c r="H1489" s="547" t="s">
        <v>519</v>
      </c>
      <c r="I1489" s="2"/>
      <c r="J1489" s="2"/>
      <c r="K1489" s="2"/>
      <c r="L1489" s="2"/>
      <c r="O1489" s="58"/>
      <c r="P1489" s="58"/>
    </row>
    <row r="1490" spans="2:16">
      <c r="B1490" s="652"/>
      <c r="C1490" s="582">
        <v>3.22</v>
      </c>
      <c r="D1490" s="541">
        <v>1.89</v>
      </c>
      <c r="E1490" s="541">
        <f t="shared" si="227"/>
        <v>2.8657999999999997</v>
      </c>
      <c r="F1490" s="546">
        <f>SUM($E$2:E1490)/SUM($C$2:C1490)</f>
        <v>-2.5555210035433144E-2</v>
      </c>
      <c r="G1490" s="536">
        <f t="shared" si="228"/>
        <v>-119.19423505666683</v>
      </c>
      <c r="H1490" s="547" t="s">
        <v>520</v>
      </c>
      <c r="I1490" s="2"/>
      <c r="J1490" s="2"/>
      <c r="K1490" s="2"/>
      <c r="L1490" s="2"/>
      <c r="O1490" s="58"/>
      <c r="P1490" s="58"/>
    </row>
    <row r="1491" spans="2:16">
      <c r="B1491" s="652"/>
      <c r="C1491" s="582">
        <v>3.22</v>
      </c>
      <c r="D1491" s="541"/>
      <c r="E1491" s="541">
        <f t="shared" si="227"/>
        <v>-3.22</v>
      </c>
      <c r="F1491" s="546">
        <f>SUM($E$2:E1491)/SUM($C$2:C1491)</f>
        <v>-2.6227470535676933E-2</v>
      </c>
      <c r="G1491" s="536">
        <f t="shared" si="228"/>
        <v>-122.41423505666683</v>
      </c>
      <c r="H1491" s="547" t="s">
        <v>521</v>
      </c>
      <c r="I1491" s="2"/>
      <c r="J1491" s="2"/>
      <c r="K1491" s="2"/>
      <c r="L1491" s="2"/>
      <c r="O1491" s="58"/>
      <c r="P1491" s="58"/>
    </row>
    <row r="1492" spans="2:16">
      <c r="B1492" s="652"/>
      <c r="C1492" s="539">
        <v>3.22</v>
      </c>
      <c r="D1492" s="542"/>
      <c r="E1492" s="542">
        <f t="shared" si="227"/>
        <v>-3.22</v>
      </c>
      <c r="F1492" s="549">
        <f>SUM($E$2:E1492)/SUM($C$2:C1492)</f>
        <v>-2.6898804102728498E-2</v>
      </c>
      <c r="G1492" s="535">
        <f t="shared" si="228"/>
        <v>-125.63423505666682</v>
      </c>
      <c r="H1492" s="550" t="s">
        <v>522</v>
      </c>
      <c r="I1492" s="2"/>
      <c r="J1492" s="2"/>
      <c r="K1492" s="2"/>
      <c r="L1492" s="2"/>
      <c r="O1492" s="58"/>
      <c r="P1492" s="58"/>
    </row>
    <row r="1493" spans="2:16">
      <c r="B1493" s="652"/>
      <c r="C1493" s="582">
        <v>3.22</v>
      </c>
      <c r="D1493" s="541">
        <v>2.7549999999999999</v>
      </c>
      <c r="E1493" s="541">
        <f t="shared" si="227"/>
        <v>5.6510999999999996</v>
      </c>
      <c r="F1493" s="546">
        <f>SUM($E$2:E1493)/SUM($C$2:C1493)</f>
        <v>-2.5671182352859985E-2</v>
      </c>
      <c r="G1493" s="536">
        <f t="shared" si="228"/>
        <v>-119.98313505666682</v>
      </c>
      <c r="H1493" s="547" t="s">
        <v>51</v>
      </c>
      <c r="I1493" s="2"/>
      <c r="J1493" s="2"/>
      <c r="K1493" s="2"/>
      <c r="L1493" s="2"/>
      <c r="O1493" s="58"/>
      <c r="P1493" s="58"/>
    </row>
    <row r="1494" spans="2:16">
      <c r="B1494" s="652"/>
      <c r="C1494" s="582">
        <v>3.22</v>
      </c>
      <c r="D1494" s="541"/>
      <c r="E1494" s="541">
        <f t="shared" si="227"/>
        <v>-3.22</v>
      </c>
      <c r="F1494" s="546">
        <f>SUM($E$2:E1494)/SUM($C$2:C1494)</f>
        <v>-2.6341974524814578E-2</v>
      </c>
      <c r="G1494" s="536">
        <f t="shared" si="228"/>
        <v>-123.20313505666682</v>
      </c>
      <c r="H1494" s="547" t="s">
        <v>38</v>
      </c>
      <c r="I1494" s="2"/>
      <c r="J1494" s="2"/>
      <c r="K1494" s="2"/>
      <c r="L1494" s="2"/>
      <c r="O1494" s="58"/>
      <c r="P1494" s="58"/>
    </row>
    <row r="1495" spans="2:16">
      <c r="B1495" s="651"/>
      <c r="C1495" s="539">
        <v>3.22</v>
      </c>
      <c r="D1495" s="542">
        <v>2.46</v>
      </c>
      <c r="E1495" s="542">
        <f t="shared" si="227"/>
        <v>4.7012</v>
      </c>
      <c r="F1495" s="549">
        <f>SUM($E$2:E1495)/SUM($C$2:C1495)</f>
        <v>-2.5319382770604776E-2</v>
      </c>
      <c r="G1495" s="535">
        <f t="shared" si="228"/>
        <v>-118.50193505666682</v>
      </c>
      <c r="H1495" s="550" t="s">
        <v>26</v>
      </c>
      <c r="I1495" s="2">
        <f>SUM(E1484:E1495)</f>
        <v>2.7047999999999992</v>
      </c>
      <c r="L1495" s="2">
        <f>I1495/C1495</f>
        <v>0.83999999999999975</v>
      </c>
      <c r="O1495" s="58"/>
      <c r="P1495" s="58"/>
    </row>
    <row r="1496" spans="2:16">
      <c r="B1496" s="652">
        <v>46110</v>
      </c>
      <c r="C1496" s="582">
        <v>2.15</v>
      </c>
      <c r="D1496" s="541"/>
      <c r="E1496" s="541">
        <f t="shared" ref="E1496:E1506" si="229">(C1496*D1496)-C1496</f>
        <v>-2.15</v>
      </c>
      <c r="F1496" s="546">
        <f>SUM($E$2:E1496)/SUM($C$2:C1496)</f>
        <v>-2.5766919830177183E-2</v>
      </c>
      <c r="G1496" s="536">
        <f t="shared" ref="G1496:G1506" si="230">G1495+E1496</f>
        <v>-120.65193505666683</v>
      </c>
      <c r="H1496" s="547" t="s">
        <v>60</v>
      </c>
      <c r="I1496" s="2"/>
      <c r="J1496" s="2"/>
      <c r="K1496" s="2"/>
      <c r="L1496" s="2"/>
      <c r="O1496" s="58"/>
      <c r="P1496" s="58"/>
    </row>
    <row r="1497" spans="2:16">
      <c r="B1497" s="652"/>
      <c r="C1497" s="582">
        <v>2.15</v>
      </c>
      <c r="D1497" s="541">
        <v>1.9</v>
      </c>
      <c r="E1497" s="541">
        <f t="shared" si="229"/>
        <v>1.9350000000000001</v>
      </c>
      <c r="F1497" s="546">
        <f>SUM($E$2:E1497)/SUM($C$2:C1497)</f>
        <v>-2.5342037210053982E-2</v>
      </c>
      <c r="G1497" s="536">
        <f t="shared" si="230"/>
        <v>-118.71693505666683</v>
      </c>
      <c r="H1497" s="547" t="s">
        <v>15</v>
      </c>
      <c r="I1497" s="2"/>
      <c r="J1497" s="2"/>
      <c r="K1497" s="2"/>
      <c r="L1497" s="2"/>
      <c r="O1497" s="58"/>
      <c r="P1497" s="58"/>
    </row>
    <row r="1498" spans="2:16">
      <c r="B1498" s="652"/>
      <c r="C1498" s="582">
        <v>2.15</v>
      </c>
      <c r="D1498" s="541">
        <v>1.85</v>
      </c>
      <c r="E1498" s="541">
        <f t="shared" si="229"/>
        <v>1.8275000000000001</v>
      </c>
      <c r="F1498" s="546">
        <f>SUM($E$2:E1498)/SUM($C$2:C1498)</f>
        <v>-2.4940481487697275E-2</v>
      </c>
      <c r="G1498" s="536">
        <f t="shared" si="230"/>
        <v>-116.88943505666683</v>
      </c>
      <c r="H1498" s="547" t="s">
        <v>52</v>
      </c>
      <c r="I1498" s="2"/>
      <c r="J1498" s="2"/>
      <c r="K1498" s="2"/>
      <c r="L1498" s="2"/>
      <c r="O1498" s="58"/>
      <c r="P1498" s="58"/>
    </row>
    <row r="1499" spans="2:16">
      <c r="B1499" s="652"/>
      <c r="C1499" s="539">
        <v>2.15</v>
      </c>
      <c r="D1499" s="542">
        <v>1.9</v>
      </c>
      <c r="E1499" s="542">
        <f t="shared" si="229"/>
        <v>1.9350000000000001</v>
      </c>
      <c r="F1499" s="549">
        <f>SUM($E$2:E1499)/SUM($C$2:C1499)</f>
        <v>-2.4516367459141184E-2</v>
      </c>
      <c r="G1499" s="535">
        <f t="shared" si="230"/>
        <v>-114.95443505666682</v>
      </c>
      <c r="H1499" s="550" t="s">
        <v>59</v>
      </c>
      <c r="I1499" s="2"/>
      <c r="J1499" s="2"/>
      <c r="K1499" s="2"/>
      <c r="L1499" s="2"/>
      <c r="O1499" s="58"/>
      <c r="P1499" s="58"/>
    </row>
    <row r="1500" spans="2:16">
      <c r="B1500" s="652"/>
      <c r="C1500" s="582">
        <v>2.15</v>
      </c>
      <c r="D1500" s="541"/>
      <c r="E1500" s="541">
        <f t="shared" si="229"/>
        <v>-2.15</v>
      </c>
      <c r="F1500" s="546">
        <f>SUM($E$2:E1500)/SUM($C$2:C1500)</f>
        <v>-2.4963452094961543E-2</v>
      </c>
      <c r="G1500" s="536">
        <f t="shared" si="230"/>
        <v>-117.10443505666683</v>
      </c>
      <c r="H1500" s="547" t="s">
        <v>523</v>
      </c>
      <c r="I1500" s="2"/>
      <c r="J1500" s="2"/>
      <c r="K1500" s="2"/>
      <c r="L1500" s="2"/>
      <c r="O1500" s="58"/>
      <c r="P1500" s="58"/>
    </row>
    <row r="1501" spans="2:16">
      <c r="B1501" s="652"/>
      <c r="C1501" s="582">
        <v>2.15</v>
      </c>
      <c r="D1501" s="541"/>
      <c r="E1501" s="541">
        <f t="shared" si="229"/>
        <v>-2.15</v>
      </c>
      <c r="F1501" s="546">
        <f>SUM($E$2:E1501)/SUM($C$2:C1501)</f>
        <v>-2.5410127101966929E-2</v>
      </c>
      <c r="G1501" s="536">
        <f t="shared" si="230"/>
        <v>-119.25443505666684</v>
      </c>
      <c r="H1501" s="547" t="s">
        <v>524</v>
      </c>
      <c r="I1501" s="2"/>
      <c r="J1501" s="2"/>
      <c r="K1501" s="2"/>
      <c r="L1501" s="2"/>
      <c r="O1501" s="58"/>
      <c r="P1501" s="58"/>
    </row>
    <row r="1502" spans="2:16">
      <c r="B1502" s="652"/>
      <c r="C1502" s="582">
        <v>2.15</v>
      </c>
      <c r="D1502" s="541"/>
      <c r="E1502" s="541">
        <f t="shared" si="229"/>
        <v>-2.15</v>
      </c>
      <c r="F1502" s="546">
        <f>SUM($E$2:E1502)/SUM($C$2:C1502)</f>
        <v>-2.5856393042866008E-2</v>
      </c>
      <c r="G1502" s="536">
        <f t="shared" si="230"/>
        <v>-121.40443505666684</v>
      </c>
      <c r="H1502" s="547" t="s">
        <v>525</v>
      </c>
      <c r="I1502" s="2"/>
      <c r="J1502" s="2"/>
      <c r="K1502" s="2"/>
      <c r="L1502" s="2"/>
      <c r="O1502" s="58"/>
      <c r="P1502" s="58"/>
    </row>
    <row r="1503" spans="2:16">
      <c r="B1503" s="652"/>
      <c r="C1503" s="582">
        <v>2.15</v>
      </c>
      <c r="D1503" s="541">
        <v>1.88</v>
      </c>
      <c r="E1503" s="541">
        <f t="shared" si="229"/>
        <v>1.8919999999999999</v>
      </c>
      <c r="F1503" s="546">
        <f>SUM($E$2:E1503)/SUM($C$2:C1503)</f>
        <v>-2.5441790096925876E-2</v>
      </c>
      <c r="G1503" s="536">
        <f t="shared" si="230"/>
        <v>-119.51243505666685</v>
      </c>
      <c r="H1503" s="547" t="s">
        <v>526</v>
      </c>
      <c r="I1503" s="2"/>
      <c r="J1503" s="2"/>
      <c r="K1503" s="2"/>
      <c r="L1503" s="2"/>
      <c r="O1503" s="58"/>
      <c r="P1503" s="58"/>
    </row>
    <row r="1504" spans="2:16">
      <c r="B1504" s="652"/>
      <c r="C1504" s="539">
        <v>2.15</v>
      </c>
      <c r="D1504" s="542">
        <v>1.9</v>
      </c>
      <c r="E1504" s="542">
        <f t="shared" si="229"/>
        <v>1.9350000000000001</v>
      </c>
      <c r="F1504" s="549">
        <f>SUM($E$2:E1504)/SUM($C$2:C1504)</f>
        <v>-2.5018416851871658E-2</v>
      </c>
      <c r="G1504" s="535">
        <f t="shared" si="230"/>
        <v>-117.57743505666684</v>
      </c>
      <c r="H1504" s="550" t="s">
        <v>527</v>
      </c>
      <c r="I1504" s="2"/>
      <c r="J1504" s="2"/>
      <c r="K1504" s="2"/>
      <c r="L1504" s="2"/>
      <c r="O1504" s="58"/>
      <c r="P1504" s="58"/>
    </row>
    <row r="1505" spans="2:16">
      <c r="B1505" s="652"/>
      <c r="C1505" s="582">
        <v>2.15</v>
      </c>
      <c r="D1505" s="541">
        <v>1.9</v>
      </c>
      <c r="E1505" s="541">
        <f t="shared" si="229"/>
        <v>1.9350000000000001</v>
      </c>
      <c r="F1505" s="546">
        <f>SUM($E$2:E1505)/SUM($C$2:C1505)</f>
        <v>-2.4595430801220529E-2</v>
      </c>
      <c r="G1505" s="536">
        <f t="shared" si="230"/>
        <v>-115.64243505666684</v>
      </c>
      <c r="H1505" s="547" t="s">
        <v>28</v>
      </c>
      <c r="I1505" s="2"/>
      <c r="J1505" s="2"/>
      <c r="K1505" s="2"/>
      <c r="L1505" s="2"/>
      <c r="O1505" s="58"/>
      <c r="P1505" s="58"/>
    </row>
    <row r="1506" spans="2:16">
      <c r="B1506" s="652"/>
      <c r="C1506" s="539">
        <v>2.15</v>
      </c>
      <c r="D1506" s="542">
        <v>1.87</v>
      </c>
      <c r="E1506" s="542">
        <f t="shared" si="229"/>
        <v>1.8705000000000003</v>
      </c>
      <c r="F1506" s="549">
        <f>SUM($E$2:E1506)/SUM($C$2:C1506)</f>
        <v>-2.4186543337337506E-2</v>
      </c>
      <c r="G1506" s="535">
        <f t="shared" si="230"/>
        <v>-113.77193505666683</v>
      </c>
      <c r="H1506" s="550" t="s">
        <v>37</v>
      </c>
      <c r="I1506" s="2">
        <f>SUM(E1496:E1506)</f>
        <v>4.7300000000000004</v>
      </c>
      <c r="J1506" s="2">
        <f>SUM(E1414:E1506)</f>
        <v>-76.496390000000062</v>
      </c>
      <c r="L1506" s="2">
        <f>I1506/C1506</f>
        <v>2.2000000000000002</v>
      </c>
      <c r="O1506" s="58"/>
      <c r="P1506" s="58"/>
    </row>
    <row r="1507" spans="2:16">
      <c r="B1507" s="650">
        <v>46111</v>
      </c>
      <c r="C1507" s="582">
        <v>2.44</v>
      </c>
      <c r="D1507" s="541">
        <v>1.85</v>
      </c>
      <c r="E1507" s="541">
        <f t="shared" ref="E1507:E1523" si="231">(C1507*D1507)-C1507</f>
        <v>2.0740000000000003</v>
      </c>
      <c r="F1507" s="546">
        <f>SUM($E$2:E1507)/SUM($C$2:C1507)</f>
        <v>-2.3733325090062551E-2</v>
      </c>
      <c r="G1507" s="536">
        <f t="shared" ref="G1507:G1523" si="232">G1506+E1507</f>
        <v>-111.69793505666684</v>
      </c>
      <c r="H1507" s="547" t="s">
        <v>16</v>
      </c>
      <c r="I1507" s="2"/>
      <c r="J1507" s="2"/>
      <c r="K1507" s="2"/>
      <c r="L1507" s="2"/>
      <c r="O1507" s="58"/>
      <c r="P1507" s="58"/>
    </row>
    <row r="1508" spans="2:16">
      <c r="B1508" s="652"/>
      <c r="C1508" s="582">
        <v>2.44</v>
      </c>
      <c r="D1508" s="541">
        <v>1.85</v>
      </c>
      <c r="E1508" s="541">
        <f t="shared" si="231"/>
        <v>2.0740000000000003</v>
      </c>
      <c r="F1508" s="546">
        <f>SUM($E$2:E1508)/SUM($C$2:C1508)</f>
        <v>-2.3280576537372002E-2</v>
      </c>
      <c r="G1508" s="536">
        <f t="shared" si="232"/>
        <v>-109.62393505666684</v>
      </c>
      <c r="H1508" s="547" t="s">
        <v>14</v>
      </c>
      <c r="I1508" s="2"/>
      <c r="J1508" s="2"/>
      <c r="K1508" s="2"/>
      <c r="L1508" s="2"/>
      <c r="O1508" s="58"/>
      <c r="P1508" s="58"/>
    </row>
    <row r="1509" spans="2:16">
      <c r="B1509" s="652"/>
      <c r="C1509" s="582">
        <v>2.44</v>
      </c>
      <c r="D1509" s="541">
        <v>1.88</v>
      </c>
      <c r="E1509" s="541">
        <f t="shared" si="231"/>
        <v>2.1471999999999993</v>
      </c>
      <c r="F1509" s="546">
        <f>SUM($E$2:E1509)/SUM($C$2:C1509)</f>
        <v>-2.2812759689184711E-2</v>
      </c>
      <c r="G1509" s="536">
        <f t="shared" si="232"/>
        <v>-107.47673505666684</v>
      </c>
      <c r="H1509" s="547" t="s">
        <v>12</v>
      </c>
      <c r="I1509" s="2"/>
      <c r="J1509" s="2"/>
      <c r="K1509" s="2"/>
      <c r="L1509" s="2"/>
      <c r="O1509" s="58"/>
      <c r="P1509" s="58"/>
    </row>
    <row r="1510" spans="2:16">
      <c r="B1510" s="652"/>
      <c r="C1510" s="539">
        <v>2.44</v>
      </c>
      <c r="D1510" s="542">
        <v>1.89</v>
      </c>
      <c r="E1510" s="542">
        <f t="shared" si="231"/>
        <v>2.1715999999999993</v>
      </c>
      <c r="F1510" s="549">
        <f>SUM($E$2:E1510)/SUM($C$2:C1510)</f>
        <v>-2.2340250757109895E-2</v>
      </c>
      <c r="G1510" s="535">
        <f t="shared" si="232"/>
        <v>-105.30513505666684</v>
      </c>
      <c r="H1510" s="550" t="s">
        <v>10</v>
      </c>
      <c r="I1510" s="2"/>
      <c r="J1510" s="2"/>
      <c r="K1510" s="2"/>
      <c r="L1510" s="2"/>
      <c r="O1510" s="58"/>
      <c r="P1510" s="58"/>
    </row>
    <row r="1511" spans="2:16">
      <c r="B1511" s="652"/>
      <c r="C1511" s="582">
        <v>2.44</v>
      </c>
      <c r="D1511" s="541">
        <v>1.89</v>
      </c>
      <c r="E1511" s="541">
        <f t="shared" si="231"/>
        <v>2.1715999999999993</v>
      </c>
      <c r="F1511" s="546">
        <f>SUM($E$2:E1511)/SUM($C$2:C1511)</f>
        <v>-2.1868230751548104E-2</v>
      </c>
      <c r="G1511" s="536">
        <f t="shared" si="232"/>
        <v>-103.13353505666684</v>
      </c>
      <c r="H1511" s="547" t="s">
        <v>528</v>
      </c>
      <c r="I1511" s="2"/>
      <c r="J1511" s="2"/>
      <c r="K1511" s="2"/>
      <c r="L1511" s="2"/>
      <c r="O1511" s="58"/>
      <c r="P1511" s="58"/>
    </row>
    <row r="1512" spans="2:16">
      <c r="B1512" s="652"/>
      <c r="C1512" s="582">
        <v>2.44</v>
      </c>
      <c r="D1512" s="541">
        <v>1.89</v>
      </c>
      <c r="E1512" s="541">
        <f t="shared" si="231"/>
        <v>2.1715999999999993</v>
      </c>
      <c r="F1512" s="546">
        <f>SUM($E$2:E1512)/SUM($C$2:C1512)</f>
        <v>-2.1396698914019952E-2</v>
      </c>
      <c r="G1512" s="536">
        <f t="shared" si="232"/>
        <v>-100.96193505666685</v>
      </c>
      <c r="H1512" s="547" t="s">
        <v>529</v>
      </c>
      <c r="I1512" s="2"/>
      <c r="J1512" s="2"/>
      <c r="K1512" s="2"/>
      <c r="L1512" s="2"/>
      <c r="O1512" s="58"/>
      <c r="P1512" s="58"/>
    </row>
    <row r="1513" spans="2:16">
      <c r="B1513" s="652"/>
      <c r="C1513" s="582">
        <v>2.44</v>
      </c>
      <c r="D1513" s="541"/>
      <c r="E1513" s="541">
        <f t="shared" si="231"/>
        <v>-2.44</v>
      </c>
      <c r="F1513" s="546">
        <f>SUM($E$2:E1513)/SUM($C$2:C1513)</f>
        <v>-2.1902478264755131E-2</v>
      </c>
      <c r="G1513" s="536">
        <f t="shared" si="232"/>
        <v>-103.40193505666684</v>
      </c>
      <c r="H1513" s="547" t="s">
        <v>530</v>
      </c>
      <c r="I1513" s="2"/>
      <c r="J1513" s="2"/>
      <c r="K1513" s="2"/>
      <c r="L1513" s="2"/>
      <c r="O1513" s="58"/>
      <c r="P1513" s="58"/>
    </row>
    <row r="1514" spans="2:16">
      <c r="B1514" s="652"/>
      <c r="C1514" s="582">
        <v>2.44</v>
      </c>
      <c r="D1514" s="541">
        <v>1.88</v>
      </c>
      <c r="E1514" s="541">
        <f t="shared" si="231"/>
        <v>2.1471999999999993</v>
      </c>
      <c r="F1514" s="546">
        <f>SUM($E$2:E1514)/SUM($C$2:C1514)</f>
        <v>-2.1436581605233058E-2</v>
      </c>
      <c r="G1514" s="536">
        <f t="shared" si="232"/>
        <v>-101.25473505666685</v>
      </c>
      <c r="H1514" s="547" t="s">
        <v>531</v>
      </c>
      <c r="I1514" s="2"/>
      <c r="J1514" s="2"/>
      <c r="K1514" s="2"/>
      <c r="L1514" s="2"/>
      <c r="O1514" s="58"/>
      <c r="P1514" s="58"/>
    </row>
    <row r="1515" spans="2:16">
      <c r="B1515" s="652"/>
      <c r="C1515" s="582">
        <v>2.44</v>
      </c>
      <c r="D1515" s="541">
        <v>1.89</v>
      </c>
      <c r="E1515" s="541">
        <f t="shared" si="231"/>
        <v>2.1715999999999993</v>
      </c>
      <c r="F1515" s="546">
        <f>SUM($E$2:E1515)/SUM($C$2:C1515)</f>
        <v>-2.0966002991735296E-2</v>
      </c>
      <c r="G1515" s="536">
        <f t="shared" si="232"/>
        <v>-99.083135056666848</v>
      </c>
      <c r="H1515" s="547" t="s">
        <v>311</v>
      </c>
      <c r="I1515" s="2"/>
      <c r="J1515" s="2"/>
      <c r="K1515" s="2"/>
      <c r="L1515" s="2"/>
      <c r="O1515" s="58"/>
      <c r="P1515" s="58"/>
    </row>
    <row r="1516" spans="2:16">
      <c r="B1516" s="652"/>
      <c r="C1516" s="582">
        <v>2.44</v>
      </c>
      <c r="D1516" s="541">
        <v>1.9</v>
      </c>
      <c r="E1516" s="541">
        <f t="shared" si="231"/>
        <v>2.1960000000000002</v>
      </c>
      <c r="F1516" s="546">
        <f>SUM($E$2:E1516)/SUM($C$2:C1516)</f>
        <v>-2.0490749672458283E-2</v>
      </c>
      <c r="G1516" s="536">
        <f t="shared" si="232"/>
        <v>-96.88713505666685</v>
      </c>
      <c r="H1516" s="547" t="s">
        <v>532</v>
      </c>
      <c r="I1516" s="2"/>
      <c r="J1516" s="2"/>
      <c r="K1516" s="2"/>
      <c r="L1516" s="2"/>
      <c r="O1516" s="58"/>
      <c r="P1516" s="58"/>
    </row>
    <row r="1517" spans="2:16">
      <c r="B1517" s="652"/>
      <c r="C1517" s="582">
        <v>2.44</v>
      </c>
      <c r="D1517" s="541">
        <v>1.9</v>
      </c>
      <c r="E1517" s="541">
        <f t="shared" si="231"/>
        <v>2.1960000000000002</v>
      </c>
      <c r="F1517" s="546">
        <f>SUM($E$2:E1517)/SUM($C$2:C1517)</f>
        <v>-2.0015986597602033E-2</v>
      </c>
      <c r="G1517" s="536">
        <f t="shared" si="232"/>
        <v>-94.691135056666852</v>
      </c>
      <c r="H1517" s="547" t="s">
        <v>533</v>
      </c>
      <c r="I1517" s="2"/>
      <c r="J1517" s="2"/>
      <c r="K1517" s="2"/>
      <c r="L1517" s="2"/>
      <c r="O1517" s="58"/>
      <c r="P1517" s="58"/>
    </row>
    <row r="1518" spans="2:16">
      <c r="B1518" s="652"/>
      <c r="C1518" s="539">
        <v>2.44</v>
      </c>
      <c r="D1518" s="542">
        <v>1.88</v>
      </c>
      <c r="E1518" s="542">
        <f t="shared" si="231"/>
        <v>2.1471999999999993</v>
      </c>
      <c r="F1518" s="549">
        <f>SUM($E$2:E1518)/SUM($C$2:C1518)</f>
        <v>-1.9552023125243328E-2</v>
      </c>
      <c r="G1518" s="535">
        <f t="shared" si="232"/>
        <v>-92.543935056666854</v>
      </c>
      <c r="H1518" s="550" t="s">
        <v>534</v>
      </c>
      <c r="I1518" s="2"/>
      <c r="J1518" s="2"/>
      <c r="K1518" s="2"/>
      <c r="L1518" s="2"/>
      <c r="O1518" s="58"/>
      <c r="P1518" s="58"/>
    </row>
    <row r="1519" spans="2:16">
      <c r="B1519" s="652"/>
      <c r="C1519" s="582">
        <v>2.44</v>
      </c>
      <c r="D1519" s="541">
        <v>2.0699999999999998</v>
      </c>
      <c r="E1519" s="541">
        <f t="shared" si="231"/>
        <v>2.6107999999999998</v>
      </c>
      <c r="F1519" s="546">
        <f>SUM($E$2:E1519)/SUM($C$2:C1519)</f>
        <v>-1.8990642119563673E-2</v>
      </c>
      <c r="G1519" s="536">
        <f t="shared" si="232"/>
        <v>-89.933135056666856</v>
      </c>
      <c r="H1519" s="547" t="s">
        <v>16</v>
      </c>
      <c r="I1519" s="2"/>
      <c r="J1519" s="2"/>
      <c r="K1519" s="2"/>
      <c r="L1519" s="2"/>
      <c r="O1519" s="58"/>
      <c r="P1519" s="58"/>
    </row>
    <row r="1520" spans="2:16">
      <c r="B1520" s="652"/>
      <c r="C1520" s="582">
        <v>2.44</v>
      </c>
      <c r="D1520" s="541"/>
      <c r="E1520" s="541">
        <f t="shared" si="231"/>
        <v>-2.44</v>
      </c>
      <c r="F1520" s="546">
        <f>SUM($E$2:E1520)/SUM($C$2:C1520)</f>
        <v>-1.9495837283499053E-2</v>
      </c>
      <c r="G1520" s="536">
        <f t="shared" si="232"/>
        <v>-92.373135056666854</v>
      </c>
      <c r="H1520" s="547" t="s">
        <v>37</v>
      </c>
      <c r="I1520" s="2"/>
      <c r="J1520" s="2"/>
      <c r="K1520" s="2"/>
      <c r="L1520" s="2"/>
      <c r="O1520" s="58"/>
      <c r="P1520" s="58"/>
    </row>
    <row r="1521" spans="2:16">
      <c r="B1521" s="652"/>
      <c r="C1521" s="582">
        <v>2.44</v>
      </c>
      <c r="D1521" s="541"/>
      <c r="E1521" s="541">
        <f t="shared" si="231"/>
        <v>-2.44</v>
      </c>
      <c r="F1521" s="546">
        <f>SUM($E$2:E1521)/SUM($C$2:C1521)</f>
        <v>-2.0000512389626073E-2</v>
      </c>
      <c r="G1521" s="536">
        <f t="shared" si="232"/>
        <v>-94.813135056666852</v>
      </c>
      <c r="H1521" s="547" t="s">
        <v>26</v>
      </c>
      <c r="I1521" s="2"/>
      <c r="J1521" s="2"/>
      <c r="K1521" s="2"/>
      <c r="L1521" s="2"/>
      <c r="O1521" s="58"/>
      <c r="P1521" s="58"/>
    </row>
    <row r="1522" spans="2:16">
      <c r="B1522" s="652"/>
      <c r="C1522" s="582">
        <v>2.44</v>
      </c>
      <c r="D1522" s="541"/>
      <c r="E1522" s="541">
        <f t="shared" si="231"/>
        <v>-2.44</v>
      </c>
      <c r="F1522" s="546">
        <f>SUM($E$2:E1522)/SUM($C$2:C1522)</f>
        <v>-2.0504668240568177E-2</v>
      </c>
      <c r="G1522" s="536">
        <f t="shared" si="232"/>
        <v>-97.253135056666849</v>
      </c>
      <c r="H1522" s="547" t="s">
        <v>17</v>
      </c>
      <c r="I1522" s="2"/>
      <c r="J1522" s="2"/>
      <c r="K1522" s="2"/>
      <c r="L1522" s="2"/>
      <c r="O1522" s="58"/>
      <c r="P1522" s="58"/>
    </row>
    <row r="1523" spans="2:16">
      <c r="B1523" s="651"/>
      <c r="C1523" s="539">
        <v>2.44</v>
      </c>
      <c r="D1523" s="542">
        <v>1.825</v>
      </c>
      <c r="E1523" s="542">
        <f t="shared" si="231"/>
        <v>2.0129999999999995</v>
      </c>
      <c r="F1523" s="549">
        <f>SUM($E$2:E1523)/SUM($C$2:C1523)</f>
        <v>-2.0069926229832179E-2</v>
      </c>
      <c r="G1523" s="535">
        <f t="shared" si="232"/>
        <v>-95.240135056666844</v>
      </c>
      <c r="H1523" s="550" t="s">
        <v>47</v>
      </c>
      <c r="I1523" s="2">
        <f>SUM(E1507:E1523)</f>
        <v>18.531799999999993</v>
      </c>
      <c r="L1523" s="2">
        <f>I1523/C1523</f>
        <v>7.5949999999999971</v>
      </c>
      <c r="O1523" s="58"/>
      <c r="P1523" s="58"/>
    </row>
    <row r="1524" spans="2:16">
      <c r="B1524" s="652">
        <v>46112</v>
      </c>
      <c r="C1524" s="582">
        <v>2.88</v>
      </c>
      <c r="D1524" s="541"/>
      <c r="E1524" s="541">
        <f t="shared" ref="E1524:E1534" si="233">(C1524*D1524)-C1524</f>
        <v>-2.88</v>
      </c>
      <c r="F1524" s="546">
        <f>SUM($E$2:E1524)/SUM($C$2:C1524)</f>
        <v>-2.0664286612348211E-2</v>
      </c>
      <c r="G1524" s="536">
        <f t="shared" ref="G1524:G1534" si="234">G1523+E1524</f>
        <v>-98.12013505666684</v>
      </c>
      <c r="H1524" s="547" t="s">
        <v>28</v>
      </c>
      <c r="I1524" s="2"/>
      <c r="J1524" s="2"/>
      <c r="K1524" s="2"/>
      <c r="L1524" s="2"/>
      <c r="O1524" s="58"/>
      <c r="P1524" s="58"/>
    </row>
    <row r="1525" spans="2:16">
      <c r="B1525" s="652"/>
      <c r="C1525" s="582">
        <v>2.88</v>
      </c>
      <c r="D1525" s="541"/>
      <c r="E1525" s="541">
        <f t="shared" si="233"/>
        <v>-2.88</v>
      </c>
      <c r="F1525" s="546">
        <f>SUM($E$2:E1525)/SUM($C$2:C1525)</f>
        <v>-2.1257926432985314E-2</v>
      </c>
      <c r="G1525" s="536">
        <f t="shared" si="234"/>
        <v>-101.00013505666683</v>
      </c>
      <c r="H1525" s="547" t="s">
        <v>53</v>
      </c>
      <c r="I1525" s="2"/>
      <c r="J1525" s="2"/>
      <c r="K1525" s="2"/>
      <c r="L1525" s="2"/>
      <c r="O1525" s="58"/>
      <c r="P1525" s="58"/>
    </row>
    <row r="1526" spans="2:16">
      <c r="B1526" s="652"/>
      <c r="C1526" s="539">
        <v>2.88</v>
      </c>
      <c r="D1526" s="542"/>
      <c r="E1526" s="542">
        <f t="shared" si="233"/>
        <v>-2.88</v>
      </c>
      <c r="F1526" s="549">
        <f>SUM($E$2:E1526)/SUM($C$2:C1526)</f>
        <v>-2.1850847001289597E-2</v>
      </c>
      <c r="G1526" s="535">
        <f t="shared" si="234"/>
        <v>-103.88013505666683</v>
      </c>
      <c r="H1526" s="550" t="s">
        <v>10</v>
      </c>
      <c r="I1526" s="2"/>
      <c r="J1526" s="2"/>
      <c r="K1526" s="2"/>
      <c r="L1526" s="2"/>
      <c r="O1526" s="58"/>
      <c r="P1526" s="58"/>
    </row>
    <row r="1527" spans="2:16">
      <c r="B1527" s="652"/>
      <c r="C1527" s="582">
        <v>2.88</v>
      </c>
      <c r="D1527" s="541"/>
      <c r="E1527" s="541">
        <f t="shared" si="233"/>
        <v>-2.88</v>
      </c>
      <c r="F1527" s="546">
        <f>SUM($E$2:E1527)/SUM($C$2:C1527)</f>
        <v>-2.2443049623635809E-2</v>
      </c>
      <c r="G1527" s="536">
        <f t="shared" si="234"/>
        <v>-106.76013505666683</v>
      </c>
      <c r="H1527" s="547" t="s">
        <v>535</v>
      </c>
      <c r="I1527" s="2"/>
      <c r="J1527" s="2"/>
      <c r="K1527" s="2"/>
      <c r="L1527" s="2"/>
      <c r="O1527" s="58"/>
      <c r="P1527" s="58"/>
    </row>
    <row r="1528" spans="2:16">
      <c r="B1528" s="652"/>
      <c r="C1528" s="582">
        <v>2.88</v>
      </c>
      <c r="D1528" s="541">
        <v>1.9</v>
      </c>
      <c r="E1528" s="541">
        <f t="shared" si="233"/>
        <v>2.5919999999999996</v>
      </c>
      <c r="F1528" s="546">
        <f>SUM($E$2:E1528)/SUM($C$2:C1528)</f>
        <v>-2.1884911163648574E-2</v>
      </c>
      <c r="G1528" s="536">
        <f t="shared" si="234"/>
        <v>-104.16813505666683</v>
      </c>
      <c r="H1528" s="547" t="s">
        <v>536</v>
      </c>
      <c r="I1528" s="2"/>
      <c r="J1528" s="2"/>
      <c r="K1528" s="2"/>
      <c r="L1528" s="2"/>
      <c r="O1528" s="58"/>
      <c r="P1528" s="58"/>
    </row>
    <row r="1529" spans="2:16">
      <c r="B1529" s="652"/>
      <c r="C1529" s="582">
        <v>2.88</v>
      </c>
      <c r="D1529" s="541">
        <v>1.89</v>
      </c>
      <c r="E1529" s="541">
        <f t="shared" si="233"/>
        <v>2.5631999999999993</v>
      </c>
      <c r="F1529" s="546">
        <f>SUM($E$2:E1529)/SUM($C$2:C1529)</f>
        <v>-2.1333494711997848E-2</v>
      </c>
      <c r="G1529" s="536">
        <f t="shared" si="234"/>
        <v>-101.60493505666683</v>
      </c>
      <c r="H1529" s="547" t="s">
        <v>537</v>
      </c>
      <c r="I1529" s="2"/>
      <c r="J1529" s="2"/>
      <c r="K1529" s="2"/>
      <c r="L1529" s="2"/>
      <c r="O1529" s="58"/>
      <c r="P1529" s="58"/>
    </row>
    <row r="1530" spans="2:16">
      <c r="B1530" s="652"/>
      <c r="C1530" s="539">
        <v>2.88</v>
      </c>
      <c r="D1530" s="542"/>
      <c r="E1530" s="542">
        <f t="shared" si="233"/>
        <v>-2.88</v>
      </c>
      <c r="F1530" s="549">
        <f>SUM($E$2:E1530)/SUM($C$2:C1530)</f>
        <v>-2.192493632316839E-2</v>
      </c>
      <c r="G1530" s="535">
        <f t="shared" si="234"/>
        <v>-104.48493505666683</v>
      </c>
      <c r="H1530" s="550" t="s">
        <v>538</v>
      </c>
      <c r="I1530" s="2"/>
      <c r="J1530" s="2"/>
      <c r="K1530" s="2"/>
      <c r="L1530" s="2"/>
      <c r="O1530" s="58"/>
      <c r="P1530" s="58"/>
    </row>
    <row r="1531" spans="2:16">
      <c r="B1531" s="652"/>
      <c r="C1531" s="582">
        <v>2.88</v>
      </c>
      <c r="D1531" s="541"/>
      <c r="E1531" s="541">
        <f t="shared" si="233"/>
        <v>-2.88</v>
      </c>
      <c r="F1531" s="546">
        <f>SUM($E$2:E1531)/SUM($C$2:C1531)</f>
        <v>-2.2515663509338795E-2</v>
      </c>
      <c r="G1531" s="536">
        <f t="shared" si="234"/>
        <v>-107.36493505666682</v>
      </c>
      <c r="H1531" s="547" t="s">
        <v>36</v>
      </c>
      <c r="I1531" s="2"/>
      <c r="J1531" s="2"/>
      <c r="K1531" s="2"/>
      <c r="L1531" s="2"/>
      <c r="O1531" s="58"/>
      <c r="P1531" s="58"/>
    </row>
    <row r="1532" spans="2:16">
      <c r="B1532" s="652"/>
      <c r="C1532" s="582">
        <v>2.88</v>
      </c>
      <c r="D1532" s="541"/>
      <c r="E1532" s="541">
        <f t="shared" si="233"/>
        <v>-2.88</v>
      </c>
      <c r="F1532" s="546">
        <f>SUM($E$2:E1532)/SUM($C$2:C1532)</f>
        <v>-2.3105677564199741E-2</v>
      </c>
      <c r="G1532" s="536">
        <f t="shared" si="234"/>
        <v>-110.24493505666682</v>
      </c>
      <c r="H1532" s="547" t="s">
        <v>25</v>
      </c>
      <c r="I1532" s="2"/>
      <c r="J1532" s="2"/>
      <c r="K1532" s="2"/>
      <c r="L1532" s="2"/>
      <c r="O1532" s="58"/>
      <c r="P1532" s="58"/>
    </row>
    <row r="1533" spans="2:16">
      <c r="B1533" s="652"/>
      <c r="C1533" s="582">
        <v>2.88</v>
      </c>
      <c r="D1533" s="541"/>
      <c r="E1533" s="541">
        <f t="shared" si="233"/>
        <v>-2.88</v>
      </c>
      <c r="F1533" s="546">
        <f>SUM($E$2:E1533)/SUM($C$2:C1533)</f>
        <v>-2.3694979778320278E-2</v>
      </c>
      <c r="G1533" s="536">
        <f t="shared" si="234"/>
        <v>-113.12493505666681</v>
      </c>
      <c r="H1533" s="547" t="s">
        <v>29</v>
      </c>
      <c r="I1533" s="2"/>
      <c r="J1533" s="2"/>
      <c r="K1533" s="2"/>
      <c r="L1533" s="2"/>
      <c r="O1533" s="58"/>
      <c r="P1533" s="58"/>
    </row>
    <row r="1534" spans="2:16">
      <c r="B1534" s="652"/>
      <c r="C1534" s="539">
        <v>2.88</v>
      </c>
      <c r="D1534" s="542">
        <v>2.0030000000000001</v>
      </c>
      <c r="E1534" s="542">
        <f t="shared" si="233"/>
        <v>2.8886400000000005</v>
      </c>
      <c r="F1534" s="549">
        <f>SUM($E$2:E1534)/SUM($C$2:C1534)</f>
        <v>-2.3076009179169327E-2</v>
      </c>
      <c r="G1534" s="535">
        <f t="shared" si="234"/>
        <v>-110.23629505666682</v>
      </c>
      <c r="H1534" s="550" t="s">
        <v>34</v>
      </c>
      <c r="I1534" s="2">
        <f>SUM(E1524:E1534)</f>
        <v>-14.996159999999998</v>
      </c>
      <c r="K1534" s="2">
        <f>SUM(E1169:E1534:E1534)</f>
        <v>-129.31407505666652</v>
      </c>
      <c r="L1534" s="2">
        <f>I1534/C1534</f>
        <v>-5.2069999999999999</v>
      </c>
      <c r="O1534" s="58"/>
      <c r="P1534" s="58"/>
    </row>
    <row r="1535" spans="2:16">
      <c r="B1535" s="650">
        <v>46113</v>
      </c>
      <c r="C1535" s="582">
        <v>2.1800000000000002</v>
      </c>
      <c r="D1535" s="541">
        <v>1.95</v>
      </c>
      <c r="E1535" s="541">
        <f t="shared" ref="E1535:E1555" si="235">(C1535*D1535)-C1535</f>
        <v>2.0710000000000002</v>
      </c>
      <c r="F1535" s="546">
        <f>SUM($E$2:E1535)/SUM($C$2:C1535)</f>
        <v>-2.2632154082816609E-2</v>
      </c>
      <c r="G1535" s="536">
        <f t="shared" ref="G1535:G1555" si="236">G1534+E1535</f>
        <v>-108.16529505666682</v>
      </c>
      <c r="H1535" s="547" t="s">
        <v>11</v>
      </c>
      <c r="I1535" s="2"/>
      <c r="J1535" s="2"/>
      <c r="K1535" s="2"/>
      <c r="L1535" s="2"/>
      <c r="O1535" s="58"/>
      <c r="P1535" s="58"/>
    </row>
    <row r="1536" spans="2:16">
      <c r="B1536" s="652"/>
      <c r="C1536" s="582">
        <v>2.1800000000000002</v>
      </c>
      <c r="D1536" s="541">
        <v>1.9</v>
      </c>
      <c r="E1536" s="541">
        <f t="shared" si="235"/>
        <v>1.9620000000000002</v>
      </c>
      <c r="F1536" s="546">
        <f>SUM($E$2:E1536)/SUM($C$2:C1536)</f>
        <v>-2.2211500125279442E-2</v>
      </c>
      <c r="G1536" s="536">
        <f t="shared" si="236"/>
        <v>-106.20329505666682</v>
      </c>
      <c r="H1536" s="547" t="s">
        <v>64</v>
      </c>
      <c r="I1536" s="2"/>
      <c r="J1536" s="2"/>
      <c r="K1536" s="2"/>
      <c r="L1536" s="2"/>
      <c r="O1536" s="58"/>
      <c r="P1536" s="58"/>
    </row>
    <row r="1537" spans="2:16">
      <c r="B1537" s="652"/>
      <c r="C1537" s="582">
        <v>2.1800000000000002</v>
      </c>
      <c r="D1537" s="541"/>
      <c r="E1537" s="541">
        <f t="shared" si="235"/>
        <v>-2.1800000000000002</v>
      </c>
      <c r="F1537" s="546">
        <f>SUM($E$2:E1537)/SUM($C$2:C1537)</f>
        <v>-2.2657098251978005E-2</v>
      </c>
      <c r="G1537" s="536">
        <f t="shared" si="236"/>
        <v>-108.38329505666682</v>
      </c>
      <c r="H1537" s="547" t="s">
        <v>16</v>
      </c>
      <c r="I1537" s="2"/>
      <c r="J1537" s="2"/>
      <c r="K1537" s="2"/>
      <c r="L1537" s="2"/>
      <c r="O1537" s="58"/>
      <c r="P1537" s="58"/>
    </row>
    <row r="1538" spans="2:16">
      <c r="B1538" s="652"/>
      <c r="C1538" s="582">
        <v>2.1800000000000002</v>
      </c>
      <c r="D1538" s="541">
        <v>1.91</v>
      </c>
      <c r="E1538" s="541">
        <f t="shared" si="235"/>
        <v>1.9838</v>
      </c>
      <c r="F1538" s="546">
        <f>SUM($E$2:E1538)/SUM($C$2:C1538)</f>
        <v>-2.2232261030823812E-2</v>
      </c>
      <c r="G1538" s="536">
        <f t="shared" si="236"/>
        <v>-106.39949505666682</v>
      </c>
      <c r="H1538" s="547" t="s">
        <v>26</v>
      </c>
      <c r="I1538" s="2"/>
      <c r="J1538" s="2"/>
      <c r="K1538" s="2"/>
      <c r="L1538" s="2"/>
      <c r="O1538" s="58"/>
      <c r="P1538" s="58"/>
    </row>
    <row r="1539" spans="2:16">
      <c r="B1539" s="652"/>
      <c r="C1539" s="582">
        <v>2.1800000000000002</v>
      </c>
      <c r="D1539" s="541">
        <v>1.9</v>
      </c>
      <c r="E1539" s="541">
        <f t="shared" si="235"/>
        <v>1.9620000000000002</v>
      </c>
      <c r="F1539" s="546">
        <f>SUM($E$2:E1539)/SUM($C$2:C1539)</f>
        <v>-2.181236372476739E-2</v>
      </c>
      <c r="G1539" s="536">
        <f t="shared" si="236"/>
        <v>-104.43749505666682</v>
      </c>
      <c r="H1539" s="547" t="s">
        <v>25</v>
      </c>
      <c r="I1539" s="2"/>
      <c r="J1539" s="2"/>
      <c r="K1539" s="2"/>
      <c r="L1539" s="2"/>
      <c r="O1539" s="58"/>
      <c r="P1539" s="58"/>
    </row>
    <row r="1540" spans="2:16">
      <c r="B1540" s="652"/>
      <c r="C1540" s="582">
        <v>2.1800000000000002</v>
      </c>
      <c r="D1540" s="541"/>
      <c r="E1540" s="541">
        <f t="shared" si="235"/>
        <v>-2.1800000000000002</v>
      </c>
      <c r="F1540" s="546">
        <f>SUM($E$2:E1540)/SUM($C$2:C1540)</f>
        <v>-2.2257535125038152E-2</v>
      </c>
      <c r="G1540" s="536">
        <f t="shared" si="236"/>
        <v>-106.61749505666683</v>
      </c>
      <c r="H1540" s="547" t="s">
        <v>35</v>
      </c>
      <c r="I1540" s="2"/>
      <c r="J1540" s="2"/>
      <c r="K1540" s="2"/>
      <c r="L1540" s="2"/>
      <c r="O1540" s="58"/>
      <c r="P1540" s="58"/>
    </row>
    <row r="1541" spans="2:16">
      <c r="B1541" s="652"/>
      <c r="C1541" s="582">
        <v>2.1800000000000002</v>
      </c>
      <c r="D1541" s="541">
        <v>1.9339999999999999</v>
      </c>
      <c r="E1541" s="541">
        <f t="shared" si="235"/>
        <v>2.0361199999999999</v>
      </c>
      <c r="F1541" s="546">
        <f>SUM($E$2:E1541)/SUM($C$2:C1541)</f>
        <v>-2.1822542038159917E-2</v>
      </c>
      <c r="G1541" s="536">
        <f t="shared" si="236"/>
        <v>-104.58137505666683</v>
      </c>
      <c r="H1541" s="547" t="s">
        <v>53</v>
      </c>
      <c r="I1541" s="2"/>
      <c r="J1541" s="2"/>
      <c r="K1541" s="2"/>
      <c r="L1541" s="2"/>
      <c r="O1541" s="58"/>
      <c r="P1541" s="58"/>
    </row>
    <row r="1542" spans="2:16">
      <c r="B1542" s="652"/>
      <c r="C1542" s="582">
        <v>2.1800000000000002</v>
      </c>
      <c r="D1542" s="541"/>
      <c r="E1542" s="541">
        <f t="shared" si="235"/>
        <v>-2.1800000000000002</v>
      </c>
      <c r="F1542" s="546">
        <f>SUM($E$2:E1542)/SUM($C$2:C1542)</f>
        <v>-2.2267303985604826E-2</v>
      </c>
      <c r="G1542" s="536">
        <f t="shared" si="236"/>
        <v>-106.76137505666684</v>
      </c>
      <c r="H1542" s="547" t="s">
        <v>47</v>
      </c>
      <c r="I1542" s="2"/>
      <c r="J1542" s="2"/>
      <c r="K1542" s="2"/>
      <c r="L1542" s="2"/>
      <c r="O1542" s="58"/>
      <c r="P1542" s="58"/>
    </row>
    <row r="1543" spans="2:16">
      <c r="B1543" s="652"/>
      <c r="C1543" s="539">
        <v>2.1800000000000002</v>
      </c>
      <c r="D1543" s="542">
        <v>1.89</v>
      </c>
      <c r="E1543" s="542">
        <f t="shared" si="235"/>
        <v>1.9402000000000004</v>
      </c>
      <c r="F1543" s="549">
        <f>SUM($E$2:E1543)/SUM($C$2:C1543)</f>
        <v>-2.1852698865818594E-2</v>
      </c>
      <c r="G1543" s="535">
        <f t="shared" si="236"/>
        <v>-104.82117505666683</v>
      </c>
      <c r="H1543" s="550" t="s">
        <v>27</v>
      </c>
      <c r="I1543" s="2"/>
      <c r="J1543" s="2"/>
      <c r="K1543" s="2"/>
      <c r="L1543" s="2"/>
      <c r="O1543" s="58"/>
      <c r="P1543" s="58"/>
    </row>
    <row r="1544" spans="2:16">
      <c r="B1544" s="652"/>
      <c r="C1544" s="582">
        <v>2.1800000000000002</v>
      </c>
      <c r="D1544" s="541"/>
      <c r="E1544" s="541">
        <f t="shared" si="235"/>
        <v>-2.1800000000000002</v>
      </c>
      <c r="F1544" s="546">
        <f>SUM($E$2:E1544)/SUM($C$2:C1544)</f>
        <v>-2.2297043028784228E-2</v>
      </c>
      <c r="G1544" s="536">
        <f t="shared" si="236"/>
        <v>-107.00117505666684</v>
      </c>
      <c r="H1544" s="547" t="s">
        <v>539</v>
      </c>
      <c r="I1544" s="2"/>
      <c r="J1544" s="2"/>
      <c r="K1544" s="2"/>
      <c r="L1544" s="2"/>
      <c r="O1544" s="58"/>
      <c r="P1544" s="58"/>
    </row>
    <row r="1545" spans="2:16">
      <c r="B1545" s="652"/>
      <c r="C1545" s="582">
        <v>2.1800000000000002</v>
      </c>
      <c r="D1545" s="541">
        <v>1.87</v>
      </c>
      <c r="E1545" s="541">
        <f t="shared" si="235"/>
        <v>1.8966000000000007</v>
      </c>
      <c r="F1545" s="546">
        <f>SUM($E$2:E1545)/SUM($C$2:C1545)</f>
        <v>-2.1891882219771858E-2</v>
      </c>
      <c r="G1545" s="536">
        <f t="shared" si="236"/>
        <v>-105.10457505666683</v>
      </c>
      <c r="H1545" s="547" t="s">
        <v>540</v>
      </c>
      <c r="I1545" s="2"/>
      <c r="J1545" s="2"/>
      <c r="K1545" s="2"/>
      <c r="L1545" s="2"/>
      <c r="O1545" s="58"/>
      <c r="P1545" s="58"/>
    </row>
    <row r="1546" spans="2:16">
      <c r="B1546" s="652"/>
      <c r="C1546" s="582">
        <v>2.1800000000000002</v>
      </c>
      <c r="D1546" s="541"/>
      <c r="E1546" s="541">
        <f t="shared" si="235"/>
        <v>-2.1800000000000002</v>
      </c>
      <c r="F1546" s="546">
        <f>SUM($E$2:E1546)/SUM($C$2:C1546)</f>
        <v>-2.2335805259949999E-2</v>
      </c>
      <c r="G1546" s="536">
        <f t="shared" si="236"/>
        <v>-107.28457505666684</v>
      </c>
      <c r="H1546" s="547" t="s">
        <v>278</v>
      </c>
      <c r="I1546" s="2"/>
      <c r="J1546" s="2"/>
      <c r="K1546" s="2"/>
      <c r="L1546" s="2"/>
      <c r="O1546" s="58"/>
      <c r="P1546" s="58"/>
    </row>
    <row r="1547" spans="2:16">
      <c r="B1547" s="652"/>
      <c r="C1547" s="582">
        <v>2.1800000000000002</v>
      </c>
      <c r="D1547" s="541"/>
      <c r="E1547" s="541">
        <f t="shared" si="235"/>
        <v>-2.1800000000000002</v>
      </c>
      <c r="F1547" s="546">
        <f>SUM($E$2:E1547)/SUM($C$2:C1547)</f>
        <v>-2.2779325526116376E-2</v>
      </c>
      <c r="G1547" s="536">
        <f t="shared" si="236"/>
        <v>-109.46457505666685</v>
      </c>
      <c r="H1547" s="547" t="s">
        <v>541</v>
      </c>
      <c r="I1547" s="2"/>
      <c r="J1547" s="2"/>
      <c r="K1547" s="2"/>
      <c r="L1547" s="2"/>
      <c r="O1547" s="58"/>
      <c r="P1547" s="58"/>
    </row>
    <row r="1548" spans="2:16">
      <c r="B1548" s="652"/>
      <c r="C1548" s="582">
        <v>2.1800000000000002</v>
      </c>
      <c r="D1548" s="541">
        <v>1.9</v>
      </c>
      <c r="E1548" s="541">
        <f t="shared" si="235"/>
        <v>1.9620000000000002</v>
      </c>
      <c r="F1548" s="546">
        <f>SUM($E$2:E1548)/SUM($C$2:C1548)</f>
        <v>-2.2360893766719025E-2</v>
      </c>
      <c r="G1548" s="536">
        <f t="shared" si="236"/>
        <v>-107.50257505666684</v>
      </c>
      <c r="H1548" s="547" t="s">
        <v>542</v>
      </c>
      <c r="I1548" s="2"/>
      <c r="J1548" s="2"/>
      <c r="K1548" s="2"/>
      <c r="L1548" s="2"/>
      <c r="O1548" s="58"/>
      <c r="P1548" s="58"/>
    </row>
    <row r="1549" spans="2:16">
      <c r="B1549" s="652"/>
      <c r="C1549" s="582">
        <v>2.1800000000000002</v>
      </c>
      <c r="D1549" s="541"/>
      <c r="E1549" s="541">
        <f t="shared" si="235"/>
        <v>-2.1800000000000002</v>
      </c>
      <c r="F1549" s="546">
        <f>SUM($E$2:E1549)/SUM($C$2:C1549)</f>
        <v>-2.280400061793111E-2</v>
      </c>
      <c r="G1549" s="536">
        <f t="shared" si="236"/>
        <v>-109.68257505666685</v>
      </c>
      <c r="H1549" s="547" t="s">
        <v>543</v>
      </c>
      <c r="I1549" s="2"/>
      <c r="J1549" s="2"/>
      <c r="K1549" s="2"/>
      <c r="L1549" s="2"/>
      <c r="O1549" s="58"/>
      <c r="P1549" s="58"/>
    </row>
    <row r="1550" spans="2:16">
      <c r="B1550" s="652"/>
      <c r="C1550" s="582">
        <v>2.1800000000000002</v>
      </c>
      <c r="D1550" s="541">
        <v>1.9</v>
      </c>
      <c r="E1550" s="541">
        <f t="shared" si="235"/>
        <v>1.9620000000000002</v>
      </c>
      <c r="F1550" s="546">
        <f>SUM($E$2:E1550)/SUM($C$2:C1550)</f>
        <v>-2.238593680946023E-2</v>
      </c>
      <c r="G1550" s="536">
        <f t="shared" si="236"/>
        <v>-107.72057505666685</v>
      </c>
      <c r="H1550" s="547" t="s">
        <v>544</v>
      </c>
      <c r="I1550" s="2"/>
      <c r="J1550" s="2"/>
      <c r="K1550" s="2"/>
      <c r="L1550" s="2"/>
      <c r="O1550" s="58"/>
      <c r="P1550" s="58"/>
    </row>
    <row r="1551" spans="2:16">
      <c r="B1551" s="652"/>
      <c r="C1551" s="582">
        <v>2.1800000000000002</v>
      </c>
      <c r="D1551" s="541">
        <v>1.9</v>
      </c>
      <c r="E1551" s="541">
        <f t="shared" si="235"/>
        <v>1.9620000000000002</v>
      </c>
      <c r="F1551" s="546">
        <f>SUM($E$2:E1551)/SUM($C$2:C1551)</f>
        <v>-2.1968251625709638E-2</v>
      </c>
      <c r="G1551" s="536">
        <f t="shared" si="236"/>
        <v>-105.75857505666684</v>
      </c>
      <c r="H1551" s="547" t="s">
        <v>419</v>
      </c>
      <c r="I1551" s="2"/>
      <c r="J1551" s="2"/>
      <c r="K1551" s="2"/>
      <c r="L1551" s="2"/>
      <c r="O1551" s="58"/>
      <c r="P1551" s="58"/>
    </row>
    <row r="1552" spans="2:16">
      <c r="B1552" s="652"/>
      <c r="C1552" s="539">
        <v>2.1800000000000002</v>
      </c>
      <c r="D1552" s="542">
        <v>1.89</v>
      </c>
      <c r="E1552" s="542">
        <f t="shared" si="235"/>
        <v>1.9402000000000004</v>
      </c>
      <c r="F1552" s="549">
        <f>SUM($E$2:E1552)/SUM($C$2:C1552)</f>
        <v>-2.1555470815495401E-2</v>
      </c>
      <c r="G1552" s="535">
        <f t="shared" si="236"/>
        <v>-103.81837505666684</v>
      </c>
      <c r="H1552" s="550" t="s">
        <v>366</v>
      </c>
      <c r="I1552" s="2"/>
      <c r="J1552" s="2"/>
      <c r="K1552" s="2"/>
      <c r="L1552" s="2"/>
      <c r="O1552" s="58"/>
      <c r="P1552" s="58"/>
    </row>
    <row r="1553" spans="2:16">
      <c r="B1553" s="652"/>
      <c r="C1553" s="582">
        <v>2.1800000000000002</v>
      </c>
      <c r="D1553" s="541"/>
      <c r="E1553" s="541">
        <f t="shared" si="235"/>
        <v>-2.1800000000000002</v>
      </c>
      <c r="F1553" s="546">
        <f>SUM($E$2:E1553)/SUM($C$2:C1553)</f>
        <v>-2.1998140173086229E-2</v>
      </c>
      <c r="G1553" s="536">
        <f t="shared" si="236"/>
        <v>-105.99837505666684</v>
      </c>
      <c r="H1553" s="547" t="s">
        <v>26</v>
      </c>
      <c r="I1553" s="2"/>
      <c r="J1553" s="2"/>
      <c r="K1553" s="2"/>
      <c r="L1553" s="2"/>
      <c r="O1553" s="58"/>
      <c r="P1553" s="58"/>
    </row>
    <row r="1554" spans="2:16">
      <c r="B1554" s="652"/>
      <c r="C1554" s="582">
        <v>2.1800000000000002</v>
      </c>
      <c r="D1554" s="541">
        <v>1.85</v>
      </c>
      <c r="E1554" s="541">
        <f t="shared" si="235"/>
        <v>1.8530000000000002</v>
      </c>
      <c r="F1554" s="546">
        <f>SUM($E$2:E1554)/SUM($C$2:C1554)</f>
        <v>-2.1603807856650059E-2</v>
      </c>
      <c r="G1554" s="536">
        <f t="shared" si="236"/>
        <v>-104.14537505666685</v>
      </c>
      <c r="H1554" s="547" t="s">
        <v>60</v>
      </c>
      <c r="I1554" s="2"/>
      <c r="J1554" s="2"/>
      <c r="K1554" s="2"/>
      <c r="L1554" s="2"/>
      <c r="O1554" s="58"/>
      <c r="P1554" s="58"/>
    </row>
    <row r="1555" spans="2:16">
      <c r="B1555" s="652"/>
      <c r="C1555" s="539">
        <v>2.1800000000000002</v>
      </c>
      <c r="D1555" s="542"/>
      <c r="E1555" s="542">
        <f t="shared" si="235"/>
        <v>-2.1800000000000002</v>
      </c>
      <c r="F1555" s="549">
        <f>SUM($E$2:E1555)/SUM($C$2:C1555)</f>
        <v>-2.204605518111313E-2</v>
      </c>
      <c r="G1555" s="535">
        <f t="shared" si="236"/>
        <v>-106.32537505666686</v>
      </c>
      <c r="H1555" s="550" t="s">
        <v>27</v>
      </c>
      <c r="I1555" s="2">
        <f>SUM(E1535:E1555)</f>
        <v>3.9109200000000004</v>
      </c>
      <c r="L1555" s="2">
        <f>I1555/C1555</f>
        <v>1.794</v>
      </c>
      <c r="O1555" s="58"/>
      <c r="P1555" s="58"/>
    </row>
    <row r="1556" spans="2:16">
      <c r="B1556" s="650">
        <v>46114</v>
      </c>
      <c r="C1556" s="582">
        <v>3.3</v>
      </c>
      <c r="D1556" s="541"/>
      <c r="E1556" s="541">
        <f t="shared" ref="E1556:E1570" si="237">(C1556*D1556)-C1556</f>
        <v>-3.3</v>
      </c>
      <c r="F1556" s="546">
        <f>SUM($E$2:E1556)/SUM($C$2:C1556)</f>
        <v>-2.2714751988716621E-2</v>
      </c>
      <c r="G1556" s="536">
        <f t="shared" ref="G1556:G1570" si="238">G1555+E1556</f>
        <v>-109.62537505666685</v>
      </c>
      <c r="H1556" s="547" t="s">
        <v>15</v>
      </c>
      <c r="I1556" s="2"/>
      <c r="J1556" s="2"/>
      <c r="K1556" s="2"/>
      <c r="L1556" s="2"/>
      <c r="O1556" s="58"/>
      <c r="P1556" s="58"/>
    </row>
    <row r="1557" spans="2:16">
      <c r="B1557" s="652"/>
      <c r="C1557" s="582">
        <v>3.3</v>
      </c>
      <c r="D1557" s="541"/>
      <c r="E1557" s="541">
        <f t="shared" si="237"/>
        <v>-3.3</v>
      </c>
      <c r="F1557" s="546">
        <f>SUM($E$2:E1557)/SUM($C$2:C1557)</f>
        <v>-2.3382534949855746E-2</v>
      </c>
      <c r="G1557" s="536">
        <f t="shared" si="238"/>
        <v>-112.92537505666685</v>
      </c>
      <c r="H1557" s="547" t="s">
        <v>30</v>
      </c>
      <c r="I1557" s="2"/>
      <c r="J1557" s="2"/>
      <c r="K1557" s="2"/>
      <c r="L1557" s="2"/>
      <c r="O1557" s="58"/>
      <c r="P1557" s="58"/>
    </row>
    <row r="1558" spans="2:16">
      <c r="B1558" s="652"/>
      <c r="C1558" s="582">
        <v>3.3</v>
      </c>
      <c r="D1558" s="541">
        <v>1.85</v>
      </c>
      <c r="E1558" s="541">
        <f t="shared" si="237"/>
        <v>2.8049999999999997</v>
      </c>
      <c r="F1558" s="546">
        <f>SUM($E$2:E1558)/SUM($C$2:C1558)</f>
        <v>-2.2786156640341147E-2</v>
      </c>
      <c r="G1558" s="536">
        <f t="shared" si="238"/>
        <v>-110.12037505666686</v>
      </c>
      <c r="H1558" s="547" t="s">
        <v>27</v>
      </c>
      <c r="I1558" s="2"/>
      <c r="J1558" s="2"/>
      <c r="K1558" s="2"/>
      <c r="L1558" s="2"/>
      <c r="O1558" s="58"/>
      <c r="P1558" s="58"/>
    </row>
    <row r="1559" spans="2:16">
      <c r="B1559" s="652"/>
      <c r="C1559" s="539">
        <v>3.3</v>
      </c>
      <c r="D1559" s="542">
        <v>1.9</v>
      </c>
      <c r="E1559" s="542">
        <f t="shared" si="237"/>
        <v>2.9699999999999998</v>
      </c>
      <c r="F1559" s="549">
        <f>SUM($E$2:E1559)/SUM($C$2:C1559)</f>
        <v>-2.215647365853067E-2</v>
      </c>
      <c r="G1559" s="535">
        <f t="shared" si="238"/>
        <v>-107.15037505666686</v>
      </c>
      <c r="H1559" s="550" t="s">
        <v>52</v>
      </c>
      <c r="I1559" s="2"/>
      <c r="J1559" s="2"/>
      <c r="K1559" s="2"/>
      <c r="L1559" s="2"/>
      <c r="O1559" s="58"/>
      <c r="P1559" s="58"/>
    </row>
    <row r="1560" spans="2:16">
      <c r="B1560" s="652"/>
      <c r="C1560" s="582">
        <v>3.3</v>
      </c>
      <c r="D1560" s="541">
        <v>1.91</v>
      </c>
      <c r="E1560" s="541">
        <f t="shared" si="237"/>
        <v>3.0029999999999992</v>
      </c>
      <c r="F1560" s="546">
        <f>SUM($E$2:E1560)/SUM($C$2:C1560)</f>
        <v>-2.1520830384220559E-2</v>
      </c>
      <c r="G1560" s="536">
        <f t="shared" si="238"/>
        <v>-104.14737505666686</v>
      </c>
      <c r="H1560" s="547" t="s">
        <v>545</v>
      </c>
      <c r="I1560" s="2"/>
      <c r="J1560" s="2"/>
      <c r="K1560" s="2"/>
      <c r="L1560" s="2"/>
      <c r="O1560" s="58"/>
      <c r="P1560" s="58"/>
    </row>
    <row r="1561" spans="2:16">
      <c r="B1561" s="652"/>
      <c r="C1561" s="582">
        <v>3.3</v>
      </c>
      <c r="D1561" s="541"/>
      <c r="E1561" s="541">
        <f t="shared" si="237"/>
        <v>-3.3</v>
      </c>
      <c r="F1561" s="546">
        <f>SUM($E$2:E1561)/SUM($C$2:C1561)</f>
        <v>-2.2187606712974192E-2</v>
      </c>
      <c r="G1561" s="536">
        <f t="shared" si="238"/>
        <v>-107.44737505666686</v>
      </c>
      <c r="H1561" s="547" t="s">
        <v>546</v>
      </c>
      <c r="I1561" s="2"/>
      <c r="J1561" s="2"/>
      <c r="K1561" s="2"/>
      <c r="L1561" s="2"/>
      <c r="O1561" s="58"/>
      <c r="P1561" s="58"/>
    </row>
    <row r="1562" spans="2:16">
      <c r="B1562" s="652"/>
      <c r="C1562" s="582">
        <v>3.3</v>
      </c>
      <c r="D1562" s="541">
        <v>1.91</v>
      </c>
      <c r="E1562" s="541">
        <f t="shared" si="237"/>
        <v>3.0029999999999992</v>
      </c>
      <c r="F1562" s="546">
        <f>SUM($E$2:E1562)/SUM($C$2:C1562)</f>
        <v>-2.155280795525261E-2</v>
      </c>
      <c r="G1562" s="536">
        <f t="shared" si="238"/>
        <v>-104.44437505666686</v>
      </c>
      <c r="H1562" s="547" t="s">
        <v>44</v>
      </c>
      <c r="I1562" s="2"/>
      <c r="J1562" s="2"/>
      <c r="K1562" s="2"/>
      <c r="L1562" s="2"/>
      <c r="O1562" s="58"/>
      <c r="P1562" s="58"/>
    </row>
    <row r="1563" spans="2:16">
      <c r="B1563" s="652"/>
      <c r="C1563" s="582">
        <v>3.3</v>
      </c>
      <c r="D1563" s="541">
        <v>1.89</v>
      </c>
      <c r="E1563" s="541">
        <f t="shared" si="237"/>
        <v>2.9369999999999994</v>
      </c>
      <c r="F1563" s="546">
        <f>SUM($E$2:E1563)/SUM($C$2:C1563)</f>
        <v>-2.0932483457584018E-2</v>
      </c>
      <c r="G1563" s="536">
        <f t="shared" si="238"/>
        <v>-101.50737505666686</v>
      </c>
      <c r="H1563" s="547" t="s">
        <v>547</v>
      </c>
      <c r="I1563" s="2"/>
      <c r="J1563" s="2"/>
      <c r="K1563" s="2"/>
      <c r="L1563" s="2"/>
      <c r="O1563" s="58"/>
      <c r="P1563" s="58"/>
    </row>
    <row r="1564" spans="2:16">
      <c r="B1564" s="652"/>
      <c r="C1564" s="582">
        <v>3.3</v>
      </c>
      <c r="D1564" s="541"/>
      <c r="E1564" s="541">
        <f t="shared" si="237"/>
        <v>-3.3</v>
      </c>
      <c r="F1564" s="546">
        <f>SUM($E$2:E1564)/SUM($C$2:C1564)</f>
        <v>-2.1598299566144039E-2</v>
      </c>
      <c r="G1564" s="536">
        <f t="shared" si="238"/>
        <v>-104.80737505666686</v>
      </c>
      <c r="H1564" s="547" t="s">
        <v>548</v>
      </c>
      <c r="I1564" s="2"/>
      <c r="J1564" s="2"/>
      <c r="K1564" s="2"/>
      <c r="L1564" s="2"/>
      <c r="O1564" s="58"/>
      <c r="P1564" s="58"/>
    </row>
    <row r="1565" spans="2:16">
      <c r="B1565" s="652"/>
      <c r="C1565" s="539">
        <v>3.3</v>
      </c>
      <c r="D1565" s="542">
        <v>1.89</v>
      </c>
      <c r="E1565" s="542">
        <f t="shared" si="237"/>
        <v>2.9369999999999994</v>
      </c>
      <c r="F1565" s="549">
        <f>SUM($E$2:E1565)/SUM($C$2:C1565)</f>
        <v>-2.0978787284424736E-2</v>
      </c>
      <c r="G1565" s="535">
        <f t="shared" si="238"/>
        <v>-101.87037505666686</v>
      </c>
      <c r="H1565" s="550" t="s">
        <v>549</v>
      </c>
      <c r="I1565" s="2"/>
      <c r="J1565" s="2"/>
      <c r="K1565" s="2"/>
      <c r="L1565" s="2"/>
      <c r="O1565" s="58"/>
      <c r="P1565" s="58"/>
    </row>
    <row r="1566" spans="2:16">
      <c r="B1566" s="652"/>
      <c r="C1566" s="582">
        <v>3.3</v>
      </c>
      <c r="D1566" s="541"/>
      <c r="E1566" s="541">
        <f t="shared" si="237"/>
        <v>-3.3</v>
      </c>
      <c r="F1566" s="546">
        <f>SUM($E$2:E1566)/SUM($C$2:C1566)</f>
        <v>-2.1643667598603665E-2</v>
      </c>
      <c r="G1566" s="536">
        <f t="shared" si="238"/>
        <v>-105.17037505666686</v>
      </c>
      <c r="H1566" s="547" t="s">
        <v>36</v>
      </c>
      <c r="I1566" s="2"/>
      <c r="J1566" s="2"/>
      <c r="K1566" s="2"/>
      <c r="L1566" s="2"/>
      <c r="O1566" s="58"/>
      <c r="P1566" s="58"/>
    </row>
    <row r="1567" spans="2:16">
      <c r="B1567" s="652"/>
      <c r="C1567" s="582">
        <v>3.3</v>
      </c>
      <c r="D1567" s="541"/>
      <c r="E1567" s="541">
        <f t="shared" si="237"/>
        <v>-3.3</v>
      </c>
      <c r="F1567" s="546">
        <f>SUM($E$2:E1567)/SUM($C$2:C1567)</f>
        <v>-2.2307645448543634E-2</v>
      </c>
      <c r="G1567" s="536">
        <f t="shared" si="238"/>
        <v>-108.47037505666685</v>
      </c>
      <c r="H1567" s="547" t="s">
        <v>104</v>
      </c>
      <c r="I1567" s="2"/>
      <c r="J1567" s="2"/>
      <c r="K1567" s="2"/>
      <c r="L1567" s="2"/>
      <c r="O1567" s="58"/>
      <c r="P1567" s="58"/>
    </row>
    <row r="1568" spans="2:16">
      <c r="B1568" s="652"/>
      <c r="C1568" s="582">
        <v>3.3</v>
      </c>
      <c r="D1568" s="541"/>
      <c r="E1568" s="541">
        <f t="shared" si="237"/>
        <v>-3.3</v>
      </c>
      <c r="F1568" s="546">
        <f>SUM($E$2:E1568)/SUM($C$2:C1568)</f>
        <v>-2.2970722670415739E-2</v>
      </c>
      <c r="G1568" s="536">
        <f t="shared" si="238"/>
        <v>-111.77037505666685</v>
      </c>
      <c r="H1568" s="547" t="s">
        <v>27</v>
      </c>
      <c r="I1568" s="2"/>
      <c r="J1568" s="2"/>
      <c r="K1568" s="2"/>
      <c r="L1568" s="2"/>
      <c r="O1568" s="58"/>
      <c r="P1568" s="58"/>
    </row>
    <row r="1569" spans="2:16">
      <c r="B1569" s="652"/>
      <c r="C1569" s="582">
        <v>3.3</v>
      </c>
      <c r="D1569" s="541"/>
      <c r="E1569" s="541">
        <f t="shared" si="237"/>
        <v>-3.3</v>
      </c>
      <c r="F1569" s="546">
        <f>SUM($E$2:E1569)/SUM($C$2:C1569)</f>
        <v>-2.3632901095413238E-2</v>
      </c>
      <c r="G1569" s="536">
        <f t="shared" si="238"/>
        <v>-115.07037505666685</v>
      </c>
      <c r="H1569" s="547" t="s">
        <v>13</v>
      </c>
      <c r="I1569" s="2"/>
      <c r="J1569" s="2"/>
      <c r="K1569" s="2"/>
      <c r="L1569" s="2"/>
      <c r="O1569" s="58"/>
      <c r="P1569" s="58"/>
    </row>
    <row r="1570" spans="2:16">
      <c r="B1570" s="652"/>
      <c r="C1570" s="539">
        <v>3.3</v>
      </c>
      <c r="D1570" s="542"/>
      <c r="E1570" s="542">
        <f t="shared" si="237"/>
        <v>-3.3</v>
      </c>
      <c r="F1570" s="549">
        <f>SUM($E$2:E1570)/SUM($C$2:C1570)</f>
        <v>-2.4294182549768412E-2</v>
      </c>
      <c r="G1570" s="535">
        <f t="shared" si="238"/>
        <v>-118.37037505666684</v>
      </c>
      <c r="H1570" s="550" t="s">
        <v>18</v>
      </c>
      <c r="I1570" s="2">
        <f>SUM(E1556:E1570)</f>
        <v>-12.045000000000002</v>
      </c>
      <c r="L1570" s="2">
        <f>I1570/C1570</f>
        <v>-3.6500000000000008</v>
      </c>
      <c r="O1570" s="58"/>
      <c r="P1570" s="58"/>
    </row>
    <row r="1571" spans="2:16">
      <c r="B1571" s="650">
        <v>46115</v>
      </c>
      <c r="C1571" s="582">
        <v>2.15</v>
      </c>
      <c r="D1571" s="541"/>
      <c r="E1571" s="541">
        <f t="shared" ref="E1571:E1589" si="239">(C1571*D1571)-C1571</f>
        <v>-2.15</v>
      </c>
      <c r="F1571" s="546">
        <f>SUM($E$2:E1571)/SUM($C$2:C1571)</f>
        <v>-2.4724535738482517E-2</v>
      </c>
      <c r="G1571" s="536">
        <f t="shared" ref="G1571:G1589" si="240">G1570+E1571</f>
        <v>-120.52037505666685</v>
      </c>
      <c r="H1571" s="547" t="s">
        <v>15</v>
      </c>
      <c r="I1571" s="2"/>
      <c r="J1571" s="2"/>
      <c r="K1571" s="2"/>
      <c r="L1571" s="2"/>
      <c r="O1571" s="58"/>
      <c r="P1571" s="58"/>
    </row>
    <row r="1572" spans="2:16">
      <c r="B1572" s="652"/>
      <c r="C1572" s="582">
        <v>5</v>
      </c>
      <c r="D1572" s="541">
        <v>1.871</v>
      </c>
      <c r="E1572" s="541">
        <f t="shared" si="239"/>
        <v>4.3550000000000004</v>
      </c>
      <c r="F1572" s="546">
        <f>SUM($E$2:E1572)/SUM($C$2:C1572)</f>
        <v>-2.3806695907599203E-2</v>
      </c>
      <c r="G1572" s="536">
        <f t="shared" si="240"/>
        <v>-116.16537505666685</v>
      </c>
      <c r="H1572" s="547" t="s">
        <v>51</v>
      </c>
      <c r="I1572" s="2"/>
      <c r="J1572" s="2"/>
      <c r="K1572" s="2"/>
      <c r="L1572" s="2"/>
      <c r="O1572" s="58"/>
      <c r="P1572" s="58"/>
    </row>
    <row r="1573" spans="2:16">
      <c r="B1573" s="652"/>
      <c r="C1573" s="582">
        <v>2.15</v>
      </c>
      <c r="D1573" s="541">
        <v>1.91</v>
      </c>
      <c r="E1573" s="541">
        <f t="shared" si="239"/>
        <v>1.9564999999999997</v>
      </c>
      <c r="F1573" s="546">
        <f>SUM($E$2:E1573)/SUM($C$2:C1573)</f>
        <v>-2.3395426359405593E-2</v>
      </c>
      <c r="G1573" s="536">
        <f t="shared" si="240"/>
        <v>-114.20887505666684</v>
      </c>
      <c r="H1573" s="547" t="s">
        <v>28</v>
      </c>
      <c r="I1573" s="2"/>
      <c r="J1573" s="2"/>
      <c r="K1573" s="2"/>
      <c r="L1573" s="2"/>
      <c r="O1573" s="58"/>
      <c r="P1573" s="58"/>
    </row>
    <row r="1574" spans="2:16">
      <c r="B1574" s="652"/>
      <c r="C1574" s="582">
        <v>2.15</v>
      </c>
      <c r="D1574" s="541"/>
      <c r="E1574" s="541">
        <f t="shared" si="239"/>
        <v>-2.15</v>
      </c>
      <c r="F1574" s="546">
        <f>SUM($E$2:E1574)/SUM($C$2:C1574)</f>
        <v>-2.3825355708461761E-2</v>
      </c>
      <c r="G1574" s="536">
        <f t="shared" si="240"/>
        <v>-116.35887505666685</v>
      </c>
      <c r="H1574" s="547" t="s">
        <v>29</v>
      </c>
      <c r="I1574" s="2"/>
      <c r="J1574" s="2"/>
      <c r="K1574" s="2"/>
      <c r="L1574" s="2"/>
      <c r="O1574" s="58"/>
      <c r="P1574" s="58"/>
    </row>
    <row r="1575" spans="2:16">
      <c r="B1575" s="652"/>
      <c r="C1575" s="582">
        <v>2.15</v>
      </c>
      <c r="D1575" s="541"/>
      <c r="E1575" s="541">
        <f t="shared" si="239"/>
        <v>-2.15</v>
      </c>
      <c r="F1575" s="546">
        <f>SUM($E$2:E1575)/SUM($C$2:C1575)</f>
        <v>-2.4254906689620756E-2</v>
      </c>
      <c r="G1575" s="536">
        <f t="shared" si="240"/>
        <v>-118.50887505666685</v>
      </c>
      <c r="H1575" s="547" t="s">
        <v>53</v>
      </c>
      <c r="I1575" s="2"/>
      <c r="J1575" s="2"/>
      <c r="K1575" s="2"/>
      <c r="L1575" s="2"/>
      <c r="O1575" s="58"/>
      <c r="P1575" s="58"/>
    </row>
    <row r="1576" spans="2:16">
      <c r="B1576" s="652"/>
      <c r="C1576" s="539">
        <v>2.15</v>
      </c>
      <c r="D1576" s="542"/>
      <c r="E1576" s="542">
        <f t="shared" si="239"/>
        <v>-2.15</v>
      </c>
      <c r="F1576" s="549">
        <f>SUM($E$2:E1576)/SUM($C$2:C1576)</f>
        <v>-2.4684079802148207E-2</v>
      </c>
      <c r="G1576" s="535">
        <f t="shared" si="240"/>
        <v>-120.65887505666686</v>
      </c>
      <c r="H1576" s="550" t="s">
        <v>17</v>
      </c>
      <c r="I1576" s="2"/>
      <c r="J1576" s="2"/>
      <c r="K1576" s="2"/>
      <c r="L1576" s="2"/>
      <c r="O1576" s="58"/>
      <c r="P1576" s="58"/>
    </row>
    <row r="1577" spans="2:16">
      <c r="B1577" s="652"/>
      <c r="C1577" s="582">
        <v>2.15</v>
      </c>
      <c r="D1577" s="541">
        <v>1.91</v>
      </c>
      <c r="E1577" s="541">
        <f t="shared" si="239"/>
        <v>1.9564999999999997</v>
      </c>
      <c r="F1577" s="546">
        <f>SUM($E$2:E1577)/SUM($C$2:C1577)</f>
        <v>-2.4273147769255675E-2</v>
      </c>
      <c r="G1577" s="536">
        <f t="shared" si="240"/>
        <v>-118.70237505666685</v>
      </c>
      <c r="H1577" s="547" t="s">
        <v>550</v>
      </c>
      <c r="I1577" s="2"/>
      <c r="J1577" s="2"/>
      <c r="K1577" s="2"/>
      <c r="L1577" s="2"/>
      <c r="O1577" s="58"/>
      <c r="P1577" s="58"/>
    </row>
    <row r="1578" spans="2:16">
      <c r="B1578" s="652"/>
      <c r="C1578" s="582">
        <v>2.15</v>
      </c>
      <c r="D1578" s="541">
        <v>1.89</v>
      </c>
      <c r="E1578" s="541">
        <f t="shared" si="239"/>
        <v>1.9134999999999995</v>
      </c>
      <c r="F1578" s="546">
        <f>SUM($E$2:E1578)/SUM($C$2:C1578)</f>
        <v>-2.3871366005395564E-2</v>
      </c>
      <c r="G1578" s="536">
        <f t="shared" si="240"/>
        <v>-116.78887505666685</v>
      </c>
      <c r="H1578" s="547" t="s">
        <v>551</v>
      </c>
      <c r="I1578" s="2"/>
      <c r="J1578" s="2"/>
      <c r="K1578" s="2"/>
      <c r="L1578" s="2"/>
      <c r="O1578" s="58"/>
      <c r="P1578" s="58"/>
    </row>
    <row r="1579" spans="2:16">
      <c r="B1579" s="652"/>
      <c r="C1579" s="582">
        <v>2.15</v>
      </c>
      <c r="D1579" s="541">
        <v>1.9</v>
      </c>
      <c r="E1579" s="541">
        <f t="shared" si="239"/>
        <v>1.9350000000000001</v>
      </c>
      <c r="F1579" s="546">
        <f>SUM($E$2:E1579)/SUM($C$2:C1579)</f>
        <v>-2.3465544598217643E-2</v>
      </c>
      <c r="G1579" s="536">
        <f t="shared" si="240"/>
        <v>-114.85387505666685</v>
      </c>
      <c r="H1579" s="547" t="s">
        <v>552</v>
      </c>
      <c r="I1579" s="2"/>
      <c r="J1579" s="2"/>
      <c r="K1579" s="2"/>
      <c r="L1579" s="2"/>
      <c r="O1579" s="58"/>
      <c r="P1579" s="58"/>
    </row>
    <row r="1580" spans="2:16">
      <c r="B1580" s="652"/>
      <c r="C1580" s="582">
        <v>2.15</v>
      </c>
      <c r="D1580" s="541">
        <v>1.89</v>
      </c>
      <c r="E1580" s="541">
        <f t="shared" si="239"/>
        <v>1.9134999999999995</v>
      </c>
      <c r="F1580" s="546">
        <f>SUM($E$2:E1580)/SUM($C$2:C1580)</f>
        <v>-2.3064470247616015E-2</v>
      </c>
      <c r="G1580" s="536">
        <f t="shared" si="240"/>
        <v>-112.94037505666685</v>
      </c>
      <c r="H1580" s="547" t="s">
        <v>553</v>
      </c>
      <c r="I1580" s="2"/>
      <c r="J1580" s="2"/>
      <c r="K1580" s="2"/>
      <c r="L1580" s="2"/>
      <c r="O1580" s="58"/>
      <c r="P1580" s="58"/>
    </row>
    <row r="1581" spans="2:16">
      <c r="B1581" s="652"/>
      <c r="C1581" s="582">
        <v>2.15</v>
      </c>
      <c r="D1581" s="541"/>
      <c r="E1581" s="541">
        <f t="shared" si="239"/>
        <v>-2.15</v>
      </c>
      <c r="F1581" s="546">
        <f>SUM($E$2:E1581)/SUM($C$2:C1581)</f>
        <v>-2.3493224044998172E-2</v>
      </c>
      <c r="G1581" s="536">
        <f t="shared" si="240"/>
        <v>-115.09037505666686</v>
      </c>
      <c r="H1581" s="547" t="s">
        <v>554</v>
      </c>
      <c r="I1581" s="2"/>
      <c r="J1581" s="2"/>
      <c r="K1581" s="2"/>
      <c r="L1581" s="2"/>
      <c r="O1581" s="58"/>
      <c r="P1581" s="58"/>
    </row>
    <row r="1582" spans="2:16">
      <c r="B1582" s="652"/>
      <c r="C1582" s="582">
        <v>2.15</v>
      </c>
      <c r="D1582" s="541">
        <v>1.9</v>
      </c>
      <c r="E1582" s="541">
        <f t="shared" si="239"/>
        <v>1.9350000000000001</v>
      </c>
      <c r="F1582" s="546">
        <f>SUM($E$2:E1582)/SUM($C$2:C1582)</f>
        <v>-2.3088102604272003E-2</v>
      </c>
      <c r="G1582" s="536">
        <f t="shared" si="240"/>
        <v>-113.15537505666686</v>
      </c>
      <c r="H1582" s="547" t="s">
        <v>555</v>
      </c>
      <c r="I1582" s="2"/>
      <c r="J1582" s="2"/>
      <c r="K1582" s="2"/>
      <c r="L1582" s="2"/>
      <c r="O1582" s="58"/>
      <c r="P1582" s="58"/>
    </row>
    <row r="1583" spans="2:16">
      <c r="B1583" s="652"/>
      <c r="C1583" s="582">
        <v>2.15</v>
      </c>
      <c r="D1583" s="541">
        <v>1.91</v>
      </c>
      <c r="E1583" s="541">
        <f t="shared" si="239"/>
        <v>1.9564999999999997</v>
      </c>
      <c r="F1583" s="546">
        <f>SUM($E$2:E1583)/SUM($C$2:C1583)</f>
        <v>-2.2678951534461662E-2</v>
      </c>
      <c r="G1583" s="536">
        <f t="shared" si="240"/>
        <v>-111.19887505666685</v>
      </c>
      <c r="H1583" s="547" t="s">
        <v>171</v>
      </c>
      <c r="I1583" s="2"/>
      <c r="J1583" s="2"/>
      <c r="K1583" s="2"/>
      <c r="L1583" s="2"/>
      <c r="O1583" s="58"/>
      <c r="P1583" s="58"/>
    </row>
    <row r="1584" spans="2:16">
      <c r="B1584" s="652"/>
      <c r="C1584" s="582">
        <v>2.15</v>
      </c>
      <c r="D1584" s="541"/>
      <c r="E1584" s="541">
        <f t="shared" si="239"/>
        <v>-2.15</v>
      </c>
      <c r="F1584" s="546">
        <f>SUM($E$2:E1584)/SUM($C$2:C1584)</f>
        <v>-2.3107310537076847E-2</v>
      </c>
      <c r="G1584" s="536">
        <f t="shared" si="240"/>
        <v>-113.34887505666686</v>
      </c>
      <c r="H1584" s="547" t="s">
        <v>556</v>
      </c>
      <c r="I1584" s="2"/>
      <c r="J1584" s="2"/>
      <c r="K1584" s="2"/>
      <c r="L1584" s="2"/>
      <c r="O1584" s="58"/>
      <c r="P1584" s="58"/>
    </row>
    <row r="1585" spans="2:16">
      <c r="B1585" s="652"/>
      <c r="C1585" s="539">
        <v>2.15</v>
      </c>
      <c r="D1585" s="542"/>
      <c r="E1585" s="542">
        <f t="shared" si="239"/>
        <v>-2.15</v>
      </c>
      <c r="F1585" s="549">
        <f>SUM($E$2:E1585)/SUM($C$2:C1585)</f>
        <v>-2.3535294205411651E-2</v>
      </c>
      <c r="G1585" s="535">
        <f t="shared" si="240"/>
        <v>-115.49887505666686</v>
      </c>
      <c r="H1585" s="550" t="s">
        <v>432</v>
      </c>
      <c r="I1585" s="2"/>
      <c r="J1585" s="2"/>
      <c r="K1585" s="2"/>
      <c r="L1585" s="2"/>
      <c r="O1585" s="58"/>
      <c r="P1585" s="58"/>
    </row>
    <row r="1586" spans="2:16">
      <c r="B1586" s="652"/>
      <c r="C1586" s="582">
        <v>2.15</v>
      </c>
      <c r="D1586" s="541"/>
      <c r="E1586" s="541">
        <f t="shared" si="239"/>
        <v>-2.15</v>
      </c>
      <c r="F1586" s="546">
        <f>SUM($E$2:E1586)/SUM($C$2:C1586)</f>
        <v>-2.3962903032559942E-2</v>
      </c>
      <c r="G1586" s="536">
        <f t="shared" si="240"/>
        <v>-117.64887505666687</v>
      </c>
      <c r="H1586" s="547" t="s">
        <v>60</v>
      </c>
      <c r="I1586" s="2"/>
      <c r="J1586" s="2"/>
      <c r="K1586" s="2"/>
      <c r="L1586" s="2"/>
      <c r="O1586" s="58"/>
      <c r="P1586" s="58"/>
    </row>
    <row r="1587" spans="2:16">
      <c r="B1587" s="652"/>
      <c r="C1587" s="582">
        <v>2.15</v>
      </c>
      <c r="D1587" s="541"/>
      <c r="E1587" s="541">
        <f t="shared" si="239"/>
        <v>-2.15</v>
      </c>
      <c r="F1587" s="546">
        <f>SUM($E$2:E1587)/SUM($C$2:C1587)</f>
        <v>-2.4390137510752224E-2</v>
      </c>
      <c r="G1587" s="536">
        <f t="shared" si="240"/>
        <v>-119.79887505666687</v>
      </c>
      <c r="H1587" s="547" t="s">
        <v>26</v>
      </c>
      <c r="I1587" s="2"/>
      <c r="J1587" s="2"/>
      <c r="K1587" s="2"/>
      <c r="L1587" s="2"/>
      <c r="O1587" s="58"/>
      <c r="P1587" s="58"/>
    </row>
    <row r="1588" spans="2:16">
      <c r="B1588" s="652"/>
      <c r="C1588" s="582">
        <v>2.15</v>
      </c>
      <c r="D1588" s="541"/>
      <c r="E1588" s="541">
        <f t="shared" si="239"/>
        <v>-2.15</v>
      </c>
      <c r="F1588" s="546">
        <f>SUM($E$2:E1588)/SUM($C$2:C1588)</f>
        <v>-2.4816998131357543E-2</v>
      </c>
      <c r="G1588" s="536">
        <f t="shared" si="240"/>
        <v>-121.94887505666688</v>
      </c>
      <c r="H1588" s="547" t="s">
        <v>17</v>
      </c>
      <c r="I1588" s="2"/>
      <c r="J1588" s="2"/>
      <c r="K1588" s="2"/>
      <c r="L1588" s="2"/>
      <c r="O1588" s="58"/>
      <c r="P1588" s="58"/>
    </row>
    <row r="1589" spans="2:16">
      <c r="B1589" s="652"/>
      <c r="C1589" s="539">
        <v>2.15</v>
      </c>
      <c r="D1589" s="542">
        <v>2.81</v>
      </c>
      <c r="E1589" s="542">
        <f t="shared" si="239"/>
        <v>3.8915000000000002</v>
      </c>
      <c r="F1589" s="549">
        <f>SUM($E$2:E1589)/SUM($C$2:C1589)</f>
        <v>-2.4014557911665749E-2</v>
      </c>
      <c r="G1589" s="535">
        <f t="shared" si="240"/>
        <v>-118.05737505666688</v>
      </c>
      <c r="H1589" s="550" t="s">
        <v>38</v>
      </c>
      <c r="I1589" s="2">
        <f>SUM(E1571:E1589)</f>
        <v>0.31300000000000017</v>
      </c>
      <c r="L1589" s="2">
        <f>I1589/C1589</f>
        <v>0.14558139534883729</v>
      </c>
      <c r="O1589" s="58"/>
      <c r="P1589" s="58"/>
    </row>
    <row r="1590" spans="2:16">
      <c r="B1590" s="650">
        <v>46116</v>
      </c>
      <c r="C1590" s="582">
        <v>6.47</v>
      </c>
      <c r="D1590" s="541"/>
      <c r="E1590" s="541">
        <f t="shared" ref="E1590:E1596" si="241">(C1590*D1590)-C1590</f>
        <v>-6.47</v>
      </c>
      <c r="F1590" s="546">
        <f>SUM($E$2:E1590)/SUM($C$2:C1590)</f>
        <v>-2.5297354802686373E-2</v>
      </c>
      <c r="G1590" s="536">
        <f t="shared" ref="G1590:G1596" si="242">G1589+E1590</f>
        <v>-124.52737505666688</v>
      </c>
      <c r="H1590" s="547" t="s">
        <v>16</v>
      </c>
      <c r="I1590" s="2"/>
      <c r="J1590" s="2"/>
      <c r="K1590" s="2"/>
      <c r="L1590" s="2"/>
      <c r="O1590" s="58"/>
      <c r="P1590" s="58"/>
    </row>
    <row r="1591" spans="2:16">
      <c r="B1591" s="652"/>
      <c r="C1591" s="582">
        <v>6.47</v>
      </c>
      <c r="D1591" s="541"/>
      <c r="E1591" s="541">
        <f t="shared" si="241"/>
        <v>-6.47</v>
      </c>
      <c r="F1591" s="546">
        <f>SUM($E$2:E1591)/SUM($C$2:C1591)</f>
        <v>-2.6576784004472911E-2</v>
      </c>
      <c r="G1591" s="536">
        <f t="shared" si="242"/>
        <v>-130.9973750566669</v>
      </c>
      <c r="H1591" s="547" t="s">
        <v>59</v>
      </c>
      <c r="I1591" s="2"/>
      <c r="J1591" s="2"/>
      <c r="K1591" s="2"/>
      <c r="L1591" s="2"/>
      <c r="O1591" s="58"/>
      <c r="P1591" s="58"/>
    </row>
    <row r="1592" spans="2:16">
      <c r="B1592" s="652"/>
      <c r="C1592" s="539">
        <v>6.47</v>
      </c>
      <c r="D1592" s="542">
        <v>1.89</v>
      </c>
      <c r="E1592" s="542">
        <f t="shared" si="241"/>
        <v>5.7582999999999993</v>
      </c>
      <c r="F1592" s="549">
        <f>SUM($E$2:E1592)/SUM($C$2:C1592)</f>
        <v>-2.5375230068293366E-2</v>
      </c>
      <c r="G1592" s="535">
        <f t="shared" si="242"/>
        <v>-125.23907505666689</v>
      </c>
      <c r="H1592" s="550" t="s">
        <v>51</v>
      </c>
      <c r="I1592" s="2"/>
      <c r="J1592" s="2"/>
      <c r="K1592" s="2"/>
      <c r="L1592" s="2"/>
      <c r="O1592" s="58"/>
      <c r="P1592" s="58"/>
    </row>
    <row r="1593" spans="2:16">
      <c r="B1593" s="652"/>
      <c r="C1593" s="582">
        <v>6.47</v>
      </c>
      <c r="D1593" s="541"/>
      <c r="E1593" s="541">
        <f t="shared" si="241"/>
        <v>-6.47</v>
      </c>
      <c r="F1593" s="546">
        <f>SUM($E$2:E1593)/SUM($C$2:C1593)</f>
        <v>-2.6651207262565795E-2</v>
      </c>
      <c r="G1593" s="536">
        <f t="shared" si="242"/>
        <v>-131.7090750566669</v>
      </c>
      <c r="H1593" s="547" t="s">
        <v>447</v>
      </c>
      <c r="I1593" s="2"/>
      <c r="J1593" s="2"/>
      <c r="K1593" s="2"/>
      <c r="L1593" s="2"/>
      <c r="O1593" s="58"/>
      <c r="P1593" s="58"/>
    </row>
    <row r="1594" spans="2:16">
      <c r="B1594" s="652"/>
      <c r="C1594" s="582">
        <v>6.47</v>
      </c>
      <c r="D1594" s="541"/>
      <c r="E1594" s="541">
        <f t="shared" si="241"/>
        <v>-6.47</v>
      </c>
      <c r="F1594" s="546">
        <f>SUM($E$2:E1594)/SUM($C$2:C1594)</f>
        <v>-2.7923847810555083E-2</v>
      </c>
      <c r="G1594" s="536">
        <f t="shared" si="242"/>
        <v>-138.1790750566669</v>
      </c>
      <c r="H1594" s="547" t="s">
        <v>114</v>
      </c>
      <c r="I1594" s="2"/>
      <c r="J1594" s="2"/>
      <c r="K1594" s="2"/>
      <c r="L1594" s="2"/>
      <c r="O1594" s="58"/>
      <c r="P1594" s="58"/>
    </row>
    <row r="1595" spans="2:16">
      <c r="B1595" s="652"/>
      <c r="C1595" s="539">
        <v>6.47</v>
      </c>
      <c r="D1595" s="542">
        <v>1.91</v>
      </c>
      <c r="E1595" s="542">
        <f t="shared" si="241"/>
        <v>5.8876999999999997</v>
      </c>
      <c r="F1595" s="549">
        <f>SUM($E$2:E1595)/SUM($C$2:C1595)</f>
        <v>-2.6699126212112373E-2</v>
      </c>
      <c r="G1595" s="535">
        <f t="shared" si="242"/>
        <v>-132.29137505666691</v>
      </c>
      <c r="H1595" s="550" t="s">
        <v>557</v>
      </c>
      <c r="I1595" s="2"/>
      <c r="J1595" s="2"/>
      <c r="K1595" s="2"/>
      <c r="L1595" s="2"/>
      <c r="O1595" s="58"/>
      <c r="P1595" s="58"/>
    </row>
    <row r="1596" spans="2:16">
      <c r="B1596" s="651"/>
      <c r="C1596" s="539">
        <v>6.47</v>
      </c>
      <c r="D1596" s="542">
        <v>2.085</v>
      </c>
      <c r="E1596" s="542">
        <f t="shared" si="241"/>
        <v>7.0199499999999988</v>
      </c>
      <c r="F1596" s="549">
        <f>SUM($E$2:E1596)/SUM($C$2:C1596)</f>
        <v>-2.5249385483977458E-2</v>
      </c>
      <c r="G1596" s="535">
        <f t="shared" si="242"/>
        <v>-125.27142505666691</v>
      </c>
      <c r="H1596" s="550" t="s">
        <v>59</v>
      </c>
      <c r="I1596" s="2">
        <f>SUM(E1590:E1596)</f>
        <v>-7.214050000000003</v>
      </c>
      <c r="L1596" s="2">
        <f>I1596/C1596</f>
        <v>-1.1150000000000004</v>
      </c>
      <c r="O1596" s="58"/>
      <c r="P1596" s="58"/>
    </row>
    <row r="1597" spans="2:16">
      <c r="B1597" s="652">
        <v>46117</v>
      </c>
      <c r="C1597" s="582">
        <v>1.74</v>
      </c>
      <c r="D1597" s="541"/>
      <c r="E1597" s="541">
        <f t="shared" ref="E1597" si="243">(C1597*D1597)-C1597</f>
        <v>-1.74</v>
      </c>
      <c r="F1597" s="546">
        <f>SUM($E$2:E1597)/SUM($C$2:C1597)</f>
        <v>-2.5591120338627552E-2</v>
      </c>
      <c r="G1597" s="536">
        <f t="shared" ref="G1597" si="244">G1596+E1597</f>
        <v>-127.01142505666691</v>
      </c>
      <c r="H1597" s="547" t="s">
        <v>28</v>
      </c>
      <c r="I1597" s="2"/>
      <c r="J1597" s="2"/>
      <c r="K1597" s="2"/>
      <c r="L1597" s="2"/>
      <c r="O1597" s="58"/>
      <c r="P1597" s="58"/>
    </row>
    <row r="1598" spans="2:16">
      <c r="B1598" s="652"/>
      <c r="C1598" s="582">
        <v>1.74</v>
      </c>
      <c r="D1598" s="541">
        <v>2</v>
      </c>
      <c r="E1598" s="541">
        <f t="shared" ref="E1598:E1618" si="245">(C1598*D1598)-C1598</f>
        <v>1.74</v>
      </c>
      <c r="F1598" s="546">
        <f>SUM($E$2:E1598)/SUM($C$2:C1598)</f>
        <v>-2.523168747807281E-2</v>
      </c>
      <c r="G1598" s="536">
        <f t="shared" ref="G1598:G1618" si="246">G1597+E1598</f>
        <v>-125.27142505666691</v>
      </c>
      <c r="H1598" s="547" t="s">
        <v>36</v>
      </c>
      <c r="I1598" s="2"/>
      <c r="J1598" s="2"/>
      <c r="K1598" s="2"/>
      <c r="L1598" s="2"/>
      <c r="O1598" s="58"/>
      <c r="P1598" s="58"/>
    </row>
    <row r="1599" spans="2:16">
      <c r="B1599" s="652"/>
      <c r="C1599" s="582">
        <v>1.74</v>
      </c>
      <c r="D1599" s="541">
        <v>1.944</v>
      </c>
      <c r="E1599" s="541">
        <f t="shared" si="245"/>
        <v>1.6425599999999998</v>
      </c>
      <c r="F1599" s="546">
        <f>SUM($E$2:E1599)/SUM($C$2:C1599)</f>
        <v>-2.4892125579222785E-2</v>
      </c>
      <c r="G1599" s="536">
        <f t="shared" si="246"/>
        <v>-123.62886505666691</v>
      </c>
      <c r="H1599" s="547" t="s">
        <v>35</v>
      </c>
      <c r="I1599" s="2"/>
      <c r="J1599" s="2"/>
      <c r="K1599" s="2"/>
      <c r="L1599" s="2"/>
      <c r="O1599" s="58"/>
      <c r="P1599" s="58"/>
    </row>
    <row r="1600" spans="2:16">
      <c r="B1600" s="652"/>
      <c r="C1600" s="582">
        <v>1.74</v>
      </c>
      <c r="D1600" s="541">
        <v>1.87</v>
      </c>
      <c r="E1600" s="541">
        <f t="shared" si="245"/>
        <v>1.5138</v>
      </c>
      <c r="F1600" s="546">
        <f>SUM($E$2:E1600)/SUM($C$2:C1600)</f>
        <v>-2.4578717699582284E-2</v>
      </c>
      <c r="G1600" s="536">
        <f t="shared" si="246"/>
        <v>-122.11506505666691</v>
      </c>
      <c r="H1600" s="547" t="s">
        <v>46</v>
      </c>
      <c r="I1600" s="2"/>
      <c r="J1600" s="2"/>
      <c r="K1600" s="2"/>
      <c r="L1600" s="2"/>
      <c r="O1600" s="58"/>
      <c r="P1600" s="58"/>
    </row>
    <row r="1601" spans="2:16">
      <c r="B1601" s="652"/>
      <c r="C1601" s="582">
        <v>1.74</v>
      </c>
      <c r="D1601" s="541">
        <v>1.87</v>
      </c>
      <c r="E1601" s="541">
        <f t="shared" si="245"/>
        <v>1.5138</v>
      </c>
      <c r="F1601" s="546">
        <f>SUM($E$2:E1601)/SUM($C$2:C1601)</f>
        <v>-2.4265529265634082E-2</v>
      </c>
      <c r="G1601" s="536">
        <f t="shared" si="246"/>
        <v>-120.6012650566669</v>
      </c>
      <c r="H1601" s="547" t="s">
        <v>13</v>
      </c>
      <c r="I1601" s="2"/>
      <c r="J1601" s="2"/>
      <c r="K1601" s="2"/>
      <c r="L1601" s="2"/>
      <c r="O1601" s="58"/>
      <c r="P1601" s="58"/>
    </row>
    <row r="1602" spans="2:16">
      <c r="B1602" s="652"/>
      <c r="C1602" s="582">
        <v>1.74</v>
      </c>
      <c r="D1602" s="541"/>
      <c r="E1602" s="541">
        <f t="shared" si="245"/>
        <v>-1.74</v>
      </c>
      <c r="F1602" s="546">
        <f>SUM($E$2:E1602)/SUM($C$2:C1602)</f>
        <v>-2.460701045318767E-2</v>
      </c>
      <c r="G1602" s="536">
        <f t="shared" si="246"/>
        <v>-122.3412650566669</v>
      </c>
      <c r="H1602" s="547" t="s">
        <v>30</v>
      </c>
      <c r="I1602" s="2"/>
      <c r="J1602" s="2"/>
      <c r="K1602" s="2"/>
      <c r="L1602" s="2"/>
      <c r="O1602" s="58"/>
      <c r="P1602" s="58"/>
    </row>
    <row r="1603" spans="2:16">
      <c r="B1603" s="652"/>
      <c r="C1603" s="582">
        <v>1.74</v>
      </c>
      <c r="D1603" s="541"/>
      <c r="E1603" s="541">
        <f t="shared" si="245"/>
        <v>-1.74</v>
      </c>
      <c r="F1603" s="546">
        <f>SUM($E$2:E1603)/SUM($C$2:C1603)</f>
        <v>-2.4948252705643593E-2</v>
      </c>
      <c r="G1603" s="536">
        <f t="shared" si="246"/>
        <v>-124.08126505666689</v>
      </c>
      <c r="H1603" s="547" t="s">
        <v>17</v>
      </c>
      <c r="I1603" s="2"/>
      <c r="J1603" s="2"/>
      <c r="K1603" s="2"/>
      <c r="L1603" s="2"/>
      <c r="O1603" s="58"/>
      <c r="P1603" s="58"/>
    </row>
    <row r="1604" spans="2:16">
      <c r="B1604" s="652"/>
      <c r="C1604" s="539">
        <v>1.74</v>
      </c>
      <c r="D1604" s="542">
        <v>1.89</v>
      </c>
      <c r="E1604" s="542">
        <f t="shared" si="245"/>
        <v>1.5485999999999998</v>
      </c>
      <c r="F1604" s="549">
        <f>SUM($E$2:E1604)/SUM($C$2:C1604)</f>
        <v>-2.462826905388819E-2</v>
      </c>
      <c r="G1604" s="535">
        <f t="shared" si="246"/>
        <v>-122.5326650566669</v>
      </c>
      <c r="H1604" s="550" t="s">
        <v>38</v>
      </c>
      <c r="I1604" s="2"/>
      <c r="J1604" s="2"/>
      <c r="K1604" s="2"/>
      <c r="L1604" s="2"/>
      <c r="O1604" s="58"/>
      <c r="P1604" s="58"/>
    </row>
    <row r="1605" spans="2:16">
      <c r="B1605" s="652"/>
      <c r="C1605" s="582">
        <v>1.74</v>
      </c>
      <c r="D1605" s="541"/>
      <c r="E1605" s="541">
        <f t="shared" si="245"/>
        <v>-1.74</v>
      </c>
      <c r="F1605" s="546">
        <f>SUM($E$2:E1605)/SUM($C$2:C1605)</f>
        <v>-2.4969265273236126E-2</v>
      </c>
      <c r="G1605" s="536">
        <f t="shared" si="246"/>
        <v>-124.2726650566669</v>
      </c>
      <c r="H1605" s="547" t="s">
        <v>558</v>
      </c>
      <c r="I1605" s="2"/>
      <c r="J1605" s="2"/>
      <c r="K1605" s="2"/>
      <c r="L1605" s="2"/>
      <c r="O1605" s="58"/>
      <c r="P1605" s="58"/>
    </row>
    <row r="1606" spans="2:16">
      <c r="B1606" s="652"/>
      <c r="C1606" s="582">
        <v>1.74</v>
      </c>
      <c r="D1606" s="541"/>
      <c r="E1606" s="541">
        <f t="shared" si="245"/>
        <v>-1.74</v>
      </c>
      <c r="F1606" s="546">
        <f>SUM($E$2:E1606)/SUM($C$2:C1606)</f>
        <v>-2.531002314697603E-2</v>
      </c>
      <c r="G1606" s="536">
        <f t="shared" si="246"/>
        <v>-126.01266505666689</v>
      </c>
      <c r="H1606" s="547" t="s">
        <v>342</v>
      </c>
      <c r="I1606" s="2"/>
      <c r="J1606" s="2"/>
      <c r="K1606" s="2"/>
      <c r="L1606" s="2"/>
      <c r="O1606" s="58"/>
      <c r="P1606" s="58"/>
    </row>
    <row r="1607" spans="2:16">
      <c r="B1607" s="652"/>
      <c r="C1607" s="582">
        <v>1.74</v>
      </c>
      <c r="D1607" s="541">
        <v>1.94</v>
      </c>
      <c r="E1607" s="541">
        <f t="shared" si="245"/>
        <v>1.6355999999999999</v>
      </c>
      <c r="F1607" s="546">
        <f>SUM($E$2:E1607)/SUM($C$2:C1607)</f>
        <v>-2.4972780369754422E-2</v>
      </c>
      <c r="G1607" s="536">
        <f t="shared" si="246"/>
        <v>-124.37706505666689</v>
      </c>
      <c r="H1607" s="547" t="s">
        <v>559</v>
      </c>
      <c r="I1607" s="2"/>
      <c r="J1607" s="2"/>
      <c r="K1607" s="2"/>
      <c r="L1607" s="2"/>
      <c r="O1607" s="58"/>
      <c r="P1607" s="58"/>
    </row>
    <row r="1608" spans="2:16">
      <c r="B1608" s="652"/>
      <c r="C1608" s="582">
        <v>1.74</v>
      </c>
      <c r="D1608" s="541">
        <v>1.9</v>
      </c>
      <c r="E1608" s="541">
        <f t="shared" si="245"/>
        <v>1.5660000000000001</v>
      </c>
      <c r="F1608" s="546">
        <f>SUM($E$2:E1608)/SUM($C$2:C1608)</f>
        <v>-2.464974275517811E-2</v>
      </c>
      <c r="G1608" s="536">
        <f t="shared" si="246"/>
        <v>-122.81106505666689</v>
      </c>
      <c r="H1608" s="547" t="s">
        <v>560</v>
      </c>
      <c r="I1608" s="2"/>
      <c r="J1608" s="2"/>
      <c r="K1608" s="2"/>
      <c r="L1608" s="2"/>
      <c r="O1608" s="58"/>
      <c r="P1608" s="58"/>
    </row>
    <row r="1609" spans="2:16">
      <c r="B1609" s="652"/>
      <c r="C1609" s="582">
        <v>1.74</v>
      </c>
      <c r="D1609" s="541">
        <v>1.9</v>
      </c>
      <c r="E1609" s="541">
        <f t="shared" si="245"/>
        <v>1.5660000000000001</v>
      </c>
      <c r="F1609" s="546">
        <f>SUM($E$2:E1609)/SUM($C$2:C1609)</f>
        <v>-2.4326930697225753E-2</v>
      </c>
      <c r="G1609" s="536">
        <f t="shared" si="246"/>
        <v>-121.24506505666689</v>
      </c>
      <c r="H1609" s="547" t="s">
        <v>86</v>
      </c>
      <c r="I1609" s="2"/>
      <c r="J1609" s="2"/>
      <c r="K1609" s="2"/>
      <c r="L1609" s="2"/>
      <c r="O1609" s="58"/>
      <c r="P1609" s="58"/>
    </row>
    <row r="1610" spans="2:16">
      <c r="B1610" s="652"/>
      <c r="C1610" s="582">
        <v>1.74</v>
      </c>
      <c r="D1610" s="541">
        <v>1.88</v>
      </c>
      <c r="E1610" s="541">
        <f t="shared" si="245"/>
        <v>1.5311999999999999</v>
      </c>
      <c r="F1610" s="546">
        <f>SUM($E$2:E1610)/SUM($C$2:C1610)</f>
        <v>-2.4011323887011705E-2</v>
      </c>
      <c r="G1610" s="536">
        <f t="shared" si="246"/>
        <v>-119.71386505666689</v>
      </c>
      <c r="H1610" s="547" t="s">
        <v>561</v>
      </c>
      <c r="I1610" s="2"/>
      <c r="J1610" s="2"/>
      <c r="K1610" s="2"/>
      <c r="L1610" s="2"/>
      <c r="O1610" s="58"/>
      <c r="P1610" s="58"/>
    </row>
    <row r="1611" spans="2:16">
      <c r="B1611" s="652"/>
      <c r="C1611" s="582">
        <v>1.74</v>
      </c>
      <c r="D1611" s="541">
        <v>1.93</v>
      </c>
      <c r="E1611" s="541">
        <f t="shared" si="245"/>
        <v>1.6182000000000001</v>
      </c>
      <c r="F1611" s="546">
        <f>SUM($E$2:E1611)/SUM($C$2:C1611)</f>
        <v>-2.3678493560826002E-2</v>
      </c>
      <c r="G1611" s="536">
        <f t="shared" si="246"/>
        <v>-118.09566505666689</v>
      </c>
      <c r="H1611" s="547" t="s">
        <v>562</v>
      </c>
      <c r="I1611" s="2"/>
      <c r="J1611" s="2"/>
      <c r="K1611" s="2"/>
      <c r="L1611" s="2"/>
      <c r="O1611" s="58"/>
      <c r="P1611" s="58"/>
    </row>
    <row r="1612" spans="2:16">
      <c r="B1612" s="652"/>
      <c r="C1612" s="582">
        <v>1.74</v>
      </c>
      <c r="D1612" s="541"/>
      <c r="E1612" s="541">
        <f t="shared" si="245"/>
        <v>-1.74</v>
      </c>
      <c r="F1612" s="546">
        <f>SUM($E$2:E1612)/SUM($C$2:C1612)</f>
        <v>-2.4018988553136368E-2</v>
      </c>
      <c r="G1612" s="536">
        <f t="shared" si="246"/>
        <v>-119.83566505666688</v>
      </c>
      <c r="H1612" s="547" t="s">
        <v>563</v>
      </c>
      <c r="I1612" s="2"/>
      <c r="J1612" s="2"/>
      <c r="K1612" s="2"/>
      <c r="L1612" s="2"/>
      <c r="O1612" s="58"/>
      <c r="P1612" s="58"/>
    </row>
    <row r="1613" spans="2:16">
      <c r="B1613" s="652"/>
      <c r="C1613" s="582">
        <v>1.74</v>
      </c>
      <c r="D1613" s="541"/>
      <c r="E1613" s="541">
        <f t="shared" si="245"/>
        <v>-1.74</v>
      </c>
      <c r="F1613" s="546">
        <f>SUM($E$2:E1613)/SUM($C$2:C1613)</f>
        <v>-2.4359246130988881E-2</v>
      </c>
      <c r="G1613" s="536">
        <f t="shared" si="246"/>
        <v>-121.57566505666688</v>
      </c>
      <c r="H1613" s="547" t="s">
        <v>294</v>
      </c>
      <c r="I1613" s="2"/>
      <c r="J1613" s="2"/>
      <c r="K1613" s="2"/>
      <c r="L1613" s="2"/>
      <c r="O1613" s="58"/>
      <c r="P1613" s="58"/>
    </row>
    <row r="1614" spans="2:16">
      <c r="B1614" s="652"/>
      <c r="C1614" s="582">
        <v>1.74</v>
      </c>
      <c r="D1614" s="541">
        <v>1.8939999999999999</v>
      </c>
      <c r="E1614" s="541">
        <f t="shared" si="245"/>
        <v>1.5555599999999996</v>
      </c>
      <c r="F1614" s="546">
        <f>SUM($E$2:E1614)/SUM($C$2:C1614)</f>
        <v>-2.4039188888971472E-2</v>
      </c>
      <c r="G1614" s="536">
        <f t="shared" si="246"/>
        <v>-120.02010505666688</v>
      </c>
      <c r="H1614" s="547" t="s">
        <v>341</v>
      </c>
      <c r="I1614" s="2"/>
      <c r="J1614" s="2"/>
      <c r="K1614" s="2"/>
      <c r="L1614" s="2"/>
      <c r="O1614" s="58"/>
      <c r="P1614" s="58"/>
    </row>
    <row r="1615" spans="2:16">
      <c r="B1615" s="652"/>
      <c r="C1615" s="539">
        <v>1.74</v>
      </c>
      <c r="D1615" s="542">
        <v>1.9</v>
      </c>
      <c r="E1615" s="542">
        <f t="shared" si="245"/>
        <v>1.5660000000000001</v>
      </c>
      <c r="F1615" s="549">
        <f>SUM($E$2:E1615)/SUM($C$2:C1615)</f>
        <v>-2.3717264324843428E-2</v>
      </c>
      <c r="G1615" s="535">
        <f t="shared" si="246"/>
        <v>-118.45410505666688</v>
      </c>
      <c r="H1615" s="550" t="s">
        <v>109</v>
      </c>
      <c r="I1615" s="2"/>
      <c r="J1615" s="2"/>
      <c r="K1615" s="2"/>
      <c r="L1615" s="2"/>
      <c r="O1615" s="58"/>
      <c r="P1615" s="58"/>
    </row>
    <row r="1616" spans="2:16">
      <c r="B1616" s="652"/>
      <c r="C1616" s="582">
        <v>1.74</v>
      </c>
      <c r="D1616" s="541"/>
      <c r="E1616" s="541">
        <f t="shared" si="245"/>
        <v>-1.74</v>
      </c>
      <c r="F1616" s="546">
        <f>SUM($E$2:E1616)/SUM($C$2:C1616)</f>
        <v>-2.4057271481758413E-2</v>
      </c>
      <c r="G1616" s="536">
        <f t="shared" si="246"/>
        <v>-120.19410505666687</v>
      </c>
      <c r="H1616" s="547" t="s">
        <v>104</v>
      </c>
      <c r="I1616" s="2"/>
      <c r="J1616" s="2"/>
      <c r="K1616" s="2"/>
      <c r="L1616" s="2"/>
      <c r="O1616" s="58"/>
      <c r="P1616" s="58"/>
    </row>
    <row r="1617" spans="2:16">
      <c r="B1617" s="652"/>
      <c r="C1617" s="582">
        <v>1.74</v>
      </c>
      <c r="D1617" s="541"/>
      <c r="E1617" s="541">
        <f t="shared" si="245"/>
        <v>-1.74</v>
      </c>
      <c r="F1617" s="546">
        <f>SUM($E$2:E1617)/SUM($C$2:C1617)</f>
        <v>-2.439704189451072E-2</v>
      </c>
      <c r="G1617" s="536">
        <f t="shared" si="246"/>
        <v>-121.93410505666687</v>
      </c>
      <c r="H1617" s="547" t="s">
        <v>13</v>
      </c>
      <c r="I1617" s="2"/>
      <c r="J1617" s="2"/>
      <c r="K1617" s="2"/>
      <c r="L1617" s="2"/>
      <c r="O1617" s="58"/>
      <c r="P1617" s="58"/>
    </row>
    <row r="1618" spans="2:16">
      <c r="B1618" s="652"/>
      <c r="C1618" s="539">
        <v>1.74</v>
      </c>
      <c r="D1618" s="542"/>
      <c r="E1618" s="542">
        <f t="shared" si="245"/>
        <v>-1.74</v>
      </c>
      <c r="F1618" s="549">
        <f>SUM($E$2:E1618)/SUM($C$2:C1618)</f>
        <v>-2.4736575810278782E-2</v>
      </c>
      <c r="G1618" s="535">
        <f t="shared" si="246"/>
        <v>-123.67410505666686</v>
      </c>
      <c r="H1618" s="550" t="s">
        <v>27</v>
      </c>
      <c r="I1618" s="2">
        <f>SUM(E1597:E1618)</f>
        <v>1.5973199999999983</v>
      </c>
      <c r="J1618" s="2">
        <f>SUM(E1507:E1618)</f>
        <v>-9.9021700000000035</v>
      </c>
      <c r="L1618" s="2">
        <f>I1618/C1618</f>
        <v>0.91799999999999904</v>
      </c>
      <c r="O1618" s="58"/>
      <c r="P1618" s="58"/>
    </row>
    <row r="1619" spans="2:16">
      <c r="B1619" s="650">
        <v>46118</v>
      </c>
      <c r="C1619" s="582">
        <v>3.84</v>
      </c>
      <c r="D1619" s="541">
        <v>1.85</v>
      </c>
      <c r="E1619" s="541">
        <f t="shared" ref="E1619:E1628" si="247">(C1619*D1619)-C1619</f>
        <v>3.2640000000000002</v>
      </c>
      <c r="F1619" s="546">
        <f>SUM($E$2:E1619)/SUM($C$2:C1619)</f>
        <v>-2.4065246077532958E-2</v>
      </c>
      <c r="G1619" s="536">
        <f t="shared" ref="G1619:G1628" si="248">G1618+E1619</f>
        <v>-120.41010505666686</v>
      </c>
      <c r="H1619" s="547" t="s">
        <v>14</v>
      </c>
      <c r="I1619" s="2"/>
      <c r="J1619" s="2"/>
      <c r="K1619" s="2"/>
      <c r="L1619" s="2"/>
      <c r="O1619" s="58"/>
      <c r="P1619" s="58"/>
    </row>
    <row r="1620" spans="2:16">
      <c r="B1620" s="652"/>
      <c r="C1620" s="582">
        <v>3.84</v>
      </c>
      <c r="D1620" s="541"/>
      <c r="E1620" s="541">
        <f t="shared" si="247"/>
        <v>-3.84</v>
      </c>
      <c r="F1620" s="546">
        <f>SUM($E$2:E1620)/SUM($C$2:C1620)</f>
        <v>-2.4813667485861137E-2</v>
      </c>
      <c r="G1620" s="536">
        <f t="shared" si="248"/>
        <v>-124.25010505666687</v>
      </c>
      <c r="H1620" s="547" t="s">
        <v>12</v>
      </c>
      <c r="I1620" s="2"/>
      <c r="J1620" s="2"/>
      <c r="K1620" s="2"/>
      <c r="L1620" s="2"/>
      <c r="O1620" s="58"/>
      <c r="P1620" s="58"/>
    </row>
    <row r="1621" spans="2:16">
      <c r="B1621" s="652"/>
      <c r="C1621" s="539">
        <v>3.84</v>
      </c>
      <c r="D1621" s="542"/>
      <c r="E1621" s="542">
        <f t="shared" si="247"/>
        <v>-3.84</v>
      </c>
      <c r="F1621" s="549">
        <f>SUM($E$2:E1621)/SUM($C$2:C1621)</f>
        <v>-2.556094188025769E-2</v>
      </c>
      <c r="G1621" s="535">
        <f t="shared" si="248"/>
        <v>-128.09010505666686</v>
      </c>
      <c r="H1621" s="550" t="s">
        <v>59</v>
      </c>
      <c r="I1621" s="2"/>
      <c r="J1621" s="2"/>
      <c r="K1621" s="2"/>
      <c r="L1621" s="2"/>
      <c r="O1621" s="58"/>
      <c r="P1621" s="58"/>
    </row>
    <row r="1622" spans="2:16">
      <c r="B1622" s="652"/>
      <c r="C1622" s="582">
        <v>3.84</v>
      </c>
      <c r="D1622" s="541"/>
      <c r="E1622" s="541">
        <f t="shared" si="247"/>
        <v>-3.84</v>
      </c>
      <c r="F1622" s="546">
        <f>SUM($E$2:E1622)/SUM($C$2:C1622)</f>
        <v>-2.6307071895535484E-2</v>
      </c>
      <c r="G1622" s="536">
        <f t="shared" si="248"/>
        <v>-131.93010505666686</v>
      </c>
      <c r="H1622" s="547" t="s">
        <v>234</v>
      </c>
      <c r="I1622" s="2"/>
      <c r="J1622" s="2"/>
      <c r="K1622" s="2"/>
      <c r="L1622" s="2"/>
      <c r="O1622" s="58"/>
      <c r="P1622" s="58"/>
    </row>
    <row r="1623" spans="2:16">
      <c r="B1623" s="652"/>
      <c r="C1623" s="582">
        <v>3.84</v>
      </c>
      <c r="D1623" s="541">
        <v>1.89</v>
      </c>
      <c r="E1623" s="541">
        <f t="shared" si="247"/>
        <v>3.4175999999999993</v>
      </c>
      <c r="F1623" s="546">
        <f>SUM($E$2:E1623)/SUM($C$2:C1623)</f>
        <v>-2.560599048261937E-2</v>
      </c>
      <c r="G1623" s="536">
        <f t="shared" si="248"/>
        <v>-128.51250505666687</v>
      </c>
      <c r="H1623" s="547" t="s">
        <v>416</v>
      </c>
      <c r="I1623" s="2"/>
      <c r="J1623" s="2"/>
      <c r="K1623" s="2"/>
      <c r="L1623" s="2"/>
      <c r="O1623" s="58"/>
      <c r="P1623" s="58"/>
    </row>
    <row r="1624" spans="2:16">
      <c r="B1624" s="652"/>
      <c r="C1624" s="582">
        <v>3.84</v>
      </c>
      <c r="D1624" s="541">
        <v>1.88</v>
      </c>
      <c r="E1624" s="541">
        <f t="shared" si="247"/>
        <v>3.3791999999999991</v>
      </c>
      <c r="F1624" s="546">
        <f>SUM($E$2:E1624)/SUM($C$2:C1624)</f>
        <v>-2.4913626379789749E-2</v>
      </c>
      <c r="G1624" s="536">
        <f t="shared" si="248"/>
        <v>-125.13330505666687</v>
      </c>
      <c r="H1624" s="547" t="s">
        <v>564</v>
      </c>
      <c r="I1624" s="2"/>
      <c r="J1624" s="2"/>
      <c r="K1624" s="2"/>
      <c r="L1624" s="2"/>
      <c r="O1624" s="58"/>
      <c r="P1624" s="58"/>
    </row>
    <row r="1625" spans="2:16">
      <c r="B1625" s="652"/>
      <c r="C1625" s="582">
        <v>3.84</v>
      </c>
      <c r="D1625" s="541">
        <v>1.95</v>
      </c>
      <c r="E1625" s="541">
        <f t="shared" si="247"/>
        <v>3.6479999999999997</v>
      </c>
      <c r="F1625" s="546">
        <f>SUM($E$2:E1625)/SUM($C$2:C1625)</f>
        <v>-2.4168843831250793E-2</v>
      </c>
      <c r="G1625" s="536">
        <f t="shared" si="248"/>
        <v>-121.48530505666687</v>
      </c>
      <c r="H1625" s="547" t="s">
        <v>565</v>
      </c>
      <c r="I1625" s="2"/>
      <c r="J1625" s="2"/>
      <c r="K1625" s="2"/>
      <c r="L1625" s="2"/>
      <c r="O1625" s="58"/>
      <c r="P1625" s="58"/>
    </row>
    <row r="1626" spans="2:16">
      <c r="B1626" s="652"/>
      <c r="C1626" s="539">
        <v>3.84</v>
      </c>
      <c r="D1626" s="542">
        <v>1.8819999999999999</v>
      </c>
      <c r="E1626" s="542">
        <f t="shared" si="247"/>
        <v>3.3868799999999997</v>
      </c>
      <c r="F1626" s="549">
        <f>SUM($E$2:E1626)/SUM($C$2:C1626)</f>
        <v>-2.3477107118135641E-2</v>
      </c>
      <c r="G1626" s="535">
        <f t="shared" si="248"/>
        <v>-118.09842505666687</v>
      </c>
      <c r="H1626" s="550" t="s">
        <v>492</v>
      </c>
      <c r="I1626" s="2"/>
      <c r="J1626" s="2"/>
      <c r="K1626" s="2"/>
      <c r="L1626" s="2"/>
      <c r="O1626" s="58"/>
      <c r="P1626" s="58"/>
    </row>
    <row r="1627" spans="2:16">
      <c r="B1627" s="652"/>
      <c r="C1627" s="582">
        <v>3.84</v>
      </c>
      <c r="D1627" s="541"/>
      <c r="E1627" s="541">
        <f t="shared" si="247"/>
        <v>-3.84</v>
      </c>
      <c r="F1627" s="546">
        <f>SUM($E$2:E1627)/SUM($C$2:C1627)</f>
        <v>-2.4221980972723427E-2</v>
      </c>
      <c r="G1627" s="536">
        <f t="shared" si="248"/>
        <v>-121.93842505666687</v>
      </c>
      <c r="H1627" s="547" t="s">
        <v>14</v>
      </c>
      <c r="I1627" s="2"/>
      <c r="J1627" s="2"/>
      <c r="K1627" s="2"/>
      <c r="L1627" s="2"/>
      <c r="O1627" s="58"/>
      <c r="P1627" s="58"/>
    </row>
    <row r="1628" spans="2:16">
      <c r="B1628" s="652"/>
      <c r="C1628" s="539">
        <v>3.84</v>
      </c>
      <c r="D1628" s="542"/>
      <c r="E1628" s="542">
        <f t="shared" si="247"/>
        <v>-3.84</v>
      </c>
      <c r="F1628" s="549">
        <f>SUM($E$2:E1628)/SUM($C$2:C1628)</f>
        <v>-2.4965719341054255E-2</v>
      </c>
      <c r="G1628" s="535">
        <f t="shared" si="248"/>
        <v>-125.77842505666688</v>
      </c>
      <c r="H1628" s="550" t="s">
        <v>26</v>
      </c>
      <c r="I1628" s="2">
        <f>SUM(E1619:E1628)</f>
        <v>-2.1043200000000022</v>
      </c>
      <c r="L1628" s="2">
        <f>I1628/C1628</f>
        <v>-0.5480000000000006</v>
      </c>
      <c r="O1628" s="58"/>
      <c r="P1628" s="58"/>
    </row>
    <row r="1629" spans="2:16">
      <c r="B1629" s="650">
        <v>46119</v>
      </c>
      <c r="C1629" s="582">
        <v>1.91</v>
      </c>
      <c r="D1629" s="541">
        <v>1.88</v>
      </c>
      <c r="E1629" s="541">
        <f t="shared" ref="E1629:E1630" si="249">(C1629*D1629)-C1629</f>
        <v>1.6807999999999998</v>
      </c>
      <c r="F1629" s="546">
        <f>SUM($E$2:E1629)/SUM($C$2:C1629)</f>
        <v>-2.4622763020987534E-2</v>
      </c>
      <c r="G1629" s="536">
        <f t="shared" ref="G1629:G1630" si="250">G1628+E1629</f>
        <v>-124.09762505666687</v>
      </c>
      <c r="H1629" s="547" t="s">
        <v>11</v>
      </c>
      <c r="I1629" s="2"/>
      <c r="J1629" s="2"/>
      <c r="K1629" s="2"/>
      <c r="L1629" s="2"/>
      <c r="O1629" s="58"/>
      <c r="P1629" s="58"/>
    </row>
    <row r="1630" spans="2:16">
      <c r="B1630" s="652"/>
      <c r="C1630" s="582">
        <v>1.91</v>
      </c>
      <c r="D1630" s="541">
        <v>1.8</v>
      </c>
      <c r="E1630" s="541">
        <f t="shared" si="249"/>
        <v>1.5279999999999998</v>
      </c>
      <c r="F1630" s="546">
        <f>SUM($E$2:E1630)/SUM($C$2:C1630)</f>
        <v>-2.431037278785252E-2</v>
      </c>
      <c r="G1630" s="536">
        <f t="shared" si="250"/>
        <v>-122.56962505666687</v>
      </c>
      <c r="H1630" s="547" t="s">
        <v>25</v>
      </c>
      <c r="I1630" s="2"/>
      <c r="J1630" s="2"/>
      <c r="K1630" s="2"/>
      <c r="L1630" s="2"/>
      <c r="O1630" s="58"/>
      <c r="P1630" s="58"/>
    </row>
    <row r="1631" spans="2:16">
      <c r="B1631" s="652"/>
      <c r="C1631" s="582">
        <v>1.91</v>
      </c>
      <c r="D1631" s="541"/>
      <c r="E1631" s="541">
        <f t="shared" ref="E1631:E1648" si="251">(C1631*D1631)-C1631</f>
        <v>-1.91</v>
      </c>
      <c r="F1631" s="546">
        <f>SUM($E$2:E1631)/SUM($C$2:C1631)</f>
        <v>-2.467985141766953E-2</v>
      </c>
      <c r="G1631" s="536">
        <f t="shared" ref="G1631:G1648" si="252">G1630+E1631</f>
        <v>-124.47962505666686</v>
      </c>
      <c r="H1631" s="547" t="s">
        <v>13</v>
      </c>
      <c r="I1631" s="2"/>
      <c r="J1631" s="2"/>
      <c r="K1631" s="2"/>
      <c r="L1631" s="2"/>
      <c r="O1631" s="58"/>
      <c r="P1631" s="58"/>
    </row>
    <row r="1632" spans="2:16">
      <c r="B1632" s="652"/>
      <c r="C1632" s="582">
        <v>1.91</v>
      </c>
      <c r="D1632" s="541">
        <v>1.9</v>
      </c>
      <c r="E1632" s="541">
        <f t="shared" si="251"/>
        <v>1.7189999999999996</v>
      </c>
      <c r="F1632" s="546">
        <f>SUM($E$2:E1632)/SUM($C$2:C1632)</f>
        <v>-2.4329821954826209E-2</v>
      </c>
      <c r="G1632" s="536">
        <f t="shared" si="252"/>
        <v>-122.76062505666687</v>
      </c>
      <c r="H1632" s="547" t="s">
        <v>27</v>
      </c>
      <c r="I1632" s="2"/>
      <c r="J1632" s="2"/>
      <c r="K1632" s="2"/>
      <c r="L1632" s="2"/>
      <c r="O1632" s="58"/>
      <c r="P1632" s="58"/>
    </row>
    <row r="1633" spans="2:16">
      <c r="B1633" s="652"/>
      <c r="C1633" s="582">
        <v>1.91</v>
      </c>
      <c r="D1633" s="541"/>
      <c r="E1633" s="541">
        <f t="shared" si="251"/>
        <v>-1.91</v>
      </c>
      <c r="F1633" s="546">
        <f>SUM($E$2:E1633)/SUM($C$2:C1633)</f>
        <v>-2.46990136051633E-2</v>
      </c>
      <c r="G1633" s="536">
        <f t="shared" si="252"/>
        <v>-124.67062505666686</v>
      </c>
      <c r="H1633" s="547" t="s">
        <v>10</v>
      </c>
      <c r="I1633" s="2"/>
      <c r="J1633" s="2"/>
      <c r="K1633" s="2"/>
      <c r="L1633" s="2"/>
      <c r="O1633" s="58"/>
      <c r="P1633" s="58"/>
    </row>
    <row r="1634" spans="2:16">
      <c r="B1634" s="652"/>
      <c r="C1634" s="582">
        <v>1.91</v>
      </c>
      <c r="D1634" s="541">
        <v>1.93</v>
      </c>
      <c r="E1634" s="541">
        <f t="shared" si="251"/>
        <v>1.7762999999999998</v>
      </c>
      <c r="F1634" s="546">
        <f>SUM($E$2:E1634)/SUM($C$2:C1634)</f>
        <v>-2.4337894048563815E-2</v>
      </c>
      <c r="G1634" s="536">
        <f t="shared" si="252"/>
        <v>-122.89432505666686</v>
      </c>
      <c r="H1634" s="547" t="s">
        <v>18</v>
      </c>
      <c r="I1634" s="2"/>
      <c r="J1634" s="2"/>
      <c r="K1634" s="2"/>
      <c r="L1634" s="2"/>
      <c r="O1634" s="58"/>
      <c r="P1634" s="58"/>
    </row>
    <row r="1635" spans="2:16">
      <c r="B1635" s="652"/>
      <c r="C1635" s="539">
        <v>1.91</v>
      </c>
      <c r="D1635" s="542">
        <v>1.92</v>
      </c>
      <c r="E1635" s="542">
        <f t="shared" si="251"/>
        <v>1.7571999999999999</v>
      </c>
      <c r="F1635" s="549">
        <f>SUM($E$2:E1635)/SUM($C$2:C1635)</f>
        <v>-2.3980828697662871E-2</v>
      </c>
      <c r="G1635" s="535">
        <f t="shared" si="252"/>
        <v>-121.13712505666686</v>
      </c>
      <c r="H1635" s="550" t="s">
        <v>36</v>
      </c>
      <c r="I1635" s="2"/>
      <c r="J1635" s="2"/>
      <c r="K1635" s="2"/>
      <c r="L1635" s="2"/>
      <c r="O1635" s="58"/>
      <c r="P1635" s="58"/>
    </row>
    <row r="1636" spans="2:16">
      <c r="B1636" s="652"/>
      <c r="C1636" s="582">
        <v>1.91</v>
      </c>
      <c r="D1636" s="541">
        <v>1.92</v>
      </c>
      <c r="E1636" s="541">
        <f t="shared" si="251"/>
        <v>1.7571999999999999</v>
      </c>
      <c r="F1636" s="546">
        <f>SUM($E$2:E1636)/SUM($C$2:C1636)</f>
        <v>-2.3624033265985153E-2</v>
      </c>
      <c r="G1636" s="536">
        <f t="shared" si="252"/>
        <v>-119.37992505666686</v>
      </c>
      <c r="H1636" s="547" t="s">
        <v>566</v>
      </c>
      <c r="I1636" s="2"/>
      <c r="J1636" s="2"/>
      <c r="K1636" s="2"/>
      <c r="L1636" s="2"/>
      <c r="O1636" s="58"/>
      <c r="P1636" s="58"/>
    </row>
    <row r="1637" spans="2:16">
      <c r="B1637" s="652"/>
      <c r="C1637" s="582">
        <v>1.91</v>
      </c>
      <c r="D1637" s="541"/>
      <c r="E1637" s="541">
        <f t="shared" si="251"/>
        <v>-1.91</v>
      </c>
      <c r="F1637" s="546">
        <f>SUM($E$2:E1637)/SUM($C$2:C1637)</f>
        <v>-2.3992933620719827E-2</v>
      </c>
      <c r="G1637" s="536">
        <f t="shared" si="252"/>
        <v>-121.28992505666686</v>
      </c>
      <c r="H1637" s="547" t="s">
        <v>567</v>
      </c>
      <c r="I1637" s="2"/>
      <c r="J1637" s="2"/>
      <c r="K1637" s="2"/>
      <c r="L1637" s="2"/>
      <c r="O1637" s="58"/>
      <c r="P1637" s="58"/>
    </row>
    <row r="1638" spans="2:16">
      <c r="B1638" s="652"/>
      <c r="C1638" s="582">
        <v>1.91</v>
      </c>
      <c r="D1638" s="541"/>
      <c r="E1638" s="541">
        <f t="shared" si="251"/>
        <v>-1.91</v>
      </c>
      <c r="F1638" s="546">
        <f>SUM($E$2:E1638)/SUM($C$2:C1638)</f>
        <v>-2.4361555320349552E-2</v>
      </c>
      <c r="G1638" s="536">
        <f t="shared" si="252"/>
        <v>-123.19992505666686</v>
      </c>
      <c r="H1638" s="547" t="s">
        <v>179</v>
      </c>
      <c r="I1638" s="2"/>
      <c r="J1638" s="2"/>
      <c r="K1638" s="2"/>
      <c r="L1638" s="2"/>
      <c r="O1638" s="58"/>
      <c r="P1638" s="58"/>
    </row>
    <row r="1639" spans="2:16">
      <c r="B1639" s="652"/>
      <c r="C1639" s="582">
        <v>1.91</v>
      </c>
      <c r="D1639" s="541">
        <v>1.93</v>
      </c>
      <c r="E1639" s="541">
        <f t="shared" si="251"/>
        <v>1.7762999999999998</v>
      </c>
      <c r="F1639" s="546">
        <f>SUM($E$2:E1639)/SUM($C$2:C1639)</f>
        <v>-2.4001244854942896E-2</v>
      </c>
      <c r="G1639" s="536">
        <f t="shared" si="252"/>
        <v>-121.42362505666685</v>
      </c>
      <c r="H1639" s="547" t="s">
        <v>568</v>
      </c>
      <c r="I1639" s="2"/>
      <c r="J1639" s="2"/>
      <c r="K1639" s="2"/>
      <c r="L1639" s="2"/>
      <c r="O1639" s="58"/>
      <c r="P1639" s="58"/>
    </row>
    <row r="1640" spans="2:16">
      <c r="B1640" s="652"/>
      <c r="C1640" s="582">
        <v>1.91</v>
      </c>
      <c r="D1640" s="541">
        <v>1.92</v>
      </c>
      <c r="E1640" s="541">
        <f t="shared" si="251"/>
        <v>1.7571999999999999</v>
      </c>
      <c r="F1640" s="546">
        <f>SUM($E$2:E1640)/SUM($C$2:C1640)</f>
        <v>-2.3644980334282518E-2</v>
      </c>
      <c r="G1640" s="536">
        <f t="shared" si="252"/>
        <v>-119.66642505666685</v>
      </c>
      <c r="H1640" s="547" t="s">
        <v>569</v>
      </c>
      <c r="I1640" s="2"/>
      <c r="J1640" s="2"/>
      <c r="K1640" s="2"/>
      <c r="L1640" s="2"/>
      <c r="O1640" s="58"/>
      <c r="P1640" s="58"/>
    </row>
    <row r="1641" spans="2:16">
      <c r="B1641" s="652"/>
      <c r="C1641" s="582">
        <v>1.91</v>
      </c>
      <c r="D1641" s="541"/>
      <c r="E1641" s="541">
        <f t="shared" si="251"/>
        <v>-1.91</v>
      </c>
      <c r="F1641" s="546">
        <f>SUM($E$2:E1641)/SUM($C$2:C1641)</f>
        <v>-2.4013316107146281E-2</v>
      </c>
      <c r="G1641" s="536">
        <f t="shared" si="252"/>
        <v>-121.57642505666685</v>
      </c>
      <c r="H1641" s="547" t="s">
        <v>570</v>
      </c>
      <c r="I1641" s="2"/>
      <c r="J1641" s="2"/>
      <c r="K1641" s="2"/>
      <c r="L1641" s="2"/>
      <c r="O1641" s="58"/>
      <c r="P1641" s="58"/>
    </row>
    <row r="1642" spans="2:16">
      <c r="B1642" s="652"/>
      <c r="C1642" s="582">
        <v>1.91</v>
      </c>
      <c r="D1642" s="541">
        <v>1.92</v>
      </c>
      <c r="E1642" s="541">
        <f t="shared" si="251"/>
        <v>1.7571999999999999</v>
      </c>
      <c r="F1642" s="546">
        <f>SUM($E$2:E1642)/SUM($C$2:C1642)</f>
        <v>-2.3657315738724791E-2</v>
      </c>
      <c r="G1642" s="536">
        <f t="shared" si="252"/>
        <v>-119.81922505666685</v>
      </c>
      <c r="H1642" s="547" t="s">
        <v>571</v>
      </c>
      <c r="I1642" s="2"/>
      <c r="J1642" s="2"/>
      <c r="K1642" s="2"/>
      <c r="L1642" s="2"/>
      <c r="O1642" s="58"/>
      <c r="P1642" s="58"/>
    </row>
    <row r="1643" spans="2:16">
      <c r="B1643" s="652"/>
      <c r="C1643" s="582">
        <v>1.91</v>
      </c>
      <c r="D1643" s="541"/>
      <c r="E1643" s="541">
        <f t="shared" si="251"/>
        <v>-1.91</v>
      </c>
      <c r="F1643" s="546">
        <f>SUM($E$2:E1643)/SUM($C$2:C1643)</f>
        <v>-2.4025369157274878E-2</v>
      </c>
      <c r="G1643" s="536">
        <f t="shared" si="252"/>
        <v>-121.72922505666685</v>
      </c>
      <c r="H1643" s="547" t="s">
        <v>357</v>
      </c>
      <c r="I1643" s="2"/>
      <c r="J1643" s="2"/>
      <c r="K1643" s="2"/>
      <c r="L1643" s="2"/>
      <c r="O1643" s="58"/>
      <c r="P1643" s="58"/>
    </row>
    <row r="1644" spans="2:16">
      <c r="B1644" s="652"/>
      <c r="C1644" s="582">
        <v>1.91</v>
      </c>
      <c r="D1644" s="541">
        <v>1.93</v>
      </c>
      <c r="E1644" s="541">
        <f t="shared" si="251"/>
        <v>1.7762999999999998</v>
      </c>
      <c r="F1644" s="546">
        <f>SUM($E$2:E1644)/SUM($C$2:C1644)</f>
        <v>-2.3665864254793764E-2</v>
      </c>
      <c r="G1644" s="536">
        <f t="shared" si="252"/>
        <v>-119.95292505666684</v>
      </c>
      <c r="H1644" s="547" t="s">
        <v>572</v>
      </c>
      <c r="I1644" s="2"/>
      <c r="J1644" s="2"/>
      <c r="K1644" s="2"/>
      <c r="L1644" s="2"/>
      <c r="O1644" s="58"/>
      <c r="P1644" s="58"/>
    </row>
    <row r="1645" spans="2:16">
      <c r="B1645" s="652"/>
      <c r="C1645" s="539">
        <v>1.91</v>
      </c>
      <c r="D1645" s="542">
        <v>1.88</v>
      </c>
      <c r="E1645" s="542">
        <f t="shared" si="251"/>
        <v>1.6807999999999998</v>
      </c>
      <c r="F1645" s="549">
        <f>SUM($E$2:E1645)/SUM($C$2:C1645)</f>
        <v>-2.3325464571988131E-2</v>
      </c>
      <c r="G1645" s="535">
        <f t="shared" si="252"/>
        <v>-118.27212505666684</v>
      </c>
      <c r="H1645" s="550" t="s">
        <v>100</v>
      </c>
      <c r="I1645" s="2"/>
      <c r="J1645" s="2"/>
      <c r="K1645" s="2"/>
      <c r="L1645" s="2"/>
      <c r="O1645" s="58"/>
      <c r="P1645" s="58"/>
    </row>
    <row r="1646" spans="2:16">
      <c r="B1646" s="652"/>
      <c r="C1646" s="582">
        <v>1.91</v>
      </c>
      <c r="D1646" s="541"/>
      <c r="E1646" s="541">
        <f t="shared" si="251"/>
        <v>-1.91</v>
      </c>
      <c r="F1646" s="546">
        <f>SUM($E$2:E1646)/SUM($C$2:C1646)</f>
        <v>-2.3693227180862024E-2</v>
      </c>
      <c r="G1646" s="536">
        <f t="shared" si="252"/>
        <v>-120.18212505666683</v>
      </c>
      <c r="H1646" s="547" t="s">
        <v>11</v>
      </c>
      <c r="I1646" s="2"/>
      <c r="J1646" s="2"/>
      <c r="K1646" s="2"/>
      <c r="L1646" s="2"/>
      <c r="O1646" s="58"/>
      <c r="P1646" s="58"/>
    </row>
    <row r="1647" spans="2:16">
      <c r="B1647" s="652"/>
      <c r="C1647" s="582">
        <v>1.91</v>
      </c>
      <c r="D1647" s="541">
        <v>2.1440000000000001</v>
      </c>
      <c r="E1647" s="541">
        <f t="shared" si="251"/>
        <v>2.1850399999999999</v>
      </c>
      <c r="F1647" s="546">
        <f>SUM($E$2:E1647)/SUM($C$2:C1647)</f>
        <v>-2.3253702803611168E-2</v>
      </c>
      <c r="G1647" s="536">
        <f t="shared" si="252"/>
        <v>-117.99708505666683</v>
      </c>
      <c r="H1647" s="547" t="s">
        <v>28</v>
      </c>
      <c r="I1647" s="2"/>
      <c r="J1647" s="2"/>
      <c r="K1647" s="2"/>
      <c r="L1647" s="2"/>
      <c r="O1647" s="58"/>
      <c r="P1647" s="58"/>
    </row>
    <row r="1648" spans="2:16">
      <c r="B1648" s="651"/>
      <c r="C1648" s="539">
        <v>1.91</v>
      </c>
      <c r="D1648" s="542">
        <v>1.954</v>
      </c>
      <c r="E1648" s="542">
        <f t="shared" si="251"/>
        <v>1.8221399999999999</v>
      </c>
      <c r="F1648" s="549">
        <f>SUM($E$2:E1648)/SUM($C$2:C1648)</f>
        <v>-2.2885999026306808E-2</v>
      </c>
      <c r="G1648" s="535">
        <f t="shared" si="252"/>
        <v>-116.17494505666683</v>
      </c>
      <c r="H1648" s="550" t="s">
        <v>53</v>
      </c>
      <c r="I1648" s="2">
        <f>SUM(E1629:E1648)</f>
        <v>9.6034799999999976</v>
      </c>
      <c r="L1648" s="2">
        <f>I1648/C1648</f>
        <v>5.0279999999999987</v>
      </c>
      <c r="O1648" s="58"/>
      <c r="P1648" s="58"/>
    </row>
    <row r="1649" spans="2:16">
      <c r="B1649" s="652">
        <v>46120</v>
      </c>
      <c r="C1649" s="582">
        <v>2.78</v>
      </c>
      <c r="D1649" s="541"/>
      <c r="E1649" s="541">
        <f t="shared" ref="E1649" si="253">(C1649*D1649)-C1649</f>
        <v>-2.78</v>
      </c>
      <c r="F1649" s="546">
        <f>SUM($E$2:E1649)/SUM($C$2:C1649)</f>
        <v>-2.3420821509120834E-2</v>
      </c>
      <c r="G1649" s="536">
        <f t="shared" ref="G1649" si="254">G1648+E1649</f>
        <v>-118.95494505666683</v>
      </c>
      <c r="H1649" s="547" t="s">
        <v>64</v>
      </c>
      <c r="I1649" s="2"/>
      <c r="J1649" s="2"/>
      <c r="K1649" s="2"/>
      <c r="L1649" s="2"/>
      <c r="O1649" s="58"/>
      <c r="P1649" s="58"/>
    </row>
    <row r="1650" spans="2:16">
      <c r="B1650" s="652"/>
      <c r="C1650" s="582">
        <v>2.78</v>
      </c>
      <c r="D1650" s="541"/>
      <c r="E1650" s="541">
        <f t="shared" ref="E1650:E1662" si="255">(C1650*D1650)-C1650</f>
        <v>-2.78</v>
      </c>
      <c r="F1650" s="546">
        <f>SUM($E$2:E1650)/SUM($C$2:C1650)</f>
        <v>-2.3955058842991272E-2</v>
      </c>
      <c r="G1650" s="536">
        <f t="shared" ref="G1650:G1662" si="256">G1649+E1650</f>
        <v>-121.73494505666683</v>
      </c>
      <c r="H1650" s="547" t="s">
        <v>34</v>
      </c>
      <c r="I1650" s="2"/>
      <c r="J1650" s="2"/>
      <c r="K1650" s="2"/>
      <c r="L1650" s="2"/>
      <c r="O1650" s="58"/>
      <c r="P1650" s="58"/>
    </row>
    <row r="1651" spans="2:16">
      <c r="B1651" s="652"/>
      <c r="C1651" s="582">
        <v>2.78</v>
      </c>
      <c r="D1651" s="541">
        <v>1.94</v>
      </c>
      <c r="E1651" s="541">
        <f t="shared" si="255"/>
        <v>2.6131999999999995</v>
      </c>
      <c r="F1651" s="546">
        <f>SUM($E$2:E1651)/SUM($C$2:C1651)</f>
        <v>-2.3428015848527297E-2</v>
      </c>
      <c r="G1651" s="536">
        <f t="shared" si="256"/>
        <v>-119.12174505666682</v>
      </c>
      <c r="H1651" s="547" t="s">
        <v>97</v>
      </c>
      <c r="I1651" s="2"/>
      <c r="J1651" s="2"/>
      <c r="K1651" s="2"/>
      <c r="L1651" s="2"/>
      <c r="O1651" s="58"/>
      <c r="P1651" s="58"/>
    </row>
    <row r="1652" spans="2:16">
      <c r="B1652" s="652"/>
      <c r="C1652" s="582">
        <v>2.78</v>
      </c>
      <c r="D1652" s="541"/>
      <c r="E1652" s="541">
        <f t="shared" si="255"/>
        <v>-2.78</v>
      </c>
      <c r="F1652" s="546">
        <f>SUM($E$2:E1652)/SUM($C$2:C1652)</f>
        <v>-2.3961665381117131E-2</v>
      </c>
      <c r="G1652" s="536">
        <f t="shared" si="256"/>
        <v>-121.90174505666683</v>
      </c>
      <c r="H1652" s="547" t="s">
        <v>59</v>
      </c>
      <c r="I1652" s="2"/>
      <c r="J1652" s="2"/>
      <c r="K1652" s="2"/>
      <c r="L1652" s="2"/>
      <c r="O1652" s="58"/>
      <c r="P1652" s="58"/>
    </row>
    <row r="1653" spans="2:16">
      <c r="B1653" s="652"/>
      <c r="C1653" s="539">
        <v>2.78</v>
      </c>
      <c r="D1653" s="542">
        <v>1.86</v>
      </c>
      <c r="E1653" s="542">
        <f t="shared" si="255"/>
        <v>2.3908</v>
      </c>
      <c r="F1653" s="549">
        <f>SUM($E$2:E1653)/SUM($C$2:C1653)</f>
        <v>-2.3478886740511636E-2</v>
      </c>
      <c r="G1653" s="535">
        <f t="shared" si="256"/>
        <v>-119.51094505666683</v>
      </c>
      <c r="H1653" s="550" t="s">
        <v>36</v>
      </c>
      <c r="I1653" s="2"/>
      <c r="J1653" s="2"/>
      <c r="K1653" s="2"/>
      <c r="L1653" s="2"/>
      <c r="O1653" s="58"/>
      <c r="P1653" s="58"/>
    </row>
    <row r="1654" spans="2:16">
      <c r="B1654" s="652"/>
      <c r="C1654" s="582">
        <v>2.78</v>
      </c>
      <c r="D1654" s="541">
        <v>1.9</v>
      </c>
      <c r="E1654" s="541">
        <f t="shared" si="255"/>
        <v>2.5019999999999993</v>
      </c>
      <c r="F1654" s="546">
        <f>SUM($E$2:E1654)/SUM($C$2:C1654)</f>
        <v>-2.2974800944527477E-2</v>
      </c>
      <c r="G1654" s="536">
        <f t="shared" si="256"/>
        <v>-117.00894505666683</v>
      </c>
      <c r="H1654" s="547" t="s">
        <v>573</v>
      </c>
      <c r="I1654" s="2"/>
      <c r="J1654" s="2"/>
      <c r="K1654" s="2"/>
      <c r="L1654" s="2"/>
      <c r="O1654" s="58"/>
      <c r="P1654" s="58"/>
    </row>
    <row r="1655" spans="2:16">
      <c r="B1655" s="652"/>
      <c r="C1655" s="582">
        <v>2.78</v>
      </c>
      <c r="D1655" s="541">
        <v>1.9</v>
      </c>
      <c r="E1655" s="541">
        <f t="shared" si="255"/>
        <v>2.5019999999999993</v>
      </c>
      <c r="F1655" s="546">
        <f>SUM($E$2:E1655)/SUM($C$2:C1655)</f>
        <v>-2.2471265164067986E-2</v>
      </c>
      <c r="G1655" s="536">
        <f t="shared" si="256"/>
        <v>-114.50694505666684</v>
      </c>
      <c r="H1655" s="547" t="s">
        <v>574</v>
      </c>
      <c r="I1655" s="2"/>
      <c r="J1655" s="2"/>
      <c r="K1655" s="2"/>
      <c r="L1655" s="2"/>
      <c r="O1655" s="58"/>
      <c r="P1655" s="58"/>
    </row>
    <row r="1656" spans="2:16">
      <c r="B1656" s="652"/>
      <c r="C1656" s="582">
        <v>2.78</v>
      </c>
      <c r="D1656" s="541">
        <v>1.889</v>
      </c>
      <c r="E1656" s="541">
        <f t="shared" si="255"/>
        <v>2.4714199999999997</v>
      </c>
      <c r="F1656" s="546">
        <f>SUM($E$2:E1656)/SUM($C$2:C1656)</f>
        <v>-2.1974276359221265E-2</v>
      </c>
      <c r="G1656" s="536">
        <f t="shared" si="256"/>
        <v>-112.03552505666684</v>
      </c>
      <c r="H1656" s="547" t="s">
        <v>157</v>
      </c>
      <c r="I1656" s="2"/>
      <c r="J1656" s="2"/>
      <c r="K1656" s="2"/>
      <c r="L1656" s="2"/>
      <c r="O1656" s="58"/>
      <c r="P1656" s="58"/>
    </row>
    <row r="1657" spans="2:16">
      <c r="B1657" s="652"/>
      <c r="C1657" s="582">
        <v>2.78</v>
      </c>
      <c r="D1657" s="541"/>
      <c r="E1657" s="541">
        <f t="shared" si="255"/>
        <v>-2.78</v>
      </c>
      <c r="F1657" s="546">
        <f>SUM($E$2:E1657)/SUM($C$2:C1657)</f>
        <v>-2.2507264029994013E-2</v>
      </c>
      <c r="G1657" s="536">
        <f t="shared" si="256"/>
        <v>-114.81552505666684</v>
      </c>
      <c r="H1657" s="547" t="s">
        <v>365</v>
      </c>
      <c r="I1657" s="2"/>
      <c r="J1657" s="2"/>
      <c r="K1657" s="2"/>
      <c r="L1657" s="2"/>
      <c r="O1657" s="58"/>
      <c r="P1657" s="58"/>
    </row>
    <row r="1658" spans="2:16">
      <c r="B1658" s="652"/>
      <c r="C1658" s="582">
        <v>2.78</v>
      </c>
      <c r="D1658" s="541"/>
      <c r="E1658" s="541">
        <f t="shared" si="255"/>
        <v>-2.78</v>
      </c>
      <c r="F1658" s="546">
        <f>SUM($E$2:E1658)/SUM($C$2:C1658)</f>
        <v>-2.3039671100228622E-2</v>
      </c>
      <c r="G1658" s="536">
        <f t="shared" si="256"/>
        <v>-117.59552505666684</v>
      </c>
      <c r="H1658" s="547" t="s">
        <v>262</v>
      </c>
      <c r="I1658" s="2"/>
      <c r="J1658" s="2"/>
      <c r="K1658" s="2"/>
      <c r="L1658" s="2"/>
      <c r="O1658" s="58"/>
      <c r="P1658" s="58"/>
    </row>
    <row r="1659" spans="2:16">
      <c r="B1659" s="652"/>
      <c r="C1659" s="582">
        <v>2.78</v>
      </c>
      <c r="D1659" s="541"/>
      <c r="E1659" s="541">
        <f t="shared" si="255"/>
        <v>-2.78</v>
      </c>
      <c r="F1659" s="546">
        <f>SUM($E$2:E1659)/SUM($C$2:C1659)</f>
        <v>-2.3571498518108781E-2</v>
      </c>
      <c r="G1659" s="536">
        <f t="shared" si="256"/>
        <v>-120.37552505666685</v>
      </c>
      <c r="H1659" s="547" t="s">
        <v>575</v>
      </c>
      <c r="I1659" s="2"/>
      <c r="J1659" s="2"/>
      <c r="K1659" s="2"/>
      <c r="L1659" s="2"/>
      <c r="O1659" s="58"/>
      <c r="P1659" s="58"/>
    </row>
    <row r="1660" spans="2:16">
      <c r="B1660" s="652"/>
      <c r="C1660" s="539">
        <v>2.78</v>
      </c>
      <c r="D1660" s="542">
        <v>1.9</v>
      </c>
      <c r="E1660" s="542">
        <f t="shared" si="255"/>
        <v>2.5019999999999993</v>
      </c>
      <c r="F1660" s="549">
        <f>SUM($E$2:E1660)/SUM($C$2:C1660)</f>
        <v>-2.3069007892368171E-2</v>
      </c>
      <c r="G1660" s="535">
        <f t="shared" si="256"/>
        <v>-117.87352505666685</v>
      </c>
      <c r="H1660" s="550" t="s">
        <v>358</v>
      </c>
      <c r="I1660" s="2"/>
      <c r="J1660" s="2"/>
      <c r="K1660" s="2"/>
      <c r="L1660" s="2"/>
      <c r="O1660" s="58"/>
      <c r="P1660" s="58"/>
    </row>
    <row r="1661" spans="2:16">
      <c r="B1661" s="652"/>
      <c r="C1661" s="582">
        <v>2.78</v>
      </c>
      <c r="D1661" s="541">
        <v>1.79</v>
      </c>
      <c r="E1661" s="541">
        <f t="shared" si="255"/>
        <v>2.1961999999999997</v>
      </c>
      <c r="F1661" s="546">
        <f>SUM($E$2:E1661)/SUM($C$2:C1661)</f>
        <v>-2.2626879275670867E-2</v>
      </c>
      <c r="G1661" s="536">
        <f t="shared" si="256"/>
        <v>-115.67732505666685</v>
      </c>
      <c r="H1661" s="547" t="s">
        <v>46</v>
      </c>
      <c r="I1661" s="2"/>
      <c r="J1661" s="2"/>
      <c r="K1661" s="2"/>
      <c r="L1661" s="2"/>
      <c r="O1661" s="58"/>
      <c r="P1661" s="58"/>
    </row>
    <row r="1662" spans="2:16" ht="15.75" thickBot="1">
      <c r="B1662" s="652"/>
      <c r="C1662" s="539">
        <v>2.78</v>
      </c>
      <c r="D1662" s="542"/>
      <c r="E1662" s="542">
        <f t="shared" si="255"/>
        <v>-2.78</v>
      </c>
      <c r="F1662" s="549">
        <f>SUM($E$2:E1662)/SUM($C$2:C1662)</f>
        <v>-2.3158063922653464E-2</v>
      </c>
      <c r="G1662" s="535">
        <f t="shared" si="256"/>
        <v>-118.45732505666685</v>
      </c>
      <c r="H1662" s="550" t="s">
        <v>104</v>
      </c>
      <c r="I1662" s="2">
        <f>SUM(E1649:E1662)</f>
        <v>-2.2823800000000012</v>
      </c>
      <c r="L1662" s="2">
        <f>I1662/C1662</f>
        <v>-0.82100000000000051</v>
      </c>
      <c r="O1662" s="58"/>
      <c r="P1662" s="58"/>
    </row>
    <row r="1663" spans="2:16">
      <c r="B1663" s="650">
        <v>46121</v>
      </c>
      <c r="C1663" s="589">
        <v>3.23</v>
      </c>
      <c r="D1663" s="541"/>
      <c r="E1663" s="590">
        <f>(C1663*D1663)-C1663</f>
        <v>-3.23</v>
      </c>
      <c r="F1663" s="591">
        <f>SUM($E$2:E1663)/SUM($C$2:C1663)</f>
        <v>-2.3774507019929968E-2</v>
      </c>
      <c r="G1663" s="592">
        <f>G1662+E1663</f>
        <v>-121.68732505666685</v>
      </c>
      <c r="H1663" s="593" t="s">
        <v>25</v>
      </c>
      <c r="I1663" s="2"/>
      <c r="J1663" s="2"/>
      <c r="K1663" s="2"/>
      <c r="L1663" s="2"/>
      <c r="O1663" s="58"/>
      <c r="P1663" s="58"/>
    </row>
    <row r="1664" spans="2:16">
      <c r="B1664" s="652"/>
      <c r="C1664" s="589">
        <v>3.23</v>
      </c>
      <c r="D1664" s="541">
        <v>1.88</v>
      </c>
      <c r="E1664" s="590">
        <f>(C1664*D1664)-C1664</f>
        <v>2.8424</v>
      </c>
      <c r="F1664" s="591">
        <f>SUM($E$2:E1664)/SUM($C$2:C1664)</f>
        <v>-2.3204533332848425E-2</v>
      </c>
      <c r="G1664" s="592">
        <f>G1663+E1664</f>
        <v>-118.84492505666685</v>
      </c>
      <c r="H1664" s="593" t="s">
        <v>11</v>
      </c>
      <c r="I1664" s="2"/>
      <c r="J1664" s="2"/>
      <c r="K1664" s="2"/>
      <c r="L1664" s="2"/>
      <c r="O1664" s="58"/>
      <c r="P1664" s="58"/>
    </row>
    <row r="1665" spans="2:16">
      <c r="B1665" s="652"/>
      <c r="C1665" s="589">
        <v>3.23</v>
      </c>
      <c r="D1665" s="541">
        <v>1.85</v>
      </c>
      <c r="E1665" s="590">
        <f>(C1665*D1665)-C1665</f>
        <v>2.7455000000000003</v>
      </c>
      <c r="F1665" s="591">
        <f>SUM($E$2:E1665)/SUM($C$2:C1665)</f>
        <v>-2.2654185961843366E-2</v>
      </c>
      <c r="G1665" s="592">
        <f>G1664+E1665</f>
        <v>-116.09942505666685</v>
      </c>
      <c r="H1665" s="593" t="s">
        <v>35</v>
      </c>
      <c r="I1665" s="2"/>
      <c r="J1665" s="2"/>
      <c r="K1665" s="2"/>
      <c r="L1665" s="2"/>
      <c r="O1665" s="58"/>
      <c r="P1665" s="58"/>
    </row>
    <row r="1666" spans="2:16">
      <c r="B1666" s="652"/>
      <c r="C1666" s="589">
        <v>3.23</v>
      </c>
      <c r="D1666" s="541"/>
      <c r="E1666" s="590">
        <f>(C1666*D1666)-C1666</f>
        <v>-3.23</v>
      </c>
      <c r="F1666" s="591">
        <f>SUM($E$2:E1666)/SUM($C$2:C1666)</f>
        <v>-2.3269781606797491E-2</v>
      </c>
      <c r="G1666" s="592">
        <f>G1665+E1666</f>
        <v>-119.32942505666685</v>
      </c>
      <c r="H1666" s="593" t="s">
        <v>29</v>
      </c>
      <c r="I1666" s="2"/>
      <c r="J1666" s="2"/>
      <c r="K1666" s="2"/>
      <c r="L1666" s="2"/>
      <c r="O1666" s="58"/>
      <c r="P1666" s="58"/>
    </row>
    <row r="1667" spans="2:16">
      <c r="B1667" s="652"/>
      <c r="C1667" s="589">
        <v>3.23</v>
      </c>
      <c r="D1667" s="541">
        <v>1.88</v>
      </c>
      <c r="E1667" s="590">
        <f>(C1667*D1667)-C1667</f>
        <v>2.8424</v>
      </c>
      <c r="F1667" s="591">
        <f>SUM($E$2:E1667)/SUM($C$2:C1667)</f>
        <v>-2.2701201969328993E-2</v>
      </c>
      <c r="G1667" s="592">
        <f>G1666+E1667</f>
        <v>-116.48702505666685</v>
      </c>
      <c r="H1667" s="593" t="s">
        <v>53</v>
      </c>
      <c r="I1667" s="2"/>
      <c r="J1667" s="2"/>
      <c r="K1667" s="2"/>
      <c r="L1667" s="2"/>
      <c r="O1667" s="58"/>
      <c r="P1667" s="58"/>
    </row>
    <row r="1668" spans="2:16" ht="15.75" thickBot="1">
      <c r="B1668" s="652"/>
      <c r="C1668" s="594">
        <v>3.23</v>
      </c>
      <c r="D1668" s="542">
        <v>1.8620000000000001</v>
      </c>
      <c r="E1668" s="595">
        <f>(C1668*D1668)-C1668</f>
        <v>2.7842600000000002</v>
      </c>
      <c r="F1668" s="596">
        <f>SUM($E$2:E1668)/SUM($C$2:C1668)</f>
        <v>-2.2144660987829624E-2</v>
      </c>
      <c r="G1668" s="597">
        <f>G1667+E1668</f>
        <v>-113.70276505666685</v>
      </c>
      <c r="H1668" s="598" t="s">
        <v>27</v>
      </c>
      <c r="I1668" s="2"/>
      <c r="J1668" s="2"/>
      <c r="K1668" s="2"/>
      <c r="L1668" s="2"/>
      <c r="O1668" s="58"/>
      <c r="P1668" s="58"/>
    </row>
    <row r="1669" spans="2:16">
      <c r="B1669" s="652"/>
      <c r="C1669" s="589">
        <v>3.23</v>
      </c>
      <c r="D1669" s="541"/>
      <c r="E1669" s="590">
        <f>(C1669*D1669)-C1669</f>
        <v>-3.23</v>
      </c>
      <c r="F1669" s="591">
        <f>SUM($E$2:E1669)/SUM($C$2:C1669)</f>
        <v>-2.275941592724896E-2</v>
      </c>
      <c r="G1669" s="592">
        <f>G1668+E1669</f>
        <v>-116.93276505666685</v>
      </c>
      <c r="H1669" s="593" t="s">
        <v>568</v>
      </c>
      <c r="I1669" s="2"/>
      <c r="J1669" s="2"/>
      <c r="K1669" s="2"/>
      <c r="L1669" s="2"/>
      <c r="O1669" s="58"/>
      <c r="P1669" s="58"/>
    </row>
    <row r="1670" spans="2:16">
      <c r="B1670" s="652"/>
      <c r="C1670" s="589">
        <v>3.23</v>
      </c>
      <c r="D1670" s="541">
        <v>1.91</v>
      </c>
      <c r="E1670" s="590">
        <f>(C1670*D1670)-C1670</f>
        <v>2.9392999999999998</v>
      </c>
      <c r="F1670" s="591">
        <f>SUM($E$2:E1670)/SUM($C$2:C1670)</f>
        <v>-2.2173380174316137E-2</v>
      </c>
      <c r="G1670" s="592">
        <f>G1669+E1670</f>
        <v>-113.99346505666685</v>
      </c>
      <c r="H1670" s="593" t="s">
        <v>566</v>
      </c>
      <c r="I1670" s="2"/>
      <c r="J1670" s="2"/>
      <c r="K1670" s="2"/>
      <c r="L1670" s="2"/>
      <c r="O1670" s="58"/>
      <c r="P1670" s="58"/>
    </row>
    <row r="1671" spans="2:16">
      <c r="B1671" s="652"/>
      <c r="C1671" s="589">
        <v>3.23</v>
      </c>
      <c r="D1671" s="541"/>
      <c r="E1671" s="590">
        <f>(C1671*D1671)-C1671</f>
        <v>-3.23</v>
      </c>
      <c r="F1671" s="591">
        <f>SUM($E$2:E1671)/SUM($C$2:C1671)</f>
        <v>-2.2787345087688496E-2</v>
      </c>
      <c r="G1671" s="592">
        <f>G1670+E1671</f>
        <v>-117.22346505666685</v>
      </c>
      <c r="H1671" s="547" t="s">
        <v>361</v>
      </c>
      <c r="I1671" s="2"/>
      <c r="J1671" s="2"/>
      <c r="K1671" s="2"/>
      <c r="L1671" s="2"/>
      <c r="O1671" s="58"/>
      <c r="P1671" s="58"/>
    </row>
    <row r="1672" spans="2:16">
      <c r="B1672" s="652"/>
      <c r="C1672" s="589">
        <v>3.23</v>
      </c>
      <c r="D1672" s="541">
        <v>1.9</v>
      </c>
      <c r="E1672" s="590">
        <f>(C1672*D1672)-C1672</f>
        <v>2.9069999999999996</v>
      </c>
      <c r="F1672" s="591">
        <f>SUM($E$2:E1672)/SUM($C$2:C1672)</f>
        <v>-2.2208302209434459E-2</v>
      </c>
      <c r="G1672" s="592">
        <f>G1671+E1672</f>
        <v>-114.31646505666686</v>
      </c>
      <c r="H1672" s="547" t="s">
        <v>576</v>
      </c>
      <c r="I1672" s="2"/>
      <c r="J1672" s="2"/>
      <c r="K1672" s="2"/>
      <c r="L1672" s="2"/>
      <c r="O1672" s="58"/>
      <c r="P1672" s="58"/>
    </row>
    <row r="1673" spans="2:16">
      <c r="B1673" s="652"/>
      <c r="C1673" s="589">
        <v>3.23</v>
      </c>
      <c r="D1673" s="541"/>
      <c r="E1673" s="590">
        <f>(C1673*D1673)-C1673</f>
        <v>-3.23</v>
      </c>
      <c r="F1673" s="591">
        <f>SUM($E$2:E1673)/SUM($C$2:C1673)</f>
        <v>-2.2821475188655398E-2</v>
      </c>
      <c r="G1673" s="592">
        <f>G1672+E1673</f>
        <v>-117.54646505666686</v>
      </c>
      <c r="H1673" s="547" t="s">
        <v>577</v>
      </c>
      <c r="I1673" s="2"/>
      <c r="J1673" s="2"/>
      <c r="K1673" s="2"/>
      <c r="L1673" s="2"/>
      <c r="O1673" s="58"/>
      <c r="P1673" s="58"/>
    </row>
    <row r="1674" spans="2:16" ht="15.75" thickBot="1">
      <c r="B1674" s="652"/>
      <c r="C1674" s="594">
        <v>3.23</v>
      </c>
      <c r="D1674" s="542"/>
      <c r="E1674" s="595">
        <f>(C1674*D1674)-C1674</f>
        <v>-3.23</v>
      </c>
      <c r="F1674" s="596">
        <f>SUM($E$2:E1674)/SUM($C$2:C1674)</f>
        <v>-2.3433879608533104E-2</v>
      </c>
      <c r="G1674" s="597">
        <f>G1673+E1674</f>
        <v>-120.77646505666686</v>
      </c>
      <c r="H1674" s="550" t="s">
        <v>578</v>
      </c>
      <c r="I1674" s="2"/>
      <c r="J1674" s="2"/>
      <c r="K1674" s="2"/>
      <c r="L1674" s="2"/>
      <c r="O1674" s="58"/>
      <c r="P1674" s="58"/>
    </row>
    <row r="1675" spans="2:16">
      <c r="B1675" s="652"/>
      <c r="C1675" s="589">
        <v>3.23</v>
      </c>
      <c r="D1675" s="541"/>
      <c r="E1675" s="590">
        <f>(C1675*D1675)-C1675</f>
        <v>-3.23</v>
      </c>
      <c r="F1675" s="591">
        <f>SUM($E$2:E1675)/SUM($C$2:C1675)</f>
        <v>-2.4045516913146651E-2</v>
      </c>
      <c r="G1675" s="592">
        <f>G1674+E1675</f>
        <v>-124.00646505666687</v>
      </c>
      <c r="H1675" s="547" t="s">
        <v>11</v>
      </c>
      <c r="I1675" s="2"/>
      <c r="J1675" s="2"/>
      <c r="K1675" s="2"/>
      <c r="L1675" s="2"/>
      <c r="O1675" s="58"/>
      <c r="P1675" s="58"/>
    </row>
    <row r="1676" spans="2:16">
      <c r="B1676" s="652"/>
      <c r="C1676" s="589">
        <v>3.23</v>
      </c>
      <c r="D1676" s="541"/>
      <c r="E1676" s="590">
        <f>(C1676*D1676)-C1676</f>
        <v>-3.23</v>
      </c>
      <c r="F1676" s="591">
        <f>SUM($E$2:E1676)/SUM($C$2:C1676)</f>
        <v>-2.4656388542959581E-2</v>
      </c>
      <c r="G1676" s="592">
        <f>G1675+E1676</f>
        <v>-127.23646505666687</v>
      </c>
      <c r="H1676" s="547" t="s">
        <v>28</v>
      </c>
      <c r="I1676" s="2"/>
      <c r="J1676" s="2"/>
      <c r="K1676" s="2"/>
      <c r="L1676" s="2"/>
      <c r="O1676" s="58"/>
      <c r="P1676" s="58"/>
    </row>
    <row r="1677" spans="2:16">
      <c r="B1677" s="652"/>
      <c r="C1677" s="594">
        <v>3.23</v>
      </c>
      <c r="D1677" s="542"/>
      <c r="E1677" s="595">
        <f>(C1677*D1677)-C1677</f>
        <v>-3.23</v>
      </c>
      <c r="F1677" s="596">
        <f>SUM($E$2:E1677)/SUM($C$2:C1677)</f>
        <v>-2.5266495934831223E-2</v>
      </c>
      <c r="G1677" s="597">
        <f>G1676+E1677</f>
        <v>-130.46646505666686</v>
      </c>
      <c r="H1677" s="598" t="s">
        <v>37</v>
      </c>
      <c r="I1677" s="2">
        <f>SUM(E1663:E1677)</f>
        <v>-12.00914</v>
      </c>
      <c r="L1677" s="2">
        <f>I1677/C1677</f>
        <v>-3.718</v>
      </c>
      <c r="O1677" s="58"/>
      <c r="P1677" s="58"/>
    </row>
    <row r="1678" spans="2:16">
      <c r="B1678" s="650">
        <v>46122</v>
      </c>
      <c r="C1678" s="589">
        <v>1.27</v>
      </c>
      <c r="D1678" s="541">
        <v>1.88</v>
      </c>
      <c r="E1678" s="590">
        <f t="shared" ref="E1678:E1704" si="257">(C1678*D1678)-C1678</f>
        <v>1.1175999999999999</v>
      </c>
      <c r="F1678" s="591">
        <f>SUM($E$2:E1678)/SUM($C$2:C1678)</f>
        <v>-2.5043898842652054E-2</v>
      </c>
      <c r="G1678" s="592">
        <f t="shared" ref="G1678:G1704" si="258">G1677+E1678</f>
        <v>-129.34886505666685</v>
      </c>
      <c r="H1678" s="593" t="s">
        <v>15</v>
      </c>
      <c r="I1678" s="2"/>
      <c r="J1678" s="2"/>
      <c r="K1678" s="2"/>
      <c r="L1678" s="2"/>
      <c r="O1678" s="58"/>
      <c r="P1678" s="58"/>
    </row>
    <row r="1679" spans="2:16">
      <c r="B1679" s="652"/>
      <c r="C1679" s="589">
        <v>1.27</v>
      </c>
      <c r="D1679" s="541"/>
      <c r="E1679" s="590">
        <f t="shared" si="257"/>
        <v>-1.27</v>
      </c>
      <c r="F1679" s="591">
        <f>SUM($E$2:E1679)/SUM($C$2:C1679)</f>
        <v>-2.5283573063789786E-2</v>
      </c>
      <c r="G1679" s="592">
        <f t="shared" si="258"/>
        <v>-130.61886505666686</v>
      </c>
      <c r="H1679" s="593" t="s">
        <v>11</v>
      </c>
      <c r="I1679" s="2"/>
      <c r="J1679" s="2"/>
      <c r="K1679" s="2"/>
      <c r="L1679" s="2"/>
      <c r="O1679" s="58"/>
      <c r="P1679" s="58"/>
    </row>
    <row r="1680" spans="2:16">
      <c r="B1680" s="652"/>
      <c r="C1680" s="589">
        <v>1.27</v>
      </c>
      <c r="D1680" s="541"/>
      <c r="E1680" s="590">
        <f t="shared" si="257"/>
        <v>-1.27</v>
      </c>
      <c r="F1680" s="591">
        <f>SUM($E$2:E1680)/SUM($C$2:C1680)</f>
        <v>-2.5523129475286156E-2</v>
      </c>
      <c r="G1680" s="592">
        <f t="shared" si="258"/>
        <v>-131.88886505666687</v>
      </c>
      <c r="H1680" s="593" t="s">
        <v>16</v>
      </c>
      <c r="I1680" s="2"/>
      <c r="J1680" s="2"/>
      <c r="K1680" s="2"/>
      <c r="L1680" s="2"/>
      <c r="O1680" s="58"/>
      <c r="P1680" s="58"/>
    </row>
    <row r="1681" spans="2:16">
      <c r="B1681" s="652"/>
      <c r="C1681" s="589">
        <v>1.27</v>
      </c>
      <c r="D1681" s="541"/>
      <c r="E1681" s="590">
        <f t="shared" si="257"/>
        <v>-1.27</v>
      </c>
      <c r="F1681" s="591">
        <f>SUM($E$2:E1681)/SUM($C$2:C1681)</f>
        <v>-2.5762568163982175E-2</v>
      </c>
      <c r="G1681" s="592">
        <f t="shared" si="258"/>
        <v>-133.15886505666688</v>
      </c>
      <c r="H1681" s="547" t="s">
        <v>14</v>
      </c>
      <c r="I1681" s="2"/>
      <c r="J1681" s="2"/>
      <c r="K1681" s="2"/>
      <c r="L1681" s="2"/>
      <c r="O1681" s="58"/>
      <c r="P1681" s="58"/>
    </row>
    <row r="1682" spans="2:16">
      <c r="B1682" s="652"/>
      <c r="C1682" s="589">
        <v>1.27</v>
      </c>
      <c r="D1682" s="541"/>
      <c r="E1682" s="590">
        <f t="shared" si="257"/>
        <v>-1.27</v>
      </c>
      <c r="F1682" s="591">
        <f>SUM($E$2:E1682)/SUM($C$2:C1682)</f>
        <v>-2.6001889216633527E-2</v>
      </c>
      <c r="G1682" s="592">
        <f t="shared" si="258"/>
        <v>-134.42886505666689</v>
      </c>
      <c r="H1682" s="547" t="s">
        <v>37</v>
      </c>
      <c r="I1682" s="2"/>
      <c r="J1682" s="2"/>
      <c r="K1682" s="2"/>
      <c r="L1682" s="2"/>
      <c r="O1682" s="58"/>
      <c r="P1682" s="58"/>
    </row>
    <row r="1683" spans="2:16">
      <c r="B1683" s="652"/>
      <c r="C1683" s="589">
        <v>1.27</v>
      </c>
      <c r="D1683" s="541">
        <v>1.85</v>
      </c>
      <c r="E1683" s="590">
        <f t="shared" si="257"/>
        <v>1.0795000000000003</v>
      </c>
      <c r="F1683" s="591">
        <f>SUM($E$2:E1683)/SUM($C$2:C1683)</f>
        <v>-2.5786752535711749E-2</v>
      </c>
      <c r="G1683" s="592">
        <f t="shared" si="258"/>
        <v>-133.3493650566669</v>
      </c>
      <c r="H1683" s="547" t="s">
        <v>51</v>
      </c>
      <c r="I1683" s="2"/>
      <c r="J1683" s="2"/>
      <c r="K1683" s="2"/>
      <c r="L1683" s="2"/>
      <c r="O1683" s="58"/>
      <c r="P1683" s="58"/>
    </row>
    <row r="1684" spans="2:16">
      <c r="B1684" s="652"/>
      <c r="C1684" s="589">
        <v>1.27</v>
      </c>
      <c r="D1684" s="541">
        <v>1.95</v>
      </c>
      <c r="E1684" s="590">
        <f t="shared" si="257"/>
        <v>1.2065000000000001</v>
      </c>
      <c r="F1684" s="591">
        <f>SUM($E$2:E1684)/SUM($C$2:C1684)</f>
        <v>-2.5547168600427071E-2</v>
      </c>
      <c r="G1684" s="592">
        <f t="shared" si="258"/>
        <v>-132.14286505666689</v>
      </c>
      <c r="H1684" s="593" t="s">
        <v>35</v>
      </c>
      <c r="I1684" s="2"/>
      <c r="J1684" s="2"/>
      <c r="K1684" s="2"/>
      <c r="L1684" s="2"/>
      <c r="O1684" s="58"/>
      <c r="P1684" s="58"/>
    </row>
    <row r="1685" spans="2:16">
      <c r="B1685" s="652"/>
      <c r="C1685" s="589">
        <v>1.27</v>
      </c>
      <c r="D1685" s="541">
        <v>1.96</v>
      </c>
      <c r="E1685" s="590">
        <f t="shared" si="257"/>
        <v>1.2191999999999998</v>
      </c>
      <c r="F1685" s="591">
        <f>SUM($E$2:E1685)/SUM($C$2:C1685)</f>
        <v>-2.5305247598668347E-2</v>
      </c>
      <c r="G1685" s="592">
        <f t="shared" si="258"/>
        <v>-130.92366505666689</v>
      </c>
      <c r="H1685" s="593" t="s">
        <v>64</v>
      </c>
      <c r="I1685" s="2"/>
      <c r="J1685" s="2"/>
      <c r="K1685" s="2"/>
      <c r="L1685" s="2"/>
      <c r="O1685" s="58"/>
      <c r="P1685" s="58"/>
    </row>
    <row r="1686" spans="2:16">
      <c r="B1686" s="652"/>
      <c r="C1686" s="589">
        <v>1.27</v>
      </c>
      <c r="D1686" s="541"/>
      <c r="E1686" s="590">
        <f t="shared" si="257"/>
        <v>-1.27</v>
      </c>
      <c r="F1686" s="591">
        <f>SUM($E$2:E1686)/SUM($C$2:C1686)</f>
        <v>-2.5544445956001614E-2</v>
      </c>
      <c r="G1686" s="592">
        <f t="shared" si="258"/>
        <v>-132.1936650566669</v>
      </c>
      <c r="H1686" s="547" t="s">
        <v>12</v>
      </c>
      <c r="I1686" s="2"/>
      <c r="J1686" s="2"/>
      <c r="K1686" s="2"/>
      <c r="L1686" s="2"/>
      <c r="O1686" s="58"/>
      <c r="P1686" s="58"/>
    </row>
    <row r="1687" spans="2:16">
      <c r="B1687" s="652"/>
      <c r="C1687" s="589">
        <v>1.27</v>
      </c>
      <c r="D1687" s="541"/>
      <c r="E1687" s="590">
        <f t="shared" si="257"/>
        <v>-1.27</v>
      </c>
      <c r="F1687" s="591">
        <f>SUM($E$2:E1687)/SUM($C$2:C1687)</f>
        <v>-2.5783526939528983E-2</v>
      </c>
      <c r="G1687" s="592">
        <f t="shared" si="258"/>
        <v>-133.46366505666691</v>
      </c>
      <c r="H1687" s="547" t="s">
        <v>59</v>
      </c>
      <c r="I1687" s="2"/>
      <c r="J1687" s="2"/>
      <c r="K1687" s="2"/>
      <c r="L1687" s="2"/>
      <c r="O1687" s="58"/>
      <c r="P1687" s="58"/>
    </row>
    <row r="1688" spans="2:16">
      <c r="B1688" s="652"/>
      <c r="C1688" s="589">
        <v>1.27</v>
      </c>
      <c r="D1688" s="541"/>
      <c r="E1688" s="590">
        <f t="shared" si="257"/>
        <v>-1.27</v>
      </c>
      <c r="F1688" s="591">
        <f>SUM($E$2:E1688)/SUM($C$2:C1688)</f>
        <v>-2.6022490635621641E-2</v>
      </c>
      <c r="G1688" s="592">
        <f t="shared" si="258"/>
        <v>-134.73366505666692</v>
      </c>
      <c r="H1688" s="593" t="s">
        <v>53</v>
      </c>
      <c r="I1688" s="2"/>
      <c r="J1688" s="2"/>
      <c r="K1688" s="2"/>
      <c r="L1688" s="2"/>
      <c r="O1688" s="58"/>
      <c r="P1688" s="58"/>
    </row>
    <row r="1689" spans="2:16">
      <c r="B1689" s="652"/>
      <c r="C1689" s="589">
        <v>1.27</v>
      </c>
      <c r="D1689" s="541"/>
      <c r="E1689" s="590">
        <f t="shared" si="257"/>
        <v>-1.27</v>
      </c>
      <c r="F1689" s="591">
        <f>SUM($E$2:E1689)/SUM($C$2:C1689)</f>
        <v>-2.6261337130566054E-2</v>
      </c>
      <c r="G1689" s="592">
        <f t="shared" si="258"/>
        <v>-136.00366505666693</v>
      </c>
      <c r="H1689" s="593" t="s">
        <v>47</v>
      </c>
      <c r="I1689" s="2"/>
      <c r="J1689" s="2"/>
      <c r="K1689" s="2"/>
      <c r="L1689" s="2"/>
      <c r="O1689" s="58"/>
      <c r="P1689" s="58"/>
    </row>
    <row r="1690" spans="2:16">
      <c r="B1690" s="652"/>
      <c r="C1690" s="594">
        <v>1.27</v>
      </c>
      <c r="D1690" s="542"/>
      <c r="E1690" s="595">
        <f t="shared" si="257"/>
        <v>-1.27</v>
      </c>
      <c r="F1690" s="596">
        <f>SUM($E$2:E1690)/SUM($C$2:C1690)</f>
        <v>-2.6500066510564069E-2</v>
      </c>
      <c r="G1690" s="597">
        <f t="shared" si="258"/>
        <v>-137.27366505666694</v>
      </c>
      <c r="H1690" s="550" t="s">
        <v>52</v>
      </c>
      <c r="I1690" s="2"/>
      <c r="J1690" s="2"/>
      <c r="K1690" s="2"/>
      <c r="L1690" s="2"/>
      <c r="O1690" s="58"/>
      <c r="P1690" s="58"/>
    </row>
    <row r="1691" spans="2:16">
      <c r="B1691" s="652"/>
      <c r="C1691" s="589">
        <v>1.27</v>
      </c>
      <c r="D1691" s="541">
        <v>1.9</v>
      </c>
      <c r="E1691" s="590">
        <f t="shared" si="257"/>
        <v>1.1429999999999998</v>
      </c>
      <c r="F1691" s="591">
        <f>SUM($E$2:E1691)/SUM($C$2:C1691)</f>
        <v>-2.6272974189729639E-2</v>
      </c>
      <c r="G1691" s="592">
        <f t="shared" si="258"/>
        <v>-136.13066505666694</v>
      </c>
      <c r="H1691" s="593" t="s">
        <v>579</v>
      </c>
      <c r="I1691" s="2"/>
      <c r="J1691" s="2"/>
      <c r="K1691" s="2"/>
      <c r="L1691" s="2"/>
      <c r="O1691" s="58"/>
      <c r="P1691" s="58"/>
    </row>
    <row r="1692" spans="2:16">
      <c r="B1692" s="652"/>
      <c r="C1692" s="589">
        <v>1.27</v>
      </c>
      <c r="D1692" s="541"/>
      <c r="E1692" s="590">
        <f t="shared" si="257"/>
        <v>-1.27</v>
      </c>
      <c r="F1692" s="591">
        <f>SUM($E$2:E1692)/SUM($C$2:C1692)</f>
        <v>-2.6511583717942128E-2</v>
      </c>
      <c r="G1692" s="592">
        <f t="shared" si="258"/>
        <v>-137.40066505666695</v>
      </c>
      <c r="H1692" s="593" t="s">
        <v>350</v>
      </c>
      <c r="I1692" s="2"/>
      <c r="J1692" s="2"/>
      <c r="K1692" s="2"/>
      <c r="L1692" s="2"/>
      <c r="O1692" s="58"/>
      <c r="P1692" s="58"/>
    </row>
    <row r="1693" spans="2:16">
      <c r="B1693" s="652"/>
      <c r="C1693" s="589">
        <v>1.27</v>
      </c>
      <c r="D1693" s="541"/>
      <c r="E1693" s="590">
        <f t="shared" si="257"/>
        <v>-1.27</v>
      </c>
      <c r="F1693" s="591">
        <f>SUM($E$2:E1693)/SUM($C$2:C1693)</f>
        <v>-2.6750076333391191E-2</v>
      </c>
      <c r="G1693" s="592">
        <f t="shared" si="258"/>
        <v>-138.67066505666696</v>
      </c>
      <c r="H1693" s="547" t="s">
        <v>580</v>
      </c>
      <c r="I1693" s="2"/>
      <c r="J1693" s="2"/>
      <c r="K1693" s="2"/>
      <c r="L1693" s="2"/>
      <c r="O1693" s="58"/>
      <c r="P1693" s="58"/>
    </row>
    <row r="1694" spans="2:16">
      <c r="B1694" s="652"/>
      <c r="C1694" s="589">
        <v>1.27</v>
      </c>
      <c r="D1694" s="541">
        <v>1.92</v>
      </c>
      <c r="E1694" s="590">
        <f t="shared" si="257"/>
        <v>1.1684000000000001</v>
      </c>
      <c r="F1694" s="591">
        <f>SUM($E$2:E1694)/SUM($C$2:C1694)</f>
        <v>-2.6518191089368301E-2</v>
      </c>
      <c r="G1694" s="592">
        <f t="shared" si="258"/>
        <v>-137.50226505666697</v>
      </c>
      <c r="H1694" s="547" t="s">
        <v>392</v>
      </c>
      <c r="I1694" s="2"/>
      <c r="J1694" s="2"/>
      <c r="K1694" s="2"/>
      <c r="L1694" s="2"/>
      <c r="O1694" s="58"/>
      <c r="P1694" s="58"/>
    </row>
    <row r="1695" spans="2:16">
      <c r="B1695" s="652"/>
      <c r="C1695" s="589">
        <v>1.27</v>
      </c>
      <c r="D1695" s="541">
        <v>1.93</v>
      </c>
      <c r="E1695" s="590">
        <f t="shared" si="257"/>
        <v>1.1810999999999998</v>
      </c>
      <c r="F1695" s="591">
        <f>SUM($E$2:E1695)/SUM($C$2:C1695)</f>
        <v>-2.6283970731270215E-2</v>
      </c>
      <c r="G1695" s="592">
        <f t="shared" si="258"/>
        <v>-136.32116505666698</v>
      </c>
      <c r="H1695" s="593" t="s">
        <v>581</v>
      </c>
      <c r="I1695" s="2"/>
      <c r="J1695" s="2"/>
      <c r="K1695" s="2"/>
      <c r="L1695" s="2"/>
      <c r="O1695" s="58"/>
      <c r="P1695" s="58"/>
    </row>
    <row r="1696" spans="2:16">
      <c r="B1696" s="652"/>
      <c r="C1696" s="589">
        <v>1.27</v>
      </c>
      <c r="D1696" s="541"/>
      <c r="E1696" s="590">
        <f t="shared" si="257"/>
        <v>-1.27</v>
      </c>
      <c r="F1696" s="591">
        <f>SUM($E$2:E1696)/SUM($C$2:C1696)</f>
        <v>-2.6522343913644674E-2</v>
      </c>
      <c r="G1696" s="592">
        <f t="shared" si="258"/>
        <v>-137.59116505666699</v>
      </c>
      <c r="H1696" s="547" t="s">
        <v>344</v>
      </c>
      <c r="I1696" s="2"/>
      <c r="J1696" s="2"/>
      <c r="K1696" s="2"/>
      <c r="L1696" s="2"/>
      <c r="O1696" s="58"/>
      <c r="P1696" s="58"/>
    </row>
    <row r="1697" spans="2:16">
      <c r="B1697" s="652"/>
      <c r="C1697" s="589">
        <v>1.27</v>
      </c>
      <c r="D1697" s="541"/>
      <c r="E1697" s="590">
        <f t="shared" si="257"/>
        <v>-1.27</v>
      </c>
      <c r="F1697" s="591">
        <f>SUM($E$2:E1697)/SUM($C$2:C1697)</f>
        <v>-2.6760600413402506E-2</v>
      </c>
      <c r="G1697" s="592">
        <f t="shared" si="258"/>
        <v>-138.86116505666701</v>
      </c>
      <c r="H1697" s="547" t="s">
        <v>582</v>
      </c>
      <c r="I1697" s="2"/>
      <c r="J1697" s="2"/>
      <c r="K1697" s="2"/>
      <c r="L1697" s="2"/>
      <c r="O1697" s="58"/>
      <c r="P1697" s="58"/>
    </row>
    <row r="1698" spans="2:16">
      <c r="B1698" s="652"/>
      <c r="C1698" s="589">
        <v>1.27</v>
      </c>
      <c r="D1698" s="541">
        <v>1.88</v>
      </c>
      <c r="E1698" s="590">
        <f t="shared" si="257"/>
        <v>1.1175999999999999</v>
      </c>
      <c r="F1698" s="591">
        <f>SUM($E$2:E1698)/SUM($C$2:C1698)</f>
        <v>-2.6538727068230378E-2</v>
      </c>
      <c r="G1698" s="592">
        <f t="shared" si="258"/>
        <v>-137.74356505666699</v>
      </c>
      <c r="H1698" s="547" t="s">
        <v>583</v>
      </c>
      <c r="I1698" s="2"/>
      <c r="J1698" s="2"/>
      <c r="K1698" s="2"/>
      <c r="L1698" s="2"/>
      <c r="O1698" s="58"/>
      <c r="P1698" s="58"/>
    </row>
    <row r="1699" spans="2:16">
      <c r="B1699" s="652"/>
      <c r="C1699" s="589">
        <v>1.27</v>
      </c>
      <c r="D1699" s="541"/>
      <c r="E1699" s="590">
        <f t="shared" si="257"/>
        <v>-1.27</v>
      </c>
      <c r="F1699" s="591">
        <f>SUM($E$2:E1699)/SUM($C$2:C1699)</f>
        <v>-2.6776862991767944E-2</v>
      </c>
      <c r="G1699" s="592">
        <f t="shared" si="258"/>
        <v>-139.01356505666701</v>
      </c>
      <c r="H1699" s="547" t="s">
        <v>220</v>
      </c>
      <c r="I1699" s="2"/>
      <c r="J1699" s="2"/>
      <c r="K1699" s="2"/>
      <c r="L1699" s="2"/>
      <c r="O1699" s="58"/>
      <c r="P1699" s="58"/>
    </row>
    <row r="1700" spans="2:16">
      <c r="B1700" s="652"/>
      <c r="C1700" s="594">
        <v>1.27</v>
      </c>
      <c r="D1700" s="542"/>
      <c r="E1700" s="595">
        <f t="shared" si="257"/>
        <v>-1.27</v>
      </c>
      <c r="F1700" s="596">
        <f>SUM($E$2:E1700)/SUM($C$2:C1700)</f>
        <v>-2.7014882434351406E-2</v>
      </c>
      <c r="G1700" s="597">
        <f t="shared" si="258"/>
        <v>-140.28356505666702</v>
      </c>
      <c r="H1700" s="550" t="s">
        <v>131</v>
      </c>
      <c r="I1700" s="2"/>
      <c r="J1700" s="2"/>
      <c r="K1700" s="2"/>
      <c r="L1700" s="2"/>
      <c r="O1700" s="58"/>
      <c r="P1700" s="58"/>
    </row>
    <row r="1701" spans="2:16">
      <c r="B1701" s="652"/>
      <c r="C1701" s="589">
        <v>1.27</v>
      </c>
      <c r="D1701" s="541">
        <v>2.6920000000000002</v>
      </c>
      <c r="E1701" s="590">
        <f t="shared" si="257"/>
        <v>2.1488400000000003</v>
      </c>
      <c r="F1701" s="591">
        <f>SUM($E$2:E1701)/SUM($C$2:C1701)</f>
        <v>-2.6594568833342946E-2</v>
      </c>
      <c r="G1701" s="592">
        <f t="shared" si="258"/>
        <v>-138.13472505666701</v>
      </c>
      <c r="H1701" s="547" t="s">
        <v>97</v>
      </c>
      <c r="I1701" s="2"/>
      <c r="J1701" s="2"/>
      <c r="K1701" s="2"/>
      <c r="L1701" s="2"/>
      <c r="O1701" s="58"/>
      <c r="P1701" s="58"/>
    </row>
    <row r="1702" spans="2:16">
      <c r="B1702" s="652"/>
      <c r="C1702" s="589">
        <v>1.27</v>
      </c>
      <c r="D1702" s="541"/>
      <c r="E1702" s="590">
        <f t="shared" si="257"/>
        <v>-1.27</v>
      </c>
      <c r="F1702" s="591">
        <f>SUM($E$2:E1702)/SUM($C$2:C1702)</f>
        <v>-2.6832516470426462E-2</v>
      </c>
      <c r="G1702" s="592">
        <f t="shared" si="258"/>
        <v>-139.40472505666702</v>
      </c>
      <c r="H1702" s="547" t="s">
        <v>35</v>
      </c>
      <c r="I1702" s="2"/>
      <c r="J1702" s="2"/>
      <c r="K1702" s="2"/>
      <c r="L1702" s="2"/>
      <c r="O1702" s="58"/>
      <c r="P1702" s="58"/>
    </row>
    <row r="1703" spans="2:16">
      <c r="B1703" s="652"/>
      <c r="C1703" s="589">
        <v>1.27</v>
      </c>
      <c r="D1703" s="541"/>
      <c r="E1703" s="590">
        <f t="shared" si="257"/>
        <v>-1.27</v>
      </c>
      <c r="F1703" s="591">
        <f>SUM($E$2:E1703)/SUM($C$2:C1703)</f>
        <v>-2.7070347803986067E-2</v>
      </c>
      <c r="G1703" s="592">
        <f t="shared" si="258"/>
        <v>-140.67472505666703</v>
      </c>
      <c r="H1703" s="547" t="s">
        <v>18</v>
      </c>
      <c r="I1703" s="2"/>
      <c r="J1703" s="2"/>
      <c r="K1703" s="2"/>
      <c r="L1703" s="2"/>
      <c r="O1703" s="58"/>
      <c r="P1703" s="58"/>
    </row>
    <row r="1704" spans="2:16">
      <c r="B1704" s="652"/>
      <c r="C1704" s="594">
        <v>1.27</v>
      </c>
      <c r="D1704" s="542"/>
      <c r="E1704" s="595">
        <f t="shared" si="257"/>
        <v>-1.27</v>
      </c>
      <c r="F1704" s="596">
        <f>SUM($E$2:E1704)/SUM($C$2:C1704)</f>
        <v>-2.7308062919270796E-2</v>
      </c>
      <c r="G1704" s="597">
        <f t="shared" si="258"/>
        <v>-141.94472505666704</v>
      </c>
      <c r="H1704" s="598" t="s">
        <v>36</v>
      </c>
      <c r="I1704" s="2">
        <f>SUM(E1678:E1704)</f>
        <v>-11.478259999999999</v>
      </c>
      <c r="L1704" s="2">
        <f>I1704/C1704</f>
        <v>-9.0379999999999985</v>
      </c>
      <c r="O1704" s="58"/>
      <c r="P1704" s="58"/>
    </row>
    <row r="1705" spans="2:16">
      <c r="B1705" s="650">
        <v>46124</v>
      </c>
      <c r="C1705" s="589">
        <v>1.24</v>
      </c>
      <c r="D1705" s="541">
        <v>1.89</v>
      </c>
      <c r="E1705" s="590">
        <f t="shared" ref="E1705:E1730" si="259">(C1705*D1705)-C1705</f>
        <v>1.1035999999999999</v>
      </c>
      <c r="F1705" s="591">
        <f>SUM($E$2:E1705)/SUM($C$2:C1705)</f>
        <v>-2.7089284267823574E-2</v>
      </c>
      <c r="G1705" s="592">
        <f t="shared" ref="G1705:G1730" si="260">G1704+E1705</f>
        <v>-140.84112505666704</v>
      </c>
      <c r="H1705" s="547" t="s">
        <v>37</v>
      </c>
      <c r="I1705" s="2"/>
      <c r="J1705" s="2"/>
      <c r="K1705" s="2"/>
      <c r="L1705" s="2"/>
      <c r="O1705" s="58"/>
      <c r="P1705" s="58"/>
    </row>
    <row r="1706" spans="2:16">
      <c r="B1706" s="652"/>
      <c r="C1706" s="589">
        <v>1.24</v>
      </c>
      <c r="D1706" s="541"/>
      <c r="E1706" s="590">
        <f t="shared" si="259"/>
        <v>-1.24</v>
      </c>
      <c r="F1706" s="591">
        <f>SUM($E$2:E1706)/SUM($C$2:C1706)</f>
        <v>-2.7321268864592491E-2</v>
      </c>
      <c r="G1706" s="592">
        <f t="shared" si="260"/>
        <v>-142.08112505666705</v>
      </c>
      <c r="H1706" s="547" t="s">
        <v>46</v>
      </c>
      <c r="I1706" s="2"/>
      <c r="J1706" s="2"/>
      <c r="K1706" s="2"/>
      <c r="L1706" s="2"/>
      <c r="O1706" s="58"/>
      <c r="P1706" s="58"/>
    </row>
    <row r="1707" spans="2:16">
      <c r="B1707" s="652"/>
      <c r="C1707" s="589">
        <v>1.24</v>
      </c>
      <c r="D1707" s="541"/>
      <c r="E1707" s="590">
        <f t="shared" si="259"/>
        <v>-1.24</v>
      </c>
      <c r="F1707" s="591">
        <f>SUM($E$2:E1707)/SUM($C$2:C1707)</f>
        <v>-2.7553142857123986E-2</v>
      </c>
      <c r="G1707" s="592">
        <f t="shared" si="260"/>
        <v>-143.32112505666706</v>
      </c>
      <c r="H1707" s="547" t="s">
        <v>16</v>
      </c>
      <c r="I1707" s="2"/>
      <c r="J1707" s="2"/>
      <c r="K1707" s="2"/>
      <c r="L1707" s="2"/>
      <c r="O1707" s="58"/>
      <c r="P1707" s="58"/>
    </row>
    <row r="1708" spans="2:16">
      <c r="B1708" s="652"/>
      <c r="C1708" s="589">
        <v>1.24</v>
      </c>
      <c r="D1708" s="541"/>
      <c r="E1708" s="590">
        <f t="shared" si="259"/>
        <v>-1.24</v>
      </c>
      <c r="F1708" s="591">
        <f>SUM($E$2:E1708)/SUM($C$2:C1708)</f>
        <v>-2.7784906324499047E-2</v>
      </c>
      <c r="G1708" s="592">
        <f t="shared" si="260"/>
        <v>-144.56112505666707</v>
      </c>
      <c r="H1708" s="547" t="s">
        <v>29</v>
      </c>
      <c r="I1708" s="2"/>
      <c r="J1708" s="2"/>
      <c r="K1708" s="2"/>
      <c r="L1708" s="2"/>
      <c r="O1708" s="58"/>
      <c r="P1708" s="58"/>
    </row>
    <row r="1709" spans="2:16">
      <c r="B1709" s="652"/>
      <c r="C1709" s="589">
        <v>1.24</v>
      </c>
      <c r="D1709" s="541"/>
      <c r="E1709" s="590">
        <f t="shared" si="259"/>
        <v>-1.24</v>
      </c>
      <c r="F1709" s="591">
        <f>SUM($E$2:E1709)/SUM($C$2:C1709)</f>
        <v>-2.8016559345723301E-2</v>
      </c>
      <c r="G1709" s="592">
        <f t="shared" si="260"/>
        <v>-145.80112505666708</v>
      </c>
      <c r="H1709" s="547" t="s">
        <v>51</v>
      </c>
      <c r="I1709" s="2"/>
      <c r="J1709" s="2"/>
      <c r="K1709" s="2"/>
      <c r="L1709" s="2"/>
      <c r="O1709" s="58"/>
      <c r="P1709" s="58"/>
    </row>
    <row r="1710" spans="2:16">
      <c r="B1710" s="652"/>
      <c r="C1710" s="589">
        <v>1.24</v>
      </c>
      <c r="D1710" s="541"/>
      <c r="E1710" s="590">
        <f t="shared" si="259"/>
        <v>-1.24</v>
      </c>
      <c r="F1710" s="591">
        <f>SUM($E$2:E1710)/SUM($C$2:C1710)</f>
        <v>-2.824810199972709E-2</v>
      </c>
      <c r="G1710" s="592">
        <f t="shared" si="260"/>
        <v>-147.04112505666708</v>
      </c>
      <c r="H1710" s="547" t="s">
        <v>25</v>
      </c>
      <c r="I1710" s="2"/>
      <c r="J1710" s="2"/>
      <c r="K1710" s="2"/>
      <c r="L1710" s="2"/>
      <c r="O1710" s="58"/>
      <c r="P1710" s="58"/>
    </row>
    <row r="1711" spans="2:16">
      <c r="B1711" s="652"/>
      <c r="C1711" s="589">
        <v>1.24</v>
      </c>
      <c r="D1711" s="541"/>
      <c r="E1711" s="590">
        <f t="shared" si="259"/>
        <v>-1.24</v>
      </c>
      <c r="F1711" s="591">
        <f>SUM($E$2:E1711)/SUM($C$2:C1711)</f>
        <v>-2.8479534365365562E-2</v>
      </c>
      <c r="G1711" s="592">
        <f t="shared" si="260"/>
        <v>-148.28112505666709</v>
      </c>
      <c r="H1711" s="547" t="s">
        <v>17</v>
      </c>
      <c r="I1711" s="2"/>
      <c r="J1711" s="2"/>
      <c r="K1711" s="2"/>
      <c r="L1711" s="2"/>
      <c r="O1711" s="58"/>
      <c r="P1711" s="58"/>
    </row>
    <row r="1712" spans="2:16">
      <c r="B1712" s="652"/>
      <c r="C1712" s="589">
        <v>1.24</v>
      </c>
      <c r="D1712" s="541"/>
      <c r="E1712" s="590">
        <f t="shared" si="259"/>
        <v>-1.24</v>
      </c>
      <c r="F1712" s="591">
        <f>SUM($E$2:E1712)/SUM($C$2:C1712)</f>
        <v>-2.8710856521418759E-2</v>
      </c>
      <c r="G1712" s="592">
        <f t="shared" si="260"/>
        <v>-149.5211250566671</v>
      </c>
      <c r="H1712" s="547" t="s">
        <v>53</v>
      </c>
      <c r="I1712" s="2"/>
      <c r="J1712" s="2"/>
      <c r="K1712" s="2"/>
      <c r="L1712" s="2"/>
      <c r="O1712" s="58"/>
      <c r="P1712" s="58"/>
    </row>
    <row r="1713" spans="2:16">
      <c r="B1713" s="652"/>
      <c r="C1713" s="589">
        <v>1.24</v>
      </c>
      <c r="D1713" s="541"/>
      <c r="E1713" s="590">
        <f t="shared" si="259"/>
        <v>-1.24</v>
      </c>
      <c r="F1713" s="591">
        <f>SUM($E$2:E1713)/SUM($C$2:C1713)</f>
        <v>-2.8942068546591721E-2</v>
      </c>
      <c r="G1713" s="592">
        <f t="shared" si="260"/>
        <v>-150.76112505666711</v>
      </c>
      <c r="H1713" s="547" t="s">
        <v>104</v>
      </c>
      <c r="I1713" s="2"/>
      <c r="J1713" s="2"/>
      <c r="K1713" s="2"/>
      <c r="L1713" s="2"/>
      <c r="O1713" s="58"/>
      <c r="P1713" s="58"/>
    </row>
    <row r="1714" spans="2:16">
      <c r="B1714" s="652"/>
      <c r="C1714" s="589">
        <v>1.24</v>
      </c>
      <c r="D1714" s="541"/>
      <c r="E1714" s="590">
        <f t="shared" si="259"/>
        <v>-1.24</v>
      </c>
      <c r="F1714" s="591">
        <f>SUM($E$2:E1714)/SUM($C$2:C1714)</f>
        <v>-2.9173170519514555E-2</v>
      </c>
      <c r="G1714" s="592">
        <f t="shared" si="260"/>
        <v>-152.00112505666712</v>
      </c>
      <c r="H1714" s="547" t="s">
        <v>10</v>
      </c>
      <c r="I1714" s="2"/>
      <c r="J1714" s="2"/>
      <c r="K1714" s="2"/>
      <c r="L1714" s="2"/>
      <c r="O1714" s="58"/>
      <c r="P1714" s="58"/>
    </row>
    <row r="1715" spans="2:16">
      <c r="B1715" s="652"/>
      <c r="C1715" s="594">
        <v>1.24</v>
      </c>
      <c r="D1715" s="542"/>
      <c r="E1715" s="595">
        <f t="shared" si="259"/>
        <v>-1.24</v>
      </c>
      <c r="F1715" s="596">
        <f>SUM($E$2:E1715)/SUM($C$2:C1715)</f>
        <v>-2.9404162518742533E-2</v>
      </c>
      <c r="G1715" s="597">
        <f t="shared" si="260"/>
        <v>-153.24112505666713</v>
      </c>
      <c r="H1715" s="550" t="s">
        <v>52</v>
      </c>
      <c r="I1715" s="2"/>
      <c r="J1715" s="2"/>
      <c r="K1715" s="2"/>
      <c r="L1715" s="2"/>
      <c r="O1715" s="58"/>
      <c r="P1715" s="58"/>
    </row>
    <row r="1716" spans="2:16">
      <c r="B1716" s="652"/>
      <c r="C1716" s="589">
        <v>1.24</v>
      </c>
      <c r="D1716" s="541"/>
      <c r="E1716" s="590">
        <f t="shared" si="259"/>
        <v>-1.24</v>
      </c>
      <c r="F1716" s="591">
        <f>SUM($E$2:E1716)/SUM($C$2:C1716)</f>
        <v>-2.9635044622756183E-2</v>
      </c>
      <c r="G1716" s="592">
        <f t="shared" si="260"/>
        <v>-154.48112505666714</v>
      </c>
      <c r="H1716" s="547" t="s">
        <v>359</v>
      </c>
      <c r="I1716" s="2"/>
      <c r="J1716" s="2"/>
      <c r="K1716" s="2"/>
      <c r="L1716" s="2"/>
      <c r="O1716" s="58"/>
      <c r="P1716" s="58"/>
    </row>
    <row r="1717" spans="2:16">
      <c r="B1717" s="652"/>
      <c r="C1717" s="589">
        <v>1.24</v>
      </c>
      <c r="D1717" s="541"/>
      <c r="E1717" s="590">
        <f t="shared" si="259"/>
        <v>-1.24</v>
      </c>
      <c r="F1717" s="591">
        <f>SUM($E$2:E1717)/SUM($C$2:C1717)</f>
        <v>-2.986581690996138E-2</v>
      </c>
      <c r="G1717" s="592">
        <f t="shared" si="260"/>
        <v>-155.72112505666715</v>
      </c>
      <c r="H1717" s="547" t="s">
        <v>98</v>
      </c>
      <c r="I1717" s="2"/>
      <c r="J1717" s="2"/>
      <c r="K1717" s="2"/>
      <c r="L1717" s="2"/>
      <c r="O1717" s="58"/>
      <c r="P1717" s="58"/>
    </row>
    <row r="1718" spans="2:16">
      <c r="B1718" s="652"/>
      <c r="C1718" s="589">
        <v>1.24</v>
      </c>
      <c r="D1718" s="541"/>
      <c r="E1718" s="590">
        <f t="shared" si="259"/>
        <v>-1.24</v>
      </c>
      <c r="F1718" s="591">
        <f>SUM($E$2:E1718)/SUM($C$2:C1718)</f>
        <v>-3.0096479458689426E-2</v>
      </c>
      <c r="G1718" s="592">
        <f t="shared" si="260"/>
        <v>-156.96112505666716</v>
      </c>
      <c r="H1718" s="547" t="s">
        <v>333</v>
      </c>
      <c r="I1718" s="2"/>
      <c r="J1718" s="2"/>
      <c r="K1718" s="2"/>
      <c r="L1718" s="2"/>
      <c r="O1718" s="58"/>
      <c r="P1718" s="58"/>
    </row>
    <row r="1719" spans="2:16">
      <c r="B1719" s="652"/>
      <c r="C1719" s="589">
        <v>1.24</v>
      </c>
      <c r="D1719" s="541"/>
      <c r="E1719" s="590">
        <f t="shared" si="259"/>
        <v>-1.24</v>
      </c>
      <c r="F1719" s="591">
        <f>SUM($E$2:E1719)/SUM($C$2:C1719)</f>
        <v>-3.0327032347197143E-2</v>
      </c>
      <c r="G1719" s="592">
        <f t="shared" si="260"/>
        <v>-158.20112505666717</v>
      </c>
      <c r="H1719" s="547" t="s">
        <v>140</v>
      </c>
      <c r="I1719" s="2"/>
      <c r="J1719" s="2"/>
      <c r="K1719" s="2"/>
      <c r="L1719" s="2"/>
      <c r="O1719" s="58"/>
      <c r="P1719" s="58"/>
    </row>
    <row r="1720" spans="2:16">
      <c r="B1720" s="652"/>
      <c r="C1720" s="589">
        <v>1.24</v>
      </c>
      <c r="D1720" s="541"/>
      <c r="E1720" s="590">
        <f t="shared" si="259"/>
        <v>-1.24</v>
      </c>
      <c r="F1720" s="591">
        <f>SUM($E$2:E1720)/SUM($C$2:C1720)</f>
        <v>-3.0557475653666965E-2</v>
      </c>
      <c r="G1720" s="592">
        <f t="shared" si="260"/>
        <v>-159.44112505666718</v>
      </c>
      <c r="H1720" s="547" t="s">
        <v>304</v>
      </c>
      <c r="I1720" s="2"/>
      <c r="J1720" s="2"/>
      <c r="K1720" s="2"/>
      <c r="L1720" s="2"/>
      <c r="O1720" s="58"/>
      <c r="P1720" s="58"/>
    </row>
    <row r="1721" spans="2:16">
      <c r="B1721" s="652"/>
      <c r="C1721" s="589">
        <v>1.24</v>
      </c>
      <c r="D1721" s="541"/>
      <c r="E1721" s="590">
        <f t="shared" si="259"/>
        <v>-1.24</v>
      </c>
      <c r="F1721" s="591">
        <f>SUM($E$2:E1721)/SUM($C$2:C1721)</f>
        <v>-3.0787809456207019E-2</v>
      </c>
      <c r="G1721" s="592">
        <f t="shared" si="260"/>
        <v>-160.68112505666718</v>
      </c>
      <c r="H1721" s="547" t="s">
        <v>584</v>
      </c>
      <c r="I1721" s="2"/>
      <c r="J1721" s="2"/>
      <c r="K1721" s="2"/>
      <c r="L1721" s="2"/>
      <c r="O1721" s="58"/>
      <c r="P1721" s="58"/>
    </row>
    <row r="1722" spans="2:16">
      <c r="B1722" s="652"/>
      <c r="C1722" s="589">
        <v>1.24</v>
      </c>
      <c r="D1722" s="541"/>
      <c r="E1722" s="590">
        <f t="shared" si="259"/>
        <v>-1.24</v>
      </c>
      <c r="F1722" s="591">
        <f>SUM($E$2:E1722)/SUM($C$2:C1722)</f>
        <v>-3.1018033832851222E-2</v>
      </c>
      <c r="G1722" s="592">
        <f t="shared" si="260"/>
        <v>-161.92112505666719</v>
      </c>
      <c r="H1722" s="547" t="s">
        <v>585</v>
      </c>
      <c r="I1722" s="2"/>
      <c r="J1722" s="2"/>
      <c r="K1722" s="2"/>
      <c r="L1722" s="2"/>
      <c r="O1722" s="58"/>
      <c r="P1722" s="58"/>
    </row>
    <row r="1723" spans="2:16">
      <c r="B1723" s="652"/>
      <c r="C1723" s="589">
        <v>1.24</v>
      </c>
      <c r="D1723" s="541"/>
      <c r="E1723" s="590">
        <f t="shared" si="259"/>
        <v>-1.24</v>
      </c>
      <c r="F1723" s="591">
        <f>SUM($E$2:E1723)/SUM($C$2:C1723)</f>
        <v>-3.1248148861559365E-2</v>
      </c>
      <c r="G1723" s="592">
        <f t="shared" si="260"/>
        <v>-163.1611250566672</v>
      </c>
      <c r="H1723" s="547" t="s">
        <v>340</v>
      </c>
      <c r="I1723" s="2"/>
      <c r="J1723" s="2"/>
      <c r="K1723" s="2"/>
      <c r="L1723" s="2"/>
      <c r="O1723" s="58"/>
      <c r="P1723" s="58"/>
    </row>
    <row r="1724" spans="2:16">
      <c r="B1724" s="652"/>
      <c r="C1724" s="589">
        <v>1.24</v>
      </c>
      <c r="D1724" s="541">
        <v>1.9</v>
      </c>
      <c r="E1724" s="590">
        <f t="shared" si="259"/>
        <v>1.1159999999999999</v>
      </c>
      <c r="F1724" s="591">
        <f>SUM($E$2:E1724)/SUM($C$2:C1724)</f>
        <v>-3.1027047413623148E-2</v>
      </c>
      <c r="G1724" s="592">
        <f t="shared" si="260"/>
        <v>-162.04512505666719</v>
      </c>
      <c r="H1724" s="547" t="s">
        <v>586</v>
      </c>
      <c r="I1724" s="2"/>
      <c r="J1724" s="2"/>
      <c r="K1724" s="2"/>
      <c r="L1724" s="2"/>
      <c r="O1724" s="58"/>
      <c r="P1724" s="58"/>
    </row>
    <row r="1725" spans="2:16">
      <c r="B1725" s="652"/>
      <c r="C1725" s="589">
        <v>1.24</v>
      </c>
      <c r="D1725" s="541"/>
      <c r="E1725" s="590">
        <f t="shared" si="259"/>
        <v>-1.24</v>
      </c>
      <c r="F1725" s="591">
        <f>SUM($E$2:E1725)/SUM($C$2:C1725)</f>
        <v>-3.1257051058678202E-2</v>
      </c>
      <c r="G1725" s="592">
        <f t="shared" si="260"/>
        <v>-163.2851250566672</v>
      </c>
      <c r="H1725" s="547" t="s">
        <v>272</v>
      </c>
      <c r="I1725" s="2"/>
      <c r="J1725" s="2"/>
      <c r="K1725" s="2"/>
      <c r="L1725" s="2"/>
      <c r="O1725" s="58"/>
      <c r="P1725" s="58"/>
    </row>
    <row r="1726" spans="2:16">
      <c r="B1726" s="652"/>
      <c r="C1726" s="594">
        <v>1.24</v>
      </c>
      <c r="D1726" s="542">
        <v>1.9</v>
      </c>
      <c r="E1726" s="595">
        <f t="shared" si="259"/>
        <v>1.1159999999999999</v>
      </c>
      <c r="F1726" s="596">
        <f>SUM($E$2:E1726)/SUM($C$2:C1726)</f>
        <v>-3.1036052438265852E-2</v>
      </c>
      <c r="G1726" s="597">
        <f t="shared" si="260"/>
        <v>-162.16912505666718</v>
      </c>
      <c r="H1726" s="550" t="s">
        <v>587</v>
      </c>
      <c r="I1726" s="2"/>
      <c r="J1726" s="2"/>
      <c r="K1726" s="2"/>
      <c r="L1726" s="2"/>
      <c r="O1726" s="58"/>
      <c r="P1726" s="58"/>
    </row>
    <row r="1727" spans="2:16">
      <c r="B1727" s="652"/>
      <c r="C1727" s="589">
        <v>1.24</v>
      </c>
      <c r="D1727" s="541">
        <v>6.95</v>
      </c>
      <c r="E1727" s="590">
        <f t="shared" si="259"/>
        <v>7.3780000000000001</v>
      </c>
      <c r="F1727" s="591">
        <f>SUM($E$2:E1727)/SUM($C$2:C1727)</f>
        <v>-2.9617016620212225E-2</v>
      </c>
      <c r="G1727" s="592">
        <f t="shared" si="260"/>
        <v>-154.79112505666717</v>
      </c>
      <c r="H1727" s="547" t="s">
        <v>37</v>
      </c>
      <c r="I1727" s="2"/>
      <c r="J1727" s="2"/>
      <c r="K1727" s="2"/>
      <c r="L1727" s="2"/>
      <c r="O1727" s="58"/>
      <c r="P1727" s="58"/>
    </row>
    <row r="1728" spans="2:16">
      <c r="B1728" s="652"/>
      <c r="C1728" s="589">
        <v>1.24</v>
      </c>
      <c r="D1728" s="541"/>
      <c r="E1728" s="590">
        <f t="shared" si="259"/>
        <v>-1.24</v>
      </c>
      <c r="F1728" s="591">
        <f>SUM($E$2:E1728)/SUM($C$2:C1728)</f>
        <v>-2.984719105367329E-2</v>
      </c>
      <c r="G1728" s="592">
        <f t="shared" si="260"/>
        <v>-156.03112505666718</v>
      </c>
      <c r="H1728" s="547" t="s">
        <v>29</v>
      </c>
      <c r="I1728" s="2"/>
      <c r="J1728" s="2"/>
      <c r="K1728" s="2"/>
      <c r="L1728" s="2"/>
      <c r="O1728" s="58"/>
      <c r="P1728" s="58"/>
    </row>
    <row r="1729" spans="2:16">
      <c r="B1729" s="652"/>
      <c r="C1729" s="589">
        <v>1.24</v>
      </c>
      <c r="D1729" s="541">
        <v>1.111</v>
      </c>
      <c r="E1729" s="590">
        <f t="shared" si="259"/>
        <v>0.13763999999999998</v>
      </c>
      <c r="F1729" s="591">
        <f>SUM($E$2:E1729)/SUM($C$2:C1729)</f>
        <v>-2.9813790082190067E-2</v>
      </c>
      <c r="G1729" s="592">
        <f t="shared" si="260"/>
        <v>-155.89348505666717</v>
      </c>
      <c r="H1729" s="547" t="s">
        <v>10</v>
      </c>
      <c r="I1729" s="2"/>
      <c r="J1729" s="2"/>
      <c r="K1729" s="2"/>
      <c r="L1729" s="2"/>
      <c r="O1729" s="58"/>
      <c r="P1729" s="58"/>
    </row>
    <row r="1730" spans="2:16">
      <c r="B1730" s="652"/>
      <c r="C1730" s="594">
        <v>1.24</v>
      </c>
      <c r="D1730" s="542"/>
      <c r="E1730" s="595">
        <f t="shared" si="259"/>
        <v>-1.24</v>
      </c>
      <c r="F1730" s="596">
        <f>SUM($E$2:E1730)/SUM($C$2:C1730)</f>
        <v>-3.004380872042162E-2</v>
      </c>
      <c r="G1730" s="597">
        <f t="shared" si="260"/>
        <v>-157.13348505666718</v>
      </c>
      <c r="H1730" s="550" t="s">
        <v>27</v>
      </c>
      <c r="I1730" s="2">
        <f>SUM(E1705:E1730)</f>
        <v>-15.188759999999993</v>
      </c>
      <c r="J1730" s="2">
        <f>SUM(E1619:E1730)</f>
        <v>-33.459380000000003</v>
      </c>
      <c r="L1730" s="2">
        <f>I1730/C1730</f>
        <v>-12.248999999999995</v>
      </c>
      <c r="O1730" s="58"/>
      <c r="P1730" s="58"/>
    </row>
    <row r="1731" spans="2:16">
      <c r="B1731" s="650">
        <v>46126</v>
      </c>
      <c r="C1731" s="589">
        <v>9.0500000000000007</v>
      </c>
      <c r="D1731" s="541"/>
      <c r="E1731" s="590">
        <f t="shared" ref="E1731" si="261">(C1731*D1731)-C1731</f>
        <v>-9.0500000000000007</v>
      </c>
      <c r="F1731" s="591">
        <f>SUM($E$2:E1731)/SUM($C$2:C1731)</f>
        <v>-3.1719276616498357E-2</v>
      </c>
      <c r="G1731" s="592">
        <f t="shared" ref="G1731" si="262">G1730+E1731</f>
        <v>-166.18348505666719</v>
      </c>
      <c r="H1731" s="547" t="s">
        <v>15</v>
      </c>
      <c r="I1731" s="2"/>
      <c r="J1731" s="2"/>
      <c r="K1731" s="2"/>
      <c r="L1731" s="2"/>
      <c r="O1731" s="58"/>
      <c r="P1731" s="58"/>
    </row>
    <row r="1732" spans="2:16">
      <c r="B1732" s="652"/>
      <c r="C1732" s="594">
        <v>9.0500000000000007</v>
      </c>
      <c r="D1732" s="542"/>
      <c r="E1732" s="595">
        <f t="shared" ref="E1732:E1734" si="263">(C1732*D1732)-C1732</f>
        <v>-9.0500000000000007</v>
      </c>
      <c r="F1732" s="596">
        <f>SUM($E$2:E1732)/SUM($C$2:C1732)</f>
        <v>-3.3388966206270895E-2</v>
      </c>
      <c r="G1732" s="597">
        <f t="shared" ref="G1732:G1734" si="264">G1731+E1732</f>
        <v>-175.23348505666721</v>
      </c>
      <c r="H1732" s="550" t="s">
        <v>16</v>
      </c>
      <c r="I1732" s="2"/>
      <c r="J1732" s="2"/>
      <c r="K1732" s="2"/>
      <c r="L1732" s="2"/>
      <c r="O1732" s="58"/>
      <c r="P1732" s="58"/>
    </row>
    <row r="1733" spans="2:16">
      <c r="B1733" s="652"/>
      <c r="C1733" s="589">
        <v>9.0500000000000007</v>
      </c>
      <c r="D1733" s="541">
        <v>1</v>
      </c>
      <c r="E1733" s="590">
        <f t="shared" si="263"/>
        <v>0</v>
      </c>
      <c r="F1733" s="591">
        <f>SUM($E$2:E1733)/SUM($C$2:C1733)</f>
        <v>-3.3331489856405765E-2</v>
      </c>
      <c r="G1733" s="536">
        <f t="shared" si="264"/>
        <v>-175.23348505666721</v>
      </c>
      <c r="H1733" s="547" t="s">
        <v>36</v>
      </c>
      <c r="I1733" s="2"/>
      <c r="L1733" s="2"/>
      <c r="O1733" s="58"/>
      <c r="P1733" s="58"/>
    </row>
    <row r="1734" spans="2:16">
      <c r="B1734" s="652"/>
      <c r="C1734" s="594">
        <v>9.0500000000000007</v>
      </c>
      <c r="D1734" s="542">
        <v>1.98</v>
      </c>
      <c r="E1734" s="595">
        <f t="shared" si="263"/>
        <v>8.8689999999999998</v>
      </c>
      <c r="F1734" s="596">
        <f>SUM($E$2:E1734)/SUM($C$2:C1734)</f>
        <v>-3.1590120945718628E-2</v>
      </c>
      <c r="G1734" s="597">
        <f t="shared" si="264"/>
        <v>-166.36448505666721</v>
      </c>
      <c r="H1734" s="550" t="s">
        <v>588</v>
      </c>
      <c r="I1734" s="2">
        <f>SUM(E1731:E1734)</f>
        <v>-9.2310000000000016</v>
      </c>
      <c r="J1734" s="2"/>
      <c r="K1734" s="2"/>
      <c r="L1734" s="2">
        <f>I1734/C1734</f>
        <v>-1.02</v>
      </c>
      <c r="O1734" s="58"/>
      <c r="P1734" s="58"/>
    </row>
    <row r="1735" spans="2:16">
      <c r="B1735" s="259">
        <v>46127</v>
      </c>
      <c r="C1735" s="594">
        <v>8.89</v>
      </c>
      <c r="D1735" s="542"/>
      <c r="E1735" s="595">
        <f t="shared" ref="E1735" si="265">(C1735*D1735)-C1735</f>
        <v>-8.89</v>
      </c>
      <c r="F1735" s="596">
        <f>SUM($E$2:E1735)/SUM($C$2:C1735)</f>
        <v>-3.3222117118526164E-2</v>
      </c>
      <c r="G1735" s="535">
        <f t="shared" ref="G1735" si="266">G1734+E1735</f>
        <v>-175.25448505666719</v>
      </c>
      <c r="H1735" s="550" t="s">
        <v>103</v>
      </c>
      <c r="I1735" s="2">
        <f>SUM(E1735)</f>
        <v>-8.89</v>
      </c>
      <c r="L1735" s="2">
        <f>I1735/C1735</f>
        <v>-1</v>
      </c>
      <c r="O1735" s="58"/>
      <c r="P1735" s="58"/>
    </row>
    <row r="1736" spans="2:16">
      <c r="B1736" s="652">
        <v>46129</v>
      </c>
      <c r="C1736" s="589">
        <v>8.75</v>
      </c>
      <c r="D1736" s="541">
        <v>1.88</v>
      </c>
      <c r="E1736" s="590">
        <f t="shared" ref="E1736:E1739" si="267">(C1736*D1736)-C1736</f>
        <v>7.6999999999999993</v>
      </c>
      <c r="F1736" s="591">
        <f>SUM($E$2:E1736)/SUM($C$2:C1736)</f>
        <v>-3.1709869625977986E-2</v>
      </c>
      <c r="G1736" s="592">
        <f t="shared" ref="G1736:G1739" si="268">G1735+E1736</f>
        <v>-167.5544850566672</v>
      </c>
      <c r="H1736" s="547" t="s">
        <v>64</v>
      </c>
      <c r="I1736" s="2"/>
      <c r="J1736" s="2"/>
      <c r="K1736" s="2"/>
      <c r="L1736" s="2"/>
      <c r="O1736" s="58"/>
      <c r="P1736" s="58"/>
    </row>
    <row r="1737" spans="2:16">
      <c r="B1737" s="652"/>
      <c r="C1737" s="594">
        <v>8.75</v>
      </c>
      <c r="D1737" s="542"/>
      <c r="E1737" s="595">
        <f t="shared" si="267"/>
        <v>-8.75</v>
      </c>
      <c r="F1737" s="596">
        <f>SUM($E$2:E1737)/SUM($C$2:C1737)</f>
        <v>-3.3310656016396205E-2</v>
      </c>
      <c r="G1737" s="597">
        <f t="shared" si="268"/>
        <v>-176.3044850566672</v>
      </c>
      <c r="H1737" s="550" t="s">
        <v>589</v>
      </c>
      <c r="I1737" s="2"/>
      <c r="J1737" s="2"/>
      <c r="K1737" s="2"/>
      <c r="L1737" s="2"/>
      <c r="O1737" s="58"/>
      <c r="P1737" s="58"/>
    </row>
    <row r="1738" spans="2:16">
      <c r="B1738" s="652"/>
      <c r="C1738" s="589">
        <v>8.75</v>
      </c>
      <c r="D1738" s="541"/>
      <c r="E1738" s="590">
        <f t="shared" si="267"/>
        <v>-8.75</v>
      </c>
      <c r="F1738" s="591">
        <f>SUM($E$2:E1738)/SUM($C$2:C1738)</f>
        <v>-3.4906158272230918E-2</v>
      </c>
      <c r="G1738" s="592">
        <f t="shared" si="268"/>
        <v>-185.0544850566672</v>
      </c>
      <c r="H1738" s="547" t="s">
        <v>27</v>
      </c>
      <c r="I1738" s="2"/>
      <c r="J1738" s="2"/>
      <c r="K1738" s="2"/>
      <c r="L1738" s="2"/>
      <c r="O1738" s="58"/>
      <c r="P1738" s="58"/>
    </row>
    <row r="1739" spans="2:16">
      <c r="B1739" s="652"/>
      <c r="C1739" s="594">
        <v>8.75</v>
      </c>
      <c r="D1739" s="542"/>
      <c r="E1739" s="595">
        <f t="shared" si="267"/>
        <v>-8.75</v>
      </c>
      <c r="F1739" s="596">
        <f>SUM($E$2:E1739)/SUM($C$2:C1739)</f>
        <v>-3.6496402514458876E-2</v>
      </c>
      <c r="G1739" s="535">
        <f t="shared" si="268"/>
        <v>-193.8044850566672</v>
      </c>
      <c r="H1739" s="550" t="s">
        <v>193</v>
      </c>
      <c r="I1739" s="2">
        <f>SUM(E1736:E1739)</f>
        <v>-18.55</v>
      </c>
      <c r="L1739" s="2">
        <f>I1739/C1739</f>
        <v>-2.12</v>
      </c>
      <c r="O1739" s="58"/>
      <c r="P1739" s="58"/>
    </row>
    <row r="1740" spans="2:16">
      <c r="B1740" s="650">
        <v>46130</v>
      </c>
      <c r="C1740" s="589">
        <v>5.62</v>
      </c>
      <c r="D1740" s="541">
        <v>1.863</v>
      </c>
      <c r="E1740" s="590">
        <f t="shared" ref="E1740:E1747" si="269">(C1740*D1740)-C1740</f>
        <v>4.85006</v>
      </c>
      <c r="F1740" s="591">
        <f>SUM($E$2:E1740)/SUM($C$2:C1740)</f>
        <v>-3.5545441757590696E-2</v>
      </c>
      <c r="G1740" s="592">
        <f t="shared" ref="G1740:G1747" si="270">G1739+E1740</f>
        <v>-188.95442505666719</v>
      </c>
      <c r="H1740" s="547" t="s">
        <v>25</v>
      </c>
      <c r="I1740" s="2"/>
      <c r="J1740" s="2"/>
      <c r="K1740" s="2"/>
      <c r="L1740" s="2"/>
      <c r="O1740" s="58"/>
      <c r="P1740" s="58"/>
    </row>
    <row r="1741" spans="2:16">
      <c r="B1741" s="652"/>
      <c r="C1741" s="594">
        <v>5.62</v>
      </c>
      <c r="D1741" s="542">
        <v>1.83</v>
      </c>
      <c r="E1741" s="595">
        <f t="shared" si="269"/>
        <v>4.664600000000001</v>
      </c>
      <c r="F1741" s="596">
        <f>SUM($E$2:E1741)/SUM($C$2:C1741)</f>
        <v>-3.4631340854005085E-2</v>
      </c>
      <c r="G1741" s="597">
        <f t="shared" si="270"/>
        <v>-184.28982505666718</v>
      </c>
      <c r="H1741" s="550" t="s">
        <v>48</v>
      </c>
      <c r="I1741" s="2"/>
      <c r="J1741" s="2"/>
      <c r="K1741" s="2"/>
      <c r="L1741" s="2"/>
      <c r="O1741" s="58"/>
      <c r="P1741" s="58"/>
    </row>
    <row r="1742" spans="2:16">
      <c r="B1742" s="652"/>
      <c r="C1742" s="589">
        <v>5.62</v>
      </c>
      <c r="D1742" s="541"/>
      <c r="E1742" s="590">
        <f t="shared" si="269"/>
        <v>-5.62</v>
      </c>
      <c r="F1742" s="591">
        <f>SUM($E$2:E1742)/SUM($C$2:C1742)</f>
        <v>-3.5649789287163676E-2</v>
      </c>
      <c r="G1742" s="592">
        <f t="shared" si="270"/>
        <v>-189.90982505666719</v>
      </c>
      <c r="H1742" s="547" t="s">
        <v>14</v>
      </c>
      <c r="I1742" s="2"/>
      <c r="J1742" s="2"/>
      <c r="K1742" s="2"/>
      <c r="L1742" s="2"/>
      <c r="O1742" s="58"/>
      <c r="P1742" s="58"/>
    </row>
    <row r="1743" spans="2:16">
      <c r="B1743" s="652"/>
      <c r="C1743" s="589">
        <v>5.62</v>
      </c>
      <c r="D1743" s="541">
        <v>1.8</v>
      </c>
      <c r="E1743" s="590">
        <f t="shared" si="269"/>
        <v>4.4959999999999996</v>
      </c>
      <c r="F1743" s="591">
        <f>SUM($E$2:E1743)/SUM($C$2:C1743)</f>
        <v>-3.4769121269250254E-2</v>
      </c>
      <c r="G1743" s="592">
        <f t="shared" si="270"/>
        <v>-185.41382505666718</v>
      </c>
      <c r="H1743" s="547" t="s">
        <v>29</v>
      </c>
      <c r="I1743" s="2"/>
      <c r="J1743" s="2"/>
      <c r="K1743" s="2"/>
      <c r="L1743" s="2"/>
      <c r="O1743" s="58"/>
      <c r="P1743" s="58"/>
    </row>
    <row r="1744" spans="2:16">
      <c r="B1744" s="652"/>
      <c r="C1744" s="594">
        <v>5.62</v>
      </c>
      <c r="D1744" s="542"/>
      <c r="E1744" s="595">
        <f t="shared" si="269"/>
        <v>-5.62</v>
      </c>
      <c r="F1744" s="596">
        <f>SUM($E$2:E1744)/SUM($C$2:C1744)</f>
        <v>-3.5785280283399133E-2</v>
      </c>
      <c r="G1744" s="597">
        <f t="shared" si="270"/>
        <v>-191.03382505666718</v>
      </c>
      <c r="H1744" s="550" t="s">
        <v>260</v>
      </c>
      <c r="I1744" s="2"/>
      <c r="J1744" s="2"/>
      <c r="K1744" s="2"/>
      <c r="L1744" s="2"/>
      <c r="O1744" s="58"/>
      <c r="P1744" s="58"/>
    </row>
    <row r="1745" spans="2:16">
      <c r="B1745" s="652"/>
      <c r="C1745" s="589">
        <v>5.62</v>
      </c>
      <c r="D1745" s="541"/>
      <c r="E1745" s="590">
        <f t="shared" si="269"/>
        <v>-5.62</v>
      </c>
      <c r="F1745" s="591">
        <f>SUM($E$2:E1745)/SUM($C$2:C1745)</f>
        <v>-3.6799301999110447E-2</v>
      </c>
      <c r="G1745" s="592">
        <f t="shared" si="270"/>
        <v>-196.65382505666719</v>
      </c>
      <c r="H1745" s="547" t="s">
        <v>53</v>
      </c>
      <c r="I1745" s="2"/>
      <c r="J1745" s="2"/>
      <c r="K1745" s="2"/>
      <c r="L1745" s="2"/>
      <c r="O1745" s="58"/>
      <c r="P1745" s="58"/>
    </row>
    <row r="1746" spans="2:16">
      <c r="B1746" s="652"/>
      <c r="C1746" s="589">
        <v>5.62</v>
      </c>
      <c r="D1746" s="541">
        <v>1.86</v>
      </c>
      <c r="E1746" s="590">
        <f t="shared" si="269"/>
        <v>4.8332000000000006</v>
      </c>
      <c r="F1746" s="591">
        <f>SUM($E$2:E1746)/SUM($C$2:C1746)</f>
        <v>-3.5857168877885301E-2</v>
      </c>
      <c r="G1746" s="592">
        <f t="shared" si="270"/>
        <v>-191.82062505666718</v>
      </c>
      <c r="H1746" s="547" t="s">
        <v>10</v>
      </c>
      <c r="I1746" s="2"/>
      <c r="L1746" s="2"/>
      <c r="O1746" s="58"/>
      <c r="P1746" s="58"/>
    </row>
    <row r="1747" spans="2:16">
      <c r="B1747" s="652"/>
      <c r="C1747" s="594">
        <v>5.62</v>
      </c>
      <c r="D1747" s="542"/>
      <c r="E1747" s="595">
        <f t="shared" si="269"/>
        <v>-5.62</v>
      </c>
      <c r="F1747" s="596">
        <f>SUM($E$2:E1747)/SUM($C$2:C1747)</f>
        <v>-3.6868986823739805E-2</v>
      </c>
      <c r="G1747" s="535">
        <f t="shared" si="270"/>
        <v>-197.44062505666719</v>
      </c>
      <c r="H1747" s="550" t="s">
        <v>226</v>
      </c>
      <c r="I1747" s="2">
        <f>SUM(E1740:E1747)</f>
        <v>-3.6361399999999993</v>
      </c>
      <c r="L1747" s="2">
        <f>I1747/C1747</f>
        <v>-0.64699999999999991</v>
      </c>
      <c r="O1747" s="58"/>
      <c r="P1747" s="58"/>
    </row>
    <row r="1748" spans="2:16">
      <c r="B1748" s="650">
        <v>46131</v>
      </c>
      <c r="C1748" s="589">
        <v>3.843629291194445</v>
      </c>
      <c r="D1748" s="541"/>
      <c r="E1748" s="590">
        <f t="shared" ref="E1748:E1758" si="271">(C1748*D1748)-C1748</f>
        <v>-3.843629291194445</v>
      </c>
      <c r="F1748" s="591">
        <f>SUM($E$2:E1748)/SUM($C$2:C1748)</f>
        <v>-3.7559767133498227E-2</v>
      </c>
      <c r="G1748" s="536">
        <f t="shared" ref="G1748:G1758" si="272">G1747+E1748</f>
        <v>-201.28425434786163</v>
      </c>
      <c r="H1748" s="547" t="s">
        <v>51</v>
      </c>
      <c r="I1748" s="2"/>
      <c r="J1748" s="2"/>
      <c r="K1748" s="2"/>
      <c r="L1748" s="2"/>
      <c r="O1748" s="58"/>
      <c r="P1748" s="58"/>
    </row>
    <row r="1749" spans="2:16">
      <c r="B1749" s="652"/>
      <c r="C1749" s="589">
        <v>3.843629291194445</v>
      </c>
      <c r="D1749" s="541">
        <v>1.9</v>
      </c>
      <c r="E1749" s="590">
        <f t="shared" si="271"/>
        <v>3.4592663620750002</v>
      </c>
      <c r="F1749" s="591">
        <f>SUM($E$2:E1749)/SUM($C$2:C1749)</f>
        <v>-3.6887809069533872E-2</v>
      </c>
      <c r="G1749" s="592">
        <f t="shared" si="272"/>
        <v>-197.82498798578663</v>
      </c>
      <c r="H1749" s="547" t="s">
        <v>37</v>
      </c>
      <c r="I1749" s="2"/>
      <c r="J1749" s="2"/>
      <c r="K1749" s="2"/>
      <c r="L1749" s="2"/>
      <c r="O1749" s="58"/>
      <c r="P1749" s="58"/>
    </row>
    <row r="1750" spans="2:16">
      <c r="B1750" s="652"/>
      <c r="C1750" s="594">
        <v>3.843629291194445</v>
      </c>
      <c r="D1750" s="542">
        <v>1.9</v>
      </c>
      <c r="E1750" s="595">
        <f t="shared" si="271"/>
        <v>3.4592663620750002</v>
      </c>
      <c r="F1750" s="596">
        <f>SUM($E$2:E1750)/SUM($C$2:C1750)</f>
        <v>-3.6216813513290376E-2</v>
      </c>
      <c r="G1750" s="597">
        <f t="shared" si="272"/>
        <v>-194.36572162371164</v>
      </c>
      <c r="H1750" s="550" t="s">
        <v>417</v>
      </c>
      <c r="I1750" s="2"/>
      <c r="J1750" s="2"/>
      <c r="K1750" s="2"/>
      <c r="L1750" s="2"/>
      <c r="O1750" s="58"/>
      <c r="P1750" s="58"/>
    </row>
    <row r="1751" spans="2:16">
      <c r="B1751" s="652"/>
      <c r="C1751" s="589">
        <v>3.843629291194445</v>
      </c>
      <c r="D1751" s="541"/>
      <c r="E1751" s="590">
        <f t="shared" si="271"/>
        <v>-3.843629291194445</v>
      </c>
      <c r="F1751" s="591">
        <f>SUM($E$2:E1751)/SUM($C$2:C1751)</f>
        <v>-3.6906577432229734E-2</v>
      </c>
      <c r="G1751" s="592">
        <f t="shared" si="272"/>
        <v>-198.20935091490608</v>
      </c>
      <c r="H1751" s="547" t="s">
        <v>36</v>
      </c>
      <c r="I1751" s="2"/>
      <c r="J1751" s="2"/>
      <c r="K1751" s="2"/>
      <c r="L1751" s="2"/>
      <c r="O1751" s="58"/>
      <c r="P1751" s="58"/>
    </row>
    <row r="1752" spans="2:16">
      <c r="B1752" s="652"/>
      <c r="C1752" s="589">
        <v>3.843629291194445</v>
      </c>
      <c r="D1752" s="541">
        <v>1.86</v>
      </c>
      <c r="E1752" s="590">
        <f t="shared" si="271"/>
        <v>3.3055211904272235</v>
      </c>
      <c r="F1752" s="591">
        <f>SUM($E$2:E1752)/SUM($C$2:C1752)</f>
        <v>-3.6265135082278972E-2</v>
      </c>
      <c r="G1752" s="592">
        <f t="shared" si="272"/>
        <v>-194.90382972447887</v>
      </c>
      <c r="H1752" s="547" t="s">
        <v>30</v>
      </c>
      <c r="I1752" s="2"/>
      <c r="J1752" s="2"/>
      <c r="K1752" s="2"/>
      <c r="L1752" s="2"/>
      <c r="O1752" s="58"/>
      <c r="P1752" s="58"/>
    </row>
    <row r="1753" spans="2:16">
      <c r="B1753" s="652"/>
      <c r="C1753" s="594">
        <v>3.843629291194445</v>
      </c>
      <c r="D1753" s="542"/>
      <c r="E1753" s="595">
        <f t="shared" si="271"/>
        <v>-3.843629291194445</v>
      </c>
      <c r="F1753" s="596">
        <f>SUM($E$2:E1753)/SUM($C$2:C1753)</f>
        <v>-3.6953878573276061E-2</v>
      </c>
      <c r="G1753" s="597">
        <f t="shared" si="272"/>
        <v>-198.74745901567331</v>
      </c>
      <c r="H1753" s="550" t="s">
        <v>586</v>
      </c>
      <c r="I1753" s="2"/>
      <c r="J1753" s="2"/>
      <c r="K1753" s="2"/>
      <c r="L1753" s="2"/>
      <c r="O1753" s="58"/>
      <c r="P1753" s="58"/>
    </row>
    <row r="1754" spans="2:16">
      <c r="B1754" s="652"/>
      <c r="C1754" s="589">
        <v>3.843629291194445</v>
      </c>
      <c r="D1754" s="541">
        <v>1.75</v>
      </c>
      <c r="E1754" s="590">
        <f t="shared" si="271"/>
        <v>2.8827219683958334</v>
      </c>
      <c r="F1754" s="591">
        <f>SUM($E$2:E1754)/SUM($C$2:C1754)</f>
        <v>-3.6391875158120597E-2</v>
      </c>
      <c r="G1754" s="592">
        <f t="shared" si="272"/>
        <v>-195.86473704727749</v>
      </c>
      <c r="H1754" s="547" t="s">
        <v>64</v>
      </c>
      <c r="I1754" s="2"/>
      <c r="J1754" s="2"/>
      <c r="K1754" s="2"/>
      <c r="L1754" s="2"/>
      <c r="O1754" s="58"/>
      <c r="P1754" s="58"/>
    </row>
    <row r="1755" spans="2:16">
      <c r="B1755" s="652"/>
      <c r="C1755" s="594">
        <v>3.843629291194445</v>
      </c>
      <c r="D1755" s="542"/>
      <c r="E1755" s="595">
        <f t="shared" si="271"/>
        <v>-3.843629291194445</v>
      </c>
      <c r="F1755" s="596">
        <f>SUM($E$2:E1755)/SUM($C$2:C1755)</f>
        <v>-3.7079545171410107E-2</v>
      </c>
      <c r="G1755" s="597">
        <f t="shared" si="272"/>
        <v>-199.70836633847193</v>
      </c>
      <c r="H1755" s="550" t="s">
        <v>113</v>
      </c>
      <c r="I1755" s="2"/>
      <c r="J1755" s="2"/>
      <c r="K1755" s="2"/>
      <c r="L1755" s="2"/>
      <c r="O1755" s="58"/>
      <c r="P1755" s="58"/>
    </row>
    <row r="1756" spans="2:16">
      <c r="B1756" s="652"/>
      <c r="C1756" s="589">
        <v>3.843629291194445</v>
      </c>
      <c r="D1756" s="541"/>
      <c r="E1756" s="590">
        <f t="shared" si="271"/>
        <v>-3.843629291194445</v>
      </c>
      <c r="F1756" s="591">
        <f>SUM($E$2:E1756)/SUM($C$2:C1756)</f>
        <v>-3.7766234385966081E-2</v>
      </c>
      <c r="G1756" s="592">
        <f t="shared" si="272"/>
        <v>-203.55199562966638</v>
      </c>
      <c r="H1756" s="547" t="s">
        <v>52</v>
      </c>
      <c r="I1756" s="2"/>
      <c r="J1756" s="2"/>
      <c r="K1756" s="2"/>
      <c r="L1756" s="2"/>
      <c r="O1756" s="58"/>
      <c r="P1756" s="58"/>
    </row>
    <row r="1757" spans="2:16">
      <c r="B1757" s="652"/>
      <c r="C1757" s="589">
        <v>3.843629291194445</v>
      </c>
      <c r="D1757" s="541"/>
      <c r="E1757" s="590">
        <f t="shared" si="271"/>
        <v>-3.843629291194445</v>
      </c>
      <c r="F1757" s="591">
        <f>SUM($E$2:E1757)/SUM($C$2:C1757)</f>
        <v>-3.845194489860955E-2</v>
      </c>
      <c r="G1757" s="592">
        <f t="shared" si="272"/>
        <v>-207.39562492086083</v>
      </c>
      <c r="H1757" s="547" t="s">
        <v>12</v>
      </c>
      <c r="I1757" s="2"/>
      <c r="J1757" s="2"/>
      <c r="K1757" s="2"/>
      <c r="L1757" s="2"/>
      <c r="O1757" s="58"/>
      <c r="P1757" s="58"/>
    </row>
    <row r="1758" spans="2:16">
      <c r="B1758" s="652"/>
      <c r="C1758" s="594">
        <v>3.843629291194445</v>
      </c>
      <c r="D1758" s="542"/>
      <c r="E1758" s="595">
        <f t="shared" si="271"/>
        <v>-3.843629291194445</v>
      </c>
      <c r="F1758" s="596">
        <f>SUM($E$2:E1758)/SUM($C$2:C1758)</f>
        <v>-3.913667880018884E-2</v>
      </c>
      <c r="G1758" s="597">
        <f t="shared" si="272"/>
        <v>-211.23925421205527</v>
      </c>
      <c r="H1758" s="550" t="s">
        <v>262</v>
      </c>
      <c r="I1758" s="2">
        <f>SUM(E1748:E1758)</f>
        <v>-13.798629155388056</v>
      </c>
      <c r="J1758" s="2">
        <f>SUM(E1731:E1758)</f>
        <v>-54.105769155388074</v>
      </c>
      <c r="L1758" s="2">
        <f>I1758/C1758</f>
        <v>-3.59</v>
      </c>
      <c r="O1758" s="58"/>
      <c r="P1758" s="58"/>
    </row>
    <row r="1759" spans="2:16">
      <c r="B1759" s="650">
        <v>46132</v>
      </c>
      <c r="C1759" s="589">
        <v>5.43</v>
      </c>
      <c r="D1759" s="541"/>
      <c r="E1759" s="590">
        <f t="shared" ref="E1759:E1763" si="273">(C1759*D1759)-C1759</f>
        <v>-5.43</v>
      </c>
      <c r="F1759" s="591">
        <f>SUM($E$2:E1759)/SUM($C$2:C1759)</f>
        <v>-4.0102360709616265E-2</v>
      </c>
      <c r="G1759" s="592">
        <f t="shared" ref="G1759:G1763" si="274">G1758+E1759</f>
        <v>-216.66925421205528</v>
      </c>
      <c r="H1759" s="547" t="s">
        <v>25</v>
      </c>
      <c r="I1759" s="2"/>
      <c r="J1759" s="2"/>
      <c r="K1759" s="2"/>
      <c r="L1759" s="2"/>
      <c r="O1759" s="58"/>
      <c r="P1759" s="58"/>
    </row>
    <row r="1760" spans="2:16">
      <c r="B1760" s="652"/>
      <c r="C1760" s="594">
        <v>5.43</v>
      </c>
      <c r="D1760" s="542"/>
      <c r="E1760" s="595">
        <f t="shared" si="273"/>
        <v>-5.43</v>
      </c>
      <c r="F1760" s="596">
        <f>SUM($E$2:E1760)/SUM($C$2:C1760)</f>
        <v>-4.1066103518544159E-2</v>
      </c>
      <c r="G1760" s="597">
        <f t="shared" si="274"/>
        <v>-222.09925421205529</v>
      </c>
      <c r="H1760" s="550" t="s">
        <v>48</v>
      </c>
      <c r="I1760" s="2"/>
      <c r="J1760" s="2"/>
      <c r="K1760" s="2"/>
      <c r="L1760" s="2"/>
      <c r="O1760" s="58"/>
      <c r="P1760" s="58"/>
    </row>
    <row r="1761" spans="2:16">
      <c r="B1761" s="652"/>
      <c r="C1761" s="589">
        <v>5.43</v>
      </c>
      <c r="D1761" s="541">
        <v>1.9</v>
      </c>
      <c r="E1761" s="590">
        <f t="shared" si="273"/>
        <v>4.8869999999999987</v>
      </c>
      <c r="F1761" s="591">
        <f>SUM($E$2:E1761)/SUM($C$2:C1761)</f>
        <v>-4.0122215350190178E-2</v>
      </c>
      <c r="G1761" s="592">
        <f t="shared" si="274"/>
        <v>-217.21225421205529</v>
      </c>
      <c r="H1761" s="547" t="s">
        <v>14</v>
      </c>
      <c r="I1761" s="2"/>
      <c r="J1761" s="2"/>
      <c r="K1761" s="2"/>
      <c r="L1761" s="2"/>
      <c r="O1761" s="58"/>
      <c r="P1761" s="58"/>
    </row>
    <row r="1762" spans="2:16">
      <c r="B1762" s="652"/>
      <c r="C1762" s="589">
        <v>5.43</v>
      </c>
      <c r="D1762" s="541"/>
      <c r="E1762" s="590">
        <f t="shared" si="273"/>
        <v>-5.43</v>
      </c>
      <c r="F1762" s="591">
        <f>SUM($E$2:E1762)/SUM($C$2:C1762)</f>
        <v>-4.1084006936258535E-2</v>
      </c>
      <c r="G1762" s="592">
        <f t="shared" si="274"/>
        <v>-222.64225421205529</v>
      </c>
      <c r="H1762" s="547" t="s">
        <v>29</v>
      </c>
      <c r="I1762" s="2"/>
      <c r="J1762" s="2"/>
      <c r="K1762" s="2"/>
      <c r="L1762" s="2"/>
      <c r="O1762" s="58"/>
      <c r="P1762" s="58"/>
    </row>
    <row r="1763" spans="2:16">
      <c r="B1763" s="652"/>
      <c r="C1763" s="594">
        <v>5.43</v>
      </c>
      <c r="D1763" s="542"/>
      <c r="E1763" s="595">
        <f t="shared" si="273"/>
        <v>-5.43</v>
      </c>
      <c r="F1763" s="596">
        <f>SUM($E$2:E1763)/SUM($C$2:C1763)</f>
        <v>-4.2043873033248566E-2</v>
      </c>
      <c r="G1763" s="597">
        <f t="shared" si="274"/>
        <v>-228.0722542120553</v>
      </c>
      <c r="H1763" s="550" t="s">
        <v>260</v>
      </c>
      <c r="I1763" s="2">
        <f>SUM(E1759:E1763)</f>
        <v>-16.832999999999998</v>
      </c>
      <c r="L1763" s="2">
        <f>I1763/C1763</f>
        <v>-3.1</v>
      </c>
      <c r="O1763" s="58"/>
      <c r="P1763" s="58"/>
    </row>
    <row r="1764" spans="2:16">
      <c r="B1764" s="650">
        <v>46133</v>
      </c>
      <c r="C1764" s="589">
        <v>5.24</v>
      </c>
      <c r="D1764" s="541">
        <v>1.9</v>
      </c>
      <c r="E1764" s="590">
        <f t="shared" ref="E1764:E1771" si="275">(C1764*D1764)-C1764</f>
        <v>4.7159999999999993</v>
      </c>
      <c r="F1764" s="591">
        <f>SUM($E$2:E1764)/SUM($C$2:C1764)</f>
        <v>-4.1134769456978575E-2</v>
      </c>
      <c r="G1764" s="592">
        <f t="shared" ref="G1764:G1771" si="276">G1763+E1764</f>
        <v>-223.35625421205529</v>
      </c>
      <c r="H1764" s="547" t="s">
        <v>51</v>
      </c>
      <c r="I1764" s="2"/>
      <c r="J1764" s="2"/>
      <c r="K1764" s="2"/>
      <c r="L1764" s="2"/>
      <c r="O1764" s="58"/>
      <c r="P1764" s="58"/>
    </row>
    <row r="1765" spans="2:16">
      <c r="B1765" s="652"/>
      <c r="C1765" s="594">
        <v>5.24</v>
      </c>
      <c r="D1765" s="542"/>
      <c r="E1765" s="595">
        <f t="shared" si="275"/>
        <v>-5.24</v>
      </c>
      <c r="F1765" s="596">
        <f>SUM($E$2:E1765)/SUM($C$2:C1765)</f>
        <v>-4.2059214081335061E-2</v>
      </c>
      <c r="G1765" s="597">
        <f t="shared" si="276"/>
        <v>-228.5962542120553</v>
      </c>
      <c r="H1765" s="550" t="s">
        <v>417</v>
      </c>
      <c r="I1765" s="2"/>
      <c r="J1765" s="2"/>
      <c r="K1765" s="2"/>
      <c r="L1765" s="2"/>
      <c r="O1765" s="58"/>
      <c r="P1765" s="58"/>
    </row>
    <row r="1766" spans="2:16">
      <c r="B1766" s="652"/>
      <c r="C1766" s="589">
        <v>5.24</v>
      </c>
      <c r="D1766" s="541">
        <v>1.9</v>
      </c>
      <c r="E1766" s="590">
        <f t="shared" si="275"/>
        <v>4.7159999999999993</v>
      </c>
      <c r="F1766" s="591">
        <f>SUM($E$2:E1766)/SUM($C$2:C1766)</f>
        <v>-4.1151846979129977E-2</v>
      </c>
      <c r="G1766" s="592">
        <f t="shared" si="276"/>
        <v>-223.88025421205529</v>
      </c>
      <c r="H1766" s="547" t="s">
        <v>52</v>
      </c>
      <c r="I1766" s="2"/>
      <c r="J1766" s="2"/>
      <c r="K1766" s="2"/>
      <c r="L1766" s="2"/>
      <c r="O1766" s="58"/>
      <c r="P1766" s="58"/>
    </row>
    <row r="1767" spans="2:16">
      <c r="B1767" s="652"/>
      <c r="C1767" s="589">
        <v>5.24</v>
      </c>
      <c r="D1767" s="541"/>
      <c r="E1767" s="590">
        <f t="shared" si="275"/>
        <v>-5.24</v>
      </c>
      <c r="F1767" s="591">
        <f>SUM($E$2:E1767)/SUM($C$2:C1767)</f>
        <v>-4.207449608188954E-2</v>
      </c>
      <c r="G1767" s="592">
        <f t="shared" si="276"/>
        <v>-229.1202542120553</v>
      </c>
      <c r="H1767" s="547" t="s">
        <v>12</v>
      </c>
      <c r="I1767" s="2"/>
      <c r="J1767" s="2"/>
      <c r="K1767" s="2"/>
      <c r="L1767" s="2"/>
      <c r="O1767" s="58"/>
      <c r="P1767" s="58"/>
    </row>
    <row r="1768" spans="2:16">
      <c r="B1768" s="652"/>
      <c r="C1768" s="594">
        <v>5.24</v>
      </c>
      <c r="D1768" s="542"/>
      <c r="E1768" s="595">
        <f t="shared" si="275"/>
        <v>-5.24</v>
      </c>
      <c r="F1768" s="596">
        <f>SUM($E$2:E1768)/SUM($C$2:C1768)</f>
        <v>-4.2995371258280554E-2</v>
      </c>
      <c r="G1768" s="597">
        <f t="shared" si="276"/>
        <v>-234.36025421205531</v>
      </c>
      <c r="H1768" s="550" t="s">
        <v>262</v>
      </c>
      <c r="I1768" s="2"/>
      <c r="J1768" s="2"/>
      <c r="K1768" s="2"/>
      <c r="L1768" s="2"/>
      <c r="O1768" s="58"/>
      <c r="P1768" s="58"/>
    </row>
    <row r="1769" spans="2:16">
      <c r="B1769" s="652"/>
      <c r="C1769" s="589">
        <v>5.24</v>
      </c>
      <c r="D1769" s="541"/>
      <c r="E1769" s="590">
        <f t="shared" si="275"/>
        <v>-5.24</v>
      </c>
      <c r="F1769" s="591">
        <f>SUM($E$2:E1769)/SUM($C$2:C1769)</f>
        <v>-4.3914477619334764E-2</v>
      </c>
      <c r="G1769" s="592">
        <f t="shared" si="276"/>
        <v>-239.60025421205532</v>
      </c>
      <c r="H1769" s="547" t="s">
        <v>53</v>
      </c>
      <c r="I1769" s="2"/>
      <c r="J1769" s="2"/>
      <c r="K1769" s="2"/>
      <c r="L1769" s="2"/>
      <c r="O1769" s="58"/>
      <c r="P1769" s="58"/>
    </row>
    <row r="1770" spans="2:16">
      <c r="B1770" s="652"/>
      <c r="C1770" s="589">
        <v>5.24</v>
      </c>
      <c r="D1770" s="541">
        <v>1.762</v>
      </c>
      <c r="E1770" s="590">
        <f t="shared" si="275"/>
        <v>3.9928799999999995</v>
      </c>
      <c r="F1770" s="591">
        <f>SUM($E$2:E1770)/SUM($C$2:C1770)</f>
        <v>-4.3141220734989862E-2</v>
      </c>
      <c r="G1770" s="592">
        <f t="shared" si="276"/>
        <v>-235.60737421205533</v>
      </c>
      <c r="H1770" s="547" t="s">
        <v>10</v>
      </c>
      <c r="I1770" s="2"/>
      <c r="J1770" s="2"/>
      <c r="K1770" s="2"/>
      <c r="L1770" s="2"/>
      <c r="O1770" s="58"/>
      <c r="P1770" s="58"/>
    </row>
    <row r="1771" spans="2:16">
      <c r="B1771" s="652"/>
      <c r="C1771" s="594">
        <v>5.24</v>
      </c>
      <c r="D1771" s="542"/>
      <c r="E1771" s="595">
        <f t="shared" si="275"/>
        <v>-5.24</v>
      </c>
      <c r="F1771" s="596">
        <f>SUM($E$2:E1771)/SUM($C$2:C1771)</f>
        <v>-4.4058425257589628E-2</v>
      </c>
      <c r="G1771" s="597">
        <f t="shared" si="276"/>
        <v>-240.84737421205534</v>
      </c>
      <c r="H1771" s="550" t="s">
        <v>226</v>
      </c>
      <c r="I1771" s="2">
        <f>SUM(E1764:E1771)</f>
        <v>-12.775120000000003</v>
      </c>
      <c r="L1771" s="2">
        <f>I1771/C1771</f>
        <v>-2.4380000000000006</v>
      </c>
      <c r="O1771" s="58"/>
      <c r="P1771" s="58"/>
    </row>
    <row r="1772" spans="2:16">
      <c r="B1772" s="650">
        <v>46134</v>
      </c>
      <c r="C1772" s="589">
        <v>7.65</v>
      </c>
      <c r="D1772" s="541"/>
      <c r="E1772" s="590">
        <f t="shared" ref="E1772:E1775" si="277">(C1772*D1772)-C1772</f>
        <v>-7.65</v>
      </c>
      <c r="F1772" s="591">
        <f>SUM($E$2:E1772)/SUM($C$2:C1772)</f>
        <v>-4.5394320808666719E-2</v>
      </c>
      <c r="G1772" s="592">
        <f t="shared" ref="G1772:G1775" si="278">G1771+E1772</f>
        <v>-248.49737421205535</v>
      </c>
      <c r="H1772" s="547" t="s">
        <v>64</v>
      </c>
      <c r="I1772" s="2"/>
      <c r="J1772" s="2"/>
      <c r="K1772" s="2"/>
      <c r="L1772" s="2"/>
      <c r="O1772" s="58"/>
      <c r="P1772" s="58"/>
    </row>
    <row r="1773" spans="2:16">
      <c r="B1773" s="652"/>
      <c r="C1773" s="594">
        <v>7.65</v>
      </c>
      <c r="D1773" s="542"/>
      <c r="E1773" s="595">
        <f t="shared" si="277"/>
        <v>-7.65</v>
      </c>
      <c r="F1773" s="596">
        <f>SUM($E$2:E1773)/SUM($C$2:C1773)</f>
        <v>-4.6726487833838273E-2</v>
      </c>
      <c r="G1773" s="561">
        <f t="shared" si="278"/>
        <v>-256.14737421205535</v>
      </c>
      <c r="H1773" s="550" t="s">
        <v>113</v>
      </c>
      <c r="I1773" s="2"/>
      <c r="J1773" s="2"/>
      <c r="K1773" s="2"/>
      <c r="L1773" s="2"/>
      <c r="O1773" s="58"/>
      <c r="P1773" s="58"/>
    </row>
    <row r="1774" spans="2:16">
      <c r="B1774" s="652"/>
      <c r="C1774" s="589">
        <v>7.65</v>
      </c>
      <c r="D1774" s="541">
        <v>1.8640000000000001</v>
      </c>
      <c r="E1774" s="590">
        <f t="shared" si="277"/>
        <v>6.6096000000000004</v>
      </c>
      <c r="F1774" s="591">
        <f>SUM($E$2:E1774)/SUM($C$2:C1774)</f>
        <v>-4.5457326035459433E-2</v>
      </c>
      <c r="G1774" s="592">
        <f t="shared" si="278"/>
        <v>-249.53777421205535</v>
      </c>
      <c r="H1774" s="547" t="s">
        <v>36</v>
      </c>
      <c r="I1774" s="2"/>
      <c r="J1774" s="2"/>
      <c r="K1774" s="2"/>
      <c r="L1774" s="2"/>
      <c r="O1774" s="58"/>
      <c r="P1774" s="58"/>
    </row>
    <row r="1775" spans="2:16">
      <c r="B1775" s="652"/>
      <c r="C1775" s="594">
        <v>7.65</v>
      </c>
      <c r="D1775" s="542">
        <v>1.87</v>
      </c>
      <c r="E1775" s="595">
        <f t="shared" si="277"/>
        <v>6.6555000000000017</v>
      </c>
      <c r="F1775" s="596">
        <f>SUM($E$2:E1775)/SUM($C$2:C1775)</f>
        <v>-4.4183346859441662E-2</v>
      </c>
      <c r="G1775" s="597">
        <f t="shared" si="278"/>
        <v>-242.88227421205536</v>
      </c>
      <c r="H1775" s="550" t="s">
        <v>586</v>
      </c>
      <c r="I1775" s="2">
        <f>SUM(E1772:E1775)</f>
        <v>-2.0348999999999986</v>
      </c>
      <c r="L1775" s="2">
        <f>I1775/C1775</f>
        <v>-0.26599999999999979</v>
      </c>
      <c r="O1775" s="58"/>
      <c r="P1775" s="58"/>
    </row>
    <row r="1776" spans="2:16">
      <c r="B1776" s="650">
        <v>46135</v>
      </c>
      <c r="C1776" s="589">
        <v>5.08</v>
      </c>
      <c r="D1776" s="541">
        <v>1.93</v>
      </c>
      <c r="E1776" s="590">
        <f t="shared" ref="E1776:E1781" si="279">(C1776*D1776)-C1776</f>
        <v>4.7243999999999993</v>
      </c>
      <c r="F1776" s="591">
        <f>SUM($E$2:E1776)/SUM($C$2:C1776)</f>
        <v>-4.3283919591437903E-2</v>
      </c>
      <c r="G1776" s="592">
        <f t="shared" ref="G1776:G1781" si="280">G1775+E1776</f>
        <v>-238.15787421205536</v>
      </c>
      <c r="H1776" s="547" t="s">
        <v>29</v>
      </c>
      <c r="I1776" s="2"/>
      <c r="J1776" s="2"/>
      <c r="K1776" s="2"/>
      <c r="L1776" s="2"/>
      <c r="O1776" s="58"/>
      <c r="P1776" s="58"/>
    </row>
    <row r="1777" spans="2:16">
      <c r="B1777" s="652"/>
      <c r="C1777" s="589">
        <v>5.08</v>
      </c>
      <c r="D1777" s="541"/>
      <c r="E1777" s="590">
        <f t="shared" si="279"/>
        <v>-5.08</v>
      </c>
      <c r="F1777" s="591">
        <f>SUM($E$2:E1777)/SUM($C$2:C1777)</f>
        <v>-4.4166405215519566E-2</v>
      </c>
      <c r="G1777" s="592">
        <f t="shared" si="280"/>
        <v>-243.23787421205537</v>
      </c>
      <c r="H1777" s="547" t="s">
        <v>14</v>
      </c>
      <c r="I1777" s="2"/>
      <c r="J1777" s="2"/>
      <c r="K1777" s="2"/>
      <c r="L1777" s="2"/>
      <c r="O1777" s="58"/>
      <c r="P1777" s="58"/>
    </row>
    <row r="1778" spans="2:16">
      <c r="B1778" s="652"/>
      <c r="C1778" s="594">
        <v>5.08</v>
      </c>
      <c r="D1778" s="542">
        <v>1.98</v>
      </c>
      <c r="E1778" s="595">
        <f t="shared" si="279"/>
        <v>4.9784000000000006</v>
      </c>
      <c r="F1778" s="596">
        <f>SUM($E$2:E1778)/SUM($C$2:C1778)</f>
        <v>-4.3222573257818746E-2</v>
      </c>
      <c r="G1778" s="597">
        <f t="shared" si="280"/>
        <v>-238.25947421205538</v>
      </c>
      <c r="H1778" s="550" t="s">
        <v>234</v>
      </c>
      <c r="I1778" s="2"/>
      <c r="J1778" s="2"/>
      <c r="K1778" s="2"/>
      <c r="L1778" s="2"/>
      <c r="O1778" s="58"/>
      <c r="P1778" s="58"/>
    </row>
    <row r="1779" spans="2:16">
      <c r="B1779" s="652"/>
      <c r="C1779" s="594">
        <v>5.08</v>
      </c>
      <c r="D1779" s="542">
        <v>1.9</v>
      </c>
      <c r="E1779" s="595">
        <f t="shared" si="279"/>
        <v>4.5719999999999992</v>
      </c>
      <c r="F1779" s="596">
        <f>SUM($E$2:E1779)/SUM($C$2:C1779)</f>
        <v>-4.2354136307739682E-2</v>
      </c>
      <c r="G1779" s="597">
        <f t="shared" si="280"/>
        <v>-233.68747421205538</v>
      </c>
      <c r="H1779" s="550" t="s">
        <v>590</v>
      </c>
      <c r="I1779" s="2"/>
      <c r="J1779" s="2"/>
      <c r="K1779" s="2"/>
      <c r="L1779" s="2"/>
      <c r="O1779" s="58"/>
      <c r="P1779" s="58"/>
    </row>
    <row r="1780" spans="2:16">
      <c r="B1780" s="652"/>
      <c r="C1780" s="589">
        <v>5.08</v>
      </c>
      <c r="D1780" s="541">
        <v>1.85</v>
      </c>
      <c r="E1780" s="590">
        <f t="shared" si="279"/>
        <v>4.3180000000000014</v>
      </c>
      <c r="F1780" s="591">
        <f>SUM($E$2:E1780)/SUM($C$2:C1780)</f>
        <v>-4.153329033405026E-2</v>
      </c>
      <c r="G1780" s="592">
        <f t="shared" si="280"/>
        <v>-229.36947421205537</v>
      </c>
      <c r="H1780" s="547" t="s">
        <v>59</v>
      </c>
      <c r="I1780" s="2"/>
      <c r="J1780" s="2"/>
      <c r="K1780" s="2"/>
      <c r="L1780" s="2"/>
      <c r="O1780" s="58"/>
      <c r="P1780" s="58"/>
    </row>
    <row r="1781" spans="2:16">
      <c r="B1781" s="651"/>
      <c r="C1781" s="594">
        <v>5.08</v>
      </c>
      <c r="D1781" s="542">
        <v>1.88</v>
      </c>
      <c r="E1781" s="595">
        <f t="shared" si="279"/>
        <v>4.4703999999999997</v>
      </c>
      <c r="F1781" s="596">
        <f>SUM($E$2:E1781)/SUM($C$2:C1781)</f>
        <v>-4.0686382498522543E-2</v>
      </c>
      <c r="G1781" s="597">
        <f t="shared" si="280"/>
        <v>-224.89907421205535</v>
      </c>
      <c r="H1781" s="550" t="s">
        <v>591</v>
      </c>
      <c r="I1781" s="2">
        <f>SUM(E1776:E1781)</f>
        <v>17.9832</v>
      </c>
      <c r="L1781" s="2">
        <f>I1781/C1781</f>
        <v>3.54</v>
      </c>
      <c r="O1781" s="58"/>
      <c r="P1781" s="58"/>
    </row>
    <row r="1782" spans="2:16">
      <c r="B1782" s="652">
        <v>46136</v>
      </c>
      <c r="C1782" s="594">
        <v>5.28</v>
      </c>
      <c r="D1782" s="542"/>
      <c r="E1782" s="595">
        <f t="shared" ref="E1782:E1783" si="281">(C1782*D1782)-C1782</f>
        <v>-5.28</v>
      </c>
      <c r="F1782" s="596">
        <f>SUM($E$2:E1782)/SUM($C$2:C1782)</f>
        <v>-4.1601846562056233E-2</v>
      </c>
      <c r="G1782" s="597">
        <f t="shared" ref="G1782:G1783" si="282">G1781+E1782</f>
        <v>-230.17907421205535</v>
      </c>
      <c r="H1782" s="550" t="s">
        <v>592</v>
      </c>
      <c r="I1782" s="2"/>
      <c r="J1782" s="2"/>
      <c r="K1782" s="2"/>
      <c r="L1782" s="2"/>
      <c r="O1782" s="58"/>
      <c r="P1782" s="58"/>
    </row>
    <row r="1783" spans="2:16">
      <c r="B1783" s="652"/>
      <c r="C1783" s="589">
        <v>5.28</v>
      </c>
      <c r="D1783" s="541">
        <v>1.9</v>
      </c>
      <c r="E1783" s="590">
        <f t="shared" si="281"/>
        <v>4.7519999999999998</v>
      </c>
      <c r="F1783" s="591">
        <f>SUM($E$2:E1783)/SUM($C$2:C1783)</f>
        <v>-4.0704141348546552E-2</v>
      </c>
      <c r="G1783" s="592">
        <f t="shared" si="282"/>
        <v>-225.42707421205535</v>
      </c>
      <c r="H1783" s="547" t="s">
        <v>593</v>
      </c>
      <c r="I1783" s="2"/>
      <c r="J1783" s="2"/>
      <c r="K1783" s="2"/>
      <c r="L1783" s="2"/>
      <c r="O1783" s="58"/>
      <c r="P1783" s="58"/>
    </row>
    <row r="1784" spans="2:16">
      <c r="B1784" s="652"/>
      <c r="C1784" s="589">
        <v>5.28</v>
      </c>
      <c r="D1784" s="541">
        <v>1.9</v>
      </c>
      <c r="E1784" s="590">
        <f t="shared" ref="E1784:E1788" si="283">(C1784*D1784)-C1784</f>
        <v>4.7519999999999998</v>
      </c>
      <c r="F1784" s="591">
        <f>SUM($E$2:E1784)/SUM($C$2:C1784)</f>
        <v>-3.9808146214683794E-2</v>
      </c>
      <c r="G1784" s="592">
        <f t="shared" ref="G1784:G1788" si="284">G1783+E1784</f>
        <v>-220.67507421205534</v>
      </c>
      <c r="H1784" s="547" t="s">
        <v>53</v>
      </c>
      <c r="I1784" s="2"/>
      <c r="J1784" s="2"/>
      <c r="K1784" s="2"/>
      <c r="L1784" s="2"/>
      <c r="O1784" s="58"/>
      <c r="P1784" s="58"/>
    </row>
    <row r="1785" spans="2:16">
      <c r="B1785" s="652"/>
      <c r="C1785" s="594">
        <v>5.28</v>
      </c>
      <c r="D1785" s="542">
        <v>1.9</v>
      </c>
      <c r="E1785" s="595">
        <f t="shared" si="283"/>
        <v>4.7519999999999998</v>
      </c>
      <c r="F1785" s="596">
        <f>SUM($E$2:E1785)/SUM($C$2:C1785)</f>
        <v>-3.8913856278704514E-2</v>
      </c>
      <c r="G1785" s="597">
        <f t="shared" si="284"/>
        <v>-215.92307421205533</v>
      </c>
      <c r="H1785" s="550" t="s">
        <v>476</v>
      </c>
      <c r="I1785" s="2"/>
      <c r="J1785" s="2"/>
      <c r="K1785" s="2"/>
      <c r="L1785" s="2"/>
      <c r="O1785" s="58"/>
      <c r="P1785" s="58"/>
    </row>
    <row r="1786" spans="2:16">
      <c r="B1786" s="652"/>
      <c r="C1786" s="589">
        <v>5.28</v>
      </c>
      <c r="D1786" s="541"/>
      <c r="E1786" s="590">
        <f t="shared" si="283"/>
        <v>-5.28</v>
      </c>
      <c r="F1786" s="591">
        <f>SUM($E$2:E1786)/SUM($C$2:C1786)</f>
        <v>-3.9827524228216914E-2</v>
      </c>
      <c r="G1786" s="592">
        <f t="shared" si="284"/>
        <v>-221.20307421205533</v>
      </c>
      <c r="H1786" s="547" t="s">
        <v>12</v>
      </c>
      <c r="I1786" s="2"/>
      <c r="J1786" s="2"/>
      <c r="K1786" s="2"/>
      <c r="L1786" s="2"/>
      <c r="O1786" s="58"/>
      <c r="P1786" s="58"/>
    </row>
    <row r="1787" spans="2:16">
      <c r="B1787" s="652"/>
      <c r="C1787" s="589">
        <v>5.28</v>
      </c>
      <c r="D1787" s="541">
        <v>1.86</v>
      </c>
      <c r="E1787" s="590">
        <f t="shared" si="283"/>
        <v>4.5407999999999999</v>
      </c>
      <c r="F1787" s="591">
        <f>SUM($E$2:E1787)/SUM($C$2:C1787)</f>
        <v>-3.89729049663394E-2</v>
      </c>
      <c r="G1787" s="592">
        <f t="shared" si="284"/>
        <v>-216.66227421205534</v>
      </c>
      <c r="H1787" s="547" t="s">
        <v>52</v>
      </c>
      <c r="I1787" s="2"/>
      <c r="J1787" s="2"/>
      <c r="K1787" s="2"/>
      <c r="L1787" s="2"/>
      <c r="O1787" s="58"/>
      <c r="P1787" s="58"/>
    </row>
    <row r="1788" spans="2:16">
      <c r="B1788" s="651"/>
      <c r="C1788" s="594">
        <v>5.28</v>
      </c>
      <c r="D1788" s="542">
        <v>1.9</v>
      </c>
      <c r="E1788" s="595">
        <f t="shared" si="283"/>
        <v>4.7519999999999998</v>
      </c>
      <c r="F1788" s="596">
        <f>SUM($E$2:E1788)/SUM($C$2:C1788)</f>
        <v>-3.8081953217417405E-2</v>
      </c>
      <c r="G1788" s="597">
        <f t="shared" si="284"/>
        <v>-211.91027421205533</v>
      </c>
      <c r="H1788" s="550" t="s">
        <v>594</v>
      </c>
      <c r="I1788" s="2">
        <f>SUM(E1782:E1788)</f>
        <v>12.988799999999998</v>
      </c>
      <c r="L1788" s="2">
        <f>I1788/C1788</f>
        <v>2.4599999999999995</v>
      </c>
      <c r="O1788" s="58"/>
      <c r="P1788" s="58"/>
    </row>
    <row r="1789" spans="2:16">
      <c r="B1789" s="652">
        <v>46137</v>
      </c>
      <c r="C1789" s="589">
        <v>4.07</v>
      </c>
      <c r="D1789" s="541"/>
      <c r="E1789" s="590">
        <f t="shared" ref="E1789:E1795" si="285">(C1789*D1789)-C1789</f>
        <v>-4.07</v>
      </c>
      <c r="F1789" s="591">
        <f>SUM($E$2:E1789)/SUM($C$2:C1789)</f>
        <v>-3.8784996643924118E-2</v>
      </c>
      <c r="G1789" s="592">
        <f t="shared" ref="G1789:G1795" si="286">G1788+E1789</f>
        <v>-215.98027421205532</v>
      </c>
      <c r="H1789" s="547" t="s">
        <v>97</v>
      </c>
      <c r="I1789" s="2"/>
      <c r="J1789" s="2"/>
      <c r="K1789" s="2"/>
      <c r="L1789" s="2"/>
      <c r="O1789" s="58"/>
      <c r="P1789" s="58"/>
    </row>
    <row r="1790" spans="2:16">
      <c r="B1790" s="652"/>
      <c r="C1790" s="594">
        <v>4.07</v>
      </c>
      <c r="D1790" s="542">
        <v>1.7270000000000001</v>
      </c>
      <c r="E1790" s="595">
        <f t="shared" si="285"/>
        <v>2.9588900000000002</v>
      </c>
      <c r="F1790" s="596">
        <f>SUM($E$2:E1790)/SUM($C$2:C1790)</f>
        <v>-3.8225711050159455E-2</v>
      </c>
      <c r="G1790" s="597">
        <f t="shared" si="286"/>
        <v>-213.02138421205532</v>
      </c>
      <c r="H1790" s="550" t="s">
        <v>416</v>
      </c>
      <c r="I1790" s="2"/>
      <c r="J1790" s="2"/>
      <c r="K1790" s="2"/>
      <c r="L1790" s="2"/>
      <c r="O1790" s="58"/>
      <c r="P1790" s="58"/>
    </row>
    <row r="1791" spans="2:16">
      <c r="B1791" s="652"/>
      <c r="C1791" s="589">
        <v>4.07</v>
      </c>
      <c r="D1791" s="541">
        <v>1.8620000000000001</v>
      </c>
      <c r="E1791" s="590">
        <f t="shared" si="285"/>
        <v>3.5083400000000005</v>
      </c>
      <c r="F1791" s="591">
        <f>SUM($E$2:E1791)/SUM($C$2:C1791)</f>
        <v>-3.756871747299495E-2</v>
      </c>
      <c r="G1791" s="592">
        <f t="shared" si="286"/>
        <v>-209.51304421205532</v>
      </c>
      <c r="H1791" s="547" t="s">
        <v>36</v>
      </c>
      <c r="I1791" s="2"/>
      <c r="J1791" s="2"/>
      <c r="K1791" s="2"/>
      <c r="L1791" s="2"/>
      <c r="O1791" s="58"/>
      <c r="P1791" s="58"/>
    </row>
    <row r="1792" spans="2:16">
      <c r="B1792" s="652"/>
      <c r="C1792" s="594">
        <v>4.07</v>
      </c>
      <c r="D1792" s="542">
        <v>1.825</v>
      </c>
      <c r="E1792" s="595">
        <f t="shared" si="285"/>
        <v>3.3577500000000002</v>
      </c>
      <c r="F1792" s="596">
        <f>SUM($E$2:E1792)/SUM($C$2:C1792)</f>
        <v>-3.6939665428448024E-2</v>
      </c>
      <c r="G1792" s="597">
        <f t="shared" si="286"/>
        <v>-206.15529421205531</v>
      </c>
      <c r="H1792" s="550" t="s">
        <v>595</v>
      </c>
      <c r="I1792" s="2"/>
      <c r="J1792" s="2"/>
      <c r="K1792" s="2"/>
      <c r="L1792" s="2"/>
      <c r="O1792" s="58"/>
      <c r="P1792" s="58"/>
    </row>
    <row r="1793" spans="2:16">
      <c r="B1793" s="652"/>
      <c r="C1793" s="589">
        <v>4.07</v>
      </c>
      <c r="D1793" s="541">
        <v>1.76</v>
      </c>
      <c r="E1793" s="590">
        <f t="shared" si="285"/>
        <v>3.0932000000000004</v>
      </c>
      <c r="F1793" s="591">
        <f>SUM($E$2:E1793)/SUM($C$2:C1793)</f>
        <v>-3.6358898721649768E-2</v>
      </c>
      <c r="G1793" s="592">
        <f t="shared" si="286"/>
        <v>-203.06209421205531</v>
      </c>
      <c r="H1793" s="547" t="s">
        <v>29</v>
      </c>
      <c r="I1793" s="2"/>
      <c r="J1793" s="2"/>
      <c r="K1793" s="2"/>
      <c r="L1793" s="2"/>
      <c r="O1793" s="58"/>
      <c r="P1793" s="58"/>
    </row>
    <row r="1794" spans="2:16">
      <c r="B1794" s="652"/>
      <c r="C1794" s="589">
        <v>4.07</v>
      </c>
      <c r="D1794" s="541"/>
      <c r="E1794" s="590">
        <f t="shared" si="285"/>
        <v>-4.07</v>
      </c>
      <c r="F1794" s="591">
        <f>SUM($E$2:E1794)/SUM($C$2:C1794)</f>
        <v>-3.7060637067621034E-2</v>
      </c>
      <c r="G1794" s="592">
        <f t="shared" si="286"/>
        <v>-207.13209421205531</v>
      </c>
      <c r="H1794" s="547" t="s">
        <v>14</v>
      </c>
      <c r="I1794" s="2"/>
      <c r="J1794" s="2"/>
      <c r="K1794" s="2"/>
      <c r="L1794" s="2"/>
      <c r="O1794" s="58"/>
      <c r="P1794" s="58"/>
    </row>
    <row r="1795" spans="2:16">
      <c r="B1795" s="652"/>
      <c r="C1795" s="594">
        <v>4.07</v>
      </c>
      <c r="D1795" s="542"/>
      <c r="E1795" s="595">
        <f t="shared" si="285"/>
        <v>-4.07</v>
      </c>
      <c r="F1795" s="596">
        <f>SUM($E$2:E1795)/SUM($C$2:C1795)</f>
        <v>-3.7761354123889153E-2</v>
      </c>
      <c r="G1795" s="597">
        <f t="shared" si="286"/>
        <v>-211.2020942120553</v>
      </c>
      <c r="H1795" s="550" t="s">
        <v>234</v>
      </c>
      <c r="I1795" s="2">
        <f>SUM(E1789:E1795)</f>
        <v>0.70818000000000048</v>
      </c>
      <c r="L1795" s="2">
        <f>I1795/C1795</f>
        <v>0.1740000000000001</v>
      </c>
      <c r="O1795" s="58"/>
      <c r="P1795" s="58"/>
    </row>
    <row r="1796" spans="2:16">
      <c r="B1796" s="650">
        <v>46138</v>
      </c>
      <c r="C1796" s="589">
        <v>4.07</v>
      </c>
      <c r="D1796" s="541"/>
      <c r="E1796" s="590">
        <f t="shared" ref="E1796" si="287">(C1796*D1796)-C1796</f>
        <v>-4.07</v>
      </c>
      <c r="F1796" s="591">
        <f>SUM($E$2:E1796)/SUM($C$2:C1796)</f>
        <v>-3.8461052118366174E-2</v>
      </c>
      <c r="G1796" s="592">
        <f t="shared" ref="G1796" si="288">G1795+E1796</f>
        <v>-215.27209421205529</v>
      </c>
      <c r="H1796" s="547" t="s">
        <v>25</v>
      </c>
      <c r="I1796" s="2"/>
      <c r="J1796" s="2"/>
      <c r="K1796" s="2"/>
      <c r="L1796" s="2"/>
      <c r="O1796" s="58"/>
      <c r="P1796" s="58"/>
    </row>
    <row r="1797" spans="2:16">
      <c r="B1797" s="652"/>
      <c r="C1797" s="594">
        <v>4.07</v>
      </c>
      <c r="D1797" s="542"/>
      <c r="E1797" s="595">
        <f t="shared" ref="E1797:E1806" si="289">(C1797*D1797)-C1797</f>
        <v>-4.07</v>
      </c>
      <c r="F1797" s="596">
        <f>SUM($E$2:E1797)/SUM($C$2:C1797)</f>
        <v>-3.9159733272488687E-2</v>
      </c>
      <c r="G1797" s="597">
        <f t="shared" ref="G1797:G1806" si="290">G1796+E1797</f>
        <v>-219.34209421205529</v>
      </c>
      <c r="H1797" s="550" t="s">
        <v>590</v>
      </c>
      <c r="I1797" s="2"/>
      <c r="J1797" s="2"/>
      <c r="K1797" s="2"/>
      <c r="L1797" s="2"/>
      <c r="O1797" s="58"/>
      <c r="P1797" s="58"/>
    </row>
    <row r="1798" spans="2:16">
      <c r="B1798" s="652"/>
      <c r="C1798" s="589">
        <v>4.07</v>
      </c>
      <c r="D1798" s="541">
        <v>1.87</v>
      </c>
      <c r="E1798" s="590">
        <f t="shared" si="289"/>
        <v>3.5409000000000006</v>
      </c>
      <c r="F1798" s="591">
        <f>SUM($E$2:E1798)/SUM($C$2:C1798)</f>
        <v>-3.8499592001188507E-2</v>
      </c>
      <c r="G1798" s="592">
        <f t="shared" si="290"/>
        <v>-215.80119421205529</v>
      </c>
      <c r="H1798" s="547" t="s">
        <v>596</v>
      </c>
      <c r="I1798" s="2"/>
      <c r="J1798" s="2"/>
      <c r="K1798" s="2"/>
      <c r="L1798" s="2"/>
      <c r="O1798" s="58"/>
      <c r="P1798" s="58"/>
    </row>
    <row r="1799" spans="2:16">
      <c r="B1799" s="652"/>
      <c r="C1799" s="589">
        <v>4.07</v>
      </c>
      <c r="D1799" s="541"/>
      <c r="E1799" s="590">
        <f t="shared" si="289"/>
        <v>-4.07</v>
      </c>
      <c r="F1799" s="591">
        <f>SUM($E$2:E1799)/SUM($C$2:C1799)</f>
        <v>-3.9197231302605454E-2</v>
      </c>
      <c r="G1799" s="592">
        <f t="shared" si="290"/>
        <v>-219.87119421205529</v>
      </c>
      <c r="H1799" s="547" t="s">
        <v>52</v>
      </c>
      <c r="I1799" s="2"/>
      <c r="J1799" s="2"/>
      <c r="K1799" s="2"/>
      <c r="L1799" s="2"/>
      <c r="O1799" s="58"/>
      <c r="P1799" s="58"/>
    </row>
    <row r="1800" spans="2:16">
      <c r="B1800" s="652"/>
      <c r="C1800" s="594">
        <v>4.07</v>
      </c>
      <c r="D1800" s="542"/>
      <c r="E1800" s="595">
        <f t="shared" si="289"/>
        <v>-4.07</v>
      </c>
      <c r="F1800" s="596">
        <f>SUM($E$2:E1800)/SUM($C$2:C1800)</f>
        <v>-3.9893858960741171E-2</v>
      </c>
      <c r="G1800" s="597">
        <f t="shared" si="290"/>
        <v>-223.94119421205528</v>
      </c>
      <c r="H1800" s="550" t="s">
        <v>594</v>
      </c>
      <c r="I1800" s="2"/>
      <c r="J1800" s="2"/>
      <c r="K1800" s="2"/>
      <c r="L1800" s="2"/>
      <c r="O1800" s="58"/>
      <c r="P1800" s="58"/>
    </row>
    <row r="1801" spans="2:16">
      <c r="B1801" s="652"/>
      <c r="C1801" s="589">
        <v>4.07</v>
      </c>
      <c r="D1801" s="541"/>
      <c r="E1801" s="590">
        <f t="shared" si="289"/>
        <v>-4.07</v>
      </c>
      <c r="F1801" s="591">
        <f>SUM($E$2:E1801)/SUM($C$2:C1801)</f>
        <v>-4.0589477174469701E-2</v>
      </c>
      <c r="G1801" s="592">
        <f t="shared" si="290"/>
        <v>-228.01119421205527</v>
      </c>
      <c r="H1801" s="547" t="s">
        <v>51</v>
      </c>
      <c r="I1801" s="2"/>
      <c r="J1801" s="2"/>
      <c r="K1801" s="2"/>
      <c r="L1801" s="2"/>
      <c r="O1801" s="58"/>
      <c r="P1801" s="58"/>
    </row>
    <row r="1802" spans="2:16">
      <c r="B1802" s="652"/>
      <c r="C1802" s="589">
        <v>4.07</v>
      </c>
      <c r="D1802" s="541">
        <v>1.88</v>
      </c>
      <c r="E1802" s="590">
        <f t="shared" si="289"/>
        <v>3.5815999999999999</v>
      </c>
      <c r="F1802" s="591">
        <f>SUM($E$2:E1802)/SUM($C$2:C1802)</f>
        <v>-3.9922972558379829E-2</v>
      </c>
      <c r="G1802" s="592">
        <f t="shared" si="290"/>
        <v>-224.42959421205526</v>
      </c>
      <c r="H1802" s="547" t="s">
        <v>597</v>
      </c>
      <c r="I1802" s="2"/>
      <c r="J1802" s="2"/>
      <c r="K1802" s="2"/>
      <c r="L1802" s="2"/>
      <c r="O1802" s="58"/>
      <c r="P1802" s="58"/>
    </row>
    <row r="1803" spans="2:16">
      <c r="B1803" s="652"/>
      <c r="C1803" s="594">
        <v>4.07</v>
      </c>
      <c r="D1803" s="542">
        <v>1.909</v>
      </c>
      <c r="E1803" s="595">
        <f t="shared" si="289"/>
        <v>3.69963</v>
      </c>
      <c r="F1803" s="596">
        <f>SUM($E$2:E1803)/SUM($C$2:C1803)</f>
        <v>-3.9236451597837861E-2</v>
      </c>
      <c r="G1803" s="597">
        <f t="shared" si="290"/>
        <v>-220.72996421205525</v>
      </c>
      <c r="H1803" s="550" t="s">
        <v>592</v>
      </c>
      <c r="I1803" s="2"/>
      <c r="J1803" s="2"/>
      <c r="K1803" s="2"/>
      <c r="L1803" s="2"/>
      <c r="O1803" s="58"/>
      <c r="P1803" s="58"/>
    </row>
    <row r="1804" spans="2:16">
      <c r="B1804" s="652"/>
      <c r="C1804" s="589">
        <v>4.07</v>
      </c>
      <c r="D1804" s="541"/>
      <c r="E1804" s="590">
        <f t="shared" si="289"/>
        <v>-4.07</v>
      </c>
      <c r="F1804" s="591">
        <f>SUM($E$2:E1804)/SUM($C$2:C1804)</f>
        <v>-3.9931036391486638E-2</v>
      </c>
      <c r="G1804" s="592">
        <f t="shared" si="290"/>
        <v>-224.79996421205524</v>
      </c>
      <c r="H1804" s="547" t="s">
        <v>10</v>
      </c>
      <c r="I1804" s="2"/>
      <c r="J1804" s="2"/>
      <c r="K1804" s="2"/>
      <c r="L1804" s="2"/>
      <c r="O1804" s="58"/>
      <c r="P1804" s="58"/>
    </row>
    <row r="1805" spans="2:16">
      <c r="B1805" s="652"/>
      <c r="C1805" s="589">
        <v>4.07</v>
      </c>
      <c r="D1805" s="541">
        <v>1.93</v>
      </c>
      <c r="E1805" s="590">
        <f t="shared" si="289"/>
        <v>3.7850999999999999</v>
      </c>
      <c r="F1805" s="591">
        <f>SUM($E$2:E1805)/SUM($C$2:C1805)</f>
        <v>-3.9230330530768402E-2</v>
      </c>
      <c r="G1805" s="592">
        <f t="shared" si="290"/>
        <v>-221.01486421205524</v>
      </c>
      <c r="H1805" s="547" t="s">
        <v>53</v>
      </c>
      <c r="I1805" s="2"/>
      <c r="J1805" s="2"/>
      <c r="K1805" s="2"/>
      <c r="L1805" s="2"/>
      <c r="O1805" s="58"/>
      <c r="P1805" s="58"/>
    </row>
    <row r="1806" spans="2:16">
      <c r="B1806" s="652"/>
      <c r="C1806" s="594">
        <v>4.07</v>
      </c>
      <c r="D1806" s="542">
        <v>1.9</v>
      </c>
      <c r="E1806" s="595">
        <f t="shared" si="289"/>
        <v>3.6630000000000003</v>
      </c>
      <c r="F1806" s="596">
        <f>SUM($E$2:E1806)/SUM($C$2:C1806)</f>
        <v>-3.8552293569355862E-2</v>
      </c>
      <c r="G1806" s="597">
        <f t="shared" si="290"/>
        <v>-217.35186421205523</v>
      </c>
      <c r="H1806" s="550" t="s">
        <v>476</v>
      </c>
      <c r="I1806" s="490">
        <f>SUM(E1796:E1806)</f>
        <v>-6.1497700000000002</v>
      </c>
      <c r="J1806" s="490">
        <f>SUM(E1759:E1806)</f>
        <v>-6.1126100000000037</v>
      </c>
      <c r="L1806" s="2">
        <f>I1806/C1806</f>
        <v>-1.5109999999999999</v>
      </c>
      <c r="O1806" s="58"/>
      <c r="P1806" s="58"/>
    </row>
    <row r="1807" spans="2:16">
      <c r="B1807" s="650">
        <v>46139</v>
      </c>
      <c r="C1807" s="594">
        <v>5.36</v>
      </c>
      <c r="D1807" s="542"/>
      <c r="E1807" s="595">
        <f t="shared" ref="E1807:E1808" si="291">(C1807*D1807)-C1807</f>
        <v>-5.36</v>
      </c>
      <c r="F1807" s="596">
        <f>SUM($E$2:E1807)/SUM($C$2:C1807)</f>
        <v>-3.9465490857247466E-2</v>
      </c>
      <c r="G1807" s="597">
        <f t="shared" ref="G1807:G1808" si="292">G1806+E1807</f>
        <v>-222.71186421205525</v>
      </c>
      <c r="H1807" s="550" t="s">
        <v>97</v>
      </c>
      <c r="I1807" s="2"/>
      <c r="J1807" s="2"/>
      <c r="K1807" s="2"/>
      <c r="L1807" s="2"/>
      <c r="O1807" s="58"/>
      <c r="P1807" s="58"/>
    </row>
    <row r="1808" spans="2:16">
      <c r="B1808" s="652"/>
      <c r="C1808" s="606">
        <v>5.36</v>
      </c>
      <c r="D1808" s="577">
        <v>1.78</v>
      </c>
      <c r="E1808" s="607">
        <f t="shared" si="291"/>
        <v>4.1808000000000005</v>
      </c>
      <c r="F1808" s="608">
        <f>SUM($E$2:E1808)/SUM($C$2:C1808)</f>
        <v>-3.8687888960827886E-2</v>
      </c>
      <c r="G1808" s="609">
        <f t="shared" si="292"/>
        <v>-218.53106421205524</v>
      </c>
      <c r="H1808" s="580" t="s">
        <v>104</v>
      </c>
      <c r="I1808" s="2">
        <f>SUM(E1807:E1808)</f>
        <v>-1.1791999999999998</v>
      </c>
      <c r="L1808" s="2">
        <f>I1808/C1808</f>
        <v>-0.21999999999999995</v>
      </c>
      <c r="O1808" s="58"/>
      <c r="P1808" s="58"/>
    </row>
    <row r="1809" spans="2:16">
      <c r="B1809" s="653">
        <v>46140</v>
      </c>
      <c r="C1809" s="599">
        <v>5.35</v>
      </c>
      <c r="D1809" s="600">
        <v>1.86</v>
      </c>
      <c r="E1809" s="601">
        <f t="shared" ref="E1809:E1814" si="293">(C1809*D1809)-C1809</f>
        <v>4.6010000000000009</v>
      </c>
      <c r="F1809" s="602">
        <f>SUM($E$2:E1809)/SUM($C$2:C1809)</f>
        <v>-3.7837508292809172E-2</v>
      </c>
      <c r="G1809" s="603">
        <f t="shared" ref="G1809:G1814" si="294">G1808+E1809</f>
        <v>-213.93006421205524</v>
      </c>
      <c r="H1809" s="604" t="s">
        <v>51</v>
      </c>
      <c r="I1809" s="2"/>
      <c r="J1809" s="2"/>
      <c r="K1809" s="2"/>
      <c r="L1809" s="2"/>
      <c r="O1809" s="58"/>
      <c r="P1809" s="58"/>
    </row>
    <row r="1810" spans="2:16">
      <c r="B1810" s="654"/>
      <c r="C1810" s="610">
        <v>5.35</v>
      </c>
      <c r="D1810" s="577"/>
      <c r="E1810" s="607">
        <f t="shared" si="293"/>
        <v>-5.35</v>
      </c>
      <c r="F1810" s="608">
        <f>SUM($E$2:E1810)/SUM($C$2:C1810)</f>
        <v>-3.8747090919880836E-2</v>
      </c>
      <c r="G1810" s="609">
        <f t="shared" si="294"/>
        <v>-219.28006421205524</v>
      </c>
      <c r="H1810" s="580" t="s">
        <v>417</v>
      </c>
      <c r="I1810" s="2"/>
      <c r="J1810" s="2"/>
      <c r="K1810" s="2"/>
      <c r="L1810" s="2"/>
      <c r="O1810" s="58"/>
      <c r="P1810" s="58"/>
    </row>
    <row r="1811" spans="2:16">
      <c r="B1811" s="654"/>
      <c r="C1811" s="599">
        <v>5.35</v>
      </c>
      <c r="D1811" s="600"/>
      <c r="E1811" s="601">
        <f t="shared" si="293"/>
        <v>-5.35</v>
      </c>
      <c r="F1811" s="602">
        <f>SUM($E$2:E1811)/SUM($C$2:C1811)</f>
        <v>-3.9654955418937959E-2</v>
      </c>
      <c r="G1811" s="603">
        <f t="shared" si="294"/>
        <v>-224.63006421205523</v>
      </c>
      <c r="H1811" s="604" t="s">
        <v>14</v>
      </c>
      <c r="I1811" s="2"/>
      <c r="J1811" s="2"/>
      <c r="K1811" s="2"/>
      <c r="L1811" s="2"/>
      <c r="O1811" s="58"/>
      <c r="P1811" s="58"/>
    </row>
    <row r="1812" spans="2:16">
      <c r="B1812" s="654"/>
      <c r="C1812" s="605">
        <v>5.35</v>
      </c>
      <c r="D1812" s="542">
        <v>1.901</v>
      </c>
      <c r="E1812" s="595">
        <f t="shared" si="293"/>
        <v>4.8203499999999995</v>
      </c>
      <c r="F1812" s="596">
        <f>SUM($E$2:E1812)/SUM($C$2:C1812)</f>
        <v>-3.8767383130254601E-2</v>
      </c>
      <c r="G1812" s="597">
        <f t="shared" si="294"/>
        <v>-219.80971421205524</v>
      </c>
      <c r="H1812" s="550" t="s">
        <v>260</v>
      </c>
      <c r="I1812" s="2"/>
      <c r="J1812" s="2"/>
      <c r="K1812" s="2"/>
      <c r="L1812" s="2"/>
      <c r="O1812" s="58"/>
      <c r="P1812" s="58"/>
    </row>
    <row r="1813" spans="2:16">
      <c r="B1813" s="652"/>
      <c r="C1813" s="589">
        <v>5.35</v>
      </c>
      <c r="D1813" s="541"/>
      <c r="E1813" s="590">
        <f t="shared" si="293"/>
        <v>-5.35</v>
      </c>
      <c r="F1813" s="591">
        <f>SUM($E$2:E1813)/SUM($C$2:C1813)</f>
        <v>-3.9673516850830523E-2</v>
      </c>
      <c r="G1813" s="592">
        <f t="shared" si="294"/>
        <v>-225.15971421205523</v>
      </c>
      <c r="H1813" s="547" t="s">
        <v>52</v>
      </c>
      <c r="I1813" s="2"/>
      <c r="J1813" s="2"/>
      <c r="K1813" s="2"/>
      <c r="L1813" s="2"/>
      <c r="O1813" s="58"/>
      <c r="P1813" s="58"/>
    </row>
    <row r="1814" spans="2:16">
      <c r="B1814" s="652"/>
      <c r="C1814" s="594">
        <v>5.35</v>
      </c>
      <c r="D1814" s="542"/>
      <c r="E1814" s="595">
        <f t="shared" si="293"/>
        <v>-5.35</v>
      </c>
      <c r="F1814" s="596">
        <f>SUM($E$2:E1814)/SUM($C$2:C1814)</f>
        <v>-4.0577943794043905E-2</v>
      </c>
      <c r="G1814" s="597">
        <f t="shared" si="294"/>
        <v>-230.50971421205523</v>
      </c>
      <c r="H1814" s="550" t="s">
        <v>262</v>
      </c>
      <c r="I1814" s="2">
        <f>SUM(E1809:E1814)</f>
        <v>-11.978649999999998</v>
      </c>
      <c r="L1814" s="2">
        <f>I1814/C1814</f>
        <v>-2.2389999999999999</v>
      </c>
      <c r="O1814" s="58"/>
      <c r="P1814" s="58"/>
    </row>
    <row r="1815" spans="2:16">
      <c r="B1815" s="650">
        <v>46141</v>
      </c>
      <c r="C1815" s="589">
        <v>5.22</v>
      </c>
      <c r="D1815" s="541">
        <v>1.89</v>
      </c>
      <c r="E1815" s="590">
        <f t="shared" ref="E1815:E1819" si="295">(C1815*D1815)-C1815</f>
        <v>4.6457999999999986</v>
      </c>
      <c r="F1815" s="591">
        <f>SUM($E$2:E1815)/SUM($C$2:C1815)</f>
        <v>-3.972361475390377E-2</v>
      </c>
      <c r="G1815" s="592">
        <f t="shared" ref="G1815:G1819" si="296">G1814+E1815</f>
        <v>-225.86391421205522</v>
      </c>
      <c r="H1815" s="547" t="s">
        <v>64</v>
      </c>
      <c r="I1815" s="2"/>
      <c r="J1815" s="2"/>
      <c r="K1815" s="2"/>
      <c r="L1815" s="2"/>
      <c r="O1815" s="58"/>
      <c r="P1815" s="58"/>
    </row>
    <row r="1816" spans="2:16">
      <c r="B1816" s="652"/>
      <c r="C1816" s="594">
        <v>5.22</v>
      </c>
      <c r="D1816" s="542">
        <v>1.9</v>
      </c>
      <c r="E1816" s="595">
        <f t="shared" si="295"/>
        <v>4.6979999999999995</v>
      </c>
      <c r="F1816" s="596">
        <f>SUM($E$2:E1816)/SUM($C$2:C1816)</f>
        <v>-3.8861680722622201E-2</v>
      </c>
      <c r="G1816" s="597">
        <f t="shared" si="296"/>
        <v>-221.16591421205521</v>
      </c>
      <c r="H1816" s="550" t="s">
        <v>113</v>
      </c>
      <c r="I1816" s="2"/>
      <c r="J1816" s="2"/>
      <c r="K1816" s="2"/>
      <c r="L1816" s="2"/>
      <c r="O1816" s="58"/>
      <c r="P1816" s="58"/>
    </row>
    <row r="1817" spans="2:16">
      <c r="B1817" s="652"/>
      <c r="C1817" s="594">
        <v>5.22</v>
      </c>
      <c r="D1817" s="542">
        <v>1.952</v>
      </c>
      <c r="E1817" s="595">
        <f t="shared" si="295"/>
        <v>4.9694399999999996</v>
      </c>
      <c r="F1817" s="596">
        <f>SUM($E$2:E1817)/SUM($C$2:C1817)</f>
        <v>-3.7953674636402042E-2</v>
      </c>
      <c r="G1817" s="597">
        <f t="shared" si="296"/>
        <v>-216.19647421205522</v>
      </c>
      <c r="H1817" s="550" t="s">
        <v>25</v>
      </c>
      <c r="I1817" s="2"/>
      <c r="J1817" s="2"/>
      <c r="K1817" s="2"/>
      <c r="L1817" s="2"/>
      <c r="O1817" s="58"/>
      <c r="P1817" s="58"/>
    </row>
    <row r="1818" spans="2:16">
      <c r="B1818" s="652"/>
      <c r="C1818" s="589">
        <v>5.22</v>
      </c>
      <c r="D1818" s="541"/>
      <c r="E1818" s="590">
        <f t="shared" si="295"/>
        <v>-5.22</v>
      </c>
      <c r="F1818" s="591">
        <f>SUM($E$2:E1818)/SUM($C$2:C1818)</f>
        <v>-3.8834467758307831E-2</v>
      </c>
      <c r="G1818" s="592">
        <f t="shared" si="296"/>
        <v>-221.41647421205522</v>
      </c>
      <c r="H1818" s="547" t="s">
        <v>53</v>
      </c>
      <c r="I1818" s="2"/>
      <c r="J1818" s="2"/>
      <c r="K1818" s="2"/>
      <c r="L1818" s="2"/>
      <c r="O1818" s="58"/>
      <c r="P1818" s="58"/>
    </row>
    <row r="1819" spans="2:16">
      <c r="B1819" s="652"/>
      <c r="C1819" s="594">
        <v>5.22</v>
      </c>
      <c r="D1819" s="542"/>
      <c r="E1819" s="595">
        <f t="shared" si="295"/>
        <v>-5.22</v>
      </c>
      <c r="F1819" s="596">
        <f>SUM($E$2:E1819)/SUM($C$2:C1819)</f>
        <v>-3.9713649550532054E-2</v>
      </c>
      <c r="G1819" s="597">
        <f t="shared" si="296"/>
        <v>-226.63647421205522</v>
      </c>
      <c r="H1819" s="550" t="s">
        <v>226</v>
      </c>
      <c r="I1819" s="2">
        <f>SUM(E1815:E1819)</f>
        <v>3.8732399999999982</v>
      </c>
      <c r="L1819" s="2">
        <f>I1819/C1819</f>
        <v>0.74199999999999966</v>
      </c>
      <c r="O1819" s="58"/>
      <c r="P1819" s="58"/>
    </row>
    <row r="1820" spans="2:16">
      <c r="B1820" s="650">
        <v>46142</v>
      </c>
      <c r="C1820" s="589">
        <v>5.26</v>
      </c>
      <c r="D1820" s="541">
        <v>1.85</v>
      </c>
      <c r="E1820" s="590">
        <f t="shared" ref="E1820:E1821" si="297">(C1820*D1820)-C1820</f>
        <v>4.4710000000000001</v>
      </c>
      <c r="F1820" s="591">
        <f>SUM($E$2:E1820)/SUM($C$2:C1820)</f>
        <v>-3.8894344030631897E-2</v>
      </c>
      <c r="G1820" s="592">
        <f t="shared" ref="G1820:G1821" si="298">G1819+E1820</f>
        <v>-222.16547421205522</v>
      </c>
      <c r="H1820" s="547" t="s">
        <v>29</v>
      </c>
      <c r="I1820" s="154"/>
      <c r="J1820" s="154"/>
      <c r="K1820" s="154"/>
      <c r="L1820" s="154"/>
      <c r="O1820" s="58"/>
      <c r="P1820" s="58"/>
    </row>
    <row r="1821" spans="2:16">
      <c r="B1821" s="652"/>
      <c r="C1821" s="606">
        <v>5.26</v>
      </c>
      <c r="D1821" s="577">
        <v>1.8240000000000001</v>
      </c>
      <c r="E1821" s="607">
        <f t="shared" si="297"/>
        <v>4.3342399999999994</v>
      </c>
      <c r="F1821" s="608">
        <f>SUM($E$2:E1821)/SUM($C$2:C1821)</f>
        <v>-3.8100466504674413E-2</v>
      </c>
      <c r="G1821" s="609">
        <f t="shared" si="298"/>
        <v>-217.83123421205522</v>
      </c>
      <c r="H1821" s="580" t="s">
        <v>234</v>
      </c>
      <c r="I1821" s="490">
        <f>SUM(E1820:E1821)</f>
        <v>8.8052399999999995</v>
      </c>
      <c r="J1821" s="450"/>
      <c r="K1821" s="490">
        <f>SUM(E1535:E1821)</f>
        <v>-107.59493915538815</v>
      </c>
      <c r="L1821" s="490">
        <f>I1821/C1821</f>
        <v>1.6739999999999999</v>
      </c>
      <c r="O1821" s="58"/>
      <c r="P1821" s="58"/>
    </row>
    <row r="1822" spans="2:16">
      <c r="B1822" s="653">
        <v>46143</v>
      </c>
      <c r="C1822" s="611">
        <v>5.36</v>
      </c>
      <c r="D1822" s="573"/>
      <c r="E1822" s="612">
        <f t="shared" ref="E1822" si="299">(C1822*D1822)-C1822</f>
        <v>-5.36</v>
      </c>
      <c r="F1822" s="613">
        <f>SUM($E$2:E1822)/SUM($C$2:C1822)</f>
        <v>-3.9001410263520157E-2</v>
      </c>
      <c r="G1822" s="614">
        <f t="shared" ref="G1822" si="300">G1821+E1822</f>
        <v>-223.19123421205524</v>
      </c>
      <c r="H1822" s="576" t="s">
        <v>97</v>
      </c>
      <c r="I1822" s="2"/>
      <c r="J1822" s="2"/>
      <c r="K1822" s="2"/>
      <c r="L1822" s="2"/>
      <c r="O1822" s="58"/>
      <c r="P1822" s="58"/>
    </row>
    <row r="1823" spans="2:16">
      <c r="B1823" s="652"/>
      <c r="C1823" s="589">
        <v>5.36</v>
      </c>
      <c r="D1823" s="541"/>
      <c r="E1823" s="590">
        <f t="shared" ref="E1823:E1824" si="301">(C1823*D1823)-C1823</f>
        <v>-5.36</v>
      </c>
      <c r="F1823" s="591">
        <f>SUM($E$2:E1823)/SUM($C$2:C1823)</f>
        <v>-3.9900667900109467E-2</v>
      </c>
      <c r="G1823" s="592">
        <f t="shared" ref="G1823:G1824" si="302">G1822+E1823</f>
        <v>-228.55123421205525</v>
      </c>
      <c r="H1823" s="547" t="s">
        <v>10</v>
      </c>
      <c r="I1823" s="2"/>
      <c r="J1823" s="2"/>
      <c r="K1823" s="2"/>
      <c r="L1823" s="2"/>
      <c r="O1823" s="58"/>
      <c r="P1823" s="58"/>
    </row>
    <row r="1824" spans="2:16">
      <c r="B1824" s="652"/>
      <c r="C1824" s="594">
        <v>5.36</v>
      </c>
      <c r="D1824" s="542"/>
      <c r="E1824" s="595">
        <f t="shared" si="301"/>
        <v>-5.36</v>
      </c>
      <c r="F1824" s="596">
        <f>SUM($E$2:E1824)/SUM($C$2:C1824)</f>
        <v>-4.0798244143400789E-2</v>
      </c>
      <c r="G1824" s="597">
        <f t="shared" si="302"/>
        <v>-233.91123421205526</v>
      </c>
      <c r="H1824" s="550" t="s">
        <v>476</v>
      </c>
      <c r="I1824" s="2">
        <f>SUM(E1822:E1824)</f>
        <v>-16.080000000000002</v>
      </c>
      <c r="L1824" s="2">
        <f>I1824/C1824</f>
        <v>-3</v>
      </c>
      <c r="O1824" s="58"/>
      <c r="P1824" s="58"/>
    </row>
    <row r="1825" spans="2:16">
      <c r="B1825" s="650">
        <v>46144</v>
      </c>
      <c r="C1825" s="589">
        <v>15.54</v>
      </c>
      <c r="D1825" s="541">
        <v>1.9</v>
      </c>
      <c r="E1825" s="590">
        <f t="shared" ref="E1825:E1826" si="303">(C1825*D1825)-C1825</f>
        <v>13.985999999999997</v>
      </c>
      <c r="F1825" s="591">
        <f>SUM($E$2:E1825)/SUM($C$2:C1825)</f>
        <v>-3.825515043393074E-2</v>
      </c>
      <c r="G1825" s="592">
        <f t="shared" ref="G1825:G1826" si="304">G1824+E1825</f>
        <v>-219.92523421205527</v>
      </c>
      <c r="H1825" s="547" t="s">
        <v>51</v>
      </c>
      <c r="I1825" s="2"/>
      <c r="J1825" s="2"/>
      <c r="K1825" s="2"/>
      <c r="L1825" s="2"/>
      <c r="O1825" s="58"/>
      <c r="P1825" s="58"/>
    </row>
    <row r="1826" spans="2:16">
      <c r="B1826" s="652"/>
      <c r="C1826" s="594">
        <v>15.54</v>
      </c>
      <c r="D1826" s="542">
        <v>1.89</v>
      </c>
      <c r="E1826" s="595">
        <f t="shared" si="303"/>
        <v>13.830599999999997</v>
      </c>
      <c r="F1826" s="596">
        <f>SUM($E$2:E1826)/SUM($C$2:C1826)</f>
        <v>-3.5752726614335671E-2</v>
      </c>
      <c r="G1826" s="597">
        <f t="shared" si="304"/>
        <v>-206.09463421205527</v>
      </c>
      <c r="H1826" s="550" t="s">
        <v>417</v>
      </c>
      <c r="I1826" s="2">
        <f>SUM(E1825:E1826)</f>
        <v>27.816599999999994</v>
      </c>
      <c r="L1826" s="2">
        <f>I1826/C1826</f>
        <v>1.7899999999999998</v>
      </c>
      <c r="O1826" s="58"/>
      <c r="P1826" s="58"/>
    </row>
    <row r="1827" spans="2:16">
      <c r="B1827" s="650">
        <v>46145</v>
      </c>
      <c r="C1827" s="589">
        <v>8.23</v>
      </c>
      <c r="D1827" s="541"/>
      <c r="E1827" s="590">
        <f t="shared" ref="E1827:E1830" si="305">(C1827*D1827)-C1827</f>
        <v>-8.23</v>
      </c>
      <c r="F1827" s="591">
        <f>SUM($E$2:E1827)/SUM($C$2:C1827)</f>
        <v>-3.712743673584442E-2</v>
      </c>
      <c r="G1827" s="592">
        <f t="shared" ref="G1827:G1830" si="306">G1826+E1827</f>
        <v>-214.32463421205526</v>
      </c>
      <c r="H1827" s="547" t="s">
        <v>64</v>
      </c>
      <c r="I1827" s="2"/>
      <c r="J1827" s="2"/>
      <c r="K1827" s="2"/>
      <c r="L1827" s="2"/>
      <c r="O1827" s="58"/>
      <c r="P1827" s="58"/>
    </row>
    <row r="1828" spans="2:16">
      <c r="B1828" s="652"/>
      <c r="C1828" s="594">
        <v>8.23</v>
      </c>
      <c r="D1828" s="542">
        <v>1.89</v>
      </c>
      <c r="E1828" s="595">
        <f t="shared" si="305"/>
        <v>7.3247</v>
      </c>
      <c r="F1828" s="596">
        <f>SUM($E$2:E1828)/SUM($C$2:C1828)</f>
        <v>-3.5807529470912362E-2</v>
      </c>
      <c r="G1828" s="597">
        <f t="shared" si="306"/>
        <v>-206.99993421205525</v>
      </c>
      <c r="H1828" s="550" t="s">
        <v>113</v>
      </c>
      <c r="I1828" s="2"/>
      <c r="J1828" s="2"/>
      <c r="K1828" s="2"/>
      <c r="L1828" s="2"/>
      <c r="O1828" s="58"/>
      <c r="P1828" s="58"/>
    </row>
    <row r="1829" spans="2:16">
      <c r="B1829" s="652"/>
      <c r="C1829" s="589">
        <v>8.23</v>
      </c>
      <c r="D1829" s="541">
        <v>1</v>
      </c>
      <c r="E1829" s="590">
        <f t="shared" si="305"/>
        <v>0</v>
      </c>
      <c r="F1829" s="591">
        <f>SUM($E$2:E1829)/SUM($C$2:C1829)</f>
        <v>-3.5756624464189778E-2</v>
      </c>
      <c r="G1829" s="592">
        <f t="shared" si="306"/>
        <v>-206.99993421205525</v>
      </c>
      <c r="H1829" s="547" t="s">
        <v>25</v>
      </c>
      <c r="I1829" s="154"/>
      <c r="J1829" s="154"/>
      <c r="K1829" s="2"/>
      <c r="L1829" s="2"/>
      <c r="O1829" s="58"/>
      <c r="P1829" s="58"/>
    </row>
    <row r="1830" spans="2:16">
      <c r="B1830" s="651"/>
      <c r="C1830" s="594">
        <v>8.23</v>
      </c>
      <c r="D1830" s="542">
        <v>1.9</v>
      </c>
      <c r="E1830" s="595">
        <f t="shared" si="305"/>
        <v>7.407</v>
      </c>
      <c r="F1830" s="596">
        <f>SUM($E$2:E1830)/SUM($C$2:C1830)</f>
        <v>-3.4428214622740531E-2</v>
      </c>
      <c r="G1830" s="597">
        <f t="shared" si="306"/>
        <v>-199.59293421205524</v>
      </c>
      <c r="H1830" s="550" t="s">
        <v>48</v>
      </c>
      <c r="I1830" s="490">
        <f>SUM(E1827:E1830)</f>
        <v>6.5016999999999996</v>
      </c>
      <c r="J1830" s="490">
        <f>SUM(E1807:E1830)</f>
        <v>17.758929999999992</v>
      </c>
      <c r="L1830" s="2">
        <f>I1830/C1830</f>
        <v>0.78999999999999992</v>
      </c>
      <c r="O1830" s="58"/>
      <c r="P1830" s="58"/>
    </row>
    <row r="1831" spans="2:16">
      <c r="B1831" s="650">
        <v>46146</v>
      </c>
      <c r="C1831" s="589">
        <v>8.34</v>
      </c>
      <c r="D1831" s="541"/>
      <c r="E1831" s="590">
        <f t="shared" ref="E1831:E1834" si="307">(C1831*D1831)-C1831</f>
        <v>-8.34</v>
      </c>
      <c r="F1831" s="591">
        <f>SUM($E$2:E1831)/SUM($C$2:C1831)</f>
        <v>-3.5815275863017818E-2</v>
      </c>
      <c r="G1831" s="592">
        <f t="shared" ref="G1831:G1834" si="308">G1830+E1831</f>
        <v>-207.93293421205524</v>
      </c>
      <c r="H1831" s="547" t="s">
        <v>51</v>
      </c>
      <c r="I1831" s="2"/>
      <c r="J1831" s="2"/>
      <c r="K1831" s="2"/>
      <c r="L1831" s="2"/>
      <c r="O1831" s="58"/>
      <c r="P1831" s="58"/>
    </row>
    <row r="1832" spans="2:16">
      <c r="B1832" s="652"/>
      <c r="C1832" s="594">
        <v>8.34</v>
      </c>
      <c r="D1832" s="542">
        <v>1.95</v>
      </c>
      <c r="E1832" s="595">
        <f t="shared" si="307"/>
        <v>7.9229999999999983</v>
      </c>
      <c r="F1832" s="596">
        <f>SUM($E$2:E1832)/SUM($C$2:C1832)</f>
        <v>-3.4401165878910393E-2</v>
      </c>
      <c r="G1832" s="597">
        <f t="shared" si="308"/>
        <v>-200.00993421205524</v>
      </c>
      <c r="H1832" s="550" t="s">
        <v>196</v>
      </c>
      <c r="I1832" s="2"/>
      <c r="J1832" s="2"/>
      <c r="K1832" s="2"/>
      <c r="L1832" s="2"/>
      <c r="O1832" s="58"/>
      <c r="P1832" s="58"/>
    </row>
    <row r="1833" spans="2:16">
      <c r="B1833" s="652"/>
      <c r="C1833" s="589">
        <v>8.34</v>
      </c>
      <c r="D1833" s="541">
        <v>1.9</v>
      </c>
      <c r="E1833" s="590">
        <f t="shared" si="307"/>
        <v>7.5059999999999985</v>
      </c>
      <c r="F1833" s="591">
        <f>SUM($E$2:E1833)/SUM($C$2:C1833)</f>
        <v>-3.3062727176848106E-2</v>
      </c>
      <c r="G1833" s="592">
        <f t="shared" si="308"/>
        <v>-192.50393421205524</v>
      </c>
      <c r="H1833" s="547" t="s">
        <v>598</v>
      </c>
      <c r="I1833" s="2"/>
      <c r="J1833" s="2"/>
      <c r="K1833" s="2"/>
      <c r="L1833" s="2"/>
      <c r="O1833" s="58"/>
      <c r="P1833" s="58"/>
    </row>
    <row r="1834" spans="2:16">
      <c r="B1834" s="651"/>
      <c r="C1834" s="594">
        <v>8.34</v>
      </c>
      <c r="D1834" s="542"/>
      <c r="E1834" s="595">
        <f t="shared" si="307"/>
        <v>-8.34</v>
      </c>
      <c r="F1834" s="596">
        <f>SUM($E$2:E1834)/SUM($C$2:C1834)</f>
        <v>-3.44457895823264E-2</v>
      </c>
      <c r="G1834" s="597">
        <f t="shared" si="308"/>
        <v>-200.84393421205525</v>
      </c>
      <c r="H1834" s="550" t="s">
        <v>599</v>
      </c>
      <c r="I1834" s="2">
        <f>SUM(E1831:E1834)</f>
        <v>-1.251000000000003</v>
      </c>
      <c r="L1834" s="2">
        <f>I1834/C1834</f>
        <v>-0.15000000000000036</v>
      </c>
      <c r="O1834" s="58"/>
      <c r="P1834" s="58"/>
    </row>
    <row r="1835" spans="2:16">
      <c r="B1835" s="650">
        <v>46147</v>
      </c>
      <c r="C1835" s="589">
        <v>8.32</v>
      </c>
      <c r="D1835" s="541"/>
      <c r="E1835" s="590">
        <f t="shared" ref="E1835:E1838" si="309">(C1835*D1835)-C1835</f>
        <v>-8.32</v>
      </c>
      <c r="F1835" s="591">
        <f>SUM($E$2:E1835)/SUM($C$2:C1835)</f>
        <v>-3.5821598592386143E-2</v>
      </c>
      <c r="G1835" s="592">
        <f t="shared" ref="G1835:G1838" si="310">G1834+E1835</f>
        <v>-209.16393421205524</v>
      </c>
      <c r="H1835" s="547" t="s">
        <v>46</v>
      </c>
      <c r="I1835" s="2"/>
      <c r="J1835" s="2"/>
      <c r="K1835" s="2"/>
      <c r="L1835" s="2"/>
      <c r="O1835" s="58"/>
      <c r="P1835" s="58"/>
    </row>
    <row r="1836" spans="2:16">
      <c r="B1836" s="652"/>
      <c r="C1836" s="594">
        <v>8.32</v>
      </c>
      <c r="D1836" s="542"/>
      <c r="E1836" s="595">
        <f t="shared" si="309"/>
        <v>-8.32</v>
      </c>
      <c r="F1836" s="596">
        <f>SUM($E$2:E1836)/SUM($C$2:C1836)</f>
        <v>-3.719349242679898E-2</v>
      </c>
      <c r="G1836" s="597">
        <f t="shared" si="310"/>
        <v>-217.48393421205523</v>
      </c>
      <c r="H1836" s="550" t="s">
        <v>408</v>
      </c>
      <c r="I1836" s="2"/>
      <c r="J1836" s="2"/>
      <c r="K1836" s="2"/>
      <c r="L1836" s="2"/>
      <c r="O1836" s="58"/>
      <c r="P1836" s="58"/>
    </row>
    <row r="1837" spans="2:16">
      <c r="B1837" s="652"/>
      <c r="C1837" s="589">
        <v>8.32</v>
      </c>
      <c r="D1837" s="541"/>
      <c r="E1837" s="590">
        <f t="shared" si="309"/>
        <v>-8.32</v>
      </c>
      <c r="F1837" s="591">
        <f>SUM($E$2:E1837)/SUM($C$2:C1837)</f>
        <v>-3.8561487774095869E-2</v>
      </c>
      <c r="G1837" s="592">
        <f t="shared" si="310"/>
        <v>-225.80393421205522</v>
      </c>
      <c r="H1837" s="547" t="s">
        <v>593</v>
      </c>
      <c r="I1837" s="2"/>
      <c r="J1837" s="2"/>
      <c r="K1837" s="2"/>
      <c r="L1837" s="2"/>
      <c r="O1837" s="58"/>
      <c r="P1837" s="58"/>
    </row>
    <row r="1838" spans="2:16">
      <c r="B1838" s="651"/>
      <c r="C1838" s="594">
        <v>8.32</v>
      </c>
      <c r="D1838" s="542"/>
      <c r="E1838" s="595">
        <f t="shared" si="309"/>
        <v>-8.32</v>
      </c>
      <c r="F1838" s="596">
        <f>SUM($E$2:E1838)/SUM($C$2:C1838)</f>
        <v>-3.9925601228095318E-2</v>
      </c>
      <c r="G1838" s="597">
        <f t="shared" si="310"/>
        <v>-234.12393421205522</v>
      </c>
      <c r="H1838" s="550" t="s">
        <v>44</v>
      </c>
      <c r="I1838" s="2">
        <f>SUM(E1835:E1838)</f>
        <v>-33.28</v>
      </c>
      <c r="L1838" s="2">
        <f>I1838/C1838</f>
        <v>-4</v>
      </c>
      <c r="O1838" s="58"/>
      <c r="P1838" s="58"/>
    </row>
    <row r="1839" spans="2:16">
      <c r="B1839" s="650">
        <v>46148</v>
      </c>
      <c r="C1839" s="589">
        <v>8.32</v>
      </c>
      <c r="D1839" s="541">
        <v>1.94</v>
      </c>
      <c r="E1839" s="590">
        <f t="shared" ref="E1839:E1842" si="311">(C1839*D1839)-C1839</f>
        <v>7.8207999999999984</v>
      </c>
      <c r="F1839" s="591">
        <f>SUM($E$2:E1839)/SUM($C$2:C1839)</f>
        <v>-3.8537227681014703E-2</v>
      </c>
      <c r="G1839" s="592">
        <f t="shared" ref="G1839:G1842" si="312">G1838+E1839</f>
        <v>-226.30313421205523</v>
      </c>
      <c r="H1839" s="547" t="s">
        <v>51</v>
      </c>
      <c r="I1839" s="2"/>
      <c r="J1839" s="2"/>
      <c r="K1839" s="2"/>
      <c r="L1839" s="2"/>
      <c r="O1839" s="58"/>
      <c r="P1839" s="58"/>
    </row>
    <row r="1840" spans="2:16">
      <c r="B1840" s="652"/>
      <c r="C1840" s="594">
        <v>8.32</v>
      </c>
      <c r="D1840" s="542"/>
      <c r="E1840" s="595">
        <f t="shared" si="311"/>
        <v>-8.32</v>
      </c>
      <c r="F1840" s="596">
        <f>SUM($E$2:E1840)/SUM($C$2:C1840)</f>
        <v>-3.9897515533734121E-2</v>
      </c>
      <c r="G1840" s="597">
        <f t="shared" si="312"/>
        <v>-234.62313421205522</v>
      </c>
      <c r="H1840" s="550" t="s">
        <v>196</v>
      </c>
      <c r="I1840" s="2"/>
      <c r="J1840" s="2"/>
      <c r="K1840" s="2"/>
      <c r="L1840" s="2"/>
      <c r="O1840" s="58"/>
      <c r="P1840" s="58"/>
    </row>
    <row r="1841" spans="2:16">
      <c r="B1841" s="652"/>
      <c r="C1841" s="589">
        <v>8.32</v>
      </c>
      <c r="D1841" s="541"/>
      <c r="E1841" s="590">
        <f t="shared" si="311"/>
        <v>-8.32</v>
      </c>
      <c r="F1841" s="591">
        <f>SUM($E$2:E1841)/SUM($C$2:C1841)</f>
        <v>-4.1253959724790658E-2</v>
      </c>
      <c r="G1841" s="592">
        <f t="shared" si="312"/>
        <v>-242.94313421205521</v>
      </c>
      <c r="H1841" s="547" t="s">
        <v>598</v>
      </c>
      <c r="I1841" s="2"/>
      <c r="J1841" s="2"/>
      <c r="K1841" s="2"/>
      <c r="L1841" s="2"/>
      <c r="O1841" s="58"/>
      <c r="P1841" s="58"/>
    </row>
    <row r="1842" spans="2:16">
      <c r="B1842" s="651"/>
      <c r="C1842" s="594">
        <v>8.32</v>
      </c>
      <c r="D1842" s="542">
        <v>1.901</v>
      </c>
      <c r="E1842" s="595">
        <f t="shared" si="311"/>
        <v>7.4963200000000008</v>
      </c>
      <c r="F1842" s="596">
        <f>SUM($E$2:E1842)/SUM($C$2:C1842)</f>
        <v>-3.9924610262142682E-2</v>
      </c>
      <c r="G1842" s="597">
        <f t="shared" si="312"/>
        <v>-235.44681421205522</v>
      </c>
      <c r="H1842" s="550" t="s">
        <v>599</v>
      </c>
      <c r="I1842" s="2">
        <f>SUM(E1839:E1842)</f>
        <v>-1.3228800000000014</v>
      </c>
      <c r="L1842" s="2">
        <f>I1842/C1842</f>
        <v>-0.15900000000000017</v>
      </c>
      <c r="O1842" s="58"/>
      <c r="P1842" s="58"/>
    </row>
    <row r="1843" spans="2:16">
      <c r="B1843" s="650">
        <v>46149</v>
      </c>
      <c r="C1843" s="589">
        <v>7.74</v>
      </c>
      <c r="D1843" s="541"/>
      <c r="E1843" s="590">
        <f t="shared" ref="E1843:E1846" si="313">(C1843*D1843)-C1843</f>
        <v>-7.74</v>
      </c>
      <c r="F1843" s="591">
        <f>SUM($E$2:E1843)/SUM($C$2:C1843)</f>
        <v>-4.118302715850658E-2</v>
      </c>
      <c r="G1843" s="592">
        <f t="shared" ref="G1843:G1846" si="314">G1842+E1843</f>
        <v>-243.18681421205522</v>
      </c>
      <c r="H1843" s="547" t="s">
        <v>46</v>
      </c>
      <c r="I1843" s="2"/>
      <c r="J1843" s="2"/>
      <c r="K1843" s="2"/>
      <c r="L1843" s="2"/>
      <c r="O1843" s="58"/>
      <c r="P1843" s="58"/>
    </row>
    <row r="1844" spans="2:16">
      <c r="B1844" s="652"/>
      <c r="C1844" s="594">
        <v>7.74</v>
      </c>
      <c r="D1844" s="542"/>
      <c r="E1844" s="595">
        <f t="shared" si="313"/>
        <v>-7.74</v>
      </c>
      <c r="F1844" s="596">
        <f>SUM($E$2:E1844)/SUM($C$2:C1844)</f>
        <v>-4.2438149438423785E-2</v>
      </c>
      <c r="G1844" s="597">
        <f t="shared" si="314"/>
        <v>-250.92681421205523</v>
      </c>
      <c r="H1844" s="550" t="s">
        <v>408</v>
      </c>
      <c r="I1844" s="2"/>
      <c r="J1844" s="2"/>
      <c r="K1844" s="2"/>
      <c r="L1844" s="2"/>
      <c r="O1844" s="58"/>
      <c r="P1844" s="58"/>
    </row>
    <row r="1845" spans="2:16">
      <c r="B1845" s="652"/>
      <c r="C1845" s="589">
        <v>7.74</v>
      </c>
      <c r="D1845" s="541">
        <v>1.9</v>
      </c>
      <c r="E1845" s="590">
        <f t="shared" si="313"/>
        <v>6.9659999999999993</v>
      </c>
      <c r="F1845" s="591">
        <f>SUM($E$2:E1845)/SUM($C$2:C1845)</f>
        <v>-4.1206080383594614E-2</v>
      </c>
      <c r="G1845" s="592">
        <f t="shared" si="314"/>
        <v>-243.96081421205523</v>
      </c>
      <c r="H1845" s="547" t="s">
        <v>10</v>
      </c>
      <c r="I1845" s="2"/>
      <c r="J1845" s="2"/>
      <c r="K1845" s="2"/>
      <c r="L1845" s="2"/>
      <c r="O1845" s="58"/>
      <c r="P1845" s="58"/>
    </row>
    <row r="1846" spans="2:16">
      <c r="B1846" s="651"/>
      <c r="C1846" s="594">
        <v>7.74</v>
      </c>
      <c r="D1846" s="542">
        <v>1.91</v>
      </c>
      <c r="E1846" s="595">
        <f t="shared" si="313"/>
        <v>7.0434000000000001</v>
      </c>
      <c r="F1846" s="596">
        <f>SUM($E$2:E1846)/SUM($C$2:C1846)</f>
        <v>-3.9964172401929982E-2</v>
      </c>
      <c r="G1846" s="597">
        <f t="shared" si="314"/>
        <v>-236.91741421205523</v>
      </c>
      <c r="H1846" s="550" t="s">
        <v>44</v>
      </c>
      <c r="I1846" s="2">
        <f>SUM(E1843:E1846)</f>
        <v>-1.470600000000001</v>
      </c>
      <c r="L1846" s="2">
        <f>I1846/C1846</f>
        <v>-0.19000000000000011</v>
      </c>
      <c r="O1846" s="58"/>
      <c r="P1846" s="58"/>
    </row>
    <row r="1847" spans="2:16">
      <c r="B1847" s="650">
        <v>46150</v>
      </c>
      <c r="C1847" s="589">
        <v>7.72</v>
      </c>
      <c r="D1847" s="541">
        <v>1.89</v>
      </c>
      <c r="E1847" s="590">
        <f t="shared" ref="E1847:E1850" si="315">(C1847*D1847)-C1847</f>
        <v>6.8707999999999982</v>
      </c>
      <c r="F1847" s="591">
        <f>SUM($E$2:E1847)/SUM($C$2:C1847)</f>
        <v>-3.875471056399174E-2</v>
      </c>
      <c r="G1847" s="592">
        <f t="shared" ref="G1847:G1850" si="316">G1846+E1847</f>
        <v>-230.04661421205523</v>
      </c>
      <c r="H1847" s="547" t="s">
        <v>29</v>
      </c>
      <c r="I1847" s="2"/>
      <c r="J1847" s="2"/>
      <c r="K1847" s="2"/>
      <c r="L1847" s="2"/>
      <c r="O1847" s="58"/>
      <c r="P1847" s="58"/>
    </row>
    <row r="1848" spans="2:16">
      <c r="B1848" s="652"/>
      <c r="C1848" s="594">
        <v>7.72</v>
      </c>
      <c r="D1848" s="542"/>
      <c r="E1848" s="595">
        <f t="shared" si="315"/>
        <v>-7.72</v>
      </c>
      <c r="F1848" s="596">
        <f>SUM($E$2:E1848)/SUM($C$2:C1848)</f>
        <v>-4.000323119615052E-2</v>
      </c>
      <c r="G1848" s="597">
        <f t="shared" si="316"/>
        <v>-237.76661421205523</v>
      </c>
      <c r="H1848" s="550" t="s">
        <v>291</v>
      </c>
      <c r="I1848" s="2"/>
      <c r="J1848" s="2"/>
      <c r="K1848" s="2"/>
      <c r="L1848" s="2"/>
      <c r="O1848" s="58"/>
      <c r="P1848" s="58"/>
    </row>
    <row r="1849" spans="2:16">
      <c r="B1849" s="652"/>
      <c r="C1849" s="589">
        <v>7.72</v>
      </c>
      <c r="D1849" s="541">
        <v>1.87</v>
      </c>
      <c r="E1849" s="590">
        <f t="shared" si="315"/>
        <v>6.716400000000001</v>
      </c>
      <c r="F1849" s="591">
        <f>SUM($E$2:E1849)/SUM($C$2:C1849)</f>
        <v>-3.8822799906520634E-2</v>
      </c>
      <c r="G1849" s="592">
        <f t="shared" si="316"/>
        <v>-231.05021421205524</v>
      </c>
      <c r="H1849" s="547" t="s">
        <v>12</v>
      </c>
      <c r="I1849" s="2"/>
      <c r="J1849" s="2"/>
      <c r="K1849" s="2"/>
      <c r="L1849" s="2"/>
      <c r="O1849" s="58"/>
      <c r="P1849" s="58"/>
    </row>
    <row r="1850" spans="2:16">
      <c r="B1850" s="651"/>
      <c r="C1850" s="594">
        <v>7.72</v>
      </c>
      <c r="D1850" s="542">
        <v>1.9</v>
      </c>
      <c r="E1850" s="595">
        <f t="shared" si="315"/>
        <v>6.9479999999999995</v>
      </c>
      <c r="F1850" s="596">
        <f>SUM($E$2:E1850)/SUM($C$2:C1850)</f>
        <v>-3.7606562331096702E-2</v>
      </c>
      <c r="G1850" s="597">
        <f t="shared" si="316"/>
        <v>-224.10221421205523</v>
      </c>
      <c r="H1850" s="550" t="s">
        <v>123</v>
      </c>
      <c r="I1850" s="2">
        <f>SUM(E1847:E1850)</f>
        <v>12.815199999999999</v>
      </c>
      <c r="L1850" s="2">
        <f>I1850/C1850</f>
        <v>1.66</v>
      </c>
      <c r="O1850" s="58"/>
      <c r="P1850" s="58"/>
    </row>
    <row r="1851" spans="2:16">
      <c r="B1851" s="650">
        <v>46151</v>
      </c>
      <c r="C1851" s="589">
        <v>7.93</v>
      </c>
      <c r="D1851" s="541">
        <v>1.9</v>
      </c>
      <c r="E1851" s="590">
        <f t="shared" ref="E1851:E1854" si="317">(C1851*D1851)-C1851</f>
        <v>7.1369999999999987</v>
      </c>
      <c r="F1851" s="591">
        <f>SUM($E$2:E1851)/SUM($C$2:C1851)</f>
        <v>-3.6360517211862967E-2</v>
      </c>
      <c r="G1851" s="592">
        <f t="shared" ref="G1851:G1854" si="318">G1850+E1851</f>
        <v>-216.96521421205523</v>
      </c>
      <c r="H1851" s="547" t="s">
        <v>264</v>
      </c>
      <c r="I1851" s="2"/>
      <c r="J1851" s="2"/>
      <c r="K1851" s="2"/>
      <c r="L1851" s="2"/>
      <c r="O1851" s="58"/>
      <c r="P1851" s="58"/>
    </row>
    <row r="1852" spans="2:16">
      <c r="B1852" s="652"/>
      <c r="C1852" s="594">
        <v>7.93</v>
      </c>
      <c r="D1852" s="542">
        <v>1.87</v>
      </c>
      <c r="E1852" s="595">
        <f t="shared" si="317"/>
        <v>6.8991000000000007</v>
      </c>
      <c r="F1852" s="596">
        <f>SUM($E$2:E1852)/SUM($C$2:C1852)</f>
        <v>-3.515759559266967E-2</v>
      </c>
      <c r="G1852" s="597">
        <f t="shared" si="318"/>
        <v>-210.06611421205523</v>
      </c>
      <c r="H1852" s="550" t="s">
        <v>264</v>
      </c>
      <c r="I1852" s="2"/>
      <c r="J1852" s="2"/>
      <c r="K1852" s="2"/>
      <c r="L1852" s="2"/>
      <c r="O1852" s="58"/>
      <c r="P1852" s="58"/>
    </row>
    <row r="1853" spans="2:16">
      <c r="B1853" s="652"/>
      <c r="C1853" s="589">
        <v>7.93</v>
      </c>
      <c r="D1853" s="541">
        <v>1.88</v>
      </c>
      <c r="E1853" s="590">
        <f t="shared" si="317"/>
        <v>6.9783999999999988</v>
      </c>
      <c r="F1853" s="591">
        <f>SUM($E$2:E1853)/SUM($C$2:C1853)</f>
        <v>-3.3944608368189473E-2</v>
      </c>
      <c r="G1853" s="592">
        <f t="shared" si="318"/>
        <v>-203.08771421205523</v>
      </c>
      <c r="H1853" s="547" t="s">
        <v>357</v>
      </c>
      <c r="I1853" s="2"/>
      <c r="J1853" s="2"/>
      <c r="K1853" s="2"/>
      <c r="L1853" s="2"/>
      <c r="O1853" s="58"/>
      <c r="P1853" s="58"/>
    </row>
    <row r="1854" spans="2:16">
      <c r="B1854" s="651"/>
      <c r="C1854" s="594">
        <v>7.93</v>
      </c>
      <c r="D1854" s="542">
        <v>1.9</v>
      </c>
      <c r="E1854" s="595">
        <f t="shared" si="317"/>
        <v>7.1369999999999987</v>
      </c>
      <c r="F1854" s="596">
        <f>SUM($E$2:E1854)/SUM($C$2:C1854)</f>
        <v>-3.2708358646117354E-2</v>
      </c>
      <c r="G1854" s="597">
        <f t="shared" si="318"/>
        <v>-195.95071421205523</v>
      </c>
      <c r="H1854" s="550" t="s">
        <v>357</v>
      </c>
      <c r="I1854" s="2">
        <f>SUM(E1851:E1854)</f>
        <v>28.151499999999999</v>
      </c>
      <c r="L1854" s="2">
        <f>I1854/C1854</f>
        <v>3.55</v>
      </c>
      <c r="O1854" s="58"/>
      <c r="P1854" s="58"/>
    </row>
    <row r="1855" spans="2:16">
      <c r="B1855" s="650">
        <v>46152</v>
      </c>
      <c r="C1855" s="594">
        <v>8.4</v>
      </c>
      <c r="D1855" s="542">
        <v>1.89</v>
      </c>
      <c r="E1855" s="595">
        <f t="shared" ref="E1855:E1857" si="319">(C1855*D1855)-C1855</f>
        <v>7.4759999999999991</v>
      </c>
      <c r="F1855" s="596">
        <f>SUM($E$2:E1855)/SUM($C$2:C1855)</f>
        <v>-3.1416404421550373E-2</v>
      </c>
      <c r="G1855" s="597">
        <f t="shared" ref="G1855:G1857" si="320">G1854+E1855</f>
        <v>-188.47471421205523</v>
      </c>
      <c r="H1855" s="550" t="s">
        <v>291</v>
      </c>
      <c r="I1855" s="2"/>
      <c r="J1855" s="2"/>
      <c r="K1855" s="2"/>
      <c r="L1855" s="2"/>
      <c r="O1855" s="58"/>
      <c r="P1855" s="58"/>
    </row>
    <row r="1856" spans="2:16">
      <c r="B1856" s="652"/>
      <c r="C1856" s="589">
        <v>8.4</v>
      </c>
      <c r="D1856" s="541"/>
      <c r="E1856" s="590">
        <f t="shared" si="319"/>
        <v>-8.4</v>
      </c>
      <c r="F1856" s="591">
        <f>SUM($E$2:E1856)/SUM($C$2:C1856)</f>
        <v>-3.2770695811632389E-2</v>
      </c>
      <c r="G1856" s="592">
        <f t="shared" si="320"/>
        <v>-196.87471421205524</v>
      </c>
      <c r="H1856" s="547" t="s">
        <v>12</v>
      </c>
      <c r="I1856" s="2"/>
      <c r="J1856" s="2"/>
      <c r="K1856" s="2"/>
      <c r="L1856" s="2"/>
      <c r="O1856" s="58"/>
      <c r="P1856" s="58"/>
    </row>
    <row r="1857" spans="2:16">
      <c r="B1857" s="651"/>
      <c r="C1857" s="594">
        <v>8.4</v>
      </c>
      <c r="D1857" s="542">
        <v>1.94</v>
      </c>
      <c r="E1857" s="595">
        <f t="shared" si="319"/>
        <v>7.895999999999999</v>
      </c>
      <c r="F1857" s="596">
        <f>SUM($E$2:E1857)/SUM($C$2:C1857)</f>
        <v>-3.1412449066596723E-2</v>
      </c>
      <c r="G1857" s="597">
        <f t="shared" si="320"/>
        <v>-188.97871421205525</v>
      </c>
      <c r="H1857" s="550" t="s">
        <v>123</v>
      </c>
      <c r="I1857" s="490">
        <f>SUM(E1855:E1857)</f>
        <v>6.9719999999999978</v>
      </c>
      <c r="J1857" s="490">
        <f>SUM(E1831:E1857)</f>
        <v>10.614219999999985</v>
      </c>
      <c r="L1857" s="2">
        <f>I1857/C1857</f>
        <v>0.82999999999999974</v>
      </c>
      <c r="O1857" s="58"/>
      <c r="P1857" s="58"/>
    </row>
    <row r="1858" spans="2:16">
      <c r="B1858" s="650">
        <v>46153</v>
      </c>
      <c r="C1858" s="589">
        <v>8.52</v>
      </c>
      <c r="D1858" s="541"/>
      <c r="E1858" s="590">
        <f t="shared" ref="E1858:E1860" si="321">(C1858*D1858)-C1858</f>
        <v>-8.52</v>
      </c>
      <c r="F1858" s="591">
        <f>SUM($E$2:E1858)/SUM($C$2:C1858)</f>
        <v>-3.2782235204811994E-2</v>
      </c>
      <c r="G1858" s="592">
        <f t="shared" ref="G1858:G1860" si="322">G1857+E1858</f>
        <v>-197.49871421205526</v>
      </c>
      <c r="H1858" s="547" t="s">
        <v>97</v>
      </c>
      <c r="I1858" s="2"/>
      <c r="J1858" s="2"/>
      <c r="K1858" s="2"/>
      <c r="L1858" s="2"/>
      <c r="O1858" s="58"/>
      <c r="P1858" s="58"/>
    </row>
    <row r="1859" spans="2:16">
      <c r="B1859" s="652"/>
      <c r="C1859" s="594">
        <v>8.52</v>
      </c>
      <c r="D1859" s="542">
        <v>1.8720000000000001</v>
      </c>
      <c r="E1859" s="595">
        <f t="shared" si="321"/>
        <v>7.4294400000000014</v>
      </c>
      <c r="F1859" s="596">
        <f>SUM($E$2:E1859)/SUM($C$2:C1859)</f>
        <v>-3.150449017776915E-2</v>
      </c>
      <c r="G1859" s="597">
        <f t="shared" si="322"/>
        <v>-190.06927421205526</v>
      </c>
      <c r="H1859" s="550" t="s">
        <v>264</v>
      </c>
      <c r="I1859" s="2"/>
      <c r="J1859" s="2"/>
      <c r="K1859" s="2"/>
      <c r="L1859" s="2"/>
      <c r="O1859" s="58"/>
      <c r="P1859" s="58"/>
    </row>
    <row r="1860" spans="2:16">
      <c r="B1860" s="652"/>
      <c r="C1860" s="594">
        <v>8.52</v>
      </c>
      <c r="D1860" s="542">
        <v>1.9</v>
      </c>
      <c r="E1860" s="595">
        <f t="shared" si="321"/>
        <v>7.6679999999999993</v>
      </c>
      <c r="F1860" s="596">
        <f>SUM($E$2:E1860)/SUM($C$2:C1860)</f>
        <v>-3.0190862762409568E-2</v>
      </c>
      <c r="G1860" s="597">
        <f t="shared" si="322"/>
        <v>-182.40127421205526</v>
      </c>
      <c r="H1860" s="550" t="s">
        <v>357</v>
      </c>
      <c r="I1860" s="2">
        <f>SUM(E1858:E1860)</f>
        <v>6.5774400000000011</v>
      </c>
      <c r="L1860" s="2">
        <f>I1860/C1860</f>
        <v>0.77200000000000013</v>
      </c>
      <c r="O1860" s="58"/>
      <c r="P1860" s="58"/>
    </row>
    <row r="1861" spans="2:16">
      <c r="B1861" s="650">
        <v>46154</v>
      </c>
      <c r="C1861" s="589">
        <v>8.6300000000000008</v>
      </c>
      <c r="D1861" s="541"/>
      <c r="E1861" s="590">
        <f t="shared" ref="E1861:E1862" si="323">(C1861*D1861)-C1861</f>
        <v>-8.6300000000000008</v>
      </c>
      <c r="F1861" s="591">
        <f>SUM($E$2:E1861)/SUM($C$2:C1861)</f>
        <v>-3.1574189615521595E-2</v>
      </c>
      <c r="G1861" s="592">
        <f t="shared" ref="G1861:G1862" si="324">G1860+E1861</f>
        <v>-191.03127421205525</v>
      </c>
      <c r="H1861" s="547" t="s">
        <v>598</v>
      </c>
      <c r="I1861" s="2"/>
      <c r="J1861" s="2"/>
      <c r="K1861" s="2"/>
      <c r="L1861" s="2"/>
      <c r="O1861" s="58"/>
      <c r="P1861" s="58"/>
    </row>
    <row r="1862" spans="2:16">
      <c r="B1862" s="651"/>
      <c r="C1862" s="594">
        <v>8.6300000000000008</v>
      </c>
      <c r="D1862" s="542">
        <v>1.92</v>
      </c>
      <c r="E1862" s="595">
        <f t="shared" si="323"/>
        <v>7.9396000000000004</v>
      </c>
      <c r="F1862" s="596">
        <f>SUM($E$2:E1862)/SUM($C$2:C1862)</f>
        <v>-3.0218806230771056E-2</v>
      </c>
      <c r="G1862" s="597">
        <f t="shared" si="324"/>
        <v>-183.09167421205524</v>
      </c>
      <c r="H1862" s="550" t="s">
        <v>599</v>
      </c>
      <c r="I1862" s="2">
        <f>SUM(E1861:E1862)</f>
        <v>-0.69040000000000035</v>
      </c>
      <c r="L1862" s="2">
        <f>I1862/C1862</f>
        <v>-8.0000000000000029E-2</v>
      </c>
      <c r="O1862" s="58"/>
      <c r="P1862" s="58"/>
    </row>
    <row r="1863" spans="2:16">
      <c r="B1863" s="650">
        <v>46155</v>
      </c>
      <c r="C1863" s="589">
        <v>17.23</v>
      </c>
      <c r="D1863" s="541">
        <v>1.93</v>
      </c>
      <c r="E1863" s="590">
        <f t="shared" ref="E1863:E1864" si="325">(C1863*D1863)-C1863</f>
        <v>16.023900000000001</v>
      </c>
      <c r="F1863" s="591">
        <f>SUM($E$2:E1863)/SUM($C$2:C1863)</f>
        <v>-2.7495911111659728E-2</v>
      </c>
      <c r="G1863" s="592">
        <f t="shared" ref="G1863:G1864" si="326">G1862+E1863</f>
        <v>-167.06777421205524</v>
      </c>
      <c r="H1863" s="547" t="s">
        <v>600</v>
      </c>
      <c r="I1863" s="2"/>
      <c r="J1863" s="2"/>
      <c r="K1863" s="2"/>
      <c r="L1863" s="2"/>
      <c r="O1863" s="58"/>
      <c r="P1863" s="58"/>
    </row>
    <row r="1864" spans="2:16">
      <c r="B1864" s="652"/>
      <c r="C1864" s="594">
        <v>17.23</v>
      </c>
      <c r="D1864" s="542">
        <v>1.9</v>
      </c>
      <c r="E1864" s="595">
        <f t="shared" si="325"/>
        <v>15.507000000000001</v>
      </c>
      <c r="F1864" s="596">
        <f>SUM($E$2:E1864)/SUM($C$2:C1864)</f>
        <v>-2.4873245496678714E-2</v>
      </c>
      <c r="G1864" s="597">
        <f t="shared" si="326"/>
        <v>-151.56077421205524</v>
      </c>
      <c r="H1864" s="550" t="s">
        <v>408</v>
      </c>
      <c r="I1864" s="2">
        <f>SUM(E1863:E1864)</f>
        <v>31.530900000000003</v>
      </c>
      <c r="L1864" s="2">
        <f>I1864/C1864</f>
        <v>1.83</v>
      </c>
      <c r="O1864" s="58"/>
      <c r="P1864" s="58"/>
    </row>
    <row r="1865" spans="2:16">
      <c r="B1865" s="650">
        <v>46157</v>
      </c>
      <c r="C1865" s="589">
        <v>9.14</v>
      </c>
      <c r="D1865" s="541">
        <v>1.85</v>
      </c>
      <c r="E1865" s="590">
        <f t="shared" ref="E1865:E1870" si="327">(C1865*D1865)-C1865</f>
        <v>7.7690000000000019</v>
      </c>
      <c r="F1865" s="591">
        <f>SUM($E$2:E1865)/SUM($C$2:C1865)</f>
        <v>-2.3562899403905251E-2</v>
      </c>
      <c r="G1865" s="592">
        <f t="shared" ref="G1865:G1870" si="328">G1864+E1865</f>
        <v>-143.79177421205523</v>
      </c>
      <c r="H1865" s="547" t="s">
        <v>97</v>
      </c>
      <c r="I1865" s="2"/>
      <c r="J1865" s="2"/>
      <c r="K1865" s="2"/>
      <c r="L1865" s="2"/>
      <c r="O1865" s="58"/>
      <c r="P1865" s="58"/>
    </row>
    <row r="1866" spans="2:16">
      <c r="B1866" s="652"/>
      <c r="C1866" s="594">
        <v>9.14</v>
      </c>
      <c r="D1866" s="542"/>
      <c r="E1866" s="595">
        <f t="shared" si="327"/>
        <v>-9.14</v>
      </c>
      <c r="F1866" s="596">
        <f>SUM($E$2:E1866)/SUM($C$2:C1866)</f>
        <v>-2.5023176167687258E-2</v>
      </c>
      <c r="G1866" s="597">
        <f t="shared" si="328"/>
        <v>-152.93177421205525</v>
      </c>
      <c r="H1866" s="550" t="s">
        <v>264</v>
      </c>
      <c r="I1866" s="2"/>
      <c r="J1866" s="2"/>
      <c r="K1866" s="2"/>
      <c r="L1866" s="2"/>
      <c r="O1866" s="58"/>
      <c r="P1866" s="58"/>
    </row>
    <row r="1867" spans="2:16">
      <c r="B1867" s="652"/>
      <c r="C1867" s="589">
        <v>9.14</v>
      </c>
      <c r="D1867" s="541">
        <v>1.86</v>
      </c>
      <c r="E1867" s="590">
        <f t="shared" si="327"/>
        <v>7.8604000000000021</v>
      </c>
      <c r="F1867" s="591">
        <f>SUM($E$2:E1867)/SUM($C$2:C1867)</f>
        <v>-2.3701586796974986E-2</v>
      </c>
      <c r="G1867" s="592">
        <f t="shared" si="328"/>
        <v>-145.07137421205525</v>
      </c>
      <c r="H1867" s="547" t="s">
        <v>12</v>
      </c>
      <c r="I1867" s="2"/>
      <c r="J1867" s="2"/>
      <c r="K1867" s="2"/>
      <c r="L1867" s="2"/>
      <c r="O1867" s="58"/>
      <c r="P1867" s="58"/>
    </row>
    <row r="1868" spans="2:16">
      <c r="B1868" s="652"/>
      <c r="C1868" s="594">
        <v>9.14</v>
      </c>
      <c r="D1868" s="542">
        <v>1.87</v>
      </c>
      <c r="E1868" s="595">
        <f t="shared" si="327"/>
        <v>7.9518000000000022</v>
      </c>
      <c r="F1868" s="596">
        <f>SUM($E$2:E1868)/SUM($C$2:C1868)</f>
        <v>-2.2369027996357347E-2</v>
      </c>
      <c r="G1868" s="597">
        <f t="shared" si="328"/>
        <v>-137.11957421205526</v>
      </c>
      <c r="H1868" s="550" t="s">
        <v>123</v>
      </c>
      <c r="I1868" s="2">
        <f>SUM(E1865:E1868)</f>
        <v>14.441200000000006</v>
      </c>
      <c r="L1868" s="2">
        <f>I1868/C1868</f>
        <v>1.5800000000000005</v>
      </c>
      <c r="O1868" s="58"/>
      <c r="P1868" s="58"/>
    </row>
    <row r="1869" spans="2:16">
      <c r="B1869" s="650">
        <v>46159</v>
      </c>
      <c r="C1869" s="589">
        <v>18.760000000000002</v>
      </c>
      <c r="D1869" s="541">
        <v>1.9</v>
      </c>
      <c r="E1869" s="590">
        <f t="shared" si="327"/>
        <v>16.883999999999997</v>
      </c>
      <c r="F1869" s="591">
        <f>SUM($E$2:E1869)/SUM($C$2:C1869)</f>
        <v>-1.9554807573472988E-2</v>
      </c>
      <c r="G1869" s="592">
        <f t="shared" si="328"/>
        <v>-120.23557421205525</v>
      </c>
      <c r="H1869" s="547" t="s">
        <v>600</v>
      </c>
      <c r="I1869" s="2"/>
      <c r="J1869" s="2"/>
      <c r="K1869" s="2"/>
      <c r="L1869" s="2"/>
      <c r="O1869" s="58"/>
      <c r="P1869" s="58"/>
    </row>
    <row r="1870" spans="2:16">
      <c r="B1870" s="651"/>
      <c r="C1870" s="594">
        <v>18.760000000000002</v>
      </c>
      <c r="D1870" s="542">
        <v>1.89</v>
      </c>
      <c r="E1870" s="595">
        <f t="shared" si="327"/>
        <v>16.696400000000001</v>
      </c>
      <c r="F1870" s="596">
        <f>SUM($E$2:E1870)/SUM($C$2:C1870)</f>
        <v>-1.6788125708470162E-2</v>
      </c>
      <c r="G1870" s="597">
        <f t="shared" si="328"/>
        <v>-103.53917421205526</v>
      </c>
      <c r="H1870" s="550" t="s">
        <v>408</v>
      </c>
      <c r="I1870" s="2">
        <f>SUM(E1869:E1870)</f>
        <v>33.580399999999997</v>
      </c>
      <c r="J1870" s="2">
        <f>SUM(E1858:E1870)</f>
        <v>85.439540000000008</v>
      </c>
      <c r="L1870" s="2">
        <f>I1870/C1870</f>
        <v>1.7899999999999998</v>
      </c>
      <c r="O1870" s="58"/>
      <c r="P1870" s="58"/>
    </row>
    <row r="1871" spans="2:16">
      <c r="B1871" s="650">
        <v>46160</v>
      </c>
      <c r="C1871" s="589">
        <v>19.88</v>
      </c>
      <c r="D1871" s="541">
        <v>1.9</v>
      </c>
      <c r="E1871" s="590">
        <f t="shared" ref="E1871:E1872" si="329">(C1871*D1871)-C1871</f>
        <v>17.891999999999999</v>
      </c>
      <c r="F1871" s="591">
        <f>SUM($E$2:E1871)/SUM($C$2:C1871)</f>
        <v>-1.3842448036217611E-2</v>
      </c>
      <c r="G1871" s="592">
        <f t="shared" ref="G1871:G1872" si="330">G1870+E1871</f>
        <v>-85.647174212055262</v>
      </c>
      <c r="H1871" s="547" t="s">
        <v>12</v>
      </c>
      <c r="I1871" s="2"/>
      <c r="J1871" s="2"/>
      <c r="K1871" s="2"/>
      <c r="L1871" s="2"/>
      <c r="O1871" s="58"/>
      <c r="P1871" s="58"/>
    </row>
    <row r="1872" spans="2:16">
      <c r="B1872" s="652"/>
      <c r="C1872" s="594">
        <v>19.88</v>
      </c>
      <c r="D1872" s="542">
        <v>1.88</v>
      </c>
      <c r="E1872" s="595">
        <f t="shared" si="329"/>
        <v>17.494399999999995</v>
      </c>
      <c r="F1872" s="596">
        <f>SUM($E$2:E1872)/SUM($C$2:C1872)</f>
        <v>-1.0979693908867206E-2</v>
      </c>
      <c r="G1872" s="597">
        <f t="shared" si="330"/>
        <v>-68.152774212055263</v>
      </c>
      <c r="H1872" s="550" t="s">
        <v>224</v>
      </c>
      <c r="I1872" s="2">
        <f>SUM(E1871:E1872)</f>
        <v>35.386399999999995</v>
      </c>
      <c r="L1872" s="2">
        <f>I1872/C1872</f>
        <v>1.7799999999999998</v>
      </c>
      <c r="O1872" s="58"/>
      <c r="P1872" s="58"/>
    </row>
    <row r="1873" spans="2:16">
      <c r="B1873" s="259">
        <v>46161</v>
      </c>
      <c r="C1873" s="594">
        <v>21.06</v>
      </c>
      <c r="D1873" s="542"/>
      <c r="E1873" s="595">
        <f t="shared" ref="E1873:E1875" si="331">(C1873*D1873)-C1873</f>
        <v>-21.06</v>
      </c>
      <c r="F1873" s="596">
        <f>SUM($E$2:E1873)/SUM($C$2:C1873)</f>
        <v>-1.4323947993118485E-2</v>
      </c>
      <c r="G1873" s="597">
        <f t="shared" ref="G1873:G1875" si="332">G1872+E1873</f>
        <v>-89.212774212055265</v>
      </c>
      <c r="H1873" s="550" t="s">
        <v>46</v>
      </c>
      <c r="I1873" s="2">
        <f>SUM(E1873)</f>
        <v>-21.06</v>
      </c>
      <c r="L1873" s="2">
        <f>I1873/C1873</f>
        <v>-1</v>
      </c>
      <c r="O1873" s="58"/>
      <c r="P1873" s="58"/>
    </row>
    <row r="1874" spans="2:16">
      <c r="B1874" s="650">
        <v>46162</v>
      </c>
      <c r="C1874" s="589">
        <v>20.36</v>
      </c>
      <c r="D1874" s="541">
        <v>1.91</v>
      </c>
      <c r="E1874" s="590">
        <f t="shared" si="331"/>
        <v>18.5276</v>
      </c>
      <c r="F1874" s="591">
        <f>SUM($E$2:E1874)/SUM($C$2:C1874)</f>
        <v>-1.1312188546211466E-2</v>
      </c>
      <c r="G1874" s="592">
        <f t="shared" si="332"/>
        <v>-70.685174212055273</v>
      </c>
      <c r="H1874" s="547" t="s">
        <v>12</v>
      </c>
      <c r="I1874" s="2"/>
      <c r="J1874" s="2"/>
      <c r="K1874" s="2"/>
      <c r="L1874" s="2"/>
      <c r="O1874" s="58"/>
      <c r="P1874" s="58"/>
    </row>
    <row r="1875" spans="2:16">
      <c r="B1875" s="652">
        <v>46163</v>
      </c>
      <c r="C1875" s="594">
        <v>20.36</v>
      </c>
      <c r="D1875" s="542">
        <v>1.88</v>
      </c>
      <c r="E1875" s="595">
        <f t="shared" si="331"/>
        <v>17.916799999999995</v>
      </c>
      <c r="F1875" s="596">
        <f>SUM($E$2:E1875)/SUM($C$2:C1875)</f>
        <v>-8.4174246732576855E-3</v>
      </c>
      <c r="G1875" s="597">
        <f t="shared" si="332"/>
        <v>-52.768374212055278</v>
      </c>
      <c r="H1875" s="550" t="s">
        <v>224</v>
      </c>
      <c r="I1875" s="2">
        <f>SUM(E1874:E1875)</f>
        <v>36.444399999999995</v>
      </c>
      <c r="L1875" s="2">
        <f>I1875/C1875</f>
        <v>1.7899999999999998</v>
      </c>
      <c r="O1875" s="58"/>
      <c r="P1875" s="58"/>
    </row>
    <row r="1876" spans="2:16">
      <c r="B1876" s="259">
        <v>46163</v>
      </c>
      <c r="C1876" s="594">
        <v>21.57</v>
      </c>
      <c r="D1876" s="542"/>
      <c r="E1876" s="595">
        <f t="shared" ref="E1876:E1878" si="333">(C1876*D1876)-C1876</f>
        <v>-21.57</v>
      </c>
      <c r="F1876" s="596">
        <f>SUM($E$2:E1876)/SUM($C$2:C1876)</f>
        <v>-1.1817533469570587E-2</v>
      </c>
      <c r="G1876" s="597">
        <f t="shared" ref="G1876:G1878" si="334">G1875+E1876</f>
        <v>-74.338374212055271</v>
      </c>
      <c r="H1876" s="550" t="s">
        <v>46</v>
      </c>
      <c r="I1876" s="2">
        <f>SUM(E1876)</f>
        <v>-21.57</v>
      </c>
      <c r="L1876" s="2">
        <f>I1876/C1876</f>
        <v>-1</v>
      </c>
      <c r="O1876" s="58"/>
      <c r="P1876" s="58"/>
    </row>
    <row r="1877" spans="2:16">
      <c r="B1877" s="650">
        <v>46164</v>
      </c>
      <c r="C1877" s="589">
        <v>20.86</v>
      </c>
      <c r="D1877" s="541">
        <v>1.8620000000000001</v>
      </c>
      <c r="E1877" s="590">
        <f t="shared" si="333"/>
        <v>17.981320000000004</v>
      </c>
      <c r="F1877" s="591">
        <f>SUM($E$2:E1877)/SUM($C$2:C1877)</f>
        <v>-8.9294412395241034E-3</v>
      </c>
      <c r="G1877" s="592">
        <f t="shared" si="334"/>
        <v>-56.357054212055267</v>
      </c>
      <c r="H1877" s="547" t="s">
        <v>30</v>
      </c>
      <c r="I1877" s="2"/>
      <c r="J1877" s="2"/>
      <c r="K1877" s="2"/>
      <c r="L1877" s="2"/>
      <c r="O1877" s="58"/>
      <c r="P1877" s="58"/>
    </row>
    <row r="1878" spans="2:16">
      <c r="B1878" s="651">
        <v>46163</v>
      </c>
      <c r="C1878" s="594">
        <v>20.86</v>
      </c>
      <c r="D1878" s="542">
        <v>1.9</v>
      </c>
      <c r="E1878" s="595">
        <f t="shared" si="333"/>
        <v>18.774000000000001</v>
      </c>
      <c r="F1878" s="596">
        <f>SUM($E$2:E1878)/SUM($C$2:C1878)</f>
        <v>-5.935195531553957E-3</v>
      </c>
      <c r="G1878" s="597">
        <f t="shared" si="334"/>
        <v>-37.583054212055266</v>
      </c>
      <c r="H1878" s="550" t="s">
        <v>218</v>
      </c>
      <c r="I1878" s="2">
        <f>SUM(E1877:E1878)</f>
        <v>36.755320000000005</v>
      </c>
      <c r="L1878" s="2">
        <f>I1878/C1878</f>
        <v>1.7620000000000002</v>
      </c>
      <c r="O1878" s="58"/>
      <c r="P1878" s="58"/>
    </row>
    <row r="1879" spans="2:16">
      <c r="B1879" s="650">
        <v>46165</v>
      </c>
      <c r="C1879" s="589">
        <v>22.08</v>
      </c>
      <c r="D1879" s="541">
        <v>1.9</v>
      </c>
      <c r="E1879" s="590">
        <f t="shared" ref="E1879:E1882" si="335">(C1879*D1879)-C1879</f>
        <v>19.872</v>
      </c>
      <c r="F1879" s="591">
        <f>SUM($E$2:E1879)/SUM($C$2:C1879)</f>
        <v>-2.787248284823401E-3</v>
      </c>
      <c r="G1879" s="592">
        <f t="shared" ref="G1879:G1882" si="336">G1878+E1879</f>
        <v>-17.711054212055267</v>
      </c>
      <c r="H1879" s="547" t="s">
        <v>29</v>
      </c>
      <c r="I1879" s="2"/>
      <c r="J1879" s="2"/>
      <c r="K1879" s="2"/>
      <c r="L1879" s="2"/>
      <c r="O1879" s="58"/>
      <c r="P1879" s="58"/>
    </row>
    <row r="1880" spans="2:16">
      <c r="B1880" s="651">
        <v>46161</v>
      </c>
      <c r="C1880" s="594">
        <v>22.08</v>
      </c>
      <c r="D1880" s="542">
        <v>1.98</v>
      </c>
      <c r="E1880" s="595">
        <f t="shared" si="335"/>
        <v>21.638399999999997</v>
      </c>
      <c r="F1880" s="596">
        <f>SUM($E$2:E1880)/SUM($C$2:C1880)</f>
        <v>6.159194418436458E-4</v>
      </c>
      <c r="G1880" s="597">
        <f t="shared" si="336"/>
        <v>3.9273457879447307</v>
      </c>
      <c r="H1880" s="550" t="s">
        <v>393</v>
      </c>
      <c r="I1880" s="2">
        <f>SUM(E1879:E1880)</f>
        <v>41.510399999999997</v>
      </c>
      <c r="L1880" s="2">
        <f>I1880/C1880</f>
        <v>1.8800000000000001</v>
      </c>
      <c r="O1880" s="58"/>
      <c r="P1880" s="58"/>
    </row>
    <row r="1881" spans="2:16">
      <c r="B1881" s="650">
        <v>46166</v>
      </c>
      <c r="C1881" s="589">
        <v>23.46</v>
      </c>
      <c r="D1881" s="541"/>
      <c r="E1881" s="590">
        <f t="shared" si="335"/>
        <v>-23.46</v>
      </c>
      <c r="F1881" s="591">
        <f>SUM($E$2:E1881)/SUM($C$2:C1881)</f>
        <v>-3.0520462612673447E-3</v>
      </c>
      <c r="G1881" s="592">
        <f t="shared" si="336"/>
        <v>-19.53265421205527</v>
      </c>
      <c r="H1881" s="547" t="s">
        <v>30</v>
      </c>
      <c r="I1881" s="2"/>
      <c r="J1881" s="2"/>
      <c r="K1881" s="2"/>
      <c r="L1881" s="2"/>
      <c r="O1881" s="58"/>
      <c r="P1881" s="58"/>
    </row>
    <row r="1882" spans="2:16">
      <c r="B1882" s="651">
        <v>46153</v>
      </c>
      <c r="C1882" s="594">
        <v>23.46</v>
      </c>
      <c r="D1882" s="542"/>
      <c r="E1882" s="595">
        <f t="shared" si="335"/>
        <v>-23.46</v>
      </c>
      <c r="F1882" s="596">
        <f>SUM($E$2:E1882)/SUM($C$2:C1882)</f>
        <v>-6.6932187984255495E-3</v>
      </c>
      <c r="G1882" s="597">
        <f t="shared" si="336"/>
        <v>-42.992654212055271</v>
      </c>
      <c r="H1882" s="550" t="s">
        <v>218</v>
      </c>
      <c r="I1882" s="490">
        <f>SUM(E1881:E1882)</f>
        <v>-46.92</v>
      </c>
      <c r="J1882" s="490">
        <f>SUM(E1871:E1882)</f>
        <v>60.546519999999994</v>
      </c>
      <c r="L1882" s="2">
        <f>I1882/C1882</f>
        <v>-2</v>
      </c>
      <c r="O1882" s="58"/>
      <c r="P1882" s="58"/>
    </row>
    <row r="1883" spans="2:16">
      <c r="B1883" s="259">
        <v>46167</v>
      </c>
      <c r="C1883" s="594">
        <v>21.900244859598175</v>
      </c>
      <c r="D1883" s="542">
        <v>2.04</v>
      </c>
      <c r="E1883" s="595">
        <f t="shared" ref="E1883:E1885" si="337">(C1883*D1883)-C1883</f>
        <v>22.7762546539821</v>
      </c>
      <c r="F1883" s="596">
        <f>SUM($E$2:E1883)/SUM($C$2:C1883)</f>
        <v>-3.136652242686533E-3</v>
      </c>
      <c r="G1883" s="597">
        <f t="shared" ref="G1883:G1885" si="338">G1882+E1883</f>
        <v>-20.216399558073171</v>
      </c>
      <c r="H1883" s="550" t="s">
        <v>393</v>
      </c>
      <c r="I1883" s="2">
        <f>SUM(E1883)</f>
        <v>22.7762546539821</v>
      </c>
      <c r="L1883" s="2">
        <f>I1883/C1883</f>
        <v>1.04</v>
      </c>
      <c r="O1883" s="58"/>
      <c r="P1883" s="58"/>
    </row>
    <row r="1884" spans="2:16">
      <c r="B1884" s="650">
        <v>46168</v>
      </c>
      <c r="C1884" s="589">
        <v>22.66</v>
      </c>
      <c r="D1884" s="541">
        <v>1.74</v>
      </c>
      <c r="E1884" s="590">
        <f t="shared" si="337"/>
        <v>16.768400000000003</v>
      </c>
      <c r="F1884" s="591">
        <f>SUM($E$2:E1884)/SUM($C$2:C1884)</f>
        <v>-5.3309615717727959E-4</v>
      </c>
      <c r="G1884" s="592">
        <f t="shared" si="338"/>
        <v>-3.4479995580731675</v>
      </c>
      <c r="H1884" s="547" t="s">
        <v>12</v>
      </c>
      <c r="I1884" s="2"/>
      <c r="J1884" s="2"/>
      <c r="K1884" s="2"/>
      <c r="L1884" s="2"/>
      <c r="O1884" s="58"/>
      <c r="P1884" s="58"/>
    </row>
    <row r="1885" spans="2:16">
      <c r="B1885" s="652"/>
      <c r="C1885" s="594">
        <v>22.66</v>
      </c>
      <c r="D1885" s="542">
        <v>1.83</v>
      </c>
      <c r="E1885" s="595">
        <f t="shared" si="337"/>
        <v>18.807800000000004</v>
      </c>
      <c r="F1885" s="596">
        <f>SUM($E$2:E1885)/SUM($C$2:C1885)</f>
        <v>2.366492027244752E-3</v>
      </c>
      <c r="G1885" s="597">
        <f t="shared" si="338"/>
        <v>15.359800441926836</v>
      </c>
      <c r="H1885" s="550" t="s">
        <v>224</v>
      </c>
      <c r="I1885" s="2">
        <f>SUM(E1884:E1885)</f>
        <v>35.576200000000007</v>
      </c>
      <c r="L1885" s="2">
        <f>I1885/C1885</f>
        <v>1.5700000000000003</v>
      </c>
      <c r="O1885" s="58"/>
      <c r="P1885" s="58"/>
    </row>
    <row r="1886" spans="2:16">
      <c r="B1886" s="650">
        <v>46170</v>
      </c>
      <c r="C1886" s="589">
        <v>23.85</v>
      </c>
      <c r="D1886" s="541"/>
      <c r="E1886" s="590">
        <f t="shared" ref="E1886:E1887" si="339">(C1886*D1886)-C1886</f>
        <v>-23.85</v>
      </c>
      <c r="F1886" s="591">
        <f>SUM($E$2:E1886)/SUM($C$2:C1886)</f>
        <v>-1.3033001497040717E-3</v>
      </c>
      <c r="G1886" s="592">
        <f t="shared" ref="G1886:G1887" si="340">G1885+E1886</f>
        <v>-8.4901995580731651</v>
      </c>
      <c r="H1886" s="547" t="s">
        <v>30</v>
      </c>
      <c r="I1886" s="2"/>
      <c r="J1886" s="2"/>
      <c r="K1886" s="2"/>
      <c r="L1886" s="2"/>
      <c r="O1886" s="58"/>
      <c r="P1886" s="58"/>
    </row>
    <row r="1887" spans="2:16">
      <c r="B1887" s="651"/>
      <c r="C1887" s="594">
        <v>23.85</v>
      </c>
      <c r="D1887" s="542"/>
      <c r="E1887" s="595">
        <f t="shared" si="339"/>
        <v>-23.85</v>
      </c>
      <c r="F1887" s="596">
        <f>SUM($E$2:E1887)/SUM($C$2:C1887)</f>
        <v>-4.946319187684756E-3</v>
      </c>
      <c r="G1887" s="597">
        <f t="shared" si="340"/>
        <v>-32.340199558073166</v>
      </c>
      <c r="H1887" s="550" t="s">
        <v>218</v>
      </c>
      <c r="I1887" s="2">
        <f>SUM(E1886:E1887)</f>
        <v>-47.7</v>
      </c>
      <c r="L1887" s="2">
        <f>I1887/C1887</f>
        <v>-2</v>
      </c>
      <c r="O1887" s="58"/>
      <c r="P1887" s="58"/>
    </row>
    <row r="1888" spans="2:16">
      <c r="B1888" s="650">
        <v>46172</v>
      </c>
      <c r="C1888" s="589">
        <v>22.26</v>
      </c>
      <c r="D1888" s="541">
        <v>1.9</v>
      </c>
      <c r="E1888" s="590">
        <f t="shared" ref="E1888:E1889" si="341">(C1888*D1888)-C1888</f>
        <v>20.034000000000002</v>
      </c>
      <c r="F1888" s="591">
        <f>SUM($E$2:E1888)/SUM($C$2:C1888)</f>
        <v>-1.8758033771452839E-3</v>
      </c>
      <c r="G1888" s="592">
        <f t="shared" ref="G1888:G1889" si="342">G1887+E1888</f>
        <v>-12.306199558073164</v>
      </c>
      <c r="H1888" s="547" t="s">
        <v>12</v>
      </c>
      <c r="I1888" s="2"/>
      <c r="J1888" s="2"/>
      <c r="K1888" s="2"/>
      <c r="L1888" s="2"/>
      <c r="O1888" s="58"/>
      <c r="P1888" s="58"/>
    </row>
    <row r="1889" spans="2:16">
      <c r="B1889" s="651"/>
      <c r="C1889" s="594">
        <v>22.26</v>
      </c>
      <c r="D1889" s="542">
        <v>1.9</v>
      </c>
      <c r="E1889" s="595">
        <f t="shared" si="341"/>
        <v>20.034000000000002</v>
      </c>
      <c r="F1889" s="596">
        <f>SUM($E$2:E1889)/SUM($C$2:C1889)</f>
        <v>1.1739461502607009E-3</v>
      </c>
      <c r="G1889" s="597">
        <f t="shared" si="342"/>
        <v>7.7278004419268385</v>
      </c>
      <c r="H1889" s="550" t="s">
        <v>224</v>
      </c>
      <c r="I1889" s="2">
        <f>SUM(E1888:E1889)</f>
        <v>40.068000000000005</v>
      </c>
      <c r="J1889" s="2">
        <f>SUM(E1883:E1890)</f>
        <v>50.72045465398211</v>
      </c>
      <c r="K1889" s="2">
        <f>SUM(E1822:E1890)</f>
        <v>225.55903465398211</v>
      </c>
      <c r="L1889" s="2">
        <f>I1889/C1889</f>
        <v>1.8</v>
      </c>
      <c r="O1889" s="58"/>
      <c r="P1889" s="58"/>
    </row>
    <row r="1890" spans="2:16">
      <c r="B1890" s="371"/>
      <c r="C1890" s="369"/>
      <c r="D1890" s="257"/>
      <c r="E1890" s="257"/>
      <c r="F1890" s="256"/>
      <c r="G1890" s="257"/>
      <c r="H1890" s="554"/>
      <c r="O1890" s="58"/>
      <c r="P1890" s="58"/>
    </row>
    <row r="1891" spans="2:16">
      <c r="C1891" s="130">
        <f>SUM(C2:C1890)</f>
        <v>6582.7554698405102</v>
      </c>
      <c r="E1891" s="501">
        <f>SUM(E2:E1890)</f>
        <v>7.7278004419268385</v>
      </c>
      <c r="F1891" s="502"/>
      <c r="G1891" s="503">
        <f>E1891-MAX(G2:G1890)</f>
        <v>-88.024689558073135</v>
      </c>
      <c r="I1891" s="11">
        <f>E1891-SUM(I2:I1890)</f>
        <v>-5.6843418860808015E-13</v>
      </c>
      <c r="J1891" s="11">
        <f>E1891-SUM(J2:J1890)</f>
        <v>-2.7711166694643907E-13</v>
      </c>
      <c r="K1891" s="12">
        <f>E1891-SUM(K2:K1889)</f>
        <v>-5.3290705182007514E-13</v>
      </c>
      <c r="O1891" s="58"/>
      <c r="P1891" s="58"/>
    </row>
    <row r="1892" spans="2:16">
      <c r="E1892" s="185"/>
      <c r="F1892" s="185"/>
      <c r="L1892" s="2"/>
      <c r="N1892" s="19"/>
      <c r="O1892" s="58"/>
      <c r="P1892" s="58"/>
    </row>
    <row r="1893" spans="2:16" ht="15.75" customHeight="1">
      <c r="B1893" t="s">
        <v>601</v>
      </c>
      <c r="D1893" s="673" t="s">
        <v>602</v>
      </c>
      <c r="E1893" s="674"/>
      <c r="F1893" s="675"/>
      <c r="G1893" s="185"/>
      <c r="I1893" s="671">
        <v>700</v>
      </c>
      <c r="J1893" s="672"/>
      <c r="K1893" s="16" t="s">
        <v>603</v>
      </c>
      <c r="N1893" s="19"/>
      <c r="O1893" s="58"/>
      <c r="P1893" s="58"/>
    </row>
    <row r="1894" spans="2:16">
      <c r="B1894" s="569">
        <f>COUNT(C2:C1890)</f>
        <v>1888</v>
      </c>
      <c r="C1894" s="1"/>
      <c r="D1894" s="504">
        <v>100</v>
      </c>
      <c r="E1894" s="669">
        <v>1.89</v>
      </c>
      <c r="F1894" s="505">
        <f>D1894*E1894-D1894</f>
        <v>89</v>
      </c>
      <c r="G1894" s="506"/>
      <c r="H1894" s="17" t="s">
        <v>604</v>
      </c>
      <c r="I1894" s="75">
        <f>(J1894/(1*3))</f>
        <v>23.59092668139758</v>
      </c>
      <c r="J1894" s="150">
        <f>I1897/10</f>
        <v>70.772780044192743</v>
      </c>
      <c r="K1894" s="3" t="s">
        <v>605</v>
      </c>
      <c r="N1894" s="19"/>
      <c r="O1894" s="58"/>
      <c r="P1894" s="58"/>
    </row>
    <row r="1895" spans="2:16">
      <c r="B1895" t="s">
        <v>606</v>
      </c>
      <c r="C1895" s="99"/>
      <c r="D1895" s="507">
        <f>F1895/(E1894-1)</f>
        <v>22.471910112359552</v>
      </c>
      <c r="E1895" s="670"/>
      <c r="F1895" s="508">
        <v>20</v>
      </c>
      <c r="G1895" s="506"/>
      <c r="H1895" s="17" t="s">
        <v>607</v>
      </c>
      <c r="I1895" s="127">
        <f>SUM(I2:I1890)</f>
        <v>7.7278004419274069</v>
      </c>
      <c r="J1895" s="149"/>
      <c r="K1895" s="3" t="s">
        <v>608</v>
      </c>
      <c r="L1895" s="138"/>
      <c r="N1895" s="19"/>
      <c r="O1895" s="18"/>
      <c r="P1895" s="58"/>
    </row>
    <row r="1896" spans="2:16">
      <c r="B1896" s="18">
        <f>COUNT(D2:D1890)/B1894</f>
        <v>0.50635593220338981</v>
      </c>
      <c r="C1896" s="18"/>
      <c r="E1896" s="506">
        <f>1/B1896</f>
        <v>1.9748953974895398</v>
      </c>
      <c r="F1896" s="506"/>
      <c r="G1896" s="506"/>
      <c r="H1896" s="17" t="s">
        <v>609</v>
      </c>
      <c r="I1896" s="665">
        <f>(I1895-J1895)</f>
        <v>7.7278004419274069</v>
      </c>
      <c r="J1896" s="666"/>
      <c r="K1896" s="128"/>
      <c r="N1896" s="19"/>
      <c r="O1896" s="58"/>
      <c r="P1896" s="58"/>
    </row>
    <row r="1897" spans="2:16">
      <c r="B1897" t="s">
        <v>4</v>
      </c>
      <c r="H1897" s="17" t="s">
        <v>610</v>
      </c>
      <c r="I1897" s="667">
        <f>I1893+I1896</f>
        <v>707.72780044192746</v>
      </c>
      <c r="J1897" s="668"/>
      <c r="K1897" s="128"/>
      <c r="L1897" s="138"/>
      <c r="M1897" s="138"/>
      <c r="N1897" s="19"/>
      <c r="O1897" s="58"/>
      <c r="P1897" s="58"/>
    </row>
    <row r="1898" spans="2:16">
      <c r="B1898" s="18">
        <f>E1891/C1891</f>
        <v>1.1739461502607009E-3</v>
      </c>
      <c r="E1898" s="528"/>
      <c r="H1898" s="17" t="s">
        <v>611</v>
      </c>
      <c r="I1898" s="221">
        <f>(I1897-I1893)/I1893</f>
        <v>1.1039714917039223E-2</v>
      </c>
      <c r="J1898" s="232">
        <f>C1891/I1893</f>
        <v>9.4039363854864426</v>
      </c>
      <c r="K1898" t="s">
        <v>612</v>
      </c>
      <c r="L1898" s="18"/>
      <c r="M1898" s="138"/>
      <c r="N1898" s="19"/>
      <c r="O1898" s="58"/>
      <c r="P1898" s="58"/>
    </row>
    <row r="1899" spans="2:16">
      <c r="B1899" s="18"/>
      <c r="H1899" s="17" t="s">
        <v>613</v>
      </c>
      <c r="I1899" s="127">
        <f>-$I$1897*15/100</f>
        <v>-106.15917006628912</v>
      </c>
      <c r="J1899" s="149">
        <f>$I$1897*20/100</f>
        <v>141.54556008838551</v>
      </c>
      <c r="K1899" t="s">
        <v>614</v>
      </c>
      <c r="L1899" s="18"/>
      <c r="M1899" s="138"/>
      <c r="N1899" s="19"/>
      <c r="O1899" s="58"/>
      <c r="P1899" s="58"/>
    </row>
    <row r="1900" spans="2:16">
      <c r="B1900" s="18"/>
      <c r="H1900" s="17"/>
      <c r="I1900" s="18"/>
      <c r="J1900" s="2"/>
      <c r="L1900" s="3"/>
      <c r="N1900" s="19"/>
      <c r="O1900" s="58"/>
      <c r="P1900" s="58"/>
    </row>
    <row r="1901" spans="2:16">
      <c r="L1901" s="3"/>
      <c r="N1901" s="19"/>
      <c r="O1901" s="58"/>
      <c r="P1901" s="58"/>
    </row>
    <row r="1902" spans="2:16">
      <c r="N1902" s="19"/>
      <c r="O1902" s="58"/>
      <c r="P1902" s="58"/>
    </row>
    <row r="1903" spans="2:16">
      <c r="I1903" s="20"/>
      <c r="L1903" s="3"/>
      <c r="N1903" s="19"/>
      <c r="O1903" s="58"/>
      <c r="P1903" s="58"/>
    </row>
    <row r="1904" spans="2:16">
      <c r="L1904" s="2"/>
      <c r="N1904" s="19"/>
      <c r="O1904" s="58"/>
      <c r="P1904" s="58"/>
    </row>
    <row r="1905" spans="2:16">
      <c r="L1905" s="18"/>
      <c r="N1905" s="19"/>
      <c r="O1905" s="58"/>
      <c r="P1905" s="58"/>
    </row>
    <row r="1906" spans="2:16">
      <c r="O1906" s="58"/>
      <c r="P1906" s="58"/>
    </row>
    <row r="1907" spans="2:16">
      <c r="P1907" s="58"/>
    </row>
    <row r="1908" spans="2:16">
      <c r="P1908" s="58"/>
    </row>
    <row r="1909" spans="2:16">
      <c r="P1909" s="58"/>
    </row>
    <row r="1910" spans="2:16">
      <c r="P1910" s="58"/>
    </row>
    <row r="1917" spans="2:16">
      <c r="B1917" s="556" t="s">
        <v>615</v>
      </c>
      <c r="C1917" s="557" t="s">
        <v>1</v>
      </c>
      <c r="D1917" s="558"/>
      <c r="E1917" s="559" t="s">
        <v>3</v>
      </c>
      <c r="F1917" s="560" t="s">
        <v>4</v>
      </c>
      <c r="H1917" s="664" t="s">
        <v>616</v>
      </c>
      <c r="I1917" s="664"/>
    </row>
    <row r="1918" spans="2:16">
      <c r="B1918" s="145" t="s">
        <v>617</v>
      </c>
      <c r="C1918" s="146">
        <f>SUM(C2:C87)</f>
        <v>287.22000000000031</v>
      </c>
      <c r="D1918" s="509"/>
      <c r="E1918" s="509">
        <f>SUM(E2:E87)</f>
        <v>24.18810999999998</v>
      </c>
      <c r="F1918" s="510">
        <f>E1918/C1918</f>
        <v>8.4214574193997471E-2</v>
      </c>
      <c r="G1918" s="511"/>
      <c r="H1918" s="375"/>
      <c r="I1918" s="544"/>
    </row>
    <row r="1919" spans="2:16">
      <c r="B1919" s="145" t="s">
        <v>618</v>
      </c>
      <c r="C1919" s="146">
        <f>SUM(C88:C162)</f>
        <v>260.56999999999994</v>
      </c>
      <c r="D1919" s="509"/>
      <c r="E1919" s="509">
        <f>SUM(E88:E162)</f>
        <v>-31.943870000000008</v>
      </c>
      <c r="F1919" s="510">
        <f>E1919/C1919</f>
        <v>-0.12259227846643903</v>
      </c>
      <c r="G1919" s="512"/>
      <c r="H1919" s="382"/>
      <c r="I1919" s="544"/>
    </row>
    <row r="1920" spans="2:16">
      <c r="B1920" s="145" t="s">
        <v>619</v>
      </c>
      <c r="C1920" s="146">
        <f>SUM(C163:C238)</f>
        <v>211.29000000000002</v>
      </c>
      <c r="D1920" s="509"/>
      <c r="E1920" s="509">
        <f>SUM(E163:E238)</f>
        <v>-50.734390000000062</v>
      </c>
      <c r="F1920" s="510">
        <f>E1920/C1920</f>
        <v>-0.24011732689668255</v>
      </c>
      <c r="G1920" s="662" t="s">
        <v>620</v>
      </c>
      <c r="H1920" s="663"/>
      <c r="I1920" s="544"/>
    </row>
    <row r="1921" spans="2:15">
      <c r="B1921" s="145" t="s">
        <v>621</v>
      </c>
      <c r="C1921" s="146">
        <f>SUM(C239:C362)</f>
        <v>363.56999999999988</v>
      </c>
      <c r="D1921" s="509"/>
      <c r="E1921" s="509">
        <f>SUM(E239:E362)</f>
        <v>0.45845999999998011</v>
      </c>
      <c r="F1921" s="510">
        <f>E1921/C1921</f>
        <v>1.2609951316114648E-3</v>
      </c>
      <c r="I1921" s="544"/>
      <c r="L1921" s="544"/>
    </row>
    <row r="1922" spans="2:15">
      <c r="B1922" s="145" t="s">
        <v>622</v>
      </c>
      <c r="C1922" s="146">
        <f>SUM(C363:C417)</f>
        <v>253.45999999999987</v>
      </c>
      <c r="D1922" s="509"/>
      <c r="E1922" s="509">
        <f>SUM(E363:E417)</f>
        <v>-9.4171099999999885</v>
      </c>
      <c r="F1922" s="510">
        <f>E1922/C1922</f>
        <v>-3.7154225518819514E-2</v>
      </c>
      <c r="I1922" s="544"/>
      <c r="L1922" s="544"/>
    </row>
    <row r="1923" spans="2:15">
      <c r="B1923" s="145" t="s">
        <v>623</v>
      </c>
      <c r="C1923" s="146">
        <f>SUM(C418:C500)</f>
        <v>278.7699999999997</v>
      </c>
      <c r="D1923" s="509"/>
      <c r="E1923" s="509">
        <f>SUM(E418:E500)</f>
        <v>2.5899699999999952</v>
      </c>
      <c r="F1923" s="510">
        <f>E1923/C1923</f>
        <v>9.2907055995982285E-3</v>
      </c>
      <c r="I1923" s="544"/>
      <c r="L1923" s="544"/>
    </row>
    <row r="1924" spans="2:15">
      <c r="B1924" s="145" t="s">
        <v>624</v>
      </c>
      <c r="C1924" s="146">
        <f>SUM(C501:C594)</f>
        <v>253.28999999999982</v>
      </c>
      <c r="D1924" s="509"/>
      <c r="E1924" s="509">
        <f>SUM(E501:E594)</f>
        <v>4.2219799999999932</v>
      </c>
      <c r="F1924" s="510">
        <f>E1924/C1924</f>
        <v>1.6668561727663928E-2</v>
      </c>
      <c r="I1924" s="544"/>
      <c r="L1924" s="544"/>
      <c r="M1924" s="544"/>
    </row>
    <row r="1925" spans="2:15">
      <c r="B1925" s="145" t="s">
        <v>625</v>
      </c>
      <c r="C1925" s="146">
        <f>SUM(C595:C691)</f>
        <v>277.90000000000015</v>
      </c>
      <c r="D1925" s="509"/>
      <c r="E1925" s="509">
        <f>SUM(E595:E691)</f>
        <v>18.965360000000018</v>
      </c>
      <c r="F1925" s="510">
        <f>E1925/C1925</f>
        <v>6.8245268082043925E-2</v>
      </c>
      <c r="I1925" s="544"/>
      <c r="L1925" s="544"/>
      <c r="M1925" s="544"/>
    </row>
    <row r="1926" spans="2:15">
      <c r="B1926" s="145" t="s">
        <v>626</v>
      </c>
      <c r="C1926" s="146">
        <f>SUM(C692:C756)</f>
        <v>174.95999999999992</v>
      </c>
      <c r="D1926" s="509"/>
      <c r="E1926" s="509">
        <f>SUM(E692:E756)</f>
        <v>-27.048020000000008</v>
      </c>
      <c r="F1926" s="510">
        <f>E1926/C1926</f>
        <v>-0.15459545038866038</v>
      </c>
      <c r="L1926" s="544"/>
      <c r="M1926" s="544"/>
    </row>
    <row r="1927" spans="2:15">
      <c r="B1927" s="145" t="s">
        <v>627</v>
      </c>
      <c r="C1927" s="146">
        <f>SUM(C757:C793)</f>
        <v>119.08000000000008</v>
      </c>
      <c r="D1927" s="509"/>
      <c r="E1927" s="509">
        <f>SUM(E757:E793)</f>
        <v>38.596669999999996</v>
      </c>
      <c r="F1927" s="510">
        <f>E1927/C1927</f>
        <v>0.32412386630836387</v>
      </c>
      <c r="L1927" s="544"/>
      <c r="N1927" s="544"/>
    </row>
    <row r="1928" spans="2:15">
      <c r="B1928" s="145" t="s">
        <v>628</v>
      </c>
      <c r="C1928" s="146">
        <f>SUM(C794:C850)</f>
        <v>170.13999999999984</v>
      </c>
      <c r="D1928" s="509"/>
      <c r="E1928" s="509">
        <f>SUM(E794:E850)</f>
        <v>46.224360000000004</v>
      </c>
      <c r="F1928" s="510">
        <f>E1928/C1928</f>
        <v>0.27168426002115931</v>
      </c>
      <c r="J1928" s="544"/>
      <c r="L1928" s="544"/>
      <c r="M1928" s="544"/>
    </row>
    <row r="1929" spans="2:15">
      <c r="B1929" s="145" t="s">
        <v>629</v>
      </c>
      <c r="C1929" s="146">
        <f>SUM(C851:C929)</f>
        <v>237.56000000000014</v>
      </c>
      <c r="D1929" s="509"/>
      <c r="E1929" s="509">
        <f>SUM(E851:E929)</f>
        <v>45.42653999999996</v>
      </c>
      <c r="F1929" s="510">
        <f>E1929/C1929</f>
        <v>0.19122133355783774</v>
      </c>
      <c r="J1929" s="544"/>
      <c r="L1929" s="544"/>
      <c r="M1929" s="544"/>
      <c r="O1929" s="544"/>
    </row>
    <row r="1930" spans="2:15">
      <c r="B1930" s="145" t="s">
        <v>630</v>
      </c>
      <c r="C1930" s="146">
        <f>SUM(C930:C993)</f>
        <v>222.73000000000022</v>
      </c>
      <c r="D1930" s="509"/>
      <c r="E1930" s="509">
        <f>SUM(E930:E993)</f>
        <v>19.997230000000002</v>
      </c>
      <c r="F1930" s="510">
        <f>E1930/C1930</f>
        <v>8.9782382256543725E-2</v>
      </c>
      <c r="J1930" s="544"/>
      <c r="L1930" s="544"/>
      <c r="M1930" s="544"/>
      <c r="O1930" s="544"/>
    </row>
    <row r="1931" spans="2:15">
      <c r="B1931" s="145" t="s">
        <v>631</v>
      </c>
      <c r="C1931" s="146">
        <f>SUM(C994:C1040)</f>
        <v>152.72999999999982</v>
      </c>
      <c r="D1931" s="509"/>
      <c r="E1931" s="509">
        <f>SUM(E994:E1040)</f>
        <v>-49.565500000000021</v>
      </c>
      <c r="F1931" s="510">
        <f>E1931/C1931</f>
        <v>-0.32453021672232096</v>
      </c>
      <c r="I1931" s="544">
        <v>-76.496390000000062</v>
      </c>
      <c r="J1931" s="544">
        <v>85.439540000000008</v>
      </c>
      <c r="K1931" s="552">
        <f>I1931+J1931</f>
        <v>8.943149999999946</v>
      </c>
      <c r="L1931" s="544"/>
      <c r="M1931" s="544"/>
      <c r="O1931" s="544"/>
    </row>
    <row r="1932" spans="2:15">
      <c r="B1932" s="145" t="s">
        <v>632</v>
      </c>
      <c r="C1932" s="146">
        <f>SUM(C1041:C1103)</f>
        <v>171.31999999999994</v>
      </c>
      <c r="D1932" s="509"/>
      <c r="E1932" s="509">
        <f>SUM(E1041:E1103)</f>
        <v>-5.0383799999999859</v>
      </c>
      <c r="F1932" s="510">
        <f>E1932/C1932</f>
        <v>-2.9409175811347114E-2</v>
      </c>
      <c r="I1932" s="544">
        <v>-65.428120000000021</v>
      </c>
      <c r="J1932" s="544">
        <v>60.546519999999994</v>
      </c>
      <c r="K1932" s="552">
        <f t="shared" ref="K1932:K1946" si="343">I1932+J1932</f>
        <v>-4.8816000000000273</v>
      </c>
      <c r="L1932" s="544"/>
      <c r="M1932" s="544"/>
      <c r="O1932" s="544"/>
    </row>
    <row r="1933" spans="2:15">
      <c r="B1933" s="145" t="s">
        <v>633</v>
      </c>
      <c r="C1933" s="146">
        <f>SUM(C1104:C1183)</f>
        <v>283.53000000000009</v>
      </c>
      <c r="D1933" s="509"/>
      <c r="E1933" s="509">
        <f>SUM(E1104:E1183)</f>
        <v>8.2861900000000031</v>
      </c>
      <c r="F1933" s="510">
        <f>E1933/C1933</f>
        <v>2.9225090819313654E-2</v>
      </c>
      <c r="I1933" s="544">
        <v>-54.105769155388074</v>
      </c>
      <c r="J1933" s="544">
        <v>50.72045465398211</v>
      </c>
      <c r="K1933" s="552">
        <f t="shared" si="343"/>
        <v>-3.3853145014059649</v>
      </c>
      <c r="L1933" s="544"/>
      <c r="M1933" s="544"/>
      <c r="O1933" s="544"/>
    </row>
    <row r="1934" spans="2:15">
      <c r="B1934" s="145" t="s">
        <v>634</v>
      </c>
      <c r="C1934" s="146">
        <f>SUM(C1184:C1266)</f>
        <v>260.48999999999984</v>
      </c>
      <c r="D1934" s="509"/>
      <c r="E1934" s="509">
        <f>SUM(E1184:E1266)</f>
        <v>3.1716899999999866</v>
      </c>
      <c r="F1934" s="510">
        <f>E1934/C1934</f>
        <v>1.2175860877576831E-2</v>
      </c>
      <c r="I1934" s="544">
        <v>-50.734390000000062</v>
      </c>
      <c r="J1934" s="544">
        <v>46.224360000000004</v>
      </c>
      <c r="K1934" s="552">
        <f t="shared" si="343"/>
        <v>-4.5100300000000573</v>
      </c>
      <c r="L1934" s="544"/>
      <c r="M1934" s="544"/>
      <c r="O1934" s="544"/>
    </row>
    <row r="1935" spans="2:15">
      <c r="B1935" s="145" t="s">
        <v>635</v>
      </c>
      <c r="C1935" s="146">
        <f>SUM(C1267:C1354)</f>
        <v>282.58530277777805</v>
      </c>
      <c r="D1935" s="509"/>
      <c r="E1935" s="509">
        <f>SUM(E1267:E1354)</f>
        <v>-10.226715056666661</v>
      </c>
      <c r="F1935" s="510">
        <f>E1935/C1935</f>
        <v>-3.6189833498555431E-2</v>
      </c>
      <c r="I1935" s="544">
        <v>-49.565500000000021</v>
      </c>
      <c r="J1935" s="544">
        <v>45.42653999999996</v>
      </c>
      <c r="K1935" s="552">
        <f t="shared" si="343"/>
        <v>-4.1389600000000613</v>
      </c>
      <c r="M1935" s="544"/>
      <c r="O1935" s="544"/>
    </row>
    <row r="1936" spans="2:15">
      <c r="B1936" s="145" t="s">
        <v>636</v>
      </c>
      <c r="C1936" s="146">
        <f>SUM(C1355:C1413)</f>
        <v>183.30999999999989</v>
      </c>
      <c r="D1936" s="509"/>
      <c r="E1936" s="509">
        <f>SUM(E1355:E1413)</f>
        <v>-65.428120000000021</v>
      </c>
      <c r="F1936" s="153">
        <f>E1936/C1936</f>
        <v>-0.3569260815012823</v>
      </c>
      <c r="I1936" s="544">
        <v>-33.459380000000003</v>
      </c>
      <c r="J1936" s="544">
        <v>38.596669999999996</v>
      </c>
      <c r="K1936" s="552">
        <f t="shared" si="343"/>
        <v>5.137289999999993</v>
      </c>
      <c r="M1936" s="544"/>
      <c r="O1936" s="544"/>
    </row>
    <row r="1937" spans="2:15">
      <c r="B1937" s="145" t="s">
        <v>637</v>
      </c>
      <c r="C1937" s="146">
        <f>SUM(C1414:C1506)</f>
        <v>259.42999999999984</v>
      </c>
      <c r="D1937" s="509"/>
      <c r="E1937" s="538">
        <f>SUM(E1414:E1506)</f>
        <v>-76.496390000000062</v>
      </c>
      <c r="F1937" s="510">
        <f>E1937/C1937</f>
        <v>-0.29486331573064067</v>
      </c>
      <c r="I1937" s="544">
        <v>-31.943870000000008</v>
      </c>
      <c r="J1937" s="544">
        <v>24.18810999999998</v>
      </c>
      <c r="K1937" s="552">
        <f t="shared" si="343"/>
        <v>-7.7557600000000271</v>
      </c>
      <c r="M1937" s="544"/>
      <c r="O1937" s="544"/>
    </row>
    <row r="1938" spans="2:15">
      <c r="B1938" s="145" t="s">
        <v>638</v>
      </c>
      <c r="C1938" s="146">
        <f>SUM(C1507:C1618)</f>
        <v>295.7100000000006</v>
      </c>
      <c r="D1938" s="509"/>
      <c r="E1938" s="509">
        <f>SUM(E1507:E1618)</f>
        <v>-9.9021700000000035</v>
      </c>
      <c r="F1938" s="510">
        <f>E1938/C1938</f>
        <v>-3.3486084339386504E-2</v>
      </c>
      <c r="I1938" s="544">
        <v>-27.048020000000008</v>
      </c>
      <c r="J1938" s="544">
        <v>19.997230000000002</v>
      </c>
      <c r="K1938" s="552">
        <f t="shared" si="343"/>
        <v>-7.0507900000000063</v>
      </c>
      <c r="M1938" s="544"/>
      <c r="O1938" s="544"/>
    </row>
    <row r="1939" spans="2:15">
      <c r="B1939" s="145" t="s">
        <v>639</v>
      </c>
      <c r="C1939" s="146">
        <f>SUM(C1619:C1730)</f>
        <v>230.50000000000037</v>
      </c>
      <c r="D1939" s="509"/>
      <c r="E1939" s="509">
        <f>SUM(E1619:E1730)</f>
        <v>-33.459380000000003</v>
      </c>
      <c r="F1939" s="510">
        <f>E1939/C1939</f>
        <v>-0.14515999999999979</v>
      </c>
      <c r="I1939" s="544">
        <v>-10.226715056666661</v>
      </c>
      <c r="J1939" s="544">
        <v>18.965360000000018</v>
      </c>
      <c r="K1939" s="552">
        <f t="shared" si="343"/>
        <v>8.7386449433333571</v>
      </c>
      <c r="M1939" s="544"/>
    </row>
    <row r="1940" spans="2:15">
      <c r="B1940" s="145" t="s">
        <v>640</v>
      </c>
      <c r="C1940" s="146">
        <f>SUM(C1731:C1758)</f>
        <v>167.32992220313895</v>
      </c>
      <c r="D1940" s="509"/>
      <c r="E1940" s="509">
        <f>SUM(E1731:E1758)</f>
        <v>-54.105769155388074</v>
      </c>
      <c r="F1940" s="510">
        <f>E1940/C1940</f>
        <v>-0.32334784145601608</v>
      </c>
      <c r="I1940" s="544">
        <v>-9.9021700000000035</v>
      </c>
      <c r="J1940" s="544">
        <v>17.758929999999992</v>
      </c>
      <c r="K1940" s="552">
        <f t="shared" si="343"/>
        <v>7.8567599999999889</v>
      </c>
      <c r="M1940" s="544"/>
    </row>
    <row r="1941" spans="2:15">
      <c r="B1941" s="145" t="s">
        <v>641</v>
      </c>
      <c r="C1941" s="146">
        <f>SUM(C1759:C1806)</f>
        <v>240.36999999999992</v>
      </c>
      <c r="D1941" s="509"/>
      <c r="E1941" s="509">
        <f>SUM(E1759:E1806)</f>
        <v>-6.1126100000000037</v>
      </c>
      <c r="F1941" s="510">
        <f>E1941/C1941</f>
        <v>-2.5430003744227672E-2</v>
      </c>
      <c r="I1941" s="544">
        <v>-9.4171099999999885</v>
      </c>
      <c r="J1941" s="544">
        <v>10.614219999999985</v>
      </c>
      <c r="K1941" s="552">
        <f t="shared" si="343"/>
        <v>1.1971099999999968</v>
      </c>
      <c r="M1941" s="544"/>
    </row>
    <row r="1942" spans="2:15">
      <c r="B1942" s="145" t="s">
        <v>642</v>
      </c>
      <c r="C1942" s="146">
        <f>SUM(C1807:C1830)</f>
        <v>159.51999999999995</v>
      </c>
      <c r="D1942" s="509"/>
      <c r="E1942" s="509">
        <f>SUM(E1807:E1830)</f>
        <v>17.758929999999992</v>
      </c>
      <c r="F1942" s="510">
        <f>E1942/C1942</f>
        <v>0.11132729438314944</v>
      </c>
      <c r="I1942" s="544">
        <v>-6.1126100000000037</v>
      </c>
      <c r="J1942" s="544">
        <v>8.2861900000000031</v>
      </c>
      <c r="K1942" s="552">
        <f t="shared" si="343"/>
        <v>2.1735799999999994</v>
      </c>
      <c r="M1942" s="544"/>
    </row>
    <row r="1943" spans="2:15">
      <c r="B1943" s="145" t="s">
        <v>643</v>
      </c>
      <c r="C1943" s="146">
        <f>SUM(C1831:C1857)</f>
        <v>218.68</v>
      </c>
      <c r="D1943" s="509"/>
      <c r="E1943" s="509">
        <f>SUM(E1831:E1857)</f>
        <v>10.614219999999985</v>
      </c>
      <c r="F1943" s="510">
        <f>E1943/C1943</f>
        <v>4.8537680629229855E-2</v>
      </c>
      <c r="I1943" s="544">
        <v>-5.0383799999999859</v>
      </c>
      <c r="J1943" s="544">
        <v>4.2219799999999932</v>
      </c>
      <c r="K1943" s="552">
        <f t="shared" si="343"/>
        <v>-0.81639999999999269</v>
      </c>
      <c r="M1943" s="544"/>
    </row>
    <row r="1944" spans="2:15">
      <c r="B1944" s="145" t="s">
        <v>644</v>
      </c>
      <c r="C1944" s="146">
        <f>SUM(C1858:C1870)</f>
        <v>151.35999999999999</v>
      </c>
      <c r="D1944" s="509"/>
      <c r="E1944" s="538">
        <f>SUM(E1858:E1870)</f>
        <v>85.439540000000008</v>
      </c>
      <c r="F1944" s="153">
        <f>E1944/C1944</f>
        <v>0.56447899048625805</v>
      </c>
      <c r="J1944" s="544">
        <v>3.1716899999999866</v>
      </c>
      <c r="K1944" s="552">
        <f t="shared" si="343"/>
        <v>3.1716899999999866</v>
      </c>
      <c r="M1944" s="544"/>
    </row>
    <row r="1945" spans="2:15">
      <c r="B1945" s="145" t="s">
        <v>645</v>
      </c>
      <c r="C1945" s="146">
        <f>SUM(C1871:C1882)</f>
        <v>255.90999999999997</v>
      </c>
      <c r="D1945" s="509"/>
      <c r="E1945" s="509">
        <f>SUM(E1871:E1882)</f>
        <v>60.546519999999994</v>
      </c>
      <c r="F1945" s="510">
        <f>E1945/C1945</f>
        <v>0.23659302098393967</v>
      </c>
      <c r="J1945" s="544">
        <v>2.5899699999999952</v>
      </c>
      <c r="K1945" s="552">
        <f t="shared" si="343"/>
        <v>2.5899699999999952</v>
      </c>
      <c r="M1945" s="544"/>
    </row>
    <row r="1946" spans="2:15">
      <c r="B1946" s="145" t="s">
        <v>646</v>
      </c>
      <c r="C1946" s="146">
        <f>SUM(C1883:C1890)</f>
        <v>159.44024485959815</v>
      </c>
      <c r="D1946" s="509"/>
      <c r="E1946" s="509">
        <f>SUM(E1883:E1890)</f>
        <v>50.72045465398211</v>
      </c>
      <c r="F1946" s="510">
        <f>E1946/C1946</f>
        <v>0.31811575991147123</v>
      </c>
      <c r="G1946" s="512">
        <v>-98.551101868191793</v>
      </c>
      <c r="H1946" s="382">
        <v>131.40146915758905</v>
      </c>
      <c r="J1946" s="544">
        <v>0.45845999999998011</v>
      </c>
      <c r="K1946" s="552">
        <f t="shared" si="343"/>
        <v>0.45845999999998011</v>
      </c>
      <c r="M1946" s="544"/>
    </row>
    <row r="1947" spans="2:15">
      <c r="B1947" s="142"/>
      <c r="C1947" s="143"/>
      <c r="D1947" s="514"/>
      <c r="E1947" s="514"/>
      <c r="F1947" s="515"/>
      <c r="J1947" s="544"/>
      <c r="K1947" s="544"/>
      <c r="M1947" s="544"/>
    </row>
    <row r="1948" spans="2:15">
      <c r="E1948" s="516"/>
      <c r="H1948" s="231"/>
      <c r="J1948" s="544"/>
      <c r="K1948" s="544"/>
      <c r="M1948" s="544"/>
    </row>
    <row r="1949" spans="2:15">
      <c r="C1949" s="43">
        <f>SUM(C1918:C1948)</f>
        <v>6582.7554698405138</v>
      </c>
      <c r="D1949" s="494"/>
      <c r="E1949" s="518">
        <f>SUM(E1918:E1948)</f>
        <v>7.7278004419271156</v>
      </c>
      <c r="F1949" s="519">
        <f>E1949/C1949</f>
        <v>1.1739461502607424E-3</v>
      </c>
      <c r="G1949" s="494" t="s">
        <v>647</v>
      </c>
      <c r="H1949" s="57"/>
      <c r="I1949" s="570">
        <f>SUM(I1931:I1948)</f>
        <v>-429.4784242120549</v>
      </c>
      <c r="J1949" s="570">
        <f>SUM(J1931:J1948)</f>
        <v>437.20622465398208</v>
      </c>
      <c r="K1949" s="571">
        <f>SUM(K1931:K1948)</f>
        <v>7.7278004419271058</v>
      </c>
      <c r="M1949" s="544"/>
    </row>
    <row r="1950" spans="2:15">
      <c r="C1950" s="43">
        <f>SUM(C1921:C1947)</f>
        <v>5823.6754698405148</v>
      </c>
      <c r="D1950" s="494"/>
      <c r="E1950" s="518">
        <f>SUM(E1921:E1947)</f>
        <v>66.217950441927201</v>
      </c>
      <c r="F1950" s="519">
        <f>E1950/C1950</f>
        <v>1.1370473987579639E-2</v>
      </c>
      <c r="G1950" s="494" t="s">
        <v>648</v>
      </c>
      <c r="I1950" s="543"/>
      <c r="J1950" s="543"/>
      <c r="K1950" s="544"/>
      <c r="M1950" s="544"/>
    </row>
    <row r="1951" spans="2:15">
      <c r="C1951" s="43">
        <f>SUM(C1790:C1889)</f>
        <v>1014.1002448595982</v>
      </c>
      <c r="D1951" s="494"/>
      <c r="E1951" s="43">
        <f>SUM(E1790:E1889)</f>
        <v>223.70807465398212</v>
      </c>
      <c r="F1951" s="519">
        <f>E1951/C1951</f>
        <v>0.22059759455531383</v>
      </c>
      <c r="G1951" s="551">
        <v>100</v>
      </c>
      <c r="I1951" s="240">
        <v>40</v>
      </c>
      <c r="J1951" s="240">
        <v>21062</v>
      </c>
      <c r="K1951" s="544"/>
      <c r="M1951" s="544"/>
    </row>
    <row r="1952" spans="2:15">
      <c r="I1952" s="553">
        <f>J1952*I1951/J1951</f>
        <v>40.831829835723106</v>
      </c>
      <c r="J1952" s="240">
        <v>21500</v>
      </c>
      <c r="M1952" s="544"/>
    </row>
    <row r="1953" spans="8:13">
      <c r="H1953" s="57"/>
      <c r="M1953" s="544"/>
    </row>
    <row r="1954" spans="8:13">
      <c r="H1954" s="57"/>
      <c r="M1954" s="544"/>
    </row>
    <row r="1955" spans="8:13">
      <c r="H1955" s="57"/>
      <c r="M1955" s="544"/>
    </row>
    <row r="1956" spans="8:13">
      <c r="H1956" s="57"/>
    </row>
    <row r="1957" spans="8:13">
      <c r="H1957" s="57"/>
    </row>
    <row r="1958" spans="8:13">
      <c r="H1958" s="57"/>
    </row>
    <row r="1959" spans="8:13">
      <c r="H1959" s="57"/>
    </row>
    <row r="1960" spans="8:13">
      <c r="H1960" s="57"/>
    </row>
    <row r="1961" spans="8:13">
      <c r="H1961" s="57"/>
    </row>
    <row r="1962" spans="8:13">
      <c r="H1962" s="57"/>
    </row>
    <row r="1963" spans="8:13">
      <c r="H1963" s="57"/>
    </row>
  </sheetData>
  <sortState xmlns:xlrd2="http://schemas.microsoft.com/office/spreadsheetml/2017/richdata2" ref="I1931:I1943">
    <sortCondition ref="I1931:I1943"/>
  </sortState>
  <mergeCells count="185">
    <mergeCell ref="I1897:J1897"/>
    <mergeCell ref="E1894:E1895"/>
    <mergeCell ref="B1041:B1060"/>
    <mergeCell ref="B1061:B1075"/>
    <mergeCell ref="B1076:B1085"/>
    <mergeCell ref="B1272:B1284"/>
    <mergeCell ref="B1285:B1295"/>
    <mergeCell ref="B1311:B1328"/>
    <mergeCell ref="B1228:B1238"/>
    <mergeCell ref="B1184:B1187"/>
    <mergeCell ref="B1169:B1183"/>
    <mergeCell ref="I1893:J1893"/>
    <mergeCell ref="B1109:B1122"/>
    <mergeCell ref="B1123:B1134"/>
    <mergeCell ref="B1135:B1148"/>
    <mergeCell ref="B1649:B1662"/>
    <mergeCell ref="B1296:B1310"/>
    <mergeCell ref="B1212:B1227"/>
    <mergeCell ref="D1893:F1893"/>
    <mergeCell ref="B1364:B1373"/>
    <mergeCell ref="B1825:B1826"/>
    <mergeCell ref="B1820:B1821"/>
    <mergeCell ref="B1815:B1819"/>
    <mergeCell ref="B1355:B1363"/>
    <mergeCell ref="B692:B701"/>
    <mergeCell ref="B764:B765"/>
    <mergeCell ref="B766:B774"/>
    <mergeCell ref="G1920:H1920"/>
    <mergeCell ref="B967:B975"/>
    <mergeCell ref="B955:B966"/>
    <mergeCell ref="H1917:I1917"/>
    <mergeCell ref="B991:B993"/>
    <mergeCell ref="B976:B990"/>
    <mergeCell ref="B1731:B1734"/>
    <mergeCell ref="B1705:B1730"/>
    <mergeCell ref="B1460:B1466"/>
    <mergeCell ref="B1678:B1704"/>
    <mergeCell ref="B1629:B1648"/>
    <mergeCell ref="B1619:B1628"/>
    <mergeCell ref="B1597:B1618"/>
    <mergeCell ref="B1590:B1596"/>
    <mergeCell ref="B1571:B1589"/>
    <mergeCell ref="B1329:B1339"/>
    <mergeCell ref="B1556:B1570"/>
    <mergeCell ref="B1149:B1159"/>
    <mergeCell ref="B1827:B1830"/>
    <mergeCell ref="I1896:J1896"/>
    <mergeCell ref="B1886:B1887"/>
    <mergeCell ref="B640:B645"/>
    <mergeCell ref="B1160:B1168"/>
    <mergeCell ref="B1496:B1506"/>
    <mergeCell ref="B994:B1006"/>
    <mergeCell ref="B1188:B1202"/>
    <mergeCell ref="B1248:B1266"/>
    <mergeCell ref="B930:B932"/>
    <mergeCell ref="B790:B793"/>
    <mergeCell ref="B861:B870"/>
    <mergeCell ref="B843:B850"/>
    <mergeCell ref="B1007:B1011"/>
    <mergeCell ref="B1012:B1035"/>
    <mergeCell ref="B1036:B1040"/>
    <mergeCell ref="B933:B944"/>
    <mergeCell ref="B907:B912"/>
    <mergeCell ref="B871:B885"/>
    <mergeCell ref="B913:B929"/>
    <mergeCell ref="B945:B954"/>
    <mergeCell ref="B822:B828"/>
    <mergeCell ref="B1104:B1108"/>
    <mergeCell ref="B1239:B1247"/>
    <mergeCell ref="B678:B691"/>
    <mergeCell ref="B1267:B1271"/>
    <mergeCell ref="B1340:B1354"/>
    <mergeCell ref="B228:B238"/>
    <mergeCell ref="B140:B149"/>
    <mergeCell ref="B150:B162"/>
    <mergeCell ref="B239:B258"/>
    <mergeCell ref="B363:B371"/>
    <mergeCell ref="B259:B275"/>
    <mergeCell ref="B664:B677"/>
    <mergeCell ref="B458:B467"/>
    <mergeCell ref="B616:B624"/>
    <mergeCell ref="B569:B580"/>
    <mergeCell ref="B581:B594"/>
    <mergeCell ref="B540:B551"/>
    <mergeCell ref="B501:B513"/>
    <mergeCell ref="B514:B539"/>
    <mergeCell ref="B552:B568"/>
    <mergeCell ref="B487:B500"/>
    <mergeCell ref="B646:B663"/>
    <mergeCell ref="B294:B306"/>
    <mergeCell ref="B276:B293"/>
    <mergeCell ref="B307:B329"/>
    <mergeCell ref="B330:B347"/>
    <mergeCell ref="B348:B362"/>
    <mergeCell ref="B387:B401"/>
    <mergeCell ref="B418:B427"/>
    <mergeCell ref="B2:B16"/>
    <mergeCell ref="B17:B25"/>
    <mergeCell ref="B26:B42"/>
    <mergeCell ref="B43:B49"/>
    <mergeCell ref="B50:B63"/>
    <mergeCell ref="B120:B128"/>
    <mergeCell ref="B216:B227"/>
    <mergeCell ref="B110:B119"/>
    <mergeCell ref="B64:B72"/>
    <mergeCell ref="B88:B99"/>
    <mergeCell ref="B163:B174"/>
    <mergeCell ref="B100:B109"/>
    <mergeCell ref="B175:B179"/>
    <mergeCell ref="B129:B139"/>
    <mergeCell ref="B180:B197"/>
    <mergeCell ref="B198:B215"/>
    <mergeCell ref="B73:B87"/>
    <mergeCell ref="B372:B376"/>
    <mergeCell ref="B377:B386"/>
    <mergeCell ref="B428:B433"/>
    <mergeCell ref="B1086:B1103"/>
    <mergeCell ref="B1203:B1211"/>
    <mergeCell ref="B1759:B1763"/>
    <mergeCell ref="B1748:B1758"/>
    <mergeCell ref="B1535:B1555"/>
    <mergeCell ref="B1524:B1534"/>
    <mergeCell ref="B434:B457"/>
    <mergeCell ref="B402:B417"/>
    <mergeCell ref="B1484:B1495"/>
    <mergeCell ref="B1467:B1483"/>
    <mergeCell ref="B1442:B1459"/>
    <mergeCell ref="B1434:B1441"/>
    <mergeCell ref="B1414:B1433"/>
    <mergeCell ref="B1402:B1407"/>
    <mergeCell ref="B1388:B1401"/>
    <mergeCell ref="B468:B486"/>
    <mergeCell ref="B625:B639"/>
    <mergeCell ref="B595:B615"/>
    <mergeCell ref="B702:B708"/>
    <mergeCell ref="B709:B720"/>
    <mergeCell ref="B851:B860"/>
    <mergeCell ref="B808:B812"/>
    <mergeCell ref="B803:B807"/>
    <mergeCell ref="B813:B821"/>
    <mergeCell ref="B721:B724"/>
    <mergeCell ref="B895:B906"/>
    <mergeCell ref="B829:B842"/>
    <mergeCell ref="B775:B784"/>
    <mergeCell ref="B725:B736"/>
    <mergeCell ref="B737:B744"/>
    <mergeCell ref="B886:B894"/>
    <mergeCell ref="B785:B789"/>
    <mergeCell ref="B745:B756"/>
    <mergeCell ref="B757:B763"/>
    <mergeCell ref="B794:B802"/>
    <mergeCell ref="B1374:B1387"/>
    <mergeCell ref="B1736:B1739"/>
    <mergeCell ref="B1408:B1413"/>
    <mergeCell ref="B1663:B1677"/>
    <mergeCell ref="B1822:B1824"/>
    <mergeCell ref="B1809:B1814"/>
    <mergeCell ref="B1507:B1523"/>
    <mergeCell ref="B1740:B1747"/>
    <mergeCell ref="B1782:B1788"/>
    <mergeCell ref="B1776:B1781"/>
    <mergeCell ref="B1807:B1808"/>
    <mergeCell ref="B1796:B1806"/>
    <mergeCell ref="B1789:B1795"/>
    <mergeCell ref="B1888:B1889"/>
    <mergeCell ref="B1884:B1885"/>
    <mergeCell ref="B1879:B1880"/>
    <mergeCell ref="B1865:B1868"/>
    <mergeCell ref="B1772:B1775"/>
    <mergeCell ref="B1858:B1860"/>
    <mergeCell ref="B1764:B1771"/>
    <mergeCell ref="B1831:B1834"/>
    <mergeCell ref="B1847:B1850"/>
    <mergeCell ref="B1855:B1857"/>
    <mergeCell ref="B1877:B1878"/>
    <mergeCell ref="B1874:B1875"/>
    <mergeCell ref="B1869:B1870"/>
    <mergeCell ref="B1863:B1864"/>
    <mergeCell ref="B1861:B1862"/>
    <mergeCell ref="B1851:B1854"/>
    <mergeCell ref="B1843:B1846"/>
    <mergeCell ref="B1839:B1842"/>
    <mergeCell ref="B1835:B1838"/>
    <mergeCell ref="B1871:B1872"/>
    <mergeCell ref="B1881:B1882"/>
  </mergeCells>
  <conditionalFormatting sqref="B1898">
    <cfRule type="cellIs" dxfId="118" priority="6" operator="lessThanOrEqual">
      <formula>0</formula>
    </cfRule>
    <cfRule type="cellIs" dxfId="117" priority="7" operator="between">
      <formula>0.05</formula>
      <formula>0</formula>
    </cfRule>
    <cfRule type="cellIs" dxfId="116" priority="8" operator="greaterThan">
      <formula>0.05</formula>
    </cfRule>
  </conditionalFormatting>
  <conditionalFormatting sqref="E1896">
    <cfRule type="cellIs" dxfId="115" priority="11" operator="greaterThan">
      <formula>$E$1894</formula>
    </cfRule>
    <cfRule type="cellIs" dxfId="114" priority="12" operator="lessThan">
      <formula>$E$1894</formula>
    </cfRule>
  </conditionalFormatting>
  <conditionalFormatting sqref="F1918:F1947 F2:F1891">
    <cfRule type="cellIs" dxfId="113" priority="22" stopIfTrue="1" operator="greaterThan">
      <formula>5</formula>
    </cfRule>
  </conditionalFormatting>
  <conditionalFormatting sqref="F1949:F1951">
    <cfRule type="cellIs" dxfId="112" priority="2" operator="equal">
      <formula>$B$1898</formula>
    </cfRule>
  </conditionalFormatting>
  <conditionalFormatting sqref="I1895">
    <cfRule type="cellIs" dxfId="111" priority="10" operator="greaterThan">
      <formula>210</formula>
    </cfRule>
  </conditionalFormatting>
  <conditionalFormatting sqref="I1896:J1896">
    <cfRule type="cellIs" dxfId="110" priority="21" stopIfTrue="1" operator="greaterThan">
      <formula>210</formula>
    </cfRule>
  </conditionalFormatting>
  <conditionalFormatting sqref="I1897:J1897">
    <cfRule type="cellIs" dxfId="109" priority="20" stopIfTrue="1" operator="greaterThan">
      <formula>910</formula>
    </cfRule>
  </conditionalFormatting>
  <conditionalFormatting sqref="N1892:N1905">
    <cfRule type="cellIs" dxfId="108" priority="16" operator="greaterThan">
      <formula>0.5</formula>
    </cfRule>
  </conditionalFormatting>
  <pageMargins left="0.7" right="0.7" top="0.75" bottom="0.75" header="0.3" footer="0.3"/>
  <pageSetup fitToWidth="0" fitToHeight="0" orientation="portrait"/>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159C-EDF9-41C4-BC88-90125A006A0F}">
  <dimension ref="A1:Z3064"/>
  <sheetViews>
    <sheetView tabSelected="1" topLeftCell="C1" workbookViewId="0">
      <pane ySplit="1" topLeftCell="C1313" activePane="bottomLeft" state="frozen"/>
      <selection pane="bottomLeft" activeCell="I1319" sqref="I1319"/>
      <selection activeCell="B1" sqref="B1"/>
    </sheetView>
  </sheetViews>
  <sheetFormatPr defaultRowHeight="15"/>
  <cols>
    <col min="1" max="1" width="8.7109375" style="420" bestFit="1" customWidth="1"/>
    <col min="2" max="2" width="47.85546875" customWidth="1"/>
    <col min="3" max="3" width="22.85546875" customWidth="1"/>
    <col min="4" max="4" width="6.85546875" bestFit="1" customWidth="1"/>
    <col min="5" max="5" width="7" style="42" customWidth="1"/>
    <col min="6" max="6" width="8.28515625" style="287" customWidth="1"/>
    <col min="7" max="7" width="22.85546875" customWidth="1"/>
    <col min="8" max="8" width="7.28515625" customWidth="1"/>
    <col min="9" max="9" width="8.140625" style="42" customWidth="1"/>
    <col min="10" max="10" width="9.28515625" style="287" customWidth="1"/>
    <col min="11" max="11" width="6.85546875" bestFit="1" customWidth="1"/>
    <col min="12" max="12" width="7.85546875" customWidth="1"/>
    <col min="13" max="13" width="9" customWidth="1"/>
    <col min="14" max="14" width="5.7109375" customWidth="1"/>
    <col min="15" max="15" width="8.140625" customWidth="1"/>
    <col min="16" max="16" width="10.140625" bestFit="1" customWidth="1"/>
    <col min="17" max="17" width="10.28515625" hidden="1" customWidth="1"/>
    <col min="18" max="18" width="7" hidden="1" customWidth="1"/>
    <col min="19" max="19" width="16.42578125" bestFit="1" customWidth="1"/>
    <col min="20" max="20" width="5.140625" customWidth="1"/>
    <col min="21" max="21" width="6.140625" bestFit="1" customWidth="1"/>
    <col min="22" max="23" width="5.140625" customWidth="1"/>
    <col min="24" max="24" width="3" bestFit="1" customWidth="1"/>
    <col min="25" max="25" width="3" customWidth="1"/>
    <col min="26" max="26" width="3.85546875" bestFit="1" customWidth="1"/>
    <col min="16380" max="16381" width="9.140625" bestFit="1" customWidth="1"/>
    <col min="16382" max="16384" width="9.140625" customWidth="1"/>
  </cols>
  <sheetData>
    <row r="1" spans="1:26" s="285" customFormat="1">
      <c r="A1" s="434" t="s">
        <v>0</v>
      </c>
      <c r="B1" s="435" t="s">
        <v>649</v>
      </c>
      <c r="C1" s="414" t="s">
        <v>650</v>
      </c>
      <c r="D1" s="414" t="s">
        <v>651</v>
      </c>
      <c r="E1" s="436" t="s">
        <v>652</v>
      </c>
      <c r="F1" s="414" t="s">
        <v>653</v>
      </c>
      <c r="G1" s="414" t="s">
        <v>654</v>
      </c>
      <c r="H1" s="414" t="s">
        <v>655</v>
      </c>
      <c r="I1" s="437" t="s">
        <v>656</v>
      </c>
      <c r="J1" s="435" t="s">
        <v>657</v>
      </c>
      <c r="K1" s="414" t="s">
        <v>658</v>
      </c>
      <c r="L1" s="414" t="s">
        <v>659</v>
      </c>
      <c r="M1" s="414" t="s">
        <v>660</v>
      </c>
      <c r="N1" s="414" t="s">
        <v>661</v>
      </c>
      <c r="O1" s="438" t="s">
        <v>662</v>
      </c>
      <c r="P1" s="413" t="s">
        <v>663</v>
      </c>
      <c r="Q1" s="414" t="s">
        <v>615</v>
      </c>
      <c r="R1" s="414" t="s">
        <v>664</v>
      </c>
      <c r="S1" s="288"/>
      <c r="T1" s="288"/>
      <c r="U1" s="288"/>
      <c r="V1" s="288"/>
      <c r="W1" s="288"/>
      <c r="X1"/>
      <c r="Y1"/>
      <c r="Z1"/>
    </row>
    <row r="2" spans="1:26">
      <c r="A2" s="425">
        <v>45951</v>
      </c>
      <c r="B2" s="426" t="s">
        <v>343</v>
      </c>
      <c r="C2" s="244" t="str">
        <f>LEFT(B2,FIND("@",B2)-2)</f>
        <v>Houston Rockets</v>
      </c>
      <c r="D2" s="293">
        <v>101</v>
      </c>
      <c r="E2" s="294">
        <v>124</v>
      </c>
      <c r="F2" s="427">
        <f>IF(E2&gt;D2, 1, 0)</f>
        <v>1</v>
      </c>
      <c r="G2" s="244" t="str">
        <f>MID(B2,FIND("@",B2)+2,LEN(B2)-FIND("@",B2)-1)</f>
        <v>Oklahoma City Thunder</v>
      </c>
      <c r="H2" s="295">
        <v>114</v>
      </c>
      <c r="I2" s="294">
        <v>125</v>
      </c>
      <c r="J2" s="298">
        <f>IF(I2&gt;H2, 1, 0)</f>
        <v>1</v>
      </c>
      <c r="K2" s="244">
        <f>+D2+H2</f>
        <v>215</v>
      </c>
      <c r="L2" s="292">
        <f>E2+I2</f>
        <v>249</v>
      </c>
      <c r="M2" s="427">
        <f>IF(L2&gt;K2, 1, 0)</f>
        <v>1</v>
      </c>
      <c r="N2" s="320">
        <f>(+H2-D2)</f>
        <v>13</v>
      </c>
      <c r="O2" s="344">
        <f>I2-E2</f>
        <v>1</v>
      </c>
      <c r="P2" s="410">
        <f>IF(OR(AND(N2&gt;0,O2&gt;0),AND(N2&lt;0,O2&lt;0)),1,0)</f>
        <v>1</v>
      </c>
      <c r="Q2" s="428">
        <f>WEEKNUM(tblResultadosNBA[[#This Row],[Fecha]],2)</f>
        <v>43</v>
      </c>
      <c r="R2" s="378" t="str">
        <f>TEXT(tblResultadosNBA[[#This Row],[Fecha]],"mmm")</f>
        <v>oct</v>
      </c>
      <c r="S2" s="289"/>
      <c r="T2" s="289"/>
      <c r="U2" s="289"/>
      <c r="V2" s="289"/>
      <c r="W2" s="289"/>
      <c r="X2" s="289"/>
      <c r="Y2" s="289"/>
      <c r="Z2" s="289"/>
    </row>
    <row r="3" spans="1:26">
      <c r="A3" s="442">
        <v>45951</v>
      </c>
      <c r="B3" s="421" t="s">
        <v>665</v>
      </c>
      <c r="C3" s="299" t="str">
        <f>LEFT(B3,FIND("@",B3)-2)</f>
        <v>Golden State Warriors</v>
      </c>
      <c r="D3" s="305">
        <v>99</v>
      </c>
      <c r="E3" s="306">
        <v>119</v>
      </c>
      <c r="F3" s="307">
        <f>IF(E3&gt;D3, 1, 0)</f>
        <v>1</v>
      </c>
      <c r="G3" s="299" t="str">
        <f>MID(B3,FIND("@",B3)+2,LEN(B3)-FIND("@",B3)-1)</f>
        <v>Los Angeles Lakers</v>
      </c>
      <c r="H3" s="308">
        <v>119</v>
      </c>
      <c r="I3" s="313">
        <v>109</v>
      </c>
      <c r="J3" s="334">
        <f>IF(I3&gt;H3, 1, 0)</f>
        <v>0</v>
      </c>
      <c r="K3" s="328">
        <f>+D3+H3</f>
        <v>218</v>
      </c>
      <c r="L3" s="309">
        <f>E3+I3</f>
        <v>228</v>
      </c>
      <c r="M3" s="307">
        <f>IF(L3&gt;K3, 1, 0)</f>
        <v>1</v>
      </c>
      <c r="N3" s="321">
        <f>(+H3-D3)</f>
        <v>20</v>
      </c>
      <c r="O3" s="345">
        <f>I3-E3</f>
        <v>-10</v>
      </c>
      <c r="P3" s="408">
        <f>IF(OR(AND(N3&gt;0,O3&gt;0),AND(N3&lt;0,O3&lt;0)),1,0)</f>
        <v>0</v>
      </c>
      <c r="Q3" s="289">
        <f>WEEKNUM(tblResultadosNBA[[#This Row],[Fecha]],2)</f>
        <v>43</v>
      </c>
      <c r="R3" s="379" t="str">
        <f>TEXT(tblResultadosNBA[[#This Row],[Fecha]],"mmm")</f>
        <v>oct</v>
      </c>
      <c r="S3" s="289"/>
      <c r="T3" s="289"/>
      <c r="U3" s="289"/>
      <c r="V3" s="289"/>
      <c r="W3" s="289"/>
      <c r="X3" s="289"/>
      <c r="Y3" s="289"/>
      <c r="Z3" s="289"/>
    </row>
    <row r="4" spans="1:26">
      <c r="A4" s="425">
        <v>45952</v>
      </c>
      <c r="B4" s="329" t="s">
        <v>223</v>
      </c>
      <c r="C4" s="244" t="str">
        <f>LEFT(B4,FIND("@",B4)-2)</f>
        <v>Cleveland Cavaliers</v>
      </c>
      <c r="D4" s="293">
        <v>94</v>
      </c>
      <c r="E4" s="294">
        <v>111</v>
      </c>
      <c r="F4" s="298">
        <f>IF(E4&gt;D4, 1, 0)</f>
        <v>1</v>
      </c>
      <c r="G4" s="244" t="str">
        <f>MID(B4,FIND("@",B4)+2,LEN(B4)-FIND("@",B4)-1)</f>
        <v>New York Knicks</v>
      </c>
      <c r="H4" s="295">
        <v>117</v>
      </c>
      <c r="I4" s="315">
        <v>119</v>
      </c>
      <c r="J4" s="316">
        <f>IF(I4&gt;H4, 1, 0)</f>
        <v>1</v>
      </c>
      <c r="K4" s="329">
        <f>+D4+H4</f>
        <v>211</v>
      </c>
      <c r="L4" s="292">
        <f>E4+I4</f>
        <v>230</v>
      </c>
      <c r="M4" s="298">
        <f>IF(L4&gt;K4, 1, 0)</f>
        <v>1</v>
      </c>
      <c r="N4" s="322">
        <f>(+H4-D4)</f>
        <v>23</v>
      </c>
      <c r="O4" s="346">
        <f>I4-E4</f>
        <v>8</v>
      </c>
      <c r="P4" s="410">
        <f>IF(OR(AND(N4&gt;0,O4&gt;0),AND(N4&lt;0,O4&lt;0)),1,0)</f>
        <v>1</v>
      </c>
      <c r="Q4" s="440">
        <f>WEEKNUM(tblResultadosNBA[[#This Row],[Fecha]],2)</f>
        <v>43</v>
      </c>
      <c r="R4" s="378" t="str">
        <f>TEXT(tblResultadosNBA[[#This Row],[Fecha]],"mmm")</f>
        <v>oct</v>
      </c>
      <c r="S4" s="289"/>
      <c r="T4" s="289"/>
      <c r="U4" s="289"/>
      <c r="V4" s="289"/>
      <c r="W4" s="289"/>
      <c r="X4" s="289"/>
      <c r="Y4" s="289"/>
      <c r="Z4" s="289"/>
    </row>
    <row r="5" spans="1:26">
      <c r="A5" s="441">
        <v>45952</v>
      </c>
      <c r="B5" s="302" t="s">
        <v>666</v>
      </c>
      <c r="C5" s="177" t="str">
        <f>LEFT(B5,FIND("@",B5)-2)</f>
        <v>Brooklyn Nets</v>
      </c>
      <c r="D5" s="291">
        <v>109</v>
      </c>
      <c r="E5" s="301">
        <v>117</v>
      </c>
      <c r="F5" s="300">
        <f>IF(E5&gt;D5, 1, 0)</f>
        <v>1</v>
      </c>
      <c r="G5" s="302" t="str">
        <f>MID(B5,FIND("@",B5)+2,LEN(B5)-FIND("@",B5)-1)</f>
        <v>Charlotte Hornets</v>
      </c>
      <c r="H5" s="290">
        <v>117</v>
      </c>
      <c r="I5" s="301">
        <v>136</v>
      </c>
      <c r="J5" s="327">
        <f>IF(I5&gt;H5, 1, 0)</f>
        <v>1</v>
      </c>
      <c r="K5" s="302">
        <f>+D5+H5</f>
        <v>226</v>
      </c>
      <c r="L5" s="303">
        <f>E5+I5</f>
        <v>253</v>
      </c>
      <c r="M5" s="300">
        <f>IF(L5&gt;K5, 1, 0)</f>
        <v>1</v>
      </c>
      <c r="N5" s="323">
        <f>(+H5-D5)</f>
        <v>8</v>
      </c>
      <c r="O5" s="347">
        <f>I5-E5</f>
        <v>19</v>
      </c>
      <c r="P5" s="405">
        <f>IF(OR(AND(N5&gt;0,O5&gt;0),AND(N5&lt;0,O5&lt;0)),1,0)</f>
        <v>1</v>
      </c>
      <c r="Q5" s="289">
        <f>WEEKNUM(tblResultadosNBA[[#This Row],[Fecha]],2)</f>
        <v>43</v>
      </c>
      <c r="R5" s="379" t="str">
        <f>TEXT(tblResultadosNBA[[#This Row],[Fecha]],"mmm")</f>
        <v>oct</v>
      </c>
      <c r="S5" s="289"/>
      <c r="T5" s="289"/>
      <c r="U5" s="289"/>
      <c r="V5" s="289"/>
      <c r="W5" s="289"/>
      <c r="X5" s="289"/>
      <c r="Y5" s="289"/>
      <c r="Z5" s="289"/>
    </row>
    <row r="6" spans="1:26">
      <c r="A6" s="441">
        <v>45952</v>
      </c>
      <c r="B6" s="302" t="s">
        <v>168</v>
      </c>
      <c r="C6" s="177" t="str">
        <f>LEFT(B6,FIND("@",B6)-2)</f>
        <v>Miami Heat</v>
      </c>
      <c r="D6" s="291">
        <v>108</v>
      </c>
      <c r="E6" s="301">
        <v>121</v>
      </c>
      <c r="F6" s="300">
        <f>IF(E6&gt;D6, 1, 0)</f>
        <v>1</v>
      </c>
      <c r="G6" s="302" t="str">
        <f>MID(B6,FIND("@",B6)+2,LEN(B6)-FIND("@",B6)-1)</f>
        <v>Orlando Magic</v>
      </c>
      <c r="H6" s="290">
        <v>120</v>
      </c>
      <c r="I6" s="301">
        <v>125</v>
      </c>
      <c r="J6" s="327">
        <f>IF(I6&gt;H6, 1, 0)</f>
        <v>1</v>
      </c>
      <c r="K6" s="302">
        <f>+D6+H6</f>
        <v>228</v>
      </c>
      <c r="L6" s="303">
        <f>E6+I6</f>
        <v>246</v>
      </c>
      <c r="M6" s="300">
        <f>IF(L6&gt;K6, 1, 0)</f>
        <v>1</v>
      </c>
      <c r="N6" s="323">
        <f>(+H6-D6)</f>
        <v>12</v>
      </c>
      <c r="O6" s="347">
        <f>I6-E6</f>
        <v>4</v>
      </c>
      <c r="P6" s="405">
        <f>IF(OR(AND(N6&gt;0,O6&gt;0),AND(N6&lt;0,O6&lt;0)),1,0)</f>
        <v>1</v>
      </c>
      <c r="Q6" s="289">
        <f>WEEKNUM(tblResultadosNBA[[#This Row],[Fecha]],2)</f>
        <v>43</v>
      </c>
      <c r="R6" s="379" t="str">
        <f>TEXT(tblResultadosNBA[[#This Row],[Fecha]],"mmm")</f>
        <v>oct</v>
      </c>
      <c r="S6" s="289"/>
      <c r="T6" s="289"/>
      <c r="U6" s="289"/>
      <c r="V6" s="289"/>
      <c r="W6" s="289"/>
      <c r="X6" s="289"/>
      <c r="Y6" s="289"/>
      <c r="Z6" s="289"/>
    </row>
    <row r="7" spans="1:26">
      <c r="A7" s="441">
        <v>45952</v>
      </c>
      <c r="B7" s="302" t="s">
        <v>667</v>
      </c>
      <c r="C7" s="177" t="str">
        <f>LEFT(B7,FIND("@",B7)-2)</f>
        <v>Toronto Raptors</v>
      </c>
      <c r="D7" s="291">
        <v>104</v>
      </c>
      <c r="E7" s="301">
        <v>138</v>
      </c>
      <c r="F7" s="300">
        <f>IF(E7&gt;D7, 1, 0)</f>
        <v>1</v>
      </c>
      <c r="G7" s="302" t="str">
        <f>MID(B7,FIND("@",B7)+2,LEN(B7)-FIND("@",B7)-1)</f>
        <v>Atlanta Hawks</v>
      </c>
      <c r="H7" s="290">
        <v>119</v>
      </c>
      <c r="I7" s="301">
        <v>118</v>
      </c>
      <c r="J7" s="327">
        <f>IF(I7&gt;H7, 1, 0)</f>
        <v>0</v>
      </c>
      <c r="K7" s="302">
        <f>+D7+H7</f>
        <v>223</v>
      </c>
      <c r="L7" s="303">
        <f>E7+I7</f>
        <v>256</v>
      </c>
      <c r="M7" s="300">
        <f>IF(L7&gt;K7, 1, 0)</f>
        <v>1</v>
      </c>
      <c r="N7" s="324">
        <f>(+H7-D7)</f>
        <v>15</v>
      </c>
      <c r="O7" s="347">
        <f>I7-E7</f>
        <v>-20</v>
      </c>
      <c r="P7" s="405">
        <f>IF(OR(AND(N7&gt;0,O7&gt;0),AND(N7&lt;0,O7&lt;0)),1,0)</f>
        <v>0</v>
      </c>
      <c r="Q7" s="289">
        <f>WEEKNUM(tblResultadosNBA[[#This Row],[Fecha]],2)</f>
        <v>43</v>
      </c>
      <c r="R7" s="379" t="str">
        <f>TEXT(tblResultadosNBA[[#This Row],[Fecha]],"mmm")</f>
        <v>oct</v>
      </c>
      <c r="S7" s="289"/>
      <c r="T7" s="289"/>
      <c r="U7" s="289"/>
      <c r="V7" s="289"/>
      <c r="W7" s="289"/>
      <c r="X7" s="289"/>
      <c r="Y7" s="289"/>
      <c r="Z7" s="289"/>
    </row>
    <row r="8" spans="1:26">
      <c r="A8" s="441">
        <v>45952</v>
      </c>
      <c r="B8" s="302" t="s">
        <v>417</v>
      </c>
      <c r="C8" s="177" t="str">
        <f>LEFT(B8,FIND("@",B8)-2)</f>
        <v>Philadelphia 76ers</v>
      </c>
      <c r="D8" s="291">
        <v>107</v>
      </c>
      <c r="E8" s="301">
        <v>117</v>
      </c>
      <c r="F8" s="300">
        <f>IF(E8&gt;D8, 1, 0)</f>
        <v>1</v>
      </c>
      <c r="G8" s="302" t="str">
        <f>MID(B8,FIND("@",B8)+2,LEN(B8)-FIND("@",B8)-1)</f>
        <v>Boston Celtics</v>
      </c>
      <c r="H8" s="290">
        <v>128</v>
      </c>
      <c r="I8" s="301">
        <v>116</v>
      </c>
      <c r="J8" s="327">
        <f>IF(I8&gt;H8, 1, 0)</f>
        <v>0</v>
      </c>
      <c r="K8" s="302">
        <f>+D8+H8</f>
        <v>235</v>
      </c>
      <c r="L8" s="303">
        <f>E8+I8</f>
        <v>233</v>
      </c>
      <c r="M8" s="300">
        <f>IF(L8&gt;K8, 1, 0)</f>
        <v>0</v>
      </c>
      <c r="N8" s="324">
        <f>(+H8-D8)</f>
        <v>21</v>
      </c>
      <c r="O8" s="347">
        <f>I8-E8</f>
        <v>-1</v>
      </c>
      <c r="P8" s="405">
        <f>IF(OR(AND(N8&gt;0,O8&gt;0),AND(N8&lt;0,O8&lt;0)),1,0)</f>
        <v>0</v>
      </c>
      <c r="Q8" s="289">
        <f>WEEKNUM(tblResultadosNBA[[#This Row],[Fecha]],2)</f>
        <v>43</v>
      </c>
      <c r="R8" s="379" t="str">
        <f>TEXT(tblResultadosNBA[[#This Row],[Fecha]],"mmm")</f>
        <v>oct</v>
      </c>
      <c r="V8" s="289"/>
      <c r="W8" s="289"/>
      <c r="X8" s="289"/>
    </row>
    <row r="9" spans="1:26">
      <c r="A9" s="441">
        <v>45952</v>
      </c>
      <c r="B9" s="302" t="s">
        <v>384</v>
      </c>
      <c r="C9" s="177" t="str">
        <f>LEFT(B9,FIND("@",B9)-2)</f>
        <v>Detroit Pistons</v>
      </c>
      <c r="D9" s="291">
        <v>99</v>
      </c>
      <c r="E9" s="301">
        <v>111</v>
      </c>
      <c r="F9" s="300">
        <f>IF(E9&gt;D9, 1, 0)</f>
        <v>1</v>
      </c>
      <c r="G9" s="302" t="str">
        <f>MID(B9,FIND("@",B9)+2,LEN(B9)-FIND("@",B9)-1)</f>
        <v>Chicago Bulls</v>
      </c>
      <c r="H9" s="290">
        <v>116</v>
      </c>
      <c r="I9" s="301">
        <v>105</v>
      </c>
      <c r="J9" s="327">
        <f>IF(I9&gt;H9, 1, 0)</f>
        <v>0</v>
      </c>
      <c r="K9" s="302">
        <f>+D9+H9</f>
        <v>215</v>
      </c>
      <c r="L9" s="303">
        <f>E9+I9</f>
        <v>216</v>
      </c>
      <c r="M9" s="300">
        <f>IF(L9&gt;K9, 1, 0)</f>
        <v>1</v>
      </c>
      <c r="N9" s="325">
        <f>(+H9-D9)</f>
        <v>17</v>
      </c>
      <c r="O9" s="347">
        <f>I9-E9</f>
        <v>-6</v>
      </c>
      <c r="P9" s="405">
        <f>IF(OR(AND(N9&gt;0,O9&gt;0),AND(N9&lt;0,O9&lt;0)),1,0)</f>
        <v>0</v>
      </c>
      <c r="Q9" s="289">
        <f>WEEKNUM(tblResultadosNBA[[#This Row],[Fecha]],2)</f>
        <v>43</v>
      </c>
      <c r="R9" s="379" t="str">
        <f>TEXT(tblResultadosNBA[[#This Row],[Fecha]],"mmm")</f>
        <v>oct</v>
      </c>
      <c r="V9" s="289"/>
      <c r="W9" s="289"/>
      <c r="X9" s="289"/>
    </row>
    <row r="10" spans="1:26">
      <c r="A10" s="441">
        <v>45952</v>
      </c>
      <c r="B10" s="302" t="s">
        <v>289</v>
      </c>
      <c r="C10" s="177" t="str">
        <f>LEFT(B10,FIND("@",B10)-2)</f>
        <v>New Orleans Pelicans</v>
      </c>
      <c r="D10" s="291">
        <v>109</v>
      </c>
      <c r="E10" s="301">
        <v>122</v>
      </c>
      <c r="F10" s="300">
        <f>IF(E10&gt;D10, 1, 0)</f>
        <v>1</v>
      </c>
      <c r="G10" s="302" t="str">
        <f>MID(B10,FIND("@",B10)+2,LEN(B10)-FIND("@",B10)-1)</f>
        <v>Memphis Grizzlies</v>
      </c>
      <c r="H10" s="290">
        <v>118</v>
      </c>
      <c r="I10" s="301">
        <v>128</v>
      </c>
      <c r="J10" s="327">
        <f>IF(I10&gt;H10, 1, 0)</f>
        <v>1</v>
      </c>
      <c r="K10" s="302">
        <f>+D10+H10</f>
        <v>227</v>
      </c>
      <c r="L10" s="303">
        <f>E10+I10</f>
        <v>250</v>
      </c>
      <c r="M10" s="300">
        <f>IF(L10&gt;K10, 1, 0)</f>
        <v>1</v>
      </c>
      <c r="N10" s="325">
        <f>(+H10-D10)</f>
        <v>9</v>
      </c>
      <c r="O10" s="347">
        <f>I10-E10</f>
        <v>6</v>
      </c>
      <c r="P10" s="405">
        <f>IF(OR(AND(N10&gt;0,O10&gt;0),AND(N10&lt;0,O10&lt;0)),1,0)</f>
        <v>1</v>
      </c>
      <c r="Q10" s="289">
        <f>WEEKNUM(tblResultadosNBA[[#This Row],[Fecha]],2)</f>
        <v>43</v>
      </c>
      <c r="R10" s="379" t="str">
        <f>TEXT(tblResultadosNBA[[#This Row],[Fecha]],"mmm")</f>
        <v>oct</v>
      </c>
      <c r="V10" s="289"/>
      <c r="W10" s="289"/>
      <c r="X10" s="289"/>
    </row>
    <row r="11" spans="1:26">
      <c r="A11" s="441">
        <v>45952</v>
      </c>
      <c r="B11" s="302" t="s">
        <v>255</v>
      </c>
      <c r="C11" s="177" t="str">
        <f>LEFT(B11,FIND("@",B11)-2)</f>
        <v>Washington Wizards</v>
      </c>
      <c r="D11" s="291">
        <v>109</v>
      </c>
      <c r="E11" s="301">
        <v>120</v>
      </c>
      <c r="F11" s="300">
        <f>IF(E11&gt;D11, 1, 0)</f>
        <v>1</v>
      </c>
      <c r="G11" s="302" t="str">
        <f>MID(B11,FIND("@",B11)+2,LEN(B11)-FIND("@",B11)-1)</f>
        <v>Milwaukee Bucks</v>
      </c>
      <c r="H11" s="290">
        <v>114</v>
      </c>
      <c r="I11" s="301">
        <v>133</v>
      </c>
      <c r="J11" s="327">
        <f>IF(I11&gt;H11, 1, 0)</f>
        <v>1</v>
      </c>
      <c r="K11" s="302">
        <f>+D11+H11</f>
        <v>223</v>
      </c>
      <c r="L11" s="303">
        <f>E11+I11</f>
        <v>253</v>
      </c>
      <c r="M11" s="300">
        <f>IF(L11&gt;K11, 1, 0)</f>
        <v>1</v>
      </c>
      <c r="N11" s="325">
        <f>(+H11-D11)</f>
        <v>5</v>
      </c>
      <c r="O11" s="347">
        <f>I11-E11</f>
        <v>13</v>
      </c>
      <c r="P11" s="405">
        <f>IF(OR(AND(N11&gt;0,O11&gt;0),AND(N11&lt;0,O11&lt;0)),1,0)</f>
        <v>1</v>
      </c>
      <c r="Q11" s="289">
        <f>WEEKNUM(tblResultadosNBA[[#This Row],[Fecha]],2)</f>
        <v>43</v>
      </c>
      <c r="R11" s="379" t="str">
        <f>TEXT(tblResultadosNBA[[#This Row],[Fecha]],"mmm")</f>
        <v>oct</v>
      </c>
      <c r="V11" s="289"/>
      <c r="W11" s="289"/>
      <c r="X11" s="289"/>
    </row>
    <row r="12" spans="1:26">
      <c r="A12" s="441">
        <v>45952</v>
      </c>
      <c r="B12" s="302" t="s">
        <v>306</v>
      </c>
      <c r="C12" s="177" t="str">
        <f>LEFT(B12,FIND("@",B12)-2)</f>
        <v>LA Clippers</v>
      </c>
      <c r="D12" s="291">
        <v>115</v>
      </c>
      <c r="E12" s="301">
        <v>108</v>
      </c>
      <c r="F12" s="300">
        <f>IF(E12&gt;D12, 1, 0)</f>
        <v>0</v>
      </c>
      <c r="G12" s="302" t="str">
        <f>MID(B12,FIND("@",B12)+2,LEN(B12)-FIND("@",B12)-1)</f>
        <v>Utah Jazz</v>
      </c>
      <c r="H12" s="290">
        <v>118</v>
      </c>
      <c r="I12" s="301">
        <v>129</v>
      </c>
      <c r="J12" s="327">
        <f>IF(I12&gt;H12, 1, 0)</f>
        <v>1</v>
      </c>
      <c r="K12" s="302">
        <f>+D12+H12</f>
        <v>233</v>
      </c>
      <c r="L12" s="303">
        <f>E12+I12</f>
        <v>237</v>
      </c>
      <c r="M12" s="300">
        <f>IF(L12&gt;K12, 1, 0)</f>
        <v>1</v>
      </c>
      <c r="N12" s="325">
        <f>(+H12-D12)</f>
        <v>3</v>
      </c>
      <c r="O12" s="347">
        <f>I12-E12</f>
        <v>21</v>
      </c>
      <c r="P12" s="405">
        <f>IF(OR(AND(N12&gt;0,O12&gt;0),AND(N12&lt;0,O12&lt;0)),1,0)</f>
        <v>1</v>
      </c>
      <c r="Q12" s="289">
        <f>WEEKNUM(tblResultadosNBA[[#This Row],[Fecha]],2)</f>
        <v>43</v>
      </c>
      <c r="R12" s="379" t="str">
        <f>TEXT(tblResultadosNBA[[#This Row],[Fecha]],"mmm")</f>
        <v>oct</v>
      </c>
      <c r="V12" s="289"/>
      <c r="W12" s="289"/>
      <c r="X12" s="289"/>
    </row>
    <row r="13" spans="1:26">
      <c r="A13" s="441">
        <v>45952</v>
      </c>
      <c r="B13" s="302" t="s">
        <v>338</v>
      </c>
      <c r="C13" s="177" t="str">
        <f>LEFT(B13,FIND("@",B13)-2)</f>
        <v>San Antonio Spurs</v>
      </c>
      <c r="D13" s="291">
        <v>103</v>
      </c>
      <c r="E13" s="301">
        <v>125</v>
      </c>
      <c r="F13" s="300">
        <f>IF(E13&gt;D13, 1, 0)</f>
        <v>1</v>
      </c>
      <c r="G13" s="302" t="str">
        <f>MID(B13,FIND("@",B13)+2,LEN(B13)-FIND("@",B13)-1)</f>
        <v>Dallas Mavericks</v>
      </c>
      <c r="H13" s="290">
        <v>114</v>
      </c>
      <c r="I13" s="301">
        <v>92</v>
      </c>
      <c r="J13" s="327">
        <f>IF(I13&gt;H13, 1, 0)</f>
        <v>0</v>
      </c>
      <c r="K13" s="302">
        <f>+D13+H13</f>
        <v>217</v>
      </c>
      <c r="L13" s="303">
        <f>E13+I13</f>
        <v>217</v>
      </c>
      <c r="M13" s="300">
        <f>IF(L13&gt;K13, 1, 0)</f>
        <v>0</v>
      </c>
      <c r="N13" s="325">
        <f>(+H13-D13)</f>
        <v>11</v>
      </c>
      <c r="O13" s="347">
        <f>I13-E13</f>
        <v>-33</v>
      </c>
      <c r="P13" s="405">
        <f>IF(OR(AND(N13&gt;0,O13&gt;0),AND(N13&lt;0,O13&lt;0)),1,0)</f>
        <v>0</v>
      </c>
      <c r="Q13" s="289">
        <f>WEEKNUM(tblResultadosNBA[[#This Row],[Fecha]],2)</f>
        <v>43</v>
      </c>
      <c r="R13" s="379" t="str">
        <f>TEXT(tblResultadosNBA[[#This Row],[Fecha]],"mmm")</f>
        <v>oct</v>
      </c>
    </row>
    <row r="14" spans="1:26">
      <c r="A14" s="441">
        <v>45952</v>
      </c>
      <c r="B14" s="302" t="s">
        <v>668</v>
      </c>
      <c r="C14" s="177" t="str">
        <f>LEFT(B14,FIND("@",B14)-2)</f>
        <v>Sacramento Kings</v>
      </c>
      <c r="D14" s="291">
        <v>106</v>
      </c>
      <c r="E14" s="301">
        <v>116</v>
      </c>
      <c r="F14" s="300">
        <f>IF(E14&gt;D14, 1, 0)</f>
        <v>1</v>
      </c>
      <c r="G14" s="302" t="str">
        <f>MID(B14,FIND("@",B14)+2,LEN(B14)-FIND("@",B14)-1)</f>
        <v>Phoenix Suns</v>
      </c>
      <c r="H14" s="290">
        <v>119</v>
      </c>
      <c r="I14" s="301">
        <v>120</v>
      </c>
      <c r="J14" s="327">
        <f>IF(I14&gt;H14, 1, 0)</f>
        <v>1</v>
      </c>
      <c r="K14" s="302">
        <f>+D14+H14</f>
        <v>225</v>
      </c>
      <c r="L14" s="303">
        <f>E14+I14</f>
        <v>236</v>
      </c>
      <c r="M14" s="300">
        <f>IF(L14&gt;K14, 1, 0)</f>
        <v>1</v>
      </c>
      <c r="N14" s="325">
        <f>(+H14-D14)</f>
        <v>13</v>
      </c>
      <c r="O14" s="347">
        <f>I14-E14</f>
        <v>4</v>
      </c>
      <c r="P14" s="405">
        <f>IF(OR(AND(N14&gt;0,O14&gt;0),AND(N14&lt;0,O14&lt;0)),1,0)</f>
        <v>1</v>
      </c>
      <c r="Q14" s="289">
        <f>WEEKNUM(tblResultadosNBA[[#This Row],[Fecha]],2)</f>
        <v>43</v>
      </c>
      <c r="R14" s="379" t="str">
        <f>TEXT(tblResultadosNBA[[#This Row],[Fecha]],"mmm")</f>
        <v>oct</v>
      </c>
    </row>
    <row r="15" spans="1:26">
      <c r="A15" s="429">
        <v>45952</v>
      </c>
      <c r="B15" s="331" t="s">
        <v>669</v>
      </c>
      <c r="C15" s="286" t="str">
        <f>LEFT(B15,FIND("@",B15)-2)</f>
        <v>Minnesota Timberwolves</v>
      </c>
      <c r="D15" s="296">
        <v>104</v>
      </c>
      <c r="E15" s="311">
        <v>118</v>
      </c>
      <c r="F15" s="310">
        <f>IF(E15&gt;D15, 1, 0)</f>
        <v>1</v>
      </c>
      <c r="G15" s="286" t="str">
        <f>MID(B15,FIND("@",B15)+2,LEN(B15)-FIND("@",B15)-1)</f>
        <v>Portland Trail Blazers</v>
      </c>
      <c r="H15" s="297">
        <v>115</v>
      </c>
      <c r="I15" s="317">
        <v>114</v>
      </c>
      <c r="J15" s="332">
        <f>IF(I15&gt;H15, 1, 0)</f>
        <v>0</v>
      </c>
      <c r="K15" s="331">
        <f>+D15+H15</f>
        <v>219</v>
      </c>
      <c r="L15" s="431">
        <f>E15+I15</f>
        <v>232</v>
      </c>
      <c r="M15" s="430">
        <f>IF(L15&gt;K15, 1, 0)</f>
        <v>1</v>
      </c>
      <c r="N15" s="432">
        <f>(+H15-D15)</f>
        <v>11</v>
      </c>
      <c r="O15" s="353">
        <f>I15-E15</f>
        <v>-4</v>
      </c>
      <c r="P15" s="406">
        <f>IF(OR(AND(N15&gt;0,O15&gt;0),AND(N15&lt;0,O15&lt;0)),1,0)</f>
        <v>0</v>
      </c>
      <c r="Q15" s="433">
        <f>WEEKNUM(tblResultadosNBA[[#This Row],[Fecha]],2)</f>
        <v>43</v>
      </c>
      <c r="R15" s="401" t="str">
        <f>TEXT(tblResultadosNBA[[#This Row],[Fecha]],"mmm")</f>
        <v>oct</v>
      </c>
    </row>
    <row r="16" spans="1:26">
      <c r="A16" s="439">
        <v>45953</v>
      </c>
      <c r="B16" s="423" t="s">
        <v>670</v>
      </c>
      <c r="C16" s="361" t="str">
        <f>LEFT(B16,FIND("@",B16)-2)</f>
        <v>Oklahoma City Thunder</v>
      </c>
      <c r="D16" s="351">
        <v>118</v>
      </c>
      <c r="E16" s="319">
        <v>141</v>
      </c>
      <c r="F16" s="314">
        <f>IF(E16&gt;D16, 1, 0)</f>
        <v>1</v>
      </c>
      <c r="G16" s="361" t="str">
        <f>MID(B16,FIND("@",B16)+2,LEN(B16)-FIND("@",B16)-1)</f>
        <v>Indiana Pacers</v>
      </c>
      <c r="H16" s="443">
        <v>93</v>
      </c>
      <c r="I16" s="319">
        <v>135</v>
      </c>
      <c r="J16" s="333">
        <f>IF(I16&gt;H16, 1, 0)</f>
        <v>1</v>
      </c>
      <c r="K16" s="423">
        <f>+D16+H16</f>
        <v>211</v>
      </c>
      <c r="L16" s="319">
        <f>E16+I16</f>
        <v>276</v>
      </c>
      <c r="M16" s="314">
        <f>IF(L16&gt;K16, 1, 0)</f>
        <v>1</v>
      </c>
      <c r="N16" s="444">
        <f>(+H16-D16)</f>
        <v>-25</v>
      </c>
      <c r="O16" s="352">
        <f>I16-E16</f>
        <v>-6</v>
      </c>
      <c r="P16" s="407">
        <f>IF(OR(AND(N16&gt;0,O16&gt;0),AND(N16&lt;0,O16&lt;0)),1,0)</f>
        <v>1</v>
      </c>
      <c r="Q16" s="289">
        <f>WEEKNUM(tblResultadosNBA[[#This Row],[Fecha]],2)</f>
        <v>43</v>
      </c>
      <c r="R16" t="str">
        <f>TEXT(tblResultadosNBA[[#This Row],[Fecha]],"mmm")</f>
        <v>oct</v>
      </c>
    </row>
    <row r="17" spans="1:18">
      <c r="A17" s="445">
        <v>45953</v>
      </c>
      <c r="B17" s="331" t="s">
        <v>671</v>
      </c>
      <c r="C17" s="286" t="str">
        <f>LEFT(B17,FIND("@",B17)-2)</f>
        <v>Denver Nuggets</v>
      </c>
      <c r="D17" s="296">
        <v>118</v>
      </c>
      <c r="E17" s="311">
        <v>131</v>
      </c>
      <c r="F17" s="310">
        <f>IF(E17&gt;D17, 1, 0)</f>
        <v>1</v>
      </c>
      <c r="G17" s="286" t="str">
        <f>MID(B17,FIND("@",B17)+2,LEN(B17)-FIND("@",B17)-1)</f>
        <v>Golden State Warriors</v>
      </c>
      <c r="H17" s="297">
        <v>121</v>
      </c>
      <c r="I17" s="317">
        <v>137</v>
      </c>
      <c r="J17" s="332">
        <f>IF(I17&gt;H17, 1, 0)</f>
        <v>1</v>
      </c>
      <c r="K17" s="331">
        <f>+D17+H17</f>
        <v>239</v>
      </c>
      <c r="L17" s="317">
        <f>E17+I17</f>
        <v>268</v>
      </c>
      <c r="M17" s="310">
        <f>IF(L17&gt;K17, 1, 0)</f>
        <v>1</v>
      </c>
      <c r="N17" s="326">
        <f>(+H17-D17)</f>
        <v>3</v>
      </c>
      <c r="O17" s="348">
        <f>I17-E17</f>
        <v>6</v>
      </c>
      <c r="P17" s="406">
        <f>IF(OR(AND(N17&gt;0,O17&gt;0),AND(N17&lt;0,O17&lt;0)),1,0)</f>
        <v>1</v>
      </c>
      <c r="Q17" s="433">
        <f>WEEKNUM(tblResultadosNBA[[#This Row],[Fecha]],2)</f>
        <v>43</v>
      </c>
      <c r="R17" s="433" t="str">
        <f>TEXT(tblResultadosNBA[[#This Row],[Fecha]],"mmm")</f>
        <v>oct</v>
      </c>
    </row>
    <row r="18" spans="1:18">
      <c r="A18" s="439">
        <v>45954</v>
      </c>
      <c r="B18" s="302" t="s">
        <v>672</v>
      </c>
      <c r="C18" s="177" t="str">
        <f>LEFT(B18,FIND("@",B18)-2)</f>
        <v>Milwaukee Bucks</v>
      </c>
      <c r="D18" s="177">
        <v>116</v>
      </c>
      <c r="E18" s="303">
        <v>122</v>
      </c>
      <c r="F18" s="327">
        <f>IF(E18&gt;D18, 1, 0)</f>
        <v>1</v>
      </c>
      <c r="G18" s="302" t="str">
        <f>MID(B18,FIND("@",B18)+2,LEN(B18)-FIND("@",B18)-1)</f>
        <v>Toronto Raptors</v>
      </c>
      <c r="H18" s="177">
        <v>111</v>
      </c>
      <c r="I18" s="319">
        <v>116</v>
      </c>
      <c r="J18" s="327">
        <f>IF(I18&gt;H18, 1, 0)</f>
        <v>1</v>
      </c>
      <c r="K18" s="302">
        <f>+D18+H18</f>
        <v>227</v>
      </c>
      <c r="L18" s="303">
        <f>E18+I18</f>
        <v>238</v>
      </c>
      <c r="M18" s="327">
        <f>IF(L18&gt;K18, 1, 0)</f>
        <v>1</v>
      </c>
      <c r="N18" s="325">
        <f>(+H18-D18)</f>
        <v>-5</v>
      </c>
      <c r="O18" s="347">
        <f>I18-E18</f>
        <v>-6</v>
      </c>
      <c r="P18" s="407">
        <f>IF(OR(AND(N18&gt;0,O18&gt;0),AND(N18&lt;0,O18&lt;0)),1,0)</f>
        <v>1</v>
      </c>
      <c r="Q18" s="289">
        <f>WEEKNUM(tblResultadosNBA[[#This Row],[Fecha]],2)</f>
        <v>43</v>
      </c>
      <c r="R18" t="str">
        <f>TEXT(tblResultadosNBA[[#This Row],[Fecha]],"mmm")</f>
        <v>oct</v>
      </c>
    </row>
    <row r="19" spans="1:18">
      <c r="A19" s="419">
        <v>45954</v>
      </c>
      <c r="B19" s="302" t="s">
        <v>540</v>
      </c>
      <c r="C19" s="177" t="str">
        <f>LEFT(B19,FIND("@",B19)-2)</f>
        <v>Atlanta Hawks</v>
      </c>
      <c r="D19" s="177">
        <v>105</v>
      </c>
      <c r="E19" s="303">
        <v>111</v>
      </c>
      <c r="F19" s="327">
        <f>IF(E19&gt;D19, 1, 0)</f>
        <v>1</v>
      </c>
      <c r="G19" s="302" t="str">
        <f>MID(B19,FIND("@",B19)+2,LEN(B19)-FIND("@",B19)-1)</f>
        <v>Orlando Magic</v>
      </c>
      <c r="H19" s="177">
        <v>116</v>
      </c>
      <c r="I19" s="303">
        <v>107</v>
      </c>
      <c r="J19" s="327">
        <f>IF(I19&gt;H19, 1, 0)</f>
        <v>0</v>
      </c>
      <c r="K19" s="302">
        <f>+D19+H19</f>
        <v>221</v>
      </c>
      <c r="L19" s="303">
        <f>E19+I19</f>
        <v>218</v>
      </c>
      <c r="M19" s="327">
        <f>IF(L19&gt;K19, 1, 0)</f>
        <v>0</v>
      </c>
      <c r="N19" s="325">
        <f>(+H19-D19)</f>
        <v>11</v>
      </c>
      <c r="O19" s="347">
        <f>I19-E19</f>
        <v>-4</v>
      </c>
      <c r="P19" s="405">
        <f>IF(OR(AND(N19&gt;0,O19&gt;0),AND(N19&lt;0,O19&lt;0)),1,0)</f>
        <v>0</v>
      </c>
      <c r="Q19" s="289">
        <f>WEEKNUM(tblResultadosNBA[[#This Row],[Fecha]],2)</f>
        <v>43</v>
      </c>
      <c r="R19" t="str">
        <f>TEXT(tblResultadosNBA[[#This Row],[Fecha]],"mmm")</f>
        <v>oct</v>
      </c>
    </row>
    <row r="20" spans="1:18">
      <c r="A20" s="419">
        <v>45954</v>
      </c>
      <c r="B20" s="302" t="s">
        <v>673</v>
      </c>
      <c r="C20" s="177" t="str">
        <f>LEFT(B20,FIND("@",B20)-2)</f>
        <v>Cleveland Cavaliers</v>
      </c>
      <c r="D20" s="177">
        <v>107</v>
      </c>
      <c r="E20" s="303">
        <v>131</v>
      </c>
      <c r="F20" s="327">
        <f>IF(E20&gt;D20, 1, 0)</f>
        <v>1</v>
      </c>
      <c r="G20" s="302" t="str">
        <f>MID(B20,FIND("@",B20)+2,LEN(B20)-FIND("@",B20)-1)</f>
        <v>Brooklyn Nets</v>
      </c>
      <c r="H20" s="177">
        <v>117</v>
      </c>
      <c r="I20" s="303">
        <v>124</v>
      </c>
      <c r="J20" s="327">
        <f>IF(I20&gt;H20, 1, 0)</f>
        <v>1</v>
      </c>
      <c r="K20" s="302">
        <f>+D20+H20</f>
        <v>224</v>
      </c>
      <c r="L20" s="303">
        <f>E20+I20</f>
        <v>255</v>
      </c>
      <c r="M20" s="327">
        <f>IF(L20&gt;K20, 1, 0)</f>
        <v>1</v>
      </c>
      <c r="N20" s="325">
        <f>(+H20-D20)</f>
        <v>10</v>
      </c>
      <c r="O20" s="347">
        <f>I20-E20</f>
        <v>-7</v>
      </c>
      <c r="P20" s="405">
        <f>IF(OR(AND(N20&gt;0,O20&gt;0),AND(N20&lt;0,O20&lt;0)),1,0)</f>
        <v>0</v>
      </c>
      <c r="Q20" s="289">
        <f>WEEKNUM(tblResultadosNBA[[#This Row],[Fecha]],2)</f>
        <v>43</v>
      </c>
      <c r="R20" t="str">
        <f>TEXT(tblResultadosNBA[[#This Row],[Fecha]],"mmm")</f>
        <v>oct</v>
      </c>
    </row>
    <row r="21" spans="1:18">
      <c r="A21" s="419">
        <v>45954</v>
      </c>
      <c r="B21" s="302" t="s">
        <v>576</v>
      </c>
      <c r="C21" s="177" t="str">
        <f>LEFT(B21,FIND("@",B21)-2)</f>
        <v>Boston Celtics</v>
      </c>
      <c r="D21" s="177">
        <v>106</v>
      </c>
      <c r="E21" s="303">
        <v>95</v>
      </c>
      <c r="F21" s="327">
        <f>IF(E21&gt;D21, 1, 0)</f>
        <v>0</v>
      </c>
      <c r="G21" s="302" t="str">
        <f>MID(B21,FIND("@",B21)+2,LEN(B21)-FIND("@",B21)-1)</f>
        <v>New York Knicks</v>
      </c>
      <c r="H21" s="177">
        <v>109</v>
      </c>
      <c r="I21" s="303">
        <v>105</v>
      </c>
      <c r="J21" s="327">
        <f>IF(I21&gt;H21, 1, 0)</f>
        <v>0</v>
      </c>
      <c r="K21" s="302">
        <f>+D21+H21</f>
        <v>215</v>
      </c>
      <c r="L21" s="303">
        <f>E21+I21</f>
        <v>200</v>
      </c>
      <c r="M21" s="327">
        <f>IF(L21&gt;K21, 1, 0)</f>
        <v>0</v>
      </c>
      <c r="N21" s="325">
        <f>(+H21-D21)</f>
        <v>3</v>
      </c>
      <c r="O21" s="347">
        <f>I21-E21</f>
        <v>10</v>
      </c>
      <c r="P21" s="405">
        <f>IF(OR(AND(N21&gt;0,O21&gt;0),AND(N21&lt;0,O21&lt;0)),1,0)</f>
        <v>1</v>
      </c>
      <c r="Q21" s="289">
        <f>WEEKNUM(tblResultadosNBA[[#This Row],[Fecha]],2)</f>
        <v>43</v>
      </c>
      <c r="R21" t="str">
        <f>TEXT(tblResultadosNBA[[#This Row],[Fecha]],"mmm")</f>
        <v>oct</v>
      </c>
    </row>
    <row r="22" spans="1:18">
      <c r="A22" s="419">
        <v>45954</v>
      </c>
      <c r="B22" s="302" t="s">
        <v>674</v>
      </c>
      <c r="C22" s="177" t="str">
        <f>LEFT(B22,FIND("@",B22)-2)</f>
        <v>Detroit Pistons</v>
      </c>
      <c r="D22" s="177">
        <v>114</v>
      </c>
      <c r="E22" s="303">
        <v>115</v>
      </c>
      <c r="F22" s="327">
        <f>IF(E22&gt;D22, 1, 0)</f>
        <v>1</v>
      </c>
      <c r="G22" s="302" t="str">
        <f>MID(B22,FIND("@",B22)+2,LEN(B22)-FIND("@",B22)-1)</f>
        <v>Houston Rockets</v>
      </c>
      <c r="H22" s="177">
        <v>118</v>
      </c>
      <c r="I22" s="303">
        <v>111</v>
      </c>
      <c r="J22" s="327">
        <f>IF(I22&gt;H22, 1, 0)</f>
        <v>0</v>
      </c>
      <c r="K22" s="302">
        <f>+D22+H22</f>
        <v>232</v>
      </c>
      <c r="L22" s="303">
        <f>E22+I22</f>
        <v>226</v>
      </c>
      <c r="M22" s="327">
        <f>IF(L22&gt;K22, 1, 0)</f>
        <v>0</v>
      </c>
      <c r="N22" s="325">
        <f>(+H22-D22)</f>
        <v>4</v>
      </c>
      <c r="O22" s="347">
        <f>I22-E22</f>
        <v>-4</v>
      </c>
      <c r="P22" s="405">
        <f>IF(OR(AND(N22&gt;0,O22&gt;0),AND(N22&lt;0,O22&lt;0)),1,0)</f>
        <v>0</v>
      </c>
      <c r="Q22" s="289">
        <f>WEEKNUM(tblResultadosNBA[[#This Row],[Fecha]],2)</f>
        <v>43</v>
      </c>
      <c r="R22" t="str">
        <f>TEXT(tblResultadosNBA[[#This Row],[Fecha]],"mmm")</f>
        <v>oct</v>
      </c>
    </row>
    <row r="23" spans="1:18">
      <c r="A23" s="419">
        <v>45954</v>
      </c>
      <c r="B23" s="302" t="s">
        <v>675</v>
      </c>
      <c r="C23" s="177" t="str">
        <f>LEFT(B23,FIND("@",B23)-2)</f>
        <v>Miami Heat</v>
      </c>
      <c r="D23" s="177">
        <v>111</v>
      </c>
      <c r="E23" s="303">
        <v>146</v>
      </c>
      <c r="F23" s="327">
        <f>IF(E23&gt;D23, 1, 0)</f>
        <v>1</v>
      </c>
      <c r="G23" s="302" t="str">
        <f>MID(B23,FIND("@",B23)+2,LEN(B23)-FIND("@",B23)-1)</f>
        <v>Memphis Grizzlies</v>
      </c>
      <c r="H23" s="177">
        <v>120</v>
      </c>
      <c r="I23" s="303">
        <v>114</v>
      </c>
      <c r="J23" s="327">
        <f>IF(I23&gt;H23, 1, 0)</f>
        <v>0</v>
      </c>
      <c r="K23" s="302">
        <f>+D23+H23</f>
        <v>231</v>
      </c>
      <c r="L23" s="303">
        <f>E23+I23</f>
        <v>260</v>
      </c>
      <c r="M23" s="327">
        <f>IF(L23&gt;K23, 1, 0)</f>
        <v>1</v>
      </c>
      <c r="N23" s="325">
        <f>(+H23-D23)</f>
        <v>9</v>
      </c>
      <c r="O23" s="347">
        <f>I23-E23</f>
        <v>-32</v>
      </c>
      <c r="P23" s="405">
        <f>IF(OR(AND(N23&gt;0,O23&gt;0),AND(N23&lt;0,O23&lt;0)),1,0)</f>
        <v>0</v>
      </c>
      <c r="Q23" s="289">
        <f>WEEKNUM(tblResultadosNBA[[#This Row],[Fecha]],2)</f>
        <v>43</v>
      </c>
      <c r="R23" t="str">
        <f>TEXT(tblResultadosNBA[[#This Row],[Fecha]],"mmm")</f>
        <v>oct</v>
      </c>
    </row>
    <row r="24" spans="1:18">
      <c r="A24" s="419">
        <v>45954</v>
      </c>
      <c r="B24" s="302" t="s">
        <v>167</v>
      </c>
      <c r="C24" s="177" t="str">
        <f>LEFT(B24,FIND("@",B24)-2)</f>
        <v>San Antonio Spurs</v>
      </c>
      <c r="D24" s="177">
        <v>114</v>
      </c>
      <c r="E24" s="303">
        <v>120</v>
      </c>
      <c r="F24" s="327">
        <f>IF(E24&gt;D24, 1, 0)</f>
        <v>1</v>
      </c>
      <c r="G24" s="302" t="str">
        <f>MID(B24,FIND("@",B24)+2,LEN(B24)-FIND("@",B24)-1)</f>
        <v>New Orleans Pelicans</v>
      </c>
      <c r="H24" s="177">
        <v>108</v>
      </c>
      <c r="I24" s="303">
        <v>116</v>
      </c>
      <c r="J24" s="327">
        <f>IF(I24&gt;H24, 1, 0)</f>
        <v>1</v>
      </c>
      <c r="K24" s="302">
        <f>+D24+H24</f>
        <v>222</v>
      </c>
      <c r="L24" s="303">
        <f>E24+I24</f>
        <v>236</v>
      </c>
      <c r="M24" s="327">
        <f>IF(L24&gt;K24, 1, 0)</f>
        <v>1</v>
      </c>
      <c r="N24" s="325">
        <f>(+H24-D24)</f>
        <v>-6</v>
      </c>
      <c r="O24" s="347">
        <f>I24-E24</f>
        <v>-4</v>
      </c>
      <c r="P24" s="405">
        <f>IF(OR(AND(N24&gt;0,O24&gt;0),AND(N24&lt;0,O24&lt;0)),1,0)</f>
        <v>1</v>
      </c>
      <c r="Q24" s="289">
        <f>WEEKNUM(tblResultadosNBA[[#This Row],[Fecha]],2)</f>
        <v>43</v>
      </c>
      <c r="R24" t="str">
        <f>TEXT(tblResultadosNBA[[#This Row],[Fecha]],"mmm")</f>
        <v>oct</v>
      </c>
    </row>
    <row r="25" spans="1:18">
      <c r="A25" s="419">
        <v>45954</v>
      </c>
      <c r="B25" s="302" t="s">
        <v>676</v>
      </c>
      <c r="C25" s="177" t="str">
        <f>LEFT(B25,FIND("@",B25)-2)</f>
        <v>Washington Wizards</v>
      </c>
      <c r="D25" s="177">
        <v>109</v>
      </c>
      <c r="E25" s="303">
        <v>117</v>
      </c>
      <c r="F25" s="327">
        <f>IF(E25&gt;D25, 1, 0)</f>
        <v>1</v>
      </c>
      <c r="G25" s="302" t="str">
        <f>MID(B25,FIND("@",B25)+2,LEN(B25)-FIND("@",B25)-1)</f>
        <v>Dallas Mavericks</v>
      </c>
      <c r="H25" s="177">
        <v>105</v>
      </c>
      <c r="I25" s="303">
        <v>107</v>
      </c>
      <c r="J25" s="327">
        <f>IF(I25&gt;H25, 1, 0)</f>
        <v>1</v>
      </c>
      <c r="K25" s="302">
        <f>+D25+H25</f>
        <v>214</v>
      </c>
      <c r="L25" s="303">
        <f>E25+I25</f>
        <v>224</v>
      </c>
      <c r="M25" s="327">
        <f>IF(L25&gt;K25, 1, 0)</f>
        <v>1</v>
      </c>
      <c r="N25" s="325">
        <f>(+H25-D25)</f>
        <v>-4</v>
      </c>
      <c r="O25" s="347">
        <f>I25-E25</f>
        <v>-10</v>
      </c>
      <c r="P25" s="405">
        <f>IF(OR(AND(N25&gt;0,O25&gt;0),AND(N25&lt;0,O25&lt;0)),1,0)</f>
        <v>1</v>
      </c>
      <c r="Q25" s="289">
        <f>WEEKNUM(tblResultadosNBA[[#This Row],[Fecha]],2)</f>
        <v>43</v>
      </c>
      <c r="R25" t="str">
        <f>TEXT(tblResultadosNBA[[#This Row],[Fecha]],"mmm")</f>
        <v>oct</v>
      </c>
    </row>
    <row r="26" spans="1:18">
      <c r="A26" s="419">
        <v>45954</v>
      </c>
      <c r="B26" s="302" t="s">
        <v>677</v>
      </c>
      <c r="C26" s="177" t="str">
        <f>LEFT(B26,FIND("@",B26)-2)</f>
        <v>Minnesota Timberwolves</v>
      </c>
      <c r="D26" s="177">
        <v>115</v>
      </c>
      <c r="E26" s="303">
        <v>110</v>
      </c>
      <c r="F26" s="327">
        <f>IF(E26&gt;D26, 1, 0)</f>
        <v>0</v>
      </c>
      <c r="G26" s="302" t="str">
        <f>MID(B26,FIND("@",B26)+2,LEN(B26)-FIND("@",B26)-1)</f>
        <v>Los Angeles Lakers</v>
      </c>
      <c r="H26" s="177">
        <v>119</v>
      </c>
      <c r="I26" s="303">
        <v>128</v>
      </c>
      <c r="J26" s="327">
        <f>IF(I26&gt;H26, 1, 0)</f>
        <v>1</v>
      </c>
      <c r="K26" s="302">
        <f>+D26+H26</f>
        <v>234</v>
      </c>
      <c r="L26" s="303">
        <f>E26+I26</f>
        <v>238</v>
      </c>
      <c r="M26" s="327">
        <f>IF(L26&gt;K26, 1, 0)</f>
        <v>1</v>
      </c>
      <c r="N26" s="325">
        <f>(+H26-D26)</f>
        <v>4</v>
      </c>
      <c r="O26" s="347">
        <f>I26-E26</f>
        <v>18</v>
      </c>
      <c r="P26" s="405">
        <f>IF(OR(AND(N26&gt;0,O26&gt;0),AND(N26&lt;0,O26&lt;0)),1,0)</f>
        <v>1</v>
      </c>
      <c r="Q26" s="289">
        <f>WEEKNUM(tblResultadosNBA[[#This Row],[Fecha]],2)</f>
        <v>43</v>
      </c>
      <c r="R26" t="str">
        <f>TEXT(tblResultadosNBA[[#This Row],[Fecha]],"mmm")</f>
        <v>oct</v>
      </c>
    </row>
    <row r="27" spans="1:18">
      <c r="A27" s="419">
        <v>45954</v>
      </c>
      <c r="B27" s="302" t="s">
        <v>678</v>
      </c>
      <c r="C27" s="177" t="str">
        <f>LEFT(B27,FIND("@",B27)-2)</f>
        <v>Golden State Warriors</v>
      </c>
      <c r="D27" s="177">
        <v>108</v>
      </c>
      <c r="E27" s="303">
        <v>119</v>
      </c>
      <c r="F27" s="327">
        <f>IF(E27&gt;D27, 1, 0)</f>
        <v>1</v>
      </c>
      <c r="G27" s="302" t="str">
        <f>MID(B27,FIND("@",B27)+2,LEN(B27)-FIND("@",B27)-1)</f>
        <v>Portland Trail Blazers</v>
      </c>
      <c r="H27" s="177">
        <v>121</v>
      </c>
      <c r="I27" s="303">
        <v>129</v>
      </c>
      <c r="J27" s="327">
        <f>IF(I27&gt;H27, 1, 0)</f>
        <v>1</v>
      </c>
      <c r="K27" s="302">
        <f>+D27+H27</f>
        <v>229</v>
      </c>
      <c r="L27" s="303">
        <f>E27+I27</f>
        <v>248</v>
      </c>
      <c r="M27" s="327">
        <f>IF(L27&gt;K27, 1, 0)</f>
        <v>1</v>
      </c>
      <c r="N27" s="325">
        <f>(+H27-D27)</f>
        <v>13</v>
      </c>
      <c r="O27" s="347">
        <f>I27-E27</f>
        <v>10</v>
      </c>
      <c r="P27" s="405">
        <f>IF(OR(AND(N27&gt;0,O27&gt;0),AND(N27&lt;0,O27&lt;0)),1,0)</f>
        <v>1</v>
      </c>
      <c r="Q27" s="289">
        <f>WEEKNUM(tblResultadosNBA[[#This Row],[Fecha]],2)</f>
        <v>43</v>
      </c>
      <c r="R27" t="str">
        <f>TEXT(tblResultadosNBA[[#This Row],[Fecha]],"mmm")</f>
        <v>oct</v>
      </c>
    </row>
    <row r="28" spans="1:18">
      <c r="A28" s="419">
        <v>45954</v>
      </c>
      <c r="B28" s="302" t="s">
        <v>474</v>
      </c>
      <c r="C28" s="177" t="str">
        <f>LEFT(B28,FIND("@",B28)-2)</f>
        <v>Utah Jazz</v>
      </c>
      <c r="D28" s="177">
        <v>109</v>
      </c>
      <c r="E28" s="303">
        <v>104</v>
      </c>
      <c r="F28" s="327">
        <f>IF(E28&gt;D28, 1, 0)</f>
        <v>0</v>
      </c>
      <c r="G28" s="302" t="str">
        <f>MID(B28,FIND("@",B28)+2,LEN(B28)-FIND("@",B28)-1)</f>
        <v>Sacramento Kings</v>
      </c>
      <c r="H28" s="177">
        <v>104</v>
      </c>
      <c r="I28" s="303">
        <v>105</v>
      </c>
      <c r="J28" s="327">
        <f>IF(I28&gt;H28, 1, 0)</f>
        <v>1</v>
      </c>
      <c r="K28" s="302">
        <f>+D28+H28</f>
        <v>213</v>
      </c>
      <c r="L28" s="303">
        <f>E28+I28</f>
        <v>209</v>
      </c>
      <c r="M28" s="327">
        <f>IF(L28&gt;K28, 1, 0)</f>
        <v>0</v>
      </c>
      <c r="N28" s="325">
        <f>(+H28-D28)</f>
        <v>-5</v>
      </c>
      <c r="O28" s="347">
        <f>I28-E28</f>
        <v>1</v>
      </c>
      <c r="P28" s="405">
        <f>IF(OR(AND(N28&gt;0,O28&gt;0),AND(N28&lt;0,O28&lt;0)),1,0)</f>
        <v>0</v>
      </c>
      <c r="Q28" s="289">
        <f>WEEKNUM(tblResultadosNBA[[#This Row],[Fecha]],2)</f>
        <v>43</v>
      </c>
      <c r="R28" t="str">
        <f>TEXT(tblResultadosNBA[[#This Row],[Fecha]],"mmm")</f>
        <v>oct</v>
      </c>
    </row>
    <row r="29" spans="1:18">
      <c r="A29" s="445">
        <v>45954</v>
      </c>
      <c r="B29" s="331" t="s">
        <v>679</v>
      </c>
      <c r="C29" s="286" t="str">
        <f>LEFT(B29,FIND("@",B29)-2)</f>
        <v>Phoenix Suns</v>
      </c>
      <c r="D29" s="286">
        <v>111</v>
      </c>
      <c r="E29" s="317">
        <v>102</v>
      </c>
      <c r="F29" s="332">
        <f>IF(E29&gt;D29, 1, 0)</f>
        <v>0</v>
      </c>
      <c r="G29" s="286" t="str">
        <f>MID(B29,FIND("@",B29)+2,LEN(B29)-FIND("@",B29)-1)</f>
        <v>LA Clippers'</v>
      </c>
      <c r="H29" s="286">
        <v>105</v>
      </c>
      <c r="I29" s="317">
        <v>129</v>
      </c>
      <c r="J29" s="332">
        <f>IF(I29&gt;H29, 1, 0)</f>
        <v>1</v>
      </c>
      <c r="K29" s="331">
        <f>+D29+H29</f>
        <v>216</v>
      </c>
      <c r="L29" s="317">
        <f>E29+I29</f>
        <v>231</v>
      </c>
      <c r="M29" s="332">
        <f>IF(L29&gt;K29, 1, 0)</f>
        <v>1</v>
      </c>
      <c r="N29" s="326">
        <f>(+H29-D29)</f>
        <v>-6</v>
      </c>
      <c r="O29" s="348">
        <f>I29-E29</f>
        <v>27</v>
      </c>
      <c r="P29" s="406">
        <f>IF(OR(AND(N29&gt;0,O29&gt;0),AND(N29&lt;0,O29&lt;0)),1,0)</f>
        <v>0</v>
      </c>
      <c r="Q29" s="433">
        <f>WEEKNUM(tblResultadosNBA[[#This Row],[Fecha]],2)</f>
        <v>43</v>
      </c>
      <c r="R29" s="433" t="str">
        <f>TEXT(tblResultadosNBA[[#This Row],[Fecha]],"mmm")</f>
        <v>oct</v>
      </c>
    </row>
    <row r="30" spans="1:18">
      <c r="A30" s="439">
        <v>45955</v>
      </c>
      <c r="B30" s="302" t="s">
        <v>130</v>
      </c>
      <c r="C30" s="177" t="str">
        <f>LEFT(B30,FIND("@",B30)-2)</f>
        <v>Chicago Bulls</v>
      </c>
      <c r="D30" s="177">
        <v>106</v>
      </c>
      <c r="E30" s="303">
        <v>110</v>
      </c>
      <c r="F30" s="327">
        <f>IF(E30&gt;D30, 1, 0)</f>
        <v>1</v>
      </c>
      <c r="G30" s="302" t="str">
        <f>MID(B30,FIND("@",B30)+2,LEN(B30)-FIND("@",B30)-1)</f>
        <v>Orlando Magic</v>
      </c>
      <c r="H30" s="177">
        <v>119</v>
      </c>
      <c r="I30" s="319">
        <v>98</v>
      </c>
      <c r="J30" s="327">
        <f>IF(I30&gt;H30, 1, 0)</f>
        <v>0</v>
      </c>
      <c r="K30" s="302">
        <f>+D30+H30</f>
        <v>225</v>
      </c>
      <c r="L30" s="303">
        <f>E30+I30</f>
        <v>208</v>
      </c>
      <c r="M30" s="327">
        <f>IF(L30&gt;K30, 1, 0)</f>
        <v>0</v>
      </c>
      <c r="N30" s="325">
        <f>(+H30-D30)</f>
        <v>13</v>
      </c>
      <c r="O30" s="347">
        <f>I30-E30</f>
        <v>-12</v>
      </c>
      <c r="P30" s="407">
        <f>IF(OR(AND(N30&gt;0,O30&gt;0),AND(N30&lt;0,O30&lt;0)),1,0)</f>
        <v>0</v>
      </c>
      <c r="Q30" s="289">
        <f>WEEKNUM(tblResultadosNBA[[#This Row],[Fecha]],2)</f>
        <v>43</v>
      </c>
      <c r="R30" t="str">
        <f>TEXT(tblResultadosNBA[[#This Row],[Fecha]],"mmm")</f>
        <v>oct</v>
      </c>
    </row>
    <row r="31" spans="1:18">
      <c r="A31" s="419">
        <v>45955</v>
      </c>
      <c r="B31" s="302" t="s">
        <v>680</v>
      </c>
      <c r="C31" s="177" t="str">
        <f>LEFT(B31,FIND("@",B31)-2)</f>
        <v>Oklahoma City Thunder</v>
      </c>
      <c r="D31" s="177">
        <v>110</v>
      </c>
      <c r="E31" s="303">
        <v>117</v>
      </c>
      <c r="F31" s="327">
        <f>IF(E31&gt;D31, 1, 0)</f>
        <v>1</v>
      </c>
      <c r="G31" s="302" t="str">
        <f>MID(B31,FIND("@",B31)+2,LEN(B31)-FIND("@",B31)-1)</f>
        <v>Atlanta Hawks</v>
      </c>
      <c r="H31" s="177">
        <v>119</v>
      </c>
      <c r="I31" s="303">
        <v>100</v>
      </c>
      <c r="J31" s="327">
        <f>IF(I31&gt;H31, 1, 0)</f>
        <v>0</v>
      </c>
      <c r="K31" s="302">
        <f>+D31+H31</f>
        <v>229</v>
      </c>
      <c r="L31" s="303">
        <f>E31+I31</f>
        <v>217</v>
      </c>
      <c r="M31" s="327">
        <f>IF(L31&gt;K31, 1, 0)</f>
        <v>0</v>
      </c>
      <c r="N31" s="325">
        <f>(+H31-D31)</f>
        <v>9</v>
      </c>
      <c r="O31" s="347">
        <f>I31-E31</f>
        <v>-17</v>
      </c>
      <c r="P31" s="405">
        <f>IF(OR(AND(N31&gt;0,O31&gt;0),AND(N31&lt;0,O31&lt;0)),1,0)</f>
        <v>0</v>
      </c>
      <c r="Q31" s="289">
        <f>WEEKNUM(tblResultadosNBA[[#This Row],[Fecha]],2)</f>
        <v>43</v>
      </c>
      <c r="R31" t="str">
        <f>TEXT(tblResultadosNBA[[#This Row],[Fecha]],"mmm")</f>
        <v>oct</v>
      </c>
    </row>
    <row r="32" spans="1:18">
      <c r="A32" s="419">
        <v>45955</v>
      </c>
      <c r="B32" s="302" t="s">
        <v>681</v>
      </c>
      <c r="C32" s="177" t="str">
        <f>LEFT(B32,FIND("@",B32)-2)</f>
        <v>Charlotte Hornets</v>
      </c>
      <c r="D32" s="177">
        <v>116</v>
      </c>
      <c r="E32" s="303">
        <v>121</v>
      </c>
      <c r="F32" s="327">
        <f>IF(E32&gt;D32, 1, 0)</f>
        <v>1</v>
      </c>
      <c r="G32" s="302" t="str">
        <f>MID(B32,FIND("@",B32)+2,LEN(B32)-FIND("@",B32)-1)</f>
        <v>Philadelphia 76ers</v>
      </c>
      <c r="H32" s="177">
        <v>121</v>
      </c>
      <c r="I32" s="303">
        <v>125</v>
      </c>
      <c r="J32" s="327">
        <f>IF(I32&gt;H32, 1, 0)</f>
        <v>1</v>
      </c>
      <c r="K32" s="302">
        <f>+D32+H32</f>
        <v>237</v>
      </c>
      <c r="L32" s="303">
        <f>E32+I32</f>
        <v>246</v>
      </c>
      <c r="M32" s="327">
        <f>IF(L32&gt;K32, 1, 0)</f>
        <v>1</v>
      </c>
      <c r="N32" s="325">
        <f>(+H32-D32)</f>
        <v>5</v>
      </c>
      <c r="O32" s="347">
        <f>I32-E32</f>
        <v>4</v>
      </c>
      <c r="P32" s="405">
        <f>IF(OR(AND(N32&gt;0,O32&gt;0),AND(N32&lt;0,O32&lt;0)),1,0)</f>
        <v>1</v>
      </c>
      <c r="Q32" s="289">
        <f>WEEKNUM(tblResultadosNBA[[#This Row],[Fecha]],2)</f>
        <v>43</v>
      </c>
      <c r="R32" t="str">
        <f>TEXT(tblResultadosNBA[[#This Row],[Fecha]],"mmm")</f>
        <v>oct</v>
      </c>
    </row>
    <row r="33" spans="1:18">
      <c r="A33" s="419">
        <v>45955</v>
      </c>
      <c r="B33" s="302" t="s">
        <v>682</v>
      </c>
      <c r="C33" s="177" t="str">
        <f>LEFT(B33,FIND("@",B33)-2)</f>
        <v>Indiana Pacers</v>
      </c>
      <c r="D33" s="177">
        <v>120</v>
      </c>
      <c r="E33" s="303">
        <v>103</v>
      </c>
      <c r="F33" s="327">
        <f>IF(E33&gt;D33, 1, 0)</f>
        <v>0</v>
      </c>
      <c r="G33" s="302" t="str">
        <f>MID(B33,FIND("@",B33)+2,LEN(B33)-FIND("@",B33)-1)</f>
        <v>Memphis Grizzlies</v>
      </c>
      <c r="H33" s="177">
        <v>110</v>
      </c>
      <c r="I33" s="303">
        <v>128</v>
      </c>
      <c r="J33" s="327">
        <f>IF(I33&gt;H33, 1, 0)</f>
        <v>1</v>
      </c>
      <c r="K33" s="302">
        <f>+D33+H33</f>
        <v>230</v>
      </c>
      <c r="L33" s="303">
        <f>E33+I33</f>
        <v>231</v>
      </c>
      <c r="M33" s="327">
        <f>IF(L33&gt;K33, 1, 0)</f>
        <v>1</v>
      </c>
      <c r="N33" s="325">
        <f>(+H33-D33)</f>
        <v>-10</v>
      </c>
      <c r="O33" s="347">
        <f>I33-E33</f>
        <v>25</v>
      </c>
      <c r="P33" s="405">
        <f>IF(OR(AND(N33&gt;0,O33&gt;0),AND(N33&lt;0,O33&lt;0)),1,0)</f>
        <v>0</v>
      </c>
      <c r="Q33" s="289">
        <f>WEEKNUM(tblResultadosNBA[[#This Row],[Fecha]],2)</f>
        <v>43</v>
      </c>
      <c r="R33" t="str">
        <f>TEXT(tblResultadosNBA[[#This Row],[Fecha]],"mmm")</f>
        <v>oct</v>
      </c>
    </row>
    <row r="34" spans="1:18">
      <c r="A34" s="445">
        <v>45955</v>
      </c>
      <c r="B34" s="328" t="s">
        <v>683</v>
      </c>
      <c r="C34" s="299" t="str">
        <f>LEFT(B34,FIND("@",B34)-2)</f>
        <v>Phoenix Suns</v>
      </c>
      <c r="D34" s="299">
        <v>111</v>
      </c>
      <c r="E34" s="318">
        <v>111</v>
      </c>
      <c r="F34" s="334">
        <f>IF(E34&gt;D34, 1, 0)</f>
        <v>0</v>
      </c>
      <c r="G34" s="299" t="str">
        <f>MID(B34,FIND("@",B34)+2,LEN(B34)-FIND("@",B34)-1)</f>
        <v>Denver Nuggets</v>
      </c>
      <c r="H34" s="299">
        <v>120</v>
      </c>
      <c r="I34" s="318">
        <v>133</v>
      </c>
      <c r="J34" s="334">
        <f>IF(I34&gt;H34, 1, 0)</f>
        <v>1</v>
      </c>
      <c r="K34" s="328">
        <f>+D34+H34</f>
        <v>231</v>
      </c>
      <c r="L34" s="318">
        <f>E34+I34</f>
        <v>244</v>
      </c>
      <c r="M34" s="334">
        <f>IF(L34&gt;K34, 1, 0)</f>
        <v>1</v>
      </c>
      <c r="N34" s="335">
        <f>(+H34-D34)</f>
        <v>9</v>
      </c>
      <c r="O34" s="345">
        <f>I34-E34</f>
        <v>22</v>
      </c>
      <c r="P34" s="406">
        <f>IF(OR(AND(N34&gt;0,O34&gt;0),AND(N34&lt;0,O34&lt;0)),1,0)</f>
        <v>1</v>
      </c>
      <c r="Q34" s="433">
        <f>WEEKNUM(tblResultadosNBA[[#This Row],[Fecha]],2)</f>
        <v>43</v>
      </c>
      <c r="R34" s="433" t="str">
        <f>TEXT(tblResultadosNBA[[#This Row],[Fecha]],"mmm")</f>
        <v>oct</v>
      </c>
    </row>
    <row r="35" spans="1:18">
      <c r="A35" s="439">
        <v>45956</v>
      </c>
      <c r="B35" s="330" t="s">
        <v>684</v>
      </c>
      <c r="C35" s="312" t="str">
        <f>LEFT(B35,FIND("@",B35)-2)</f>
        <v>Brooklyn Nets</v>
      </c>
      <c r="D35" s="312">
        <v>114</v>
      </c>
      <c r="E35" s="338">
        <v>107</v>
      </c>
      <c r="F35" s="339">
        <f>IF(E35&gt;D35, 1, 0)</f>
        <v>0</v>
      </c>
      <c r="G35" s="330" t="str">
        <f>MID(B35,FIND("@",B35)+2,LEN(B35)-FIND("@",B35)-1)</f>
        <v>San Antonio Spurs</v>
      </c>
      <c r="H35" s="312">
        <v>108</v>
      </c>
      <c r="I35" s="338">
        <v>118</v>
      </c>
      <c r="J35" s="339">
        <f>IF(I35&gt;H35, 1, 0)</f>
        <v>1</v>
      </c>
      <c r="K35" s="330">
        <f>+D35+H35</f>
        <v>222</v>
      </c>
      <c r="L35" s="338">
        <f>E35+I35</f>
        <v>225</v>
      </c>
      <c r="M35" s="339">
        <f>IF(L35&gt;K35, 1, 0)</f>
        <v>1</v>
      </c>
      <c r="N35" s="340">
        <f>(+H35-D35)</f>
        <v>-6</v>
      </c>
      <c r="O35" s="346">
        <f>I35-E35</f>
        <v>11</v>
      </c>
      <c r="P35" s="407">
        <f>IF(OR(AND(N35&gt;0,O35&gt;0),AND(N35&lt;0,O35&lt;0)),1,0)</f>
        <v>0</v>
      </c>
      <c r="Q35" s="289">
        <f>WEEKNUM(tblResultadosNBA[[#This Row],[Fecha]],2)</f>
        <v>43</v>
      </c>
      <c r="R35" t="str">
        <f>TEXT(tblResultadosNBA[[#This Row],[Fecha]],"mmm")</f>
        <v>oct</v>
      </c>
    </row>
    <row r="36" spans="1:18">
      <c r="A36" s="419">
        <v>45956</v>
      </c>
      <c r="B36" s="328" t="s">
        <v>283</v>
      </c>
      <c r="C36" s="299" t="str">
        <f>LEFT(B36,FIND("@",B36)-2)</f>
        <v>Boston Celtics</v>
      </c>
      <c r="D36" s="299">
        <v>108</v>
      </c>
      <c r="E36" s="318">
        <v>113</v>
      </c>
      <c r="F36" s="334">
        <f>IF(E36&gt;D36, 1, 0)</f>
        <v>1</v>
      </c>
      <c r="G36" s="328" t="str">
        <f>MID(B36,FIND("@",B36)+2,LEN(B36)-FIND("@",B36)-1)</f>
        <v>Detroit Pistons</v>
      </c>
      <c r="H36" s="299">
        <v>102</v>
      </c>
      <c r="I36" s="318">
        <v>119</v>
      </c>
      <c r="J36" s="334">
        <f>IF(I36&gt;H36, 1, 0)</f>
        <v>1</v>
      </c>
      <c r="K36" s="328">
        <f>+D36+H36</f>
        <v>210</v>
      </c>
      <c r="L36" s="318">
        <f>E36+I36</f>
        <v>232</v>
      </c>
      <c r="M36" s="334">
        <f>IF(L36&gt;K36, 1, 0)</f>
        <v>1</v>
      </c>
      <c r="N36" s="335">
        <f>(+H36-D36)</f>
        <v>-6</v>
      </c>
      <c r="O36" s="345">
        <f>I36-E36</f>
        <v>6</v>
      </c>
      <c r="P36" s="405">
        <f>IF(OR(AND(N36&gt;0,O36&gt;0),AND(N36&lt;0,O36&lt;0)),1,0)</f>
        <v>0</v>
      </c>
      <c r="Q36" s="289">
        <f>WEEKNUM(tblResultadosNBA[[#This Row],[Fecha]],2)</f>
        <v>43</v>
      </c>
      <c r="R36" t="str">
        <f>TEXT(tblResultadosNBA[[#This Row],[Fecha]],"mmm")</f>
        <v>oct</v>
      </c>
    </row>
    <row r="37" spans="1:18">
      <c r="A37" s="419">
        <v>45956</v>
      </c>
      <c r="B37" s="328" t="s">
        <v>70</v>
      </c>
      <c r="C37" s="299" t="str">
        <f>LEFT(B37,FIND("@",B37)-2)</f>
        <v>Milwaukee Bucks</v>
      </c>
      <c r="D37" s="299">
        <v>103</v>
      </c>
      <c r="E37" s="318">
        <v>113</v>
      </c>
      <c r="F37" s="334">
        <f>IF(E37&gt;D37, 1, 0)</f>
        <v>1</v>
      </c>
      <c r="G37" s="328" t="str">
        <f>MID(B37,FIND("@",B37)+2,LEN(B37)-FIND("@",B37)-1)</f>
        <v>Cleveland Cavaliers</v>
      </c>
      <c r="H37" s="299">
        <v>115</v>
      </c>
      <c r="I37" s="318">
        <v>118</v>
      </c>
      <c r="J37" s="334">
        <f>IF(I37&gt;H37, 1, 0)</f>
        <v>1</v>
      </c>
      <c r="K37" s="328">
        <f>+D37+H37</f>
        <v>218</v>
      </c>
      <c r="L37" s="318">
        <f>E37+I37</f>
        <v>231</v>
      </c>
      <c r="M37" s="334">
        <f>IF(L37&gt;K37, 1, 0)</f>
        <v>1</v>
      </c>
      <c r="N37" s="335">
        <f>(+H37-D37)</f>
        <v>12</v>
      </c>
      <c r="O37" s="345">
        <f>I37-E37</f>
        <v>5</v>
      </c>
      <c r="P37" s="405">
        <f>IF(OR(AND(N37&gt;0,O37&gt;0),AND(N37&lt;0,O37&lt;0)),1,0)</f>
        <v>1</v>
      </c>
      <c r="Q37" s="289">
        <f>WEEKNUM(tblResultadosNBA[[#This Row],[Fecha]],2)</f>
        <v>43</v>
      </c>
      <c r="R37" t="str">
        <f>TEXT(tblResultadosNBA[[#This Row],[Fecha]],"mmm")</f>
        <v>oct</v>
      </c>
    </row>
    <row r="38" spans="1:18">
      <c r="A38" s="419">
        <v>45956</v>
      </c>
      <c r="B38" s="328" t="s">
        <v>685</v>
      </c>
      <c r="C38" s="299" t="str">
        <f>LEFT(B38,FIND("@",B38)-2)</f>
        <v>New York Knicks</v>
      </c>
      <c r="D38" s="299">
        <v>119</v>
      </c>
      <c r="E38" s="318">
        <v>107</v>
      </c>
      <c r="F38" s="334">
        <f>IF(E38&gt;D38, 1, 0)</f>
        <v>0</v>
      </c>
      <c r="G38" s="328" t="str">
        <f>MID(B38,FIND("@",B38)+2,LEN(B38)-FIND("@",B38)-1)</f>
        <v>Miami Heat</v>
      </c>
      <c r="H38" s="299">
        <v>104</v>
      </c>
      <c r="I38" s="318">
        <v>115</v>
      </c>
      <c r="J38" s="334">
        <f>IF(I38&gt;H38, 1, 0)</f>
        <v>1</v>
      </c>
      <c r="K38" s="328">
        <f>+D38+H38</f>
        <v>223</v>
      </c>
      <c r="L38" s="318">
        <f>E38+I38</f>
        <v>222</v>
      </c>
      <c r="M38" s="334">
        <f>IF(L38&gt;K38, 1, 0)</f>
        <v>0</v>
      </c>
      <c r="N38" s="335">
        <f>(+H38-D38)</f>
        <v>-15</v>
      </c>
      <c r="O38" s="345">
        <f>I38-E38</f>
        <v>8</v>
      </c>
      <c r="P38" s="405">
        <f>IF(OR(AND(N38&gt;0,O38&gt;0),AND(N38&lt;0,O38&lt;0)),1,0)</f>
        <v>0</v>
      </c>
      <c r="Q38" s="289">
        <f>WEEKNUM(tblResultadosNBA[[#This Row],[Fecha]],2)</f>
        <v>43</v>
      </c>
      <c r="R38" t="str">
        <f>TEXT(tblResultadosNBA[[#This Row],[Fecha]],"mmm")</f>
        <v>oct</v>
      </c>
    </row>
    <row r="39" spans="1:18">
      <c r="A39" s="419">
        <v>45956</v>
      </c>
      <c r="B39" s="328" t="s">
        <v>686</v>
      </c>
      <c r="C39" s="299" t="str">
        <f>LEFT(B39,FIND("@",B39)-2)</f>
        <v>Charlotte Hornets</v>
      </c>
      <c r="D39" s="299">
        <v>106</v>
      </c>
      <c r="E39" s="318">
        <v>139</v>
      </c>
      <c r="F39" s="334">
        <f>IF(E39&gt;D39, 1, 0)</f>
        <v>1</v>
      </c>
      <c r="G39" s="328" t="str">
        <f>MID(B39,FIND("@",B39)+2,LEN(B39)-FIND("@",B39)-1)</f>
        <v>Washington Wizards</v>
      </c>
      <c r="H39" s="299">
        <v>110</v>
      </c>
      <c r="I39" s="318">
        <v>113</v>
      </c>
      <c r="J39" s="334">
        <f>IF(I39&gt;H39, 1, 0)</f>
        <v>1</v>
      </c>
      <c r="K39" s="328">
        <f>+D39+H39</f>
        <v>216</v>
      </c>
      <c r="L39" s="318">
        <f>E39+I39</f>
        <v>252</v>
      </c>
      <c r="M39" s="334">
        <f>IF(L39&gt;K39, 1, 0)</f>
        <v>1</v>
      </c>
      <c r="N39" s="335">
        <f>(+H39-D39)</f>
        <v>4</v>
      </c>
      <c r="O39" s="345">
        <f>I39-E39</f>
        <v>-26</v>
      </c>
      <c r="P39" s="405">
        <f>IF(OR(AND(N39&gt;0,O39&gt;0),AND(N39&lt;0,O39&lt;0)),1,0)</f>
        <v>0</v>
      </c>
      <c r="Q39" s="289">
        <f>WEEKNUM(tblResultadosNBA[[#This Row],[Fecha]],2)</f>
        <v>43</v>
      </c>
      <c r="R39" t="str">
        <f>TEXT(tblResultadosNBA[[#This Row],[Fecha]],"mmm")</f>
        <v>oct</v>
      </c>
    </row>
    <row r="40" spans="1:18">
      <c r="A40" s="419">
        <v>45956</v>
      </c>
      <c r="B40" s="328" t="s">
        <v>687</v>
      </c>
      <c r="C40" s="299" t="str">
        <f>LEFT(B40,FIND("@",B40)-2)</f>
        <v>Indiana Pacers</v>
      </c>
      <c r="D40" s="299">
        <v>112</v>
      </c>
      <c r="E40" s="318">
        <v>110</v>
      </c>
      <c r="F40" s="334">
        <f>IF(E40&gt;D40, 1, 0)</f>
        <v>0</v>
      </c>
      <c r="G40" s="328" t="str">
        <f>MID(B40,FIND("@",B40)+2,LEN(B40)-FIND("@",B40)-1)</f>
        <v>Minnesota Timberwolves</v>
      </c>
      <c r="H40" s="299">
        <v>110</v>
      </c>
      <c r="I40" s="318">
        <v>114</v>
      </c>
      <c r="J40" s="334">
        <f>IF(I40&gt;H40, 1, 0)</f>
        <v>1</v>
      </c>
      <c r="K40" s="328">
        <f>+D40+H40</f>
        <v>222</v>
      </c>
      <c r="L40" s="318">
        <f>E40+I40</f>
        <v>224</v>
      </c>
      <c r="M40" s="334">
        <f>IF(L40&gt;K40, 1, 0)</f>
        <v>1</v>
      </c>
      <c r="N40" s="335">
        <f>(+H40-D40)</f>
        <v>-2</v>
      </c>
      <c r="O40" s="345">
        <f>I40-E40</f>
        <v>4</v>
      </c>
      <c r="P40" s="405">
        <f>IF(OR(AND(N40&gt;0,O40&gt;0),AND(N40&lt;0,O40&lt;0)),1,0)</f>
        <v>0</v>
      </c>
      <c r="Q40" s="289">
        <f>WEEKNUM(tblResultadosNBA[[#This Row],[Fecha]],2)</f>
        <v>43</v>
      </c>
      <c r="R40" t="str">
        <f>TEXT(tblResultadosNBA[[#This Row],[Fecha]],"mmm")</f>
        <v>oct</v>
      </c>
    </row>
    <row r="41" spans="1:18">
      <c r="A41" s="419">
        <v>45956</v>
      </c>
      <c r="B41" s="328" t="s">
        <v>688</v>
      </c>
      <c r="C41" s="299" t="str">
        <f>LEFT(B41,FIND("@",B41)-2)</f>
        <v>Toronto Raptors</v>
      </c>
      <c r="D41" s="299">
        <v>98</v>
      </c>
      <c r="E41" s="318">
        <v>129</v>
      </c>
      <c r="F41" s="334">
        <f>IF(E41&gt;D41, 1, 0)</f>
        <v>1</v>
      </c>
      <c r="G41" s="328" t="str">
        <f>MID(B41,FIND("@",B41)+2,LEN(B41)-FIND("@",B41)-1)</f>
        <v>Dallas Mavericks</v>
      </c>
      <c r="H41" s="299">
        <v>108</v>
      </c>
      <c r="I41" s="318">
        <v>139</v>
      </c>
      <c r="J41" s="334">
        <f>IF(I41&gt;H41, 1, 0)</f>
        <v>1</v>
      </c>
      <c r="K41" s="328">
        <f>+D41+H41</f>
        <v>206</v>
      </c>
      <c r="L41" s="318">
        <f>E41+I41</f>
        <v>268</v>
      </c>
      <c r="M41" s="334">
        <f>IF(L41&gt;K41, 1, 0)</f>
        <v>1</v>
      </c>
      <c r="N41" s="335">
        <f>(+H41-D41)</f>
        <v>10</v>
      </c>
      <c r="O41" s="345">
        <f>I41-E41</f>
        <v>10</v>
      </c>
      <c r="P41" s="405">
        <f>IF(OR(AND(N41&gt;0,O41&gt;0),AND(N41&lt;0,O41&lt;0)),1,0)</f>
        <v>1</v>
      </c>
      <c r="Q41" s="289">
        <f>WEEKNUM(tblResultadosNBA[[#This Row],[Fecha]],2)</f>
        <v>43</v>
      </c>
      <c r="R41" t="str">
        <f>TEXT(tblResultadosNBA[[#This Row],[Fecha]],"mmm")</f>
        <v>oct</v>
      </c>
    </row>
    <row r="42" spans="1:18">
      <c r="A42" s="419">
        <v>45956</v>
      </c>
      <c r="B42" s="328" t="s">
        <v>689</v>
      </c>
      <c r="C42" s="299" t="str">
        <f>LEFT(B42,FIND("@",B42)-2)</f>
        <v>Portland Trail Blazers</v>
      </c>
      <c r="D42" s="299">
        <v>122</v>
      </c>
      <c r="E42" s="318">
        <v>107</v>
      </c>
      <c r="F42" s="334">
        <f>IF(E42&gt;D42, 1, 0)</f>
        <v>0</v>
      </c>
      <c r="G42" s="328" t="str">
        <f>MID(B42,FIND("@",B42)+2,LEN(B42)-FIND("@",B42)-1)</f>
        <v>LA Clippers</v>
      </c>
      <c r="H42" s="299">
        <v>112</v>
      </c>
      <c r="I42" s="318">
        <v>114</v>
      </c>
      <c r="J42" s="334">
        <f>IF(I42&gt;H42, 1, 0)</f>
        <v>1</v>
      </c>
      <c r="K42" s="328">
        <f>+D42+H42</f>
        <v>234</v>
      </c>
      <c r="L42" s="318">
        <f>E42+I42</f>
        <v>221</v>
      </c>
      <c r="M42" s="334">
        <f>IF(L42&gt;K42, 1, 0)</f>
        <v>0</v>
      </c>
      <c r="N42" s="335">
        <f>(+H42-D42)</f>
        <v>-10</v>
      </c>
      <c r="O42" s="345">
        <f>I42-E42</f>
        <v>7</v>
      </c>
      <c r="P42" s="405">
        <f>IF(OR(AND(N42&gt;0,O42&gt;0),AND(N42&lt;0,O42&lt;0)),1,0)</f>
        <v>0</v>
      </c>
      <c r="Q42" s="289">
        <f>WEEKNUM(tblResultadosNBA[[#This Row],[Fecha]],2)</f>
        <v>43</v>
      </c>
      <c r="R42" t="str">
        <f>TEXT(tblResultadosNBA[[#This Row],[Fecha]],"mmm")</f>
        <v>oct</v>
      </c>
    </row>
    <row r="43" spans="1:18">
      <c r="A43" s="445">
        <v>45956</v>
      </c>
      <c r="B43" s="331" t="s">
        <v>690</v>
      </c>
      <c r="C43" s="286" t="str">
        <f>LEFT(B43,FIND("@",B43)-2)</f>
        <v>Los Angeles Lakers</v>
      </c>
      <c r="D43" s="286">
        <v>100</v>
      </c>
      <c r="E43" s="317">
        <v>127</v>
      </c>
      <c r="F43" s="332">
        <f>IF(E43&gt;D43, 1, 0)</f>
        <v>1</v>
      </c>
      <c r="G43" s="331" t="str">
        <f>MID(B43,FIND("@",B43)+2,LEN(B43)-FIND("@",B43)-1)</f>
        <v>Sacramento Kings</v>
      </c>
      <c r="H43" s="286">
        <v>103</v>
      </c>
      <c r="I43" s="317">
        <v>120</v>
      </c>
      <c r="J43" s="332">
        <f>IF(I43&gt;H43, 1, 0)</f>
        <v>1</v>
      </c>
      <c r="K43" s="331">
        <f>+D43+H43</f>
        <v>203</v>
      </c>
      <c r="L43" s="317">
        <f>E43+I43</f>
        <v>247</v>
      </c>
      <c r="M43" s="332">
        <f>IF(L43&gt;K43, 1, 0)</f>
        <v>1</v>
      </c>
      <c r="N43" s="326">
        <f>(+H43-D43)</f>
        <v>3</v>
      </c>
      <c r="O43" s="348">
        <f>I43-E43</f>
        <v>-7</v>
      </c>
      <c r="P43" s="406">
        <f>IF(OR(AND(N43&gt;0,O43&gt;0),AND(N43&lt;0,O43&lt;0)),1,0)</f>
        <v>0</v>
      </c>
      <c r="Q43" s="433">
        <f>WEEKNUM(tblResultadosNBA[[#This Row],[Fecha]],2)</f>
        <v>43</v>
      </c>
      <c r="R43" s="433" t="str">
        <f>TEXT(tblResultadosNBA[[#This Row],[Fecha]],"mmm")</f>
        <v>oct</v>
      </c>
    </row>
    <row r="44" spans="1:18">
      <c r="A44" s="439">
        <v>45957</v>
      </c>
      <c r="B44" s="422" t="s">
        <v>408</v>
      </c>
      <c r="C44" s="341" t="str">
        <f>LEFT(B44,FIND("@",B44)-2)</f>
        <v>Cleveland Cavaliers</v>
      </c>
      <c r="D44" s="341">
        <v>101</v>
      </c>
      <c r="E44" s="342">
        <v>116</v>
      </c>
      <c r="F44" s="333">
        <f>IF(E44&gt;D44, 1, 0)</f>
        <v>1</v>
      </c>
      <c r="G44" s="341" t="str">
        <f>MID(B44,FIND("@",B44)+2,LEN(B44)-FIND("@",B44)-1)</f>
        <v>Detroit Pistons</v>
      </c>
      <c r="H44" s="341">
        <v>115</v>
      </c>
      <c r="I44" s="342">
        <v>95</v>
      </c>
      <c r="J44" s="333">
        <f>IF(I44&gt;H44, 1, 0)</f>
        <v>0</v>
      </c>
      <c r="K44" s="341">
        <f>+D44+H44</f>
        <v>216</v>
      </c>
      <c r="L44" s="342">
        <f>E44+I44</f>
        <v>211</v>
      </c>
      <c r="M44" s="333">
        <f>IF(L44&gt;K44, 1, 0)</f>
        <v>0</v>
      </c>
      <c r="N44" s="343">
        <f>(+H44-D44)</f>
        <v>14</v>
      </c>
      <c r="O44" s="349">
        <f>I44-E44</f>
        <v>-21</v>
      </c>
      <c r="P44" s="407">
        <f>IF(OR(AND(N44&gt;0,O44&gt;0),AND(N44&lt;0,O44&lt;0)),1,0)</f>
        <v>0</v>
      </c>
      <c r="Q44" s="289">
        <f>WEEKNUM(tblResultadosNBA[[#This Row],[Fecha]],2)</f>
        <v>44</v>
      </c>
      <c r="R44" t="str">
        <f>TEXT(tblResultadosNBA[[#This Row],[Fecha]],"mmm")</f>
        <v>oct</v>
      </c>
    </row>
    <row r="45" spans="1:18">
      <c r="A45" s="419">
        <v>45957</v>
      </c>
      <c r="B45" s="302" t="s">
        <v>103</v>
      </c>
      <c r="C45" s="177" t="str">
        <f>LEFT(B45,FIND("@",B45)-2)</f>
        <v>Orlando Magic</v>
      </c>
      <c r="D45" s="177">
        <v>100</v>
      </c>
      <c r="E45" s="336">
        <v>124</v>
      </c>
      <c r="F45" s="327">
        <f>IF(E45&gt;D45, 1, 0)</f>
        <v>1</v>
      </c>
      <c r="G45" s="177" t="str">
        <f>MID(B45,FIND("@",B45)+2,LEN(B45)-FIND("@",B45)-1)</f>
        <v>Philadelphia 76ers</v>
      </c>
      <c r="H45" s="177">
        <v>110</v>
      </c>
      <c r="I45" s="336">
        <v>136</v>
      </c>
      <c r="J45" s="327">
        <f>IF(I45&gt;H45, 1, 0)</f>
        <v>1</v>
      </c>
      <c r="K45" s="177">
        <f>+D45+H45</f>
        <v>210</v>
      </c>
      <c r="L45" s="336">
        <f>E45+I45</f>
        <v>260</v>
      </c>
      <c r="M45" s="327">
        <f>IF(L45&gt;K45, 1, 0)</f>
        <v>1</v>
      </c>
      <c r="N45" s="337">
        <f>(+H45-D45)</f>
        <v>10</v>
      </c>
      <c r="O45" s="350">
        <f>I45-E45</f>
        <v>12</v>
      </c>
      <c r="P45" s="405">
        <f>IF(OR(AND(N45&gt;0,O45&gt;0),AND(N45&lt;0,O45&lt;0)),1,0)</f>
        <v>1</v>
      </c>
      <c r="Q45" s="289">
        <f>WEEKNUM(tblResultadosNBA[[#This Row],[Fecha]],2)</f>
        <v>44</v>
      </c>
      <c r="R45" t="str">
        <f>TEXT(tblResultadosNBA[[#This Row],[Fecha]],"mmm")</f>
        <v>oct</v>
      </c>
    </row>
    <row r="46" spans="1:18">
      <c r="A46" s="419">
        <v>45957</v>
      </c>
      <c r="B46" s="302" t="s">
        <v>691</v>
      </c>
      <c r="C46" s="177" t="str">
        <f>LEFT(B46,FIND("@",B46)-2)</f>
        <v>Atlanta Hawks</v>
      </c>
      <c r="D46" s="177">
        <v>123</v>
      </c>
      <c r="E46" s="336">
        <v>123</v>
      </c>
      <c r="F46" s="327">
        <f>IF(E46&gt;D46, 1, 0)</f>
        <v>0</v>
      </c>
      <c r="G46" s="177" t="str">
        <f>MID(B46,FIND("@",B46)+2,LEN(B46)-FIND("@",B46)-1)</f>
        <v>Chicago Bulls</v>
      </c>
      <c r="H46" s="177">
        <v>118</v>
      </c>
      <c r="I46" s="336">
        <v>128</v>
      </c>
      <c r="J46" s="327">
        <f>IF(I46&gt;H46, 1, 0)</f>
        <v>1</v>
      </c>
      <c r="K46" s="177">
        <f>+D46+H46</f>
        <v>241</v>
      </c>
      <c r="L46" s="336">
        <f>E46+I46</f>
        <v>251</v>
      </c>
      <c r="M46" s="327">
        <f>IF(L46&gt;K46, 1, 0)</f>
        <v>1</v>
      </c>
      <c r="N46" s="337">
        <f>(+H46-D46)</f>
        <v>-5</v>
      </c>
      <c r="O46" s="350">
        <f>I46-E46</f>
        <v>5</v>
      </c>
      <c r="P46" s="405">
        <f>IF(OR(AND(N46&gt;0,O46&gt;0),AND(N46&lt;0,O46&lt;0)),1,0)</f>
        <v>0</v>
      </c>
      <c r="Q46" s="289">
        <f>WEEKNUM(tblResultadosNBA[[#This Row],[Fecha]],2)</f>
        <v>44</v>
      </c>
      <c r="R46" t="str">
        <f>TEXT(tblResultadosNBA[[#This Row],[Fecha]],"mmm")</f>
        <v>oct</v>
      </c>
    </row>
    <row r="47" spans="1:18">
      <c r="A47" s="419">
        <v>45957</v>
      </c>
      <c r="B47" s="302" t="s">
        <v>692</v>
      </c>
      <c r="C47" s="177" t="str">
        <f>LEFT(B47,FIND("@",B47)-2)</f>
        <v>Brooklyn Nets</v>
      </c>
      <c r="D47" s="177">
        <v>115</v>
      </c>
      <c r="E47" s="336">
        <v>109</v>
      </c>
      <c r="F47" s="327">
        <f>IF(E47&gt;D47, 1, 0)</f>
        <v>0</v>
      </c>
      <c r="G47" s="177" t="str">
        <f>MID(B47,FIND("@",B47)+2,LEN(B47)-FIND("@",B47)-1)</f>
        <v>Houston Rockets</v>
      </c>
      <c r="H47" s="177">
        <v>113</v>
      </c>
      <c r="I47" s="336">
        <v>137</v>
      </c>
      <c r="J47" s="327">
        <f>IF(I47&gt;H47, 1, 0)</f>
        <v>1</v>
      </c>
      <c r="K47" s="177">
        <f>+D47+H47</f>
        <v>228</v>
      </c>
      <c r="L47" s="336">
        <f>E47+I47</f>
        <v>246</v>
      </c>
      <c r="M47" s="327">
        <f>IF(L47&gt;K47, 1, 0)</f>
        <v>1</v>
      </c>
      <c r="N47" s="337">
        <f>(+H47-D47)</f>
        <v>-2</v>
      </c>
      <c r="O47" s="350">
        <f>I47-E47</f>
        <v>28</v>
      </c>
      <c r="P47" s="405">
        <f>IF(OR(AND(N47&gt;0,O47&gt;0),AND(N47&lt;0,O47&lt;0)),1,0)</f>
        <v>0</v>
      </c>
      <c r="Q47" s="289">
        <f>WEEKNUM(tblResultadosNBA[[#This Row],[Fecha]],2)</f>
        <v>44</v>
      </c>
      <c r="R47" t="str">
        <f>TEXT(tblResultadosNBA[[#This Row],[Fecha]],"mmm")</f>
        <v>oct</v>
      </c>
    </row>
    <row r="48" spans="1:18">
      <c r="A48" s="419">
        <v>45957</v>
      </c>
      <c r="B48" s="302" t="s">
        <v>693</v>
      </c>
      <c r="C48" s="177" t="str">
        <f>LEFT(B48,FIND("@",B48)-2)</f>
        <v>Boston Celtics</v>
      </c>
      <c r="D48" s="177">
        <v>109</v>
      </c>
      <c r="E48" s="336">
        <v>122</v>
      </c>
      <c r="F48" s="327">
        <f>IF(E48&gt;D48, 1, 0)</f>
        <v>1</v>
      </c>
      <c r="G48" s="177" t="str">
        <f>MID(B48,FIND("@",B48)+2,LEN(B48)-FIND("@",B48)-1)</f>
        <v>New Orleans Pelicans</v>
      </c>
      <c r="H48" s="177">
        <v>112</v>
      </c>
      <c r="I48" s="336">
        <v>90</v>
      </c>
      <c r="J48" s="327">
        <f>IF(I48&gt;H48, 1, 0)</f>
        <v>0</v>
      </c>
      <c r="K48" s="177">
        <f>+D48+H48</f>
        <v>221</v>
      </c>
      <c r="L48" s="336">
        <f>E48+I48</f>
        <v>212</v>
      </c>
      <c r="M48" s="327">
        <f>IF(L48&gt;K48, 1, 0)</f>
        <v>0</v>
      </c>
      <c r="N48" s="337">
        <f>(+H48-D48)</f>
        <v>3</v>
      </c>
      <c r="O48" s="350">
        <f>I48-E48</f>
        <v>-32</v>
      </c>
      <c r="P48" s="405">
        <f>IF(OR(AND(N48&gt;0,O48&gt;0),AND(N48&lt;0,O48&lt;0)),1,0)</f>
        <v>0</v>
      </c>
      <c r="Q48" s="289">
        <f>WEEKNUM(tblResultadosNBA[[#This Row],[Fecha]],2)</f>
        <v>44</v>
      </c>
      <c r="R48" t="str">
        <f>TEXT(tblResultadosNBA[[#This Row],[Fecha]],"mmm")</f>
        <v>oct</v>
      </c>
    </row>
    <row r="49" spans="1:18">
      <c r="A49" s="419">
        <v>45957</v>
      </c>
      <c r="B49" s="302" t="s">
        <v>694</v>
      </c>
      <c r="C49" s="177" t="str">
        <f>LEFT(B49,FIND("@",B49)-2)</f>
        <v>Toronto Raptors</v>
      </c>
      <c r="D49" s="177">
        <v>118</v>
      </c>
      <c r="E49" s="336">
        <v>103</v>
      </c>
      <c r="F49" s="327">
        <f>IF(E49&gt;D49, 1, 0)</f>
        <v>0</v>
      </c>
      <c r="G49" s="177" t="str">
        <f>MID(B49,FIND("@",B49)+2,LEN(B49)-FIND("@",B49)-1)</f>
        <v>San Antonio Spurs</v>
      </c>
      <c r="H49" s="177">
        <v>121</v>
      </c>
      <c r="I49" s="336">
        <v>121</v>
      </c>
      <c r="J49" s="327">
        <f>IF(I49&gt;H49, 1, 0)</f>
        <v>0</v>
      </c>
      <c r="K49" s="177">
        <f>+D49+H49</f>
        <v>239</v>
      </c>
      <c r="L49" s="336">
        <f>E49+I49</f>
        <v>224</v>
      </c>
      <c r="M49" s="327">
        <f>IF(L49&gt;K49, 1, 0)</f>
        <v>0</v>
      </c>
      <c r="N49" s="337">
        <f>(+H49-D49)</f>
        <v>3</v>
      </c>
      <c r="O49" s="350">
        <f>I49-E49</f>
        <v>18</v>
      </c>
      <c r="P49" s="405">
        <f>IF(OR(AND(N49&gt;0,O49&gt;0),AND(N49&lt;0,O49&lt;0)),1,0)</f>
        <v>1</v>
      </c>
      <c r="Q49" s="289">
        <f>WEEKNUM(tblResultadosNBA[[#This Row],[Fecha]],2)</f>
        <v>44</v>
      </c>
      <c r="R49" t="str">
        <f>TEXT(tblResultadosNBA[[#This Row],[Fecha]],"mmm")</f>
        <v>oct</v>
      </c>
    </row>
    <row r="50" spans="1:18">
      <c r="A50" s="419">
        <v>45957</v>
      </c>
      <c r="B50" s="302" t="s">
        <v>418</v>
      </c>
      <c r="C50" s="177" t="str">
        <f>LEFT(B50,FIND("@",B50)-2)</f>
        <v>Oklahoma City Thunder</v>
      </c>
      <c r="D50" s="177">
        <v>112</v>
      </c>
      <c r="E50" s="336">
        <v>101</v>
      </c>
      <c r="F50" s="327">
        <f>IF(E50&gt;D50, 1, 0)</f>
        <v>0</v>
      </c>
      <c r="G50" s="177" t="str">
        <f>MID(B50,FIND("@",B50)+2,LEN(B50)-FIND("@",B50)-1)</f>
        <v>Dallas Mavericks</v>
      </c>
      <c r="H50" s="177">
        <v>105</v>
      </c>
      <c r="I50" s="336">
        <v>94</v>
      </c>
      <c r="J50" s="327">
        <f>IF(I50&gt;H50, 1, 0)</f>
        <v>0</v>
      </c>
      <c r="K50" s="177">
        <f>+D50+H50</f>
        <v>217</v>
      </c>
      <c r="L50" s="336">
        <f>E50+I50</f>
        <v>195</v>
      </c>
      <c r="M50" s="327">
        <f>IF(L50&gt;K50, 1, 0)</f>
        <v>0</v>
      </c>
      <c r="N50" s="337">
        <f>(+H50-D50)</f>
        <v>-7</v>
      </c>
      <c r="O50" s="350">
        <f>I50-E50</f>
        <v>-7</v>
      </c>
      <c r="P50" s="405">
        <f>IF(OR(AND(N50&gt;0,O50&gt;0),AND(N50&lt;0,O50&lt;0)),1,0)</f>
        <v>1</v>
      </c>
      <c r="Q50" s="289">
        <f>WEEKNUM(tblResultadosNBA[[#This Row],[Fecha]],2)</f>
        <v>44</v>
      </c>
      <c r="R50" t="str">
        <f>TEXT(tblResultadosNBA[[#This Row],[Fecha]],"mmm")</f>
        <v>oct</v>
      </c>
    </row>
    <row r="51" spans="1:18">
      <c r="A51" s="419">
        <v>45957</v>
      </c>
      <c r="B51" s="302" t="s">
        <v>695</v>
      </c>
      <c r="C51" s="177" t="str">
        <f>LEFT(B51,FIND("@",B51)-2)</f>
        <v>Phoenix Suns</v>
      </c>
      <c r="D51" s="177">
        <v>111</v>
      </c>
      <c r="E51" s="336">
        <v>134</v>
      </c>
      <c r="F51" s="327">
        <f>IF(E51&gt;D51, 1, 0)</f>
        <v>1</v>
      </c>
      <c r="G51" s="177" t="str">
        <f>MID(B51,FIND("@",B51)+2,LEN(B51)-FIND("@",B51)-1)</f>
        <v>Utah Jazz</v>
      </c>
      <c r="H51" s="177">
        <v>108</v>
      </c>
      <c r="I51" s="336">
        <v>138</v>
      </c>
      <c r="J51" s="327">
        <f>IF(I51&gt;H51, 1, 0)</f>
        <v>1</v>
      </c>
      <c r="K51" s="177">
        <f>+D51+H51</f>
        <v>219</v>
      </c>
      <c r="L51" s="336">
        <f>E51+I51</f>
        <v>272</v>
      </c>
      <c r="M51" s="327">
        <f>IF(L51&gt;K51, 1, 0)</f>
        <v>1</v>
      </c>
      <c r="N51" s="337">
        <f>(+H51-D51)</f>
        <v>-3</v>
      </c>
      <c r="O51" s="350">
        <f>I51-E51</f>
        <v>4</v>
      </c>
      <c r="P51" s="405">
        <f>IF(OR(AND(N51&gt;0,O51&gt;0),AND(N51&lt;0,O51&lt;0)),1,0)</f>
        <v>0</v>
      </c>
      <c r="Q51" s="289">
        <f>WEEKNUM(tblResultadosNBA[[#This Row],[Fecha]],2)</f>
        <v>44</v>
      </c>
      <c r="R51" t="str">
        <f>TEXT(tblResultadosNBA[[#This Row],[Fecha]],"mmm")</f>
        <v>oct</v>
      </c>
    </row>
    <row r="52" spans="1:18">
      <c r="A52" s="419">
        <v>45957</v>
      </c>
      <c r="B52" s="302" t="s">
        <v>591</v>
      </c>
      <c r="C52" s="177" t="str">
        <f>LEFT(B52,FIND("@",B52)-2)</f>
        <v>Denver Nuggets</v>
      </c>
      <c r="D52" s="177">
        <v>117</v>
      </c>
      <c r="E52" s="336">
        <v>127</v>
      </c>
      <c r="F52" s="327">
        <f>IF(E52&gt;D52, 1, 0)</f>
        <v>1</v>
      </c>
      <c r="G52" s="177" t="str">
        <f>MID(B52,FIND("@",B52)+2,LEN(B52)-FIND("@",B52)-1)</f>
        <v>Minnesota Timberwolves</v>
      </c>
      <c r="H52" s="177">
        <v>105</v>
      </c>
      <c r="I52" s="336">
        <v>114</v>
      </c>
      <c r="J52" s="327">
        <f>IF(I52&gt;H52, 1, 0)</f>
        <v>1</v>
      </c>
      <c r="K52" s="177">
        <f>+D52+H52</f>
        <v>222</v>
      </c>
      <c r="L52" s="336">
        <f>E52+I52</f>
        <v>241</v>
      </c>
      <c r="M52" s="327">
        <f>IF(L52&gt;K52, 1, 0)</f>
        <v>1</v>
      </c>
      <c r="N52" s="337">
        <f>(+H52-D52)</f>
        <v>-12</v>
      </c>
      <c r="O52" s="350">
        <f>I52-E52</f>
        <v>-13</v>
      </c>
      <c r="P52" s="405">
        <f>IF(OR(AND(N52&gt;0,O52&gt;0),AND(N52&lt;0,O52&lt;0)),1,0)</f>
        <v>1</v>
      </c>
      <c r="Q52" s="289">
        <f>WEEKNUM(tblResultadosNBA[[#This Row],[Fecha]],2)</f>
        <v>44</v>
      </c>
      <c r="R52" t="str">
        <f>TEXT(tblResultadosNBA[[#This Row],[Fecha]],"mmm")</f>
        <v>oct</v>
      </c>
    </row>
    <row r="53" spans="1:18">
      <c r="A53" s="419">
        <v>45957</v>
      </c>
      <c r="B53" s="302" t="s">
        <v>356</v>
      </c>
      <c r="C53" s="177" t="str">
        <f>LEFT(B53,FIND("@",B53)-2)</f>
        <v>Memphis Grizzlies</v>
      </c>
      <c r="D53" s="177">
        <v>110</v>
      </c>
      <c r="E53" s="336">
        <v>118</v>
      </c>
      <c r="F53" s="327">
        <f>IF(E53&gt;D53, 1, 0)</f>
        <v>1</v>
      </c>
      <c r="G53" s="177" t="str">
        <f>MID(B53,FIND("@",B53)+2,LEN(B53)-FIND("@",B53)-1)</f>
        <v>Golden State Warriors</v>
      </c>
      <c r="H53" s="177">
        <v>113</v>
      </c>
      <c r="I53" s="336">
        <v>131</v>
      </c>
      <c r="J53" s="327">
        <f>IF(I53&gt;H53, 1, 0)</f>
        <v>1</v>
      </c>
      <c r="K53" s="177">
        <f>+D53+H53</f>
        <v>223</v>
      </c>
      <c r="L53" s="336">
        <f>E53+I53</f>
        <v>249</v>
      </c>
      <c r="M53" s="327">
        <f>IF(L53&gt;K53, 1, 0)</f>
        <v>1</v>
      </c>
      <c r="N53" s="337">
        <f>(+H53-D53)</f>
        <v>3</v>
      </c>
      <c r="O53" s="350">
        <f>I53-E53</f>
        <v>13</v>
      </c>
      <c r="P53" s="405">
        <f>IF(OR(AND(N53&gt;0,O53&gt;0),AND(N53&lt;0,O53&lt;0)),1,0)</f>
        <v>1</v>
      </c>
      <c r="Q53" s="289">
        <f>WEEKNUM(tblResultadosNBA[[#This Row],[Fecha]],2)</f>
        <v>44</v>
      </c>
      <c r="R53" t="str">
        <f>TEXT(tblResultadosNBA[[#This Row],[Fecha]],"mmm")</f>
        <v>oct</v>
      </c>
    </row>
    <row r="54" spans="1:18">
      <c r="A54" s="445">
        <v>45957</v>
      </c>
      <c r="B54" s="328" t="s">
        <v>696</v>
      </c>
      <c r="C54" s="299" t="str">
        <f>LEFT(B54,FIND("@",B54)-2)</f>
        <v>Portland Trail Blazers</v>
      </c>
      <c r="D54" s="299">
        <v>97</v>
      </c>
      <c r="E54" s="309">
        <v>122</v>
      </c>
      <c r="F54" s="334">
        <f>IF(E54&gt;D54, 1, 0)</f>
        <v>1</v>
      </c>
      <c r="G54" s="299" t="str">
        <f>MID(B54,FIND("@",B54)+2,LEN(B54)-FIND("@",B54)-1)</f>
        <v>Los Angeles Lakers</v>
      </c>
      <c r="H54" s="299">
        <v>120</v>
      </c>
      <c r="I54" s="309">
        <v>108</v>
      </c>
      <c r="J54" s="334">
        <f>IF(I54&gt;H54, 1, 0)</f>
        <v>0</v>
      </c>
      <c r="K54" s="299">
        <f>+D54+H54</f>
        <v>217</v>
      </c>
      <c r="L54" s="309">
        <f>E54+I54</f>
        <v>230</v>
      </c>
      <c r="M54" s="334">
        <f>IF(L54&gt;K54, 1, 0)</f>
        <v>1</v>
      </c>
      <c r="N54" s="321">
        <f>(+H54-D54)</f>
        <v>23</v>
      </c>
      <c r="O54" s="350">
        <f>I54-E54</f>
        <v>-14</v>
      </c>
      <c r="P54" s="408">
        <f>IF(OR(AND(N54&gt;0,O54&gt;0),AND(N54&lt;0,O54&lt;0)),1,0)</f>
        <v>0</v>
      </c>
      <c r="Q54" s="433">
        <f>WEEKNUM(tblResultadosNBA[[#This Row],[Fecha]],2)</f>
        <v>44</v>
      </c>
      <c r="R54" s="433" t="str">
        <f>TEXT(tblResultadosNBA[[#This Row],[Fecha]],"mmm")</f>
        <v>oct</v>
      </c>
    </row>
    <row r="55" spans="1:18">
      <c r="A55" s="439">
        <v>45958</v>
      </c>
      <c r="B55" s="330" t="s">
        <v>539</v>
      </c>
      <c r="C55" s="312" t="str">
        <f>LEFT(B55,FIND("@",B55)-2)</f>
        <v>Philadelphia 76ers</v>
      </c>
      <c r="D55" s="312">
        <v>108</v>
      </c>
      <c r="E55" s="338">
        <v>139</v>
      </c>
      <c r="F55" s="339">
        <f>IF(E55&gt;D55, 1, 0)</f>
        <v>1</v>
      </c>
      <c r="G55" s="312" t="str">
        <f>MID(B55,FIND("@",B55)+2,LEN(B55)-FIND("@",B55)-1)</f>
        <v>Washington Wizards</v>
      </c>
      <c r="H55" s="312">
        <v>118</v>
      </c>
      <c r="I55" s="338">
        <v>134</v>
      </c>
      <c r="J55" s="339">
        <f>IF(I55&gt;H55, 1, 0)</f>
        <v>1</v>
      </c>
      <c r="K55" s="312">
        <f>+D55+H55</f>
        <v>226</v>
      </c>
      <c r="L55" s="338">
        <f>E55+I55</f>
        <v>273</v>
      </c>
      <c r="M55" s="339">
        <f>IF(L55&gt;K55, 1, 0)</f>
        <v>1</v>
      </c>
      <c r="N55" s="320">
        <f>(+H55-D55)</f>
        <v>10</v>
      </c>
      <c r="O55" s="356">
        <f>I55-E55</f>
        <v>-5</v>
      </c>
      <c r="P55" s="409">
        <f>IF(OR(AND(N55&gt;0,O55&gt;0),AND(N55&lt;0,O55&lt;0)),1,0)</f>
        <v>0</v>
      </c>
      <c r="Q55" s="289">
        <f>WEEKNUM(tblResultadosNBA[[#This Row],[Fecha]],2)</f>
        <v>44</v>
      </c>
      <c r="R55" t="str">
        <f>TEXT(tblResultadosNBA[[#This Row],[Fecha]],"mmm")</f>
        <v>oct</v>
      </c>
    </row>
    <row r="56" spans="1:18">
      <c r="A56" s="419">
        <v>45958</v>
      </c>
      <c r="B56" s="302" t="s">
        <v>697</v>
      </c>
      <c r="C56" s="177" t="str">
        <f>LEFT(B56,FIND("@",B56)-2)</f>
        <v>Charlotte Hornets</v>
      </c>
      <c r="D56" s="177">
        <v>111</v>
      </c>
      <c r="E56" s="336">
        <v>117</v>
      </c>
      <c r="F56" s="327">
        <f>IF(E56&gt;D56, 1, 0)</f>
        <v>1</v>
      </c>
      <c r="G56" s="177" t="str">
        <f>MID(B56,FIND("@",B56)+2,LEN(B56)-FIND("@",B56)-1)</f>
        <v>Miami Heat</v>
      </c>
      <c r="H56" s="177">
        <v>114</v>
      </c>
      <c r="I56" s="336">
        <v>144</v>
      </c>
      <c r="J56" s="327">
        <f>IF(I56&gt;H56, 1, 0)</f>
        <v>1</v>
      </c>
      <c r="K56" s="177">
        <f>+D56+H56</f>
        <v>225</v>
      </c>
      <c r="L56" s="336">
        <f>E56+I56</f>
        <v>261</v>
      </c>
      <c r="M56" s="327">
        <f>IF(L56&gt;K56, 1, 0)</f>
        <v>1</v>
      </c>
      <c r="N56" s="337">
        <f>(+H56-D56)</f>
        <v>3</v>
      </c>
      <c r="O56" s="355">
        <f>I56-E56</f>
        <v>27</v>
      </c>
      <c r="P56" s="405">
        <f>IF(OR(AND(N56&gt;0,O56&gt;0),AND(N56&lt;0,O56&lt;0)),1,0)</f>
        <v>1</v>
      </c>
      <c r="Q56" s="289">
        <f>WEEKNUM(tblResultadosNBA[[#This Row],[Fecha]],2)</f>
        <v>44</v>
      </c>
      <c r="R56" t="str">
        <f>TEXT(tblResultadosNBA[[#This Row],[Fecha]],"mmm")</f>
        <v>oct</v>
      </c>
    </row>
    <row r="57" spans="1:18">
      <c r="A57" s="419">
        <v>45958</v>
      </c>
      <c r="B57" s="302" t="s">
        <v>698</v>
      </c>
      <c r="C57" s="177" t="str">
        <f>LEFT(B57,FIND("@",B57)-2)</f>
        <v>New York Knicks</v>
      </c>
      <c r="D57" s="177">
        <v>120</v>
      </c>
      <c r="E57" s="336">
        <v>111</v>
      </c>
      <c r="F57" s="327">
        <f>IF(E57&gt;D57, 1, 0)</f>
        <v>0</v>
      </c>
      <c r="G57" s="177" t="str">
        <f>MID(B57,FIND("@",B57)+2,LEN(B57)-FIND("@",B57)-1)</f>
        <v>Milwaukee Bucks</v>
      </c>
      <c r="H57" s="177">
        <v>110</v>
      </c>
      <c r="I57" s="336">
        <v>121</v>
      </c>
      <c r="J57" s="327">
        <f>IF(I57&gt;H57, 1, 0)</f>
        <v>1</v>
      </c>
      <c r="K57" s="177">
        <f>+D57+H57</f>
        <v>230</v>
      </c>
      <c r="L57" s="336">
        <f>E57+I57</f>
        <v>232</v>
      </c>
      <c r="M57" s="327">
        <f>IF(L57&gt;K57, 1, 0)</f>
        <v>1</v>
      </c>
      <c r="N57" s="337">
        <f>(+H57-D57)</f>
        <v>-10</v>
      </c>
      <c r="O57" s="355">
        <f>I57-E57</f>
        <v>10</v>
      </c>
      <c r="P57" s="405">
        <f>IF(OR(AND(N57&gt;0,O57&gt;0),AND(N57&lt;0,O57&lt;0)),1,0)</f>
        <v>0</v>
      </c>
      <c r="Q57" s="289">
        <f>WEEKNUM(tblResultadosNBA[[#This Row],[Fecha]],2)</f>
        <v>44</v>
      </c>
      <c r="R57" t="str">
        <f>TEXT(tblResultadosNBA[[#This Row],[Fecha]],"mmm")</f>
        <v>oct</v>
      </c>
    </row>
    <row r="58" spans="1:18">
      <c r="A58" s="419">
        <v>45958</v>
      </c>
      <c r="B58" s="302" t="s">
        <v>81</v>
      </c>
      <c r="C58" s="177" t="str">
        <f>LEFT(B58,FIND("@",B58)-2)</f>
        <v>Sacramento Kings</v>
      </c>
      <c r="D58" s="177">
        <v>104</v>
      </c>
      <c r="E58" s="336">
        <v>101</v>
      </c>
      <c r="F58" s="327">
        <f>IF(E58&gt;D58, 1, 0)</f>
        <v>0</v>
      </c>
      <c r="G58" s="177" t="str">
        <f>MID(B58,FIND("@",B58)+2,LEN(B58)-FIND("@",B58)-1)</f>
        <v>Oklahoma City Thunder</v>
      </c>
      <c r="H58" s="177">
        <v>110</v>
      </c>
      <c r="I58" s="336">
        <v>107</v>
      </c>
      <c r="J58" s="327">
        <f>IF(I58&gt;H58, 1, 0)</f>
        <v>0</v>
      </c>
      <c r="K58" s="177">
        <f>+D58+H58</f>
        <v>214</v>
      </c>
      <c r="L58" s="336">
        <f>E58+I58</f>
        <v>208</v>
      </c>
      <c r="M58" s="327">
        <f>IF(L58&gt;K58, 1, 0)</f>
        <v>0</v>
      </c>
      <c r="N58" s="337">
        <f>(+H58-D58)</f>
        <v>6</v>
      </c>
      <c r="O58" s="355">
        <f>I58-E58</f>
        <v>6</v>
      </c>
      <c r="P58" s="405">
        <f>IF(OR(AND(N58&gt;0,O58&gt;0),AND(N58&lt;0,O58&lt;0)),1,0)</f>
        <v>1</v>
      </c>
      <c r="Q58" s="289">
        <f>WEEKNUM(tblResultadosNBA[[#This Row],[Fecha]],2)</f>
        <v>44</v>
      </c>
      <c r="R58" t="str">
        <f>TEXT(tblResultadosNBA[[#This Row],[Fecha]],"mmm")</f>
        <v>oct</v>
      </c>
    </row>
    <row r="59" spans="1:18">
      <c r="A59" s="445">
        <v>45958</v>
      </c>
      <c r="B59" s="328" t="s">
        <v>420</v>
      </c>
      <c r="C59" s="299" t="str">
        <f>LEFT(B59,FIND("@",B59)-2)</f>
        <v>LA Clippers</v>
      </c>
      <c r="D59" s="299">
        <v>113</v>
      </c>
      <c r="E59" s="309">
        <v>79</v>
      </c>
      <c r="F59" s="334">
        <f>IF(E59&gt;D59, 1, 0)</f>
        <v>0</v>
      </c>
      <c r="G59" s="299" t="str">
        <f>MID(B59,FIND("@",B59)+2,LEN(B59)-FIND("@",B59)-1)</f>
        <v>Golden State Warriors</v>
      </c>
      <c r="H59" s="299">
        <v>117</v>
      </c>
      <c r="I59" s="309">
        <v>98</v>
      </c>
      <c r="J59" s="334">
        <f>IF(I59&gt;H59, 1, 0)</f>
        <v>0</v>
      </c>
      <c r="K59" s="299">
        <f>+D59+H59</f>
        <v>230</v>
      </c>
      <c r="L59" s="309">
        <f>E59+I59</f>
        <v>177</v>
      </c>
      <c r="M59" s="334">
        <f>IF(L59&gt;K59, 1, 0)</f>
        <v>0</v>
      </c>
      <c r="N59" s="321">
        <f>(+H59-D59)</f>
        <v>4</v>
      </c>
      <c r="O59" s="360">
        <f>I59-E59</f>
        <v>19</v>
      </c>
      <c r="P59" s="408">
        <f>IF(OR(AND(N59&gt;0,O59&gt;0),AND(N59&lt;0,O59&lt;0)),1,0)</f>
        <v>1</v>
      </c>
      <c r="Q59" s="433">
        <f>WEEKNUM(tblResultadosNBA[[#This Row],[Fecha]],2)</f>
        <v>44</v>
      </c>
      <c r="R59" s="433" t="str">
        <f>TEXT(tblResultadosNBA[[#This Row],[Fecha]],"mmm")</f>
        <v>oct</v>
      </c>
    </row>
    <row r="60" spans="1:18">
      <c r="A60" s="439">
        <v>45959</v>
      </c>
      <c r="B60" s="329" t="s">
        <v>699</v>
      </c>
      <c r="C60" s="244" t="str">
        <f>LEFT(B60,FIND("@",B60)-2)</f>
        <v>Houston Rockets</v>
      </c>
      <c r="D60" s="244">
        <v>108</v>
      </c>
      <c r="E60" s="292">
        <v>139</v>
      </c>
      <c r="F60" s="358">
        <f>IF(E60&gt;D60, 1, 0)</f>
        <v>1</v>
      </c>
      <c r="G60" s="244" t="str">
        <f>MID(B60,FIND("@",B60)+2,LEN(B60)-FIND("@",B60)-1)</f>
        <v>Toronto Raptors</v>
      </c>
      <c r="H60" s="244">
        <v>110</v>
      </c>
      <c r="I60" s="292">
        <v>121</v>
      </c>
      <c r="J60" s="358">
        <f>IF(I60&gt;H60, 1, 0)</f>
        <v>1</v>
      </c>
      <c r="K60" s="244">
        <f>+D60+H60</f>
        <v>218</v>
      </c>
      <c r="L60" s="292">
        <f>E60+I60</f>
        <v>260</v>
      </c>
      <c r="M60" s="358">
        <f>IF(L60&gt;K60, 1, 0)</f>
        <v>1</v>
      </c>
      <c r="N60" s="320">
        <f>(+H60-D60)</f>
        <v>2</v>
      </c>
      <c r="O60" s="359">
        <f>I60-E60</f>
        <v>-18</v>
      </c>
      <c r="P60" s="410">
        <f>IF(OR(AND(N60&gt;0,O60&gt;0),AND(N60&lt;0,O60&lt;0)),1,0)</f>
        <v>0</v>
      </c>
      <c r="Q60" s="289">
        <f>WEEKNUM(tblResultadosNBA[[#This Row],[Fecha]],2)</f>
        <v>44</v>
      </c>
      <c r="R60" t="str">
        <f>TEXT(tblResultadosNBA[[#This Row],[Fecha]],"mmm")</f>
        <v>oct</v>
      </c>
    </row>
    <row r="61" spans="1:18">
      <c r="A61" s="419">
        <v>45959</v>
      </c>
      <c r="B61" s="302" t="s">
        <v>700</v>
      </c>
      <c r="C61" s="177" t="str">
        <f>LEFT(B61,FIND("@",B61)-2)</f>
        <v>Cleveland Cavaliers</v>
      </c>
      <c r="D61" s="177">
        <v>111</v>
      </c>
      <c r="E61" s="336">
        <v>105</v>
      </c>
      <c r="F61" s="327">
        <f>IF(E61&gt;D61, 1, 0)</f>
        <v>0</v>
      </c>
      <c r="G61" s="177" t="str">
        <f>MID(B61,FIND("@",B61)+2,LEN(B61)-FIND("@",B61)-1)</f>
        <v>Boston Celtics</v>
      </c>
      <c r="H61" s="177">
        <v>108</v>
      </c>
      <c r="I61" s="336">
        <v>125</v>
      </c>
      <c r="J61" s="327">
        <f>IF(I61&gt;H61, 1, 0)</f>
        <v>1</v>
      </c>
      <c r="K61" s="177">
        <f>+D61+H61</f>
        <v>219</v>
      </c>
      <c r="L61" s="336">
        <f>E61+I61</f>
        <v>230</v>
      </c>
      <c r="M61" s="327">
        <f>IF(L61&gt;K61, 1, 0)</f>
        <v>1</v>
      </c>
      <c r="N61" s="337">
        <f>(+H61-D61)</f>
        <v>-3</v>
      </c>
      <c r="O61" s="355">
        <f>I61-E61</f>
        <v>20</v>
      </c>
      <c r="P61" s="405">
        <f>IF(OR(AND(N61&gt;0,O61&gt;0),AND(N61&lt;0,O61&lt;0)),1,0)</f>
        <v>0</v>
      </c>
      <c r="Q61" s="289">
        <f>WEEKNUM(tblResultadosNBA[[#This Row],[Fecha]],2)</f>
        <v>44</v>
      </c>
      <c r="R61" t="str">
        <f>TEXT(tblResultadosNBA[[#This Row],[Fecha]],"mmm")</f>
        <v>oct</v>
      </c>
    </row>
    <row r="62" spans="1:18">
      <c r="A62" s="419">
        <v>45959</v>
      </c>
      <c r="B62" s="302" t="s">
        <v>113</v>
      </c>
      <c r="C62" s="177" t="str">
        <f>LEFT(B62,FIND("@",B62)-2)</f>
        <v>Orlando Magic</v>
      </c>
      <c r="D62" s="177">
        <v>112</v>
      </c>
      <c r="E62" s="336">
        <v>116</v>
      </c>
      <c r="F62" s="327">
        <f>IF(E62&gt;D62, 1, 0)</f>
        <v>1</v>
      </c>
      <c r="G62" s="177" t="str">
        <f>MID(B62,FIND("@",B62)+2,LEN(B62)-FIND("@",B62)-1)</f>
        <v>Detroit Pistons</v>
      </c>
      <c r="H62" s="177">
        <v>109</v>
      </c>
      <c r="I62" s="336">
        <v>135</v>
      </c>
      <c r="J62" s="327">
        <f>IF(I62&gt;H62, 1, 0)</f>
        <v>1</v>
      </c>
      <c r="K62" s="177">
        <f>+D62+H62</f>
        <v>221</v>
      </c>
      <c r="L62" s="336">
        <f>E62+I62</f>
        <v>251</v>
      </c>
      <c r="M62" s="327">
        <f>IF(L62&gt;K62, 1, 0)</f>
        <v>1</v>
      </c>
      <c r="N62" s="337">
        <f>(+H62-D62)</f>
        <v>-3</v>
      </c>
      <c r="O62" s="355">
        <f>I62-E62</f>
        <v>19</v>
      </c>
      <c r="P62" s="405">
        <f>IF(OR(AND(N62&gt;0,O62&gt;0),AND(N62&lt;0,O62&lt;0)),1,0)</f>
        <v>0</v>
      </c>
      <c r="Q62" s="289">
        <f>WEEKNUM(tblResultadosNBA[[#This Row],[Fecha]],2)</f>
        <v>44</v>
      </c>
      <c r="R62" t="str">
        <f>TEXT(tblResultadosNBA[[#This Row],[Fecha]],"mmm")</f>
        <v>oct</v>
      </c>
    </row>
    <row r="63" spans="1:18">
      <c r="A63" s="419">
        <v>45959</v>
      </c>
      <c r="B63" s="302" t="s">
        <v>552</v>
      </c>
      <c r="C63" s="177" t="str">
        <f>LEFT(B63,FIND("@",B63)-2)</f>
        <v>Atlanta Hawks</v>
      </c>
      <c r="D63" s="177">
        <v>114</v>
      </c>
      <c r="E63" s="336">
        <v>117</v>
      </c>
      <c r="F63" s="327">
        <f>IF(E63&gt;D63, 1, 0)</f>
        <v>1</v>
      </c>
      <c r="G63" s="177" t="str">
        <f>MID(B63,FIND("@",B63)+2,LEN(B63)-FIND("@",B63)-1)</f>
        <v>Brooklyn Nets</v>
      </c>
      <c r="H63" s="177">
        <v>119</v>
      </c>
      <c r="I63" s="336">
        <v>112</v>
      </c>
      <c r="J63" s="327">
        <f>IF(I63&gt;H63, 1, 0)</f>
        <v>0</v>
      </c>
      <c r="K63" s="177">
        <f>+D63+H63</f>
        <v>233</v>
      </c>
      <c r="L63" s="336">
        <f>E63+I63</f>
        <v>229</v>
      </c>
      <c r="M63" s="327">
        <f>IF(L63&gt;K63, 1, 0)</f>
        <v>0</v>
      </c>
      <c r="N63" s="337">
        <f>(+H63-D63)</f>
        <v>5</v>
      </c>
      <c r="O63" s="355">
        <f>I63-E63</f>
        <v>-5</v>
      </c>
      <c r="P63" s="405">
        <f>IF(OR(AND(N63&gt;0,O63&gt;0),AND(N63&lt;0,O63&lt;0)),1,0)</f>
        <v>0</v>
      </c>
      <c r="Q63" s="289">
        <f>WEEKNUM(tblResultadosNBA[[#This Row],[Fecha]],2)</f>
        <v>44</v>
      </c>
      <c r="R63" t="str">
        <f>TEXT(tblResultadosNBA[[#This Row],[Fecha]],"mmm")</f>
        <v>oct</v>
      </c>
    </row>
    <row r="64" spans="1:18">
      <c r="A64" s="419">
        <v>45959</v>
      </c>
      <c r="B64" s="302" t="s">
        <v>701</v>
      </c>
      <c r="C64" s="177" t="str">
        <f>LEFT(B64,FIND("@",B64)-2)</f>
        <v>Sacramento Kings</v>
      </c>
      <c r="D64" s="177">
        <v>125</v>
      </c>
      <c r="E64" s="336">
        <v>113</v>
      </c>
      <c r="F64" s="327">
        <f>IF(E64&gt;D64, 1, 0)</f>
        <v>0</v>
      </c>
      <c r="G64" s="177" t="str">
        <f>MID(B64,FIND("@",B64)+2,LEN(B64)-FIND("@",B64)-1)</f>
        <v>Chicago Bulls</v>
      </c>
      <c r="H64" s="177">
        <v>121</v>
      </c>
      <c r="I64" s="336">
        <v>126</v>
      </c>
      <c r="J64" s="327">
        <f>IF(I64&gt;H64, 1, 0)</f>
        <v>1</v>
      </c>
      <c r="K64" s="177">
        <f>+D64+H64</f>
        <v>246</v>
      </c>
      <c r="L64" s="336">
        <f>E64+I64</f>
        <v>239</v>
      </c>
      <c r="M64" s="327">
        <f>IF(L64&gt;K64, 1, 0)</f>
        <v>0</v>
      </c>
      <c r="N64" s="337">
        <f>(+H64-D64)</f>
        <v>-4</v>
      </c>
      <c r="O64" s="355">
        <f>I64-E64</f>
        <v>13</v>
      </c>
      <c r="P64" s="405">
        <f>IF(OR(AND(N64&gt;0,O64&gt;0),AND(N64&lt;0,O64&lt;0)),1,0)</f>
        <v>0</v>
      </c>
      <c r="Q64" s="289">
        <f>WEEKNUM(tblResultadosNBA[[#This Row],[Fecha]],2)</f>
        <v>44</v>
      </c>
      <c r="R64" t="str">
        <f>TEXT(tblResultadosNBA[[#This Row],[Fecha]],"mmm")</f>
        <v>oct</v>
      </c>
    </row>
    <row r="65" spans="1:18">
      <c r="A65" s="419">
        <v>45959</v>
      </c>
      <c r="B65" s="302" t="s">
        <v>702</v>
      </c>
      <c r="C65" s="177" t="str">
        <f>LEFT(B65,FIND("@",B65)-2)</f>
        <v>Indiana Pacers</v>
      </c>
      <c r="D65" s="177">
        <v>114</v>
      </c>
      <c r="E65" s="336">
        <v>105</v>
      </c>
      <c r="F65" s="327">
        <f>IF(E65&gt;D65, 1, 0)</f>
        <v>0</v>
      </c>
      <c r="G65" s="177" t="str">
        <f>MID(B65,FIND("@",B65)+2,LEN(B65)-FIND("@",B65)-1)</f>
        <v>Dallas Mavericks</v>
      </c>
      <c r="H65" s="177">
        <v>118</v>
      </c>
      <c r="I65" s="336">
        <v>107</v>
      </c>
      <c r="J65" s="327">
        <f>IF(I65&gt;H65, 1, 0)</f>
        <v>0</v>
      </c>
      <c r="K65" s="177">
        <f>+D65+H65</f>
        <v>232</v>
      </c>
      <c r="L65" s="336">
        <f>E65+I65</f>
        <v>212</v>
      </c>
      <c r="M65" s="327">
        <f>IF(L65&gt;K65, 1, 0)</f>
        <v>0</v>
      </c>
      <c r="N65" s="337">
        <f>(+H65-D65)</f>
        <v>4</v>
      </c>
      <c r="O65" s="355">
        <f>I65-E65</f>
        <v>2</v>
      </c>
      <c r="P65" s="405">
        <f>IF(OR(AND(N65&gt;0,O65&gt;0),AND(N65&lt;0,O65&lt;0)),1,0)</f>
        <v>1</v>
      </c>
      <c r="Q65" s="289">
        <f>WEEKNUM(tblResultadosNBA[[#This Row],[Fecha]],2)</f>
        <v>44</v>
      </c>
      <c r="R65" t="str">
        <f>TEXT(tblResultadosNBA[[#This Row],[Fecha]],"mmm")</f>
        <v>oct</v>
      </c>
    </row>
    <row r="66" spans="1:18">
      <c r="A66" s="419">
        <v>45959</v>
      </c>
      <c r="B66" s="302" t="s">
        <v>703</v>
      </c>
      <c r="C66" s="177" t="str">
        <f>LEFT(B66,FIND("@",B66)-2)</f>
        <v>New Orleans Pelicans</v>
      </c>
      <c r="D66" s="177">
        <v>108</v>
      </c>
      <c r="E66" s="336">
        <v>88</v>
      </c>
      <c r="F66" s="327">
        <f>IF(E66&gt;D66, 1, 0)</f>
        <v>0</v>
      </c>
      <c r="G66" s="177" t="str">
        <f>MID(B66,FIND("@",B66)+2,LEN(B66)-FIND("@",B66)-1)</f>
        <v>Denver Nuggets</v>
      </c>
      <c r="H66" s="177">
        <v>111</v>
      </c>
      <c r="I66" s="336">
        <v>122</v>
      </c>
      <c r="J66" s="327">
        <f>IF(I66&gt;H66, 1, 0)</f>
        <v>1</v>
      </c>
      <c r="K66" s="177">
        <f>+D66+H66</f>
        <v>219</v>
      </c>
      <c r="L66" s="336">
        <f>E66+I66</f>
        <v>210</v>
      </c>
      <c r="M66" s="327">
        <f>IF(L66&gt;K66, 1, 0)</f>
        <v>0</v>
      </c>
      <c r="N66" s="337">
        <f>(+H66-D66)</f>
        <v>3</v>
      </c>
      <c r="O66" s="355">
        <f>I66-E66</f>
        <v>34</v>
      </c>
      <c r="P66" s="405">
        <f>IF(OR(AND(N66&gt;0,O66&gt;0),AND(N66&lt;0,O66&lt;0)),1,0)</f>
        <v>1</v>
      </c>
      <c r="Q66" s="289">
        <f>WEEKNUM(tblResultadosNBA[[#This Row],[Fecha]],2)</f>
        <v>44</v>
      </c>
      <c r="R66" t="str">
        <f>TEXT(tblResultadosNBA[[#This Row],[Fecha]],"mmm")</f>
        <v>oct</v>
      </c>
    </row>
    <row r="67" spans="1:18">
      <c r="A67" s="419">
        <v>45959</v>
      </c>
      <c r="B67" s="302" t="s">
        <v>368</v>
      </c>
      <c r="C67" s="177" t="str">
        <f>LEFT(B67,FIND("@",B67)-2)</f>
        <v>Portland Trail Blazers</v>
      </c>
      <c r="D67" s="177">
        <v>113</v>
      </c>
      <c r="E67" s="336">
        <v>136</v>
      </c>
      <c r="F67" s="327">
        <f>IF(E67&gt;D67, 1, 0)</f>
        <v>1</v>
      </c>
      <c r="G67" s="177" t="str">
        <f>MID(B67,FIND("@",B67)+2,LEN(B67)-FIND("@",B67)-1)</f>
        <v>Utah Jazz</v>
      </c>
      <c r="H67" s="177">
        <v>121</v>
      </c>
      <c r="I67" s="336">
        <v>134</v>
      </c>
      <c r="J67" s="327">
        <f>IF(I67&gt;H67, 1, 0)</f>
        <v>1</v>
      </c>
      <c r="K67" s="177">
        <f>+D67+H67</f>
        <v>234</v>
      </c>
      <c r="L67" s="336">
        <f>E67+I67</f>
        <v>270</v>
      </c>
      <c r="M67" s="327">
        <f>IF(L67&gt;K67, 1, 0)</f>
        <v>1</v>
      </c>
      <c r="N67" s="337">
        <f>(+H67-D67)</f>
        <v>8</v>
      </c>
      <c r="O67" s="355">
        <f>I67-E67</f>
        <v>-2</v>
      </c>
      <c r="P67" s="405">
        <f>IF(OR(AND(N67&gt;0,O67&gt;0),AND(N67&lt;0,O67&lt;0)),1,0)</f>
        <v>0</v>
      </c>
      <c r="Q67" s="289">
        <f>WEEKNUM(tblResultadosNBA[[#This Row],[Fecha]],2)</f>
        <v>44</v>
      </c>
      <c r="R67" t="str">
        <f>TEXT(tblResultadosNBA[[#This Row],[Fecha]],"mmm")</f>
        <v>oct</v>
      </c>
    </row>
    <row r="68" spans="1:18">
      <c r="A68" s="419">
        <v>45959</v>
      </c>
      <c r="B68" s="302" t="s">
        <v>704</v>
      </c>
      <c r="C68" s="177" t="str">
        <f>LEFT(B68,FIND("@",B68)-2)</f>
        <v>Los Angeles Lakers</v>
      </c>
      <c r="D68" s="177">
        <v>116</v>
      </c>
      <c r="E68" s="336">
        <v>116</v>
      </c>
      <c r="F68" s="327">
        <f>IF(E68&gt;D68, 1, 0)</f>
        <v>0</v>
      </c>
      <c r="G68" s="177" t="str">
        <f>MID(B68,FIND("@",B68)+2,LEN(B68)-FIND("@",B68)-1)</f>
        <v>Minnesota Timberwolves</v>
      </c>
      <c r="H68" s="177">
        <v>119</v>
      </c>
      <c r="I68" s="336">
        <v>115</v>
      </c>
      <c r="J68" s="327">
        <f>IF(I68&gt;H68, 1, 0)</f>
        <v>0</v>
      </c>
      <c r="K68" s="177">
        <f>+D68+H68</f>
        <v>235</v>
      </c>
      <c r="L68" s="336">
        <f>E68+I68</f>
        <v>231</v>
      </c>
      <c r="M68" s="327">
        <f>IF(L68&gt;K68, 1, 0)</f>
        <v>0</v>
      </c>
      <c r="N68" s="337">
        <f>(+H68-D68)</f>
        <v>3</v>
      </c>
      <c r="O68" s="355">
        <f>I68-E68</f>
        <v>-1</v>
      </c>
      <c r="P68" s="405">
        <f>IF(OR(AND(N68&gt;0,O68&gt;0),AND(N68&lt;0,O68&lt;0)),1,0)</f>
        <v>0</v>
      </c>
      <c r="Q68" s="289">
        <f>WEEKNUM(tblResultadosNBA[[#This Row],[Fecha]],2)</f>
        <v>44</v>
      </c>
      <c r="R68" t="str">
        <f>TEXT(tblResultadosNBA[[#This Row],[Fecha]],"mmm")</f>
        <v>oct</v>
      </c>
    </row>
    <row r="69" spans="1:18">
      <c r="A69" s="445">
        <v>45959</v>
      </c>
      <c r="B69" s="328" t="s">
        <v>705</v>
      </c>
      <c r="C69" s="299" t="str">
        <f>LEFT(B69,FIND("@",B69)-2)</f>
        <v>Memphis Grizzlies</v>
      </c>
      <c r="D69" s="299">
        <v>115</v>
      </c>
      <c r="E69" s="309">
        <v>114</v>
      </c>
      <c r="F69" s="334">
        <f>IF(E69&gt;D69, 1, 0)</f>
        <v>0</v>
      </c>
      <c r="G69" s="299" t="str">
        <f>MID(B69,FIND("@",B69)+2,LEN(B69)-FIND("@",B69)-1)</f>
        <v>Phoenix Suns</v>
      </c>
      <c r="H69" s="299">
        <v>112</v>
      </c>
      <c r="I69" s="309">
        <v>113</v>
      </c>
      <c r="J69" s="334">
        <f>IF(I69&gt;H69, 1, 0)</f>
        <v>1</v>
      </c>
      <c r="K69" s="299">
        <f>+D69+H69</f>
        <v>227</v>
      </c>
      <c r="L69" s="309">
        <f>E69+I69</f>
        <v>227</v>
      </c>
      <c r="M69" s="334">
        <f>IF(L69&gt;K69, 1, 0)</f>
        <v>0</v>
      </c>
      <c r="N69" s="321">
        <f>(+H69-D69)</f>
        <v>-3</v>
      </c>
      <c r="O69" s="360">
        <f>I69-E69</f>
        <v>-1</v>
      </c>
      <c r="P69" s="408">
        <f>IF(OR(AND(N69&gt;0,O69&gt;0),AND(N69&lt;0,O69&lt;0)),1,0)</f>
        <v>1</v>
      </c>
      <c r="Q69" s="433">
        <f>WEEKNUM(tblResultadosNBA[[#This Row],[Fecha]],2)</f>
        <v>44</v>
      </c>
      <c r="R69" s="433" t="str">
        <f>TEXT(tblResultadosNBA[[#This Row],[Fecha]],"mmm")</f>
        <v>oct</v>
      </c>
    </row>
    <row r="70" spans="1:18">
      <c r="A70" s="439">
        <v>45960</v>
      </c>
      <c r="B70" s="329" t="s">
        <v>484</v>
      </c>
      <c r="C70" s="244" t="str">
        <f>LEFT(B70,FIND("@",B70)-2)</f>
        <v>Orlando Magic</v>
      </c>
      <c r="D70" s="244">
        <v>112</v>
      </c>
      <c r="E70" s="292">
        <v>123</v>
      </c>
      <c r="F70" s="358">
        <f>IF(E70&gt;D70, 1, 0)</f>
        <v>1</v>
      </c>
      <c r="G70" s="244" t="str">
        <f>MID(B70,FIND("@",B70)+2,LEN(B70)-FIND("@",B70)-1)</f>
        <v>Charlotte Hornets</v>
      </c>
      <c r="H70" s="244">
        <v>103</v>
      </c>
      <c r="I70" s="292">
        <v>107</v>
      </c>
      <c r="J70" s="358">
        <f>IF(I70&gt;H70, 1, 0)</f>
        <v>1</v>
      </c>
      <c r="K70" s="244">
        <f>+D70+H70</f>
        <v>215</v>
      </c>
      <c r="L70" s="292">
        <f>E70+I70</f>
        <v>230</v>
      </c>
      <c r="M70" s="358">
        <f>IF(L70&gt;K70, 1, 0)</f>
        <v>1</v>
      </c>
      <c r="N70" s="320">
        <f>(+H70-D70)</f>
        <v>-9</v>
      </c>
      <c r="O70" s="359">
        <f>I70-E70</f>
        <v>-16</v>
      </c>
      <c r="P70" s="410">
        <f>IF(OR(AND(N70&gt;0,O70&gt;0),AND(N70&lt;0,O70&lt;0)),1,0)</f>
        <v>1</v>
      </c>
      <c r="Q70" s="289">
        <f>WEEKNUM(tblResultadosNBA[[#This Row],[Fecha]],2)</f>
        <v>44</v>
      </c>
      <c r="R70" t="str">
        <f>TEXT(tblResultadosNBA[[#This Row],[Fecha]],"mmm")</f>
        <v>oct</v>
      </c>
    </row>
    <row r="71" spans="1:18">
      <c r="A71" s="419">
        <v>45960</v>
      </c>
      <c r="B71" s="302" t="s">
        <v>706</v>
      </c>
      <c r="C71" s="177" t="str">
        <f>LEFT(B71,FIND("@",B71)-2)</f>
        <v>Golden State Warriors</v>
      </c>
      <c r="D71" s="177">
        <v>108</v>
      </c>
      <c r="E71" s="336">
        <v>110</v>
      </c>
      <c r="F71" s="327">
        <f>IF(E71&gt;D71, 1, 0)</f>
        <v>1</v>
      </c>
      <c r="G71" s="177" t="str">
        <f>MID(B71,FIND("@",B71)+2,LEN(B71)-FIND("@",B71)-1)</f>
        <v>Milwaukee Bucks</v>
      </c>
      <c r="H71" s="177">
        <v>114</v>
      </c>
      <c r="I71" s="336">
        <v>120</v>
      </c>
      <c r="J71" s="327">
        <f>IF(I71&gt;H71, 1, 0)</f>
        <v>1</v>
      </c>
      <c r="K71" s="177">
        <f>+D71+H71</f>
        <v>222</v>
      </c>
      <c r="L71" s="336">
        <f>E71+I71</f>
        <v>230</v>
      </c>
      <c r="M71" s="327">
        <f>IF(L71&gt;K71, 1, 0)</f>
        <v>1</v>
      </c>
      <c r="N71" s="337">
        <f>(+H71-D71)</f>
        <v>6</v>
      </c>
      <c r="O71" s="355">
        <f>I71-E71</f>
        <v>10</v>
      </c>
      <c r="P71" s="405">
        <f>IF(OR(AND(N71&gt;0,O71&gt;0),AND(N71&lt;0,O71&lt;0)),1,0)</f>
        <v>1</v>
      </c>
      <c r="Q71" s="289">
        <f>WEEKNUM(tblResultadosNBA[[#This Row],[Fecha]],2)</f>
        <v>44</v>
      </c>
      <c r="R71" t="str">
        <f>TEXT(tblResultadosNBA[[#This Row],[Fecha]],"mmm")</f>
        <v>oct</v>
      </c>
    </row>
    <row r="72" spans="1:18">
      <c r="A72" s="419">
        <v>45960</v>
      </c>
      <c r="B72" s="302" t="s">
        <v>707</v>
      </c>
      <c r="C72" s="177" t="str">
        <f>LEFT(B72,FIND("@",B72)-2)</f>
        <v>Washington Wizards</v>
      </c>
      <c r="D72" s="177">
        <v>115</v>
      </c>
      <c r="E72" s="336">
        <v>108</v>
      </c>
      <c r="F72" s="327">
        <f>IF(E72&gt;D72, 1, 0)</f>
        <v>0</v>
      </c>
      <c r="G72" s="177" t="str">
        <f>MID(B72,FIND("@",B72)+2,LEN(B72)-FIND("@",B72)-1)</f>
        <v>Oklahoma City Thunder</v>
      </c>
      <c r="H72" s="177">
        <v>121</v>
      </c>
      <c r="I72" s="336">
        <v>127</v>
      </c>
      <c r="J72" s="327">
        <f>IF(I72&gt;H72, 1, 0)</f>
        <v>1</v>
      </c>
      <c r="K72" s="177">
        <f>+D72+H72</f>
        <v>236</v>
      </c>
      <c r="L72" s="336">
        <f>E72+I72</f>
        <v>235</v>
      </c>
      <c r="M72" s="327">
        <f>IF(L72&gt;K72, 1, 0)</f>
        <v>0</v>
      </c>
      <c r="N72" s="337">
        <f>(+H72-D72)</f>
        <v>6</v>
      </c>
      <c r="O72" s="355">
        <f>I72-E72</f>
        <v>19</v>
      </c>
      <c r="P72" s="405">
        <f>IF(OR(AND(N72&gt;0,O72&gt;0),AND(N72&lt;0,O72&lt;0)),1,0)</f>
        <v>1</v>
      </c>
      <c r="Q72" s="289">
        <f>WEEKNUM(tblResultadosNBA[[#This Row],[Fecha]],2)</f>
        <v>44</v>
      </c>
      <c r="R72" t="str">
        <f>TEXT(tblResultadosNBA[[#This Row],[Fecha]],"mmm")</f>
        <v>oct</v>
      </c>
    </row>
    <row r="73" spans="1:18">
      <c r="A73" s="445">
        <v>45960</v>
      </c>
      <c r="B73" s="328" t="s">
        <v>708</v>
      </c>
      <c r="C73" s="299" t="str">
        <f>LEFT(B73,FIND("@",B73)-2)</f>
        <v>Miami Heat</v>
      </c>
      <c r="D73" s="299">
        <v>112</v>
      </c>
      <c r="E73" s="309">
        <v>101</v>
      </c>
      <c r="F73" s="334">
        <f>IF(E73&gt;D73, 1, 0)</f>
        <v>0</v>
      </c>
      <c r="G73" s="299" t="str">
        <f>MID(B73,FIND("@",B73)+2,LEN(B73)-FIND("@",B73)-1)</f>
        <v>San Antonio Spurs</v>
      </c>
      <c r="H73" s="299">
        <v>108</v>
      </c>
      <c r="I73" s="309">
        <v>107</v>
      </c>
      <c r="J73" s="334">
        <f>IF(I73&gt;H73, 1, 0)</f>
        <v>0</v>
      </c>
      <c r="K73" s="299">
        <f>+D73+H73</f>
        <v>220</v>
      </c>
      <c r="L73" s="309">
        <f>E73+I73</f>
        <v>208</v>
      </c>
      <c r="M73" s="334">
        <f>IF(L73&gt;K73, 1, 0)</f>
        <v>0</v>
      </c>
      <c r="N73" s="321">
        <f>(+H73-D73)</f>
        <v>-4</v>
      </c>
      <c r="O73" s="360">
        <f>I73-E73</f>
        <v>6</v>
      </c>
      <c r="P73" s="408">
        <f>IF(OR(AND(N73&gt;0,O73&gt;0),AND(N73&lt;0,O73&lt;0)),1,0)</f>
        <v>0</v>
      </c>
      <c r="Q73" s="433">
        <f>WEEKNUM(tblResultadosNBA[[#This Row],[Fecha]],2)</f>
        <v>44</v>
      </c>
      <c r="R73" s="433" t="str">
        <f>TEXT(tblResultadosNBA[[#This Row],[Fecha]],"mmm")</f>
        <v>oct</v>
      </c>
    </row>
    <row r="74" spans="1:18">
      <c r="A74" s="439">
        <v>45961</v>
      </c>
      <c r="B74" s="329" t="s">
        <v>709</v>
      </c>
      <c r="C74" s="244" t="str">
        <f>LEFT(B74,FIND("@",B74)-2)</f>
        <v>Atlanta Hawks</v>
      </c>
      <c r="D74" s="244">
        <v>112</v>
      </c>
      <c r="E74" s="292">
        <v>128</v>
      </c>
      <c r="F74" s="358">
        <f>IF(E74&gt;D74, 1, 0)</f>
        <v>1</v>
      </c>
      <c r="G74" s="244" t="str">
        <f>MID(B74,FIND("@",B74)+2,LEN(B74)-FIND("@",B74)-1)</f>
        <v>Indiana Pacers</v>
      </c>
      <c r="H74" s="244">
        <v>115</v>
      </c>
      <c r="I74" s="292">
        <v>108</v>
      </c>
      <c r="J74" s="358">
        <f>IF(I74&gt;H74, 1, 0)</f>
        <v>0</v>
      </c>
      <c r="K74" s="244">
        <f>+D74+H74</f>
        <v>227</v>
      </c>
      <c r="L74" s="292">
        <f>E74+I74</f>
        <v>236</v>
      </c>
      <c r="M74" s="358">
        <f>IF(L74&gt;K74, 1, 0)</f>
        <v>1</v>
      </c>
      <c r="N74" s="320">
        <f>(+H74-D74)</f>
        <v>3</v>
      </c>
      <c r="O74" s="359">
        <f>I74-E74</f>
        <v>-20</v>
      </c>
      <c r="P74" s="410">
        <f>IF(OR(AND(N74&gt;0,O74&gt;0),AND(N74&lt;0,O74&lt;0)),1,0)</f>
        <v>0</v>
      </c>
      <c r="Q74" s="289">
        <f>WEEKNUM(tblResultadosNBA[[#This Row],[Fecha]],2)</f>
        <v>44</v>
      </c>
      <c r="R74" t="str">
        <f>TEXT(tblResultadosNBA[[#This Row],[Fecha]],"mmm")</f>
        <v>oct</v>
      </c>
    </row>
    <row r="75" spans="1:18">
      <c r="A75" s="419">
        <v>45961</v>
      </c>
      <c r="B75" s="302" t="s">
        <v>592</v>
      </c>
      <c r="C75" s="177" t="str">
        <f>LEFT(B75,FIND("@",B75)-2)</f>
        <v>Boston Celtics</v>
      </c>
      <c r="D75" s="177">
        <v>105</v>
      </c>
      <c r="E75" s="336">
        <v>109</v>
      </c>
      <c r="F75" s="327">
        <f>IF(E75&gt;D75, 1, 0)</f>
        <v>1</v>
      </c>
      <c r="G75" s="177" t="str">
        <f>MID(B75,FIND("@",B75)+2,LEN(B75)-FIND("@",B75)-1)</f>
        <v>Philadelphia 76ers</v>
      </c>
      <c r="H75" s="177">
        <v>118</v>
      </c>
      <c r="I75" s="336">
        <v>108</v>
      </c>
      <c r="J75" s="327">
        <f>IF(I75&gt;H75, 1, 0)</f>
        <v>0</v>
      </c>
      <c r="K75" s="177">
        <f>+D75+H75</f>
        <v>223</v>
      </c>
      <c r="L75" s="336">
        <f>E75+I75</f>
        <v>217</v>
      </c>
      <c r="M75" s="327">
        <f>IF(L75&gt;K75, 1, 0)</f>
        <v>0</v>
      </c>
      <c r="N75" s="337">
        <f>(+H75-D75)</f>
        <v>13</v>
      </c>
      <c r="O75" s="355">
        <f>I75-E75</f>
        <v>-1</v>
      </c>
      <c r="P75" s="405">
        <f>IF(OR(AND(N75&gt;0,O75&gt;0),AND(N75&lt;0,O75&lt;0)),1,0)</f>
        <v>0</v>
      </c>
      <c r="Q75" s="289">
        <f>WEEKNUM(tblResultadosNBA[[#This Row],[Fecha]],2)</f>
        <v>44</v>
      </c>
      <c r="R75" t="str">
        <f>TEXT(tblResultadosNBA[[#This Row],[Fecha]],"mmm")</f>
        <v>oct</v>
      </c>
    </row>
    <row r="76" spans="1:18">
      <c r="A76" s="419">
        <v>45961</v>
      </c>
      <c r="B76" s="302" t="s">
        <v>48</v>
      </c>
      <c r="C76" s="177" t="str">
        <f>LEFT(B76,FIND("@",B76)-2)</f>
        <v>Toronto Raptors</v>
      </c>
      <c r="D76" s="177">
        <v>115</v>
      </c>
      <c r="E76" s="336">
        <v>112</v>
      </c>
      <c r="F76" s="327">
        <f>IF(E76&gt;D76, 1, 0)</f>
        <v>0</v>
      </c>
      <c r="G76" s="177" t="str">
        <f>MID(B76,FIND("@",B76)+2,LEN(B76)-FIND("@",B76)-1)</f>
        <v>Cleveland Cavaliers</v>
      </c>
      <c r="H76" s="177">
        <v>117</v>
      </c>
      <c r="I76" s="336">
        <v>101</v>
      </c>
      <c r="J76" s="327">
        <f>IF(I76&gt;H76, 1, 0)</f>
        <v>0</v>
      </c>
      <c r="K76" s="177">
        <f>+D76+H76</f>
        <v>232</v>
      </c>
      <c r="L76" s="336">
        <f>E76+I76</f>
        <v>213</v>
      </c>
      <c r="M76" s="327">
        <f>IF(L76&gt;K76, 1, 0)</f>
        <v>0</v>
      </c>
      <c r="N76" s="337">
        <f>(+H76-D76)</f>
        <v>2</v>
      </c>
      <c r="O76" s="355">
        <f>I76-E76</f>
        <v>-11</v>
      </c>
      <c r="P76" s="405">
        <f>IF(OR(AND(N76&gt;0,O76&gt;0),AND(N76&lt;0,O76&lt;0)),1,0)</f>
        <v>0</v>
      </c>
      <c r="Q76" s="289">
        <f>WEEKNUM(tblResultadosNBA[[#This Row],[Fecha]],2)</f>
        <v>44</v>
      </c>
      <c r="R76" t="str">
        <f>TEXT(tblResultadosNBA[[#This Row],[Fecha]],"mmm")</f>
        <v>oct</v>
      </c>
    </row>
    <row r="77" spans="1:18">
      <c r="A77" s="419">
        <v>45961</v>
      </c>
      <c r="B77" s="302" t="s">
        <v>390</v>
      </c>
      <c r="C77" s="177" t="str">
        <f>LEFT(B77,FIND("@",B77)-2)</f>
        <v>New York Knicks</v>
      </c>
      <c r="D77" s="177">
        <v>117</v>
      </c>
      <c r="E77" s="336">
        <v>125</v>
      </c>
      <c r="F77" s="327">
        <f>IF(E77&gt;D77, 1, 0)</f>
        <v>1</v>
      </c>
      <c r="G77" s="177" t="str">
        <f>MID(B77,FIND("@",B77)+2,LEN(B77)-FIND("@",B77)-1)</f>
        <v>Chicago Bulls</v>
      </c>
      <c r="H77" s="177">
        <v>114</v>
      </c>
      <c r="I77" s="336">
        <v>135</v>
      </c>
      <c r="J77" s="327">
        <f>IF(I77&gt;H77, 1, 0)</f>
        <v>1</v>
      </c>
      <c r="K77" s="177">
        <f>+D77+H77</f>
        <v>231</v>
      </c>
      <c r="L77" s="336">
        <f>E77+I77</f>
        <v>260</v>
      </c>
      <c r="M77" s="327">
        <f>IF(L77&gt;K77, 1, 0)</f>
        <v>1</v>
      </c>
      <c r="N77" s="337">
        <f>(+H77-D77)</f>
        <v>-3</v>
      </c>
      <c r="O77" s="355">
        <f>I77-E77</f>
        <v>10</v>
      </c>
      <c r="P77" s="405">
        <f>IF(OR(AND(N77&gt;0,O77&gt;0),AND(N77&lt;0,O77&lt;0)),1,0)</f>
        <v>0</v>
      </c>
      <c r="Q77" s="289">
        <f>WEEKNUM(tblResultadosNBA[[#This Row],[Fecha]],2)</f>
        <v>44</v>
      </c>
      <c r="R77" t="str">
        <f>TEXT(tblResultadosNBA[[#This Row],[Fecha]],"mmm")</f>
        <v>oct</v>
      </c>
    </row>
    <row r="78" spans="1:18">
      <c r="A78" s="419">
        <v>45961</v>
      </c>
      <c r="B78" s="302" t="s">
        <v>710</v>
      </c>
      <c r="C78" s="177" t="str">
        <f>LEFT(B78,FIND("@",B78)-2)</f>
        <v>Los Angeles Lakers</v>
      </c>
      <c r="D78" s="177">
        <v>112</v>
      </c>
      <c r="E78" s="336">
        <v>117</v>
      </c>
      <c r="F78" s="327">
        <f>IF(E78&gt;D78, 1, 0)</f>
        <v>1</v>
      </c>
      <c r="G78" s="177" t="str">
        <f>MID(B78,FIND("@",B78)+2,LEN(B78)-FIND("@",B78)-1)</f>
        <v>Memphis Grizzlies</v>
      </c>
      <c r="H78" s="177">
        <v>121</v>
      </c>
      <c r="I78" s="336">
        <v>112</v>
      </c>
      <c r="J78" s="327">
        <f>IF(I78&gt;H78, 1, 0)</f>
        <v>0</v>
      </c>
      <c r="K78" s="177">
        <f>+D78+H78</f>
        <v>233</v>
      </c>
      <c r="L78" s="336">
        <f>E78+I78</f>
        <v>229</v>
      </c>
      <c r="M78" s="327">
        <f>IF(L78&gt;K78, 1, 0)</f>
        <v>0</v>
      </c>
      <c r="N78" s="337">
        <f>(+H78-D78)</f>
        <v>9</v>
      </c>
      <c r="O78" s="355">
        <f>I78-E78</f>
        <v>-5</v>
      </c>
      <c r="P78" s="405">
        <f>IF(OR(AND(N78&gt;0,O78&gt;0),AND(N78&lt;0,O78&lt;0)),1,0)</f>
        <v>0</v>
      </c>
      <c r="Q78" s="289">
        <f>WEEKNUM(tblResultadosNBA[[#This Row],[Fecha]],2)</f>
        <v>44</v>
      </c>
      <c r="R78" t="str">
        <f>TEXT(tblResultadosNBA[[#This Row],[Fecha]],"mmm")</f>
        <v>oct</v>
      </c>
    </row>
    <row r="79" spans="1:18">
      <c r="A79" s="419">
        <v>45961</v>
      </c>
      <c r="B79" s="302" t="s">
        <v>522</v>
      </c>
      <c r="C79" s="177" t="str">
        <f>LEFT(B79,FIND("@",B79)-2)</f>
        <v>Utah Jazz</v>
      </c>
      <c r="D79" s="177">
        <v>115</v>
      </c>
      <c r="E79" s="336">
        <v>96</v>
      </c>
      <c r="F79" s="327">
        <f>IF(E79&gt;D79, 1, 0)</f>
        <v>0</v>
      </c>
      <c r="G79" s="177" t="str">
        <f>MID(B79,FIND("@",B79)+2,LEN(B79)-FIND("@",B79)-1)</f>
        <v>Phoenix Suns</v>
      </c>
      <c r="H79" s="177">
        <v>111</v>
      </c>
      <c r="I79" s="336">
        <v>118</v>
      </c>
      <c r="J79" s="327">
        <f>IF(I79&gt;H79, 1, 0)</f>
        <v>1</v>
      </c>
      <c r="K79" s="177">
        <f>+D79+H79</f>
        <v>226</v>
      </c>
      <c r="L79" s="336">
        <f>E79+I79</f>
        <v>214</v>
      </c>
      <c r="M79" s="327">
        <f>IF(L79&gt;K79, 1, 0)</f>
        <v>0</v>
      </c>
      <c r="N79" s="337">
        <f>(+H79-D79)</f>
        <v>-4</v>
      </c>
      <c r="O79" s="355">
        <f>I79-E79</f>
        <v>22</v>
      </c>
      <c r="P79" s="405">
        <f>IF(OR(AND(N79&gt;0,O79&gt;0),AND(N79&lt;0,O79&lt;0)),1,0)</f>
        <v>0</v>
      </c>
      <c r="Q79" s="289">
        <f>WEEKNUM(tblResultadosNBA[[#This Row],[Fecha]],2)</f>
        <v>44</v>
      </c>
      <c r="R79" t="str">
        <f>TEXT(tblResultadosNBA[[#This Row],[Fecha]],"mmm")</f>
        <v>oct</v>
      </c>
    </row>
    <row r="80" spans="1:18">
      <c r="A80" s="419">
        <v>45961</v>
      </c>
      <c r="B80" s="302" t="s">
        <v>380</v>
      </c>
      <c r="C80" s="177" t="str">
        <f>LEFT(B80,FIND("@",B80)-2)</f>
        <v>Denver Nuggets</v>
      </c>
      <c r="D80" s="177">
        <v>110</v>
      </c>
      <c r="E80" s="336">
        <v>107</v>
      </c>
      <c r="F80" s="327">
        <f>IF(E80&gt;D80, 1, 0)</f>
        <v>0</v>
      </c>
      <c r="G80" s="177" t="str">
        <f>MID(B80,FIND("@",B80)+2,LEN(B80)-FIND("@",B80)-1)</f>
        <v>Portland Trail Blazers</v>
      </c>
      <c r="H80" s="177">
        <v>117</v>
      </c>
      <c r="I80" s="336">
        <v>109</v>
      </c>
      <c r="J80" s="327">
        <f>IF(I80&gt;H80, 1, 0)</f>
        <v>0</v>
      </c>
      <c r="K80" s="177">
        <f>+D80+H80</f>
        <v>227</v>
      </c>
      <c r="L80" s="336">
        <f>E80+I80</f>
        <v>216</v>
      </c>
      <c r="M80" s="327">
        <f>IF(L80&gt;K80, 1, 0)</f>
        <v>0</v>
      </c>
      <c r="N80" s="337">
        <f>(+H80-D80)</f>
        <v>7</v>
      </c>
      <c r="O80" s="355">
        <f>I80-E80</f>
        <v>2</v>
      </c>
      <c r="P80" s="405">
        <f>IF(OR(AND(N80&gt;0,O80&gt;0),AND(N80&lt;0,O80&lt;0)),1,0)</f>
        <v>1</v>
      </c>
      <c r="Q80" s="289">
        <f>WEEKNUM(tblResultadosNBA[[#This Row],[Fecha]],2)</f>
        <v>44</v>
      </c>
      <c r="R80" t="str">
        <f>TEXT(tblResultadosNBA[[#This Row],[Fecha]],"mmm")</f>
        <v>oct</v>
      </c>
    </row>
    <row r="81" spans="1:18">
      <c r="A81" s="445">
        <v>45961</v>
      </c>
      <c r="B81" s="328" t="s">
        <v>711</v>
      </c>
      <c r="C81" s="299" t="str">
        <f>LEFT(B81,FIND("@",B81)-2)</f>
        <v>New Orleans Pelicans</v>
      </c>
      <c r="D81" s="299">
        <v>108</v>
      </c>
      <c r="E81" s="309">
        <v>124</v>
      </c>
      <c r="F81" s="334">
        <f>IF(E81&gt;D81, 1, 0)</f>
        <v>1</v>
      </c>
      <c r="G81" s="299" t="str">
        <f>MID(B81,FIND("@",B81)+2,LEN(B81)-FIND("@",B81)-1)</f>
        <v>LA Clippers</v>
      </c>
      <c r="H81" s="299">
        <v>115</v>
      </c>
      <c r="I81" s="309">
        <v>126</v>
      </c>
      <c r="J81" s="334">
        <f>IF(I81&gt;H81, 1, 0)</f>
        <v>1</v>
      </c>
      <c r="K81" s="299">
        <f>+D81+H81</f>
        <v>223</v>
      </c>
      <c r="L81" s="309">
        <f>E81+I81</f>
        <v>250</v>
      </c>
      <c r="M81" s="334">
        <f>IF(L81&gt;K81, 1, 0)</f>
        <v>1</v>
      </c>
      <c r="N81" s="321">
        <f>(+H81-D81)</f>
        <v>7</v>
      </c>
      <c r="O81" s="360">
        <f>I81-E81</f>
        <v>2</v>
      </c>
      <c r="P81" s="408">
        <f>IF(OR(AND(N81&gt;0,O81&gt;0),AND(N81&lt;0,O81&lt;0)),1,0)</f>
        <v>1</v>
      </c>
      <c r="Q81" s="433">
        <f>WEEKNUM(tblResultadosNBA[[#This Row],[Fecha]],2)</f>
        <v>44</v>
      </c>
      <c r="R81" s="433" t="str">
        <f>TEXT(tblResultadosNBA[[#This Row],[Fecha]],"mmm")</f>
        <v>oct</v>
      </c>
    </row>
    <row r="82" spans="1:18">
      <c r="A82" s="439">
        <v>45962</v>
      </c>
      <c r="B82" s="329" t="s">
        <v>712</v>
      </c>
      <c r="C82" s="244" t="str">
        <f>LEFT(B82,FIND("@",B82)-2)</f>
        <v>Sacramento Kings</v>
      </c>
      <c r="D82" s="244">
        <v>112</v>
      </c>
      <c r="E82" s="292">
        <v>135</v>
      </c>
      <c r="F82" s="358">
        <f>IF(E82&gt;D82, 1, 0)</f>
        <v>1</v>
      </c>
      <c r="G82" s="244" t="str">
        <f>MID(B82,FIND("@",B82)+2,LEN(B82)-FIND("@",B82)-1)</f>
        <v>Milwaukee Bucks</v>
      </c>
      <c r="H82" s="244">
        <v>125</v>
      </c>
      <c r="I82" s="292">
        <v>133</v>
      </c>
      <c r="J82" s="358">
        <f>IF(I82&gt;H82, 1, 0)</f>
        <v>1</v>
      </c>
      <c r="K82" s="244">
        <f>+D82+H82</f>
        <v>237</v>
      </c>
      <c r="L82" s="292">
        <f>E82+I82</f>
        <v>268</v>
      </c>
      <c r="M82" s="358">
        <f>IF(L82&gt;K82, 1, 0)</f>
        <v>1</v>
      </c>
      <c r="N82" s="320">
        <f>(+H82-D82)</f>
        <v>13</v>
      </c>
      <c r="O82" s="359">
        <f>I82-E82</f>
        <v>-2</v>
      </c>
      <c r="P82" s="410">
        <f>IF(OR(AND(N82&gt;0,O82&gt;0),AND(N82&lt;0,O82&lt;0)),1,0)</f>
        <v>0</v>
      </c>
      <c r="Q82" s="289">
        <f>WEEKNUM(tblResultadosNBA[[#This Row],[Fecha]],2)</f>
        <v>44</v>
      </c>
      <c r="R82" t="str">
        <f>TEXT(tblResultadosNBA[[#This Row],[Fecha]],"mmm")</f>
        <v>nov</v>
      </c>
    </row>
    <row r="83" spans="1:18">
      <c r="A83" s="419">
        <v>45962</v>
      </c>
      <c r="B83" s="302" t="s">
        <v>713</v>
      </c>
      <c r="C83" s="177" t="str">
        <f>LEFT(B83,FIND("@",B83)-2)</f>
        <v>Minnesota Timberwolves</v>
      </c>
      <c r="D83" s="177">
        <v>114</v>
      </c>
      <c r="E83" s="336">
        <v>122</v>
      </c>
      <c r="F83" s="327">
        <f>IF(E83&gt;D83, 1, 0)</f>
        <v>1</v>
      </c>
      <c r="G83" s="177" t="str">
        <f>MID(B83,FIND("@",B83)+2,LEN(B83)-FIND("@",B83)-1)</f>
        <v>Charlotte Hornets</v>
      </c>
      <c r="H83" s="177">
        <v>115</v>
      </c>
      <c r="I83" s="336">
        <v>105</v>
      </c>
      <c r="J83" s="327">
        <f>IF(I83&gt;H83, 1, 0)</f>
        <v>0</v>
      </c>
      <c r="K83" s="177">
        <f>+D83+H83</f>
        <v>229</v>
      </c>
      <c r="L83" s="336">
        <f>E83+I83</f>
        <v>227</v>
      </c>
      <c r="M83" s="327">
        <f>IF(L83&gt;K83, 1, 0)</f>
        <v>0</v>
      </c>
      <c r="N83" s="337">
        <f>(+H83-D83)</f>
        <v>1</v>
      </c>
      <c r="O83" s="355">
        <f>I83-E83</f>
        <v>-17</v>
      </c>
      <c r="P83" s="405">
        <f>IF(OR(AND(N83&gt;0,O83&gt;0),AND(N83&lt;0,O83&lt;0)),1,0)</f>
        <v>0</v>
      </c>
      <c r="Q83" s="289">
        <f>WEEKNUM(tblResultadosNBA[[#This Row],[Fecha]],2)</f>
        <v>44</v>
      </c>
      <c r="R83" t="str">
        <f>TEXT(tblResultadosNBA[[#This Row],[Fecha]],"mmm")</f>
        <v>nov</v>
      </c>
    </row>
    <row r="84" spans="1:18">
      <c r="A84" s="419">
        <v>45962</v>
      </c>
      <c r="B84" s="302" t="s">
        <v>714</v>
      </c>
      <c r="C84" s="177" t="str">
        <f>LEFT(B84,FIND("@",B84)-2)</f>
        <v>Golden State Warriors</v>
      </c>
      <c r="D84" s="177">
        <v>116</v>
      </c>
      <c r="E84" s="336">
        <v>109</v>
      </c>
      <c r="F84" s="327">
        <f>IF(E84&gt;D84, 1, 0)</f>
        <v>0</v>
      </c>
      <c r="G84" s="177" t="str">
        <f>MID(B84,FIND("@",B84)+2,LEN(B84)-FIND("@",B84)-1)</f>
        <v>Indiana Pacers</v>
      </c>
      <c r="H84" s="177">
        <v>118</v>
      </c>
      <c r="I84" s="336">
        <v>114</v>
      </c>
      <c r="J84" s="327">
        <f>IF(I84&gt;H84, 1, 0)</f>
        <v>0</v>
      </c>
      <c r="K84" s="177">
        <f>+D84+H84</f>
        <v>234</v>
      </c>
      <c r="L84" s="336">
        <f>E84+I84</f>
        <v>223</v>
      </c>
      <c r="M84" s="327">
        <f>IF(L84&gt;K84, 1, 0)</f>
        <v>0</v>
      </c>
      <c r="N84" s="337">
        <f>(+H84-D84)</f>
        <v>2</v>
      </c>
      <c r="O84" s="355">
        <f>I84-E84</f>
        <v>5</v>
      </c>
      <c r="P84" s="405">
        <f>IF(OR(AND(N84&gt;0,O84&gt;0),AND(N84&lt;0,O84&lt;0)),1,0)</f>
        <v>1</v>
      </c>
      <c r="Q84" s="289">
        <f>WEEKNUM(tblResultadosNBA[[#This Row],[Fecha]],2)</f>
        <v>44</v>
      </c>
      <c r="R84" t="str">
        <f>TEXT(tblResultadosNBA[[#This Row],[Fecha]],"mmm")</f>
        <v>nov</v>
      </c>
    </row>
    <row r="85" spans="1:18">
      <c r="A85" s="419">
        <v>45962</v>
      </c>
      <c r="B85" s="302" t="s">
        <v>273</v>
      </c>
      <c r="C85" s="177" t="str">
        <f>LEFT(B85,FIND("@",B85)-2)</f>
        <v>Orlando Magic</v>
      </c>
      <c r="D85" s="177">
        <v>107</v>
      </c>
      <c r="E85" s="336">
        <v>125</v>
      </c>
      <c r="F85" s="327">
        <f>IF(E85&gt;D85, 1, 0)</f>
        <v>1</v>
      </c>
      <c r="G85" s="177" t="str">
        <f>MID(B85,FIND("@",B85)+2,LEN(B85)-FIND("@",B85)-1)</f>
        <v>Washington Wizards</v>
      </c>
      <c r="H85" s="177">
        <v>114</v>
      </c>
      <c r="I85" s="336">
        <v>94</v>
      </c>
      <c r="J85" s="327">
        <f>IF(I85&gt;H85, 1, 0)</f>
        <v>0</v>
      </c>
      <c r="K85" s="177">
        <f>+D85+H85</f>
        <v>221</v>
      </c>
      <c r="L85" s="336">
        <f>E85+I85</f>
        <v>219</v>
      </c>
      <c r="M85" s="327">
        <f>IF(L85&gt;K85, 1, 0)</f>
        <v>0</v>
      </c>
      <c r="N85" s="337">
        <f>(+H85-D85)</f>
        <v>7</v>
      </c>
      <c r="O85" s="355">
        <f>I85-E85</f>
        <v>-31</v>
      </c>
      <c r="P85" s="405">
        <f>IF(OR(AND(N85&gt;0,O85&gt;0),AND(N85&lt;0,O85&lt;0)),1,0)</f>
        <v>0</v>
      </c>
      <c r="Q85" s="289">
        <f>WEEKNUM(tblResultadosNBA[[#This Row],[Fecha]],2)</f>
        <v>44</v>
      </c>
      <c r="R85" t="str">
        <f>TEXT(tblResultadosNBA[[#This Row],[Fecha]],"mmm")</f>
        <v>nov</v>
      </c>
    </row>
    <row r="86" spans="1:18">
      <c r="A86" s="419">
        <v>45962</v>
      </c>
      <c r="B86" s="302" t="s">
        <v>715</v>
      </c>
      <c r="C86" s="177" t="str">
        <f>LEFT(B86,FIND("@",B86)-2)</f>
        <v>Houston Rockets</v>
      </c>
      <c r="D86" s="177">
        <v>105</v>
      </c>
      <c r="E86" s="336">
        <v>128</v>
      </c>
      <c r="F86" s="327">
        <f>IF(E86&gt;D86, 1, 0)</f>
        <v>1</v>
      </c>
      <c r="G86" s="177" t="str">
        <f>MID(B86,FIND("@",B86)+2,LEN(B86)-FIND("@",B86)-1)</f>
        <v>Boston Celtics</v>
      </c>
      <c r="H86" s="177">
        <v>114</v>
      </c>
      <c r="I86" s="336">
        <v>101</v>
      </c>
      <c r="J86" s="327">
        <f>IF(I86&gt;H86, 1, 0)</f>
        <v>0</v>
      </c>
      <c r="K86" s="177">
        <f>+D86+H86</f>
        <v>219</v>
      </c>
      <c r="L86" s="336">
        <f>E86+I86</f>
        <v>229</v>
      </c>
      <c r="M86" s="327">
        <f>IF(L86&gt;K86, 1, 0)</f>
        <v>1</v>
      </c>
      <c r="N86" s="337">
        <f>(+H86-D86)</f>
        <v>9</v>
      </c>
      <c r="O86" s="355">
        <f>I86-E86</f>
        <v>-27</v>
      </c>
      <c r="P86" s="405">
        <f>IF(OR(AND(N86&gt;0,O86&gt;0),AND(N86&lt;0,O86&lt;0)),1,0)</f>
        <v>0</v>
      </c>
      <c r="Q86" s="289">
        <f>WEEKNUM(tblResultadosNBA[[#This Row],[Fecha]],2)</f>
        <v>44</v>
      </c>
      <c r="R86" t="str">
        <f>TEXT(tblResultadosNBA[[#This Row],[Fecha]],"mmm")</f>
        <v>nov</v>
      </c>
    </row>
    <row r="87" spans="1:18">
      <c r="A87" s="445">
        <v>45962</v>
      </c>
      <c r="B87" s="328" t="s">
        <v>716</v>
      </c>
      <c r="C87" s="299" t="str">
        <f>LEFT(B87,FIND("@",B87)-2)</f>
        <v>Dallas Mavericks</v>
      </c>
      <c r="D87" s="299">
        <v>104</v>
      </c>
      <c r="E87" s="309">
        <v>110</v>
      </c>
      <c r="F87" s="334">
        <f>IF(E87&gt;D87, 1, 0)</f>
        <v>1</v>
      </c>
      <c r="G87" s="299" t="str">
        <f>MID(B87,FIND("@",B87)+2,LEN(B87)-FIND("@",B87)-1)</f>
        <v>Detroit Pistons</v>
      </c>
      <c r="H87" s="299">
        <v>117</v>
      </c>
      <c r="I87" s="309">
        <v>122</v>
      </c>
      <c r="J87" s="334">
        <f>IF(I87&gt;H87, 1, 0)</f>
        <v>1</v>
      </c>
      <c r="K87" s="299">
        <f>+D87+H87</f>
        <v>221</v>
      </c>
      <c r="L87" s="309">
        <f>E87+I87</f>
        <v>232</v>
      </c>
      <c r="M87" s="334">
        <f>IF(L87&gt;K87, 1, 0)</f>
        <v>1</v>
      </c>
      <c r="N87" s="321">
        <f>(+H87-D87)</f>
        <v>13</v>
      </c>
      <c r="O87" s="360">
        <f>I87-E87</f>
        <v>12</v>
      </c>
      <c r="P87" s="408">
        <f>IF(OR(AND(N87&gt;0,O87&gt;0),AND(N87&lt;0,O87&lt;0)),1,0)</f>
        <v>1</v>
      </c>
      <c r="Q87" s="433">
        <f>WEEKNUM(tblResultadosNBA[[#This Row],[Fecha]],2)</f>
        <v>44</v>
      </c>
      <c r="R87" s="433" t="str">
        <f>TEXT(tblResultadosNBA[[#This Row],[Fecha]],"mmm")</f>
        <v>nov</v>
      </c>
    </row>
    <row r="88" spans="1:18">
      <c r="A88" s="439">
        <v>45963</v>
      </c>
      <c r="B88" s="329" t="s">
        <v>305</v>
      </c>
      <c r="C88" s="244" t="str">
        <f>LEFT(B88,FIND("@",B88)-2)</f>
        <v>New Orleans Pelicans</v>
      </c>
      <c r="D88" s="244">
        <v>121</v>
      </c>
      <c r="E88" s="292">
        <v>106</v>
      </c>
      <c r="F88" s="358">
        <f>IF(E88&gt;D88, 1, 0)</f>
        <v>0</v>
      </c>
      <c r="G88" s="244" t="str">
        <f>MID(B88,FIND("@",B88)+2,LEN(B88)-FIND("@",B88)-1)</f>
        <v>Oklahoma City Thunder</v>
      </c>
      <c r="H88" s="244">
        <v>118</v>
      </c>
      <c r="I88" s="292">
        <v>137</v>
      </c>
      <c r="J88" s="358">
        <f>IF(I88&gt;H88, 1, 0)</f>
        <v>1</v>
      </c>
      <c r="K88" s="244">
        <f>+D88+H88</f>
        <v>239</v>
      </c>
      <c r="L88" s="292">
        <f>E88+I88</f>
        <v>243</v>
      </c>
      <c r="M88" s="358">
        <f>IF(L88&gt;K88, 1, 0)</f>
        <v>1</v>
      </c>
      <c r="N88" s="320">
        <f>(+H88-D88)</f>
        <v>-3</v>
      </c>
      <c r="O88" s="359">
        <f>I88-E88</f>
        <v>31</v>
      </c>
      <c r="P88" s="410">
        <f>IF(OR(AND(N88&gt;0,O88&gt;0),AND(N88&lt;0,O88&lt;0)),1,0)</f>
        <v>0</v>
      </c>
      <c r="Q88" s="289">
        <f>WEEKNUM(tblResultadosNBA[[#This Row],[Fecha]],2)</f>
        <v>44</v>
      </c>
      <c r="R88" t="str">
        <f>TEXT(tblResultadosNBA[[#This Row],[Fecha]],"mmm")</f>
        <v>nov</v>
      </c>
    </row>
    <row r="89" spans="1:18">
      <c r="A89" s="419">
        <v>45963</v>
      </c>
      <c r="B89" s="302" t="s">
        <v>112</v>
      </c>
      <c r="C89" s="177" t="str">
        <f>LEFT(B89,FIND("@",B89)-2)</f>
        <v>Philadelphia 76ers</v>
      </c>
      <c r="D89" s="177">
        <v>113</v>
      </c>
      <c r="E89" s="336">
        <v>129</v>
      </c>
      <c r="F89" s="327">
        <f>IF(E89&gt;D89, 1, 0)</f>
        <v>1</v>
      </c>
      <c r="G89" s="177" t="str">
        <f>MID(B89,FIND("@",B89)+2,LEN(B89)-FIND("@",B89)-1)</f>
        <v>Brooklyn Nets</v>
      </c>
      <c r="H89" s="177">
        <v>108</v>
      </c>
      <c r="I89" s="336">
        <v>105</v>
      </c>
      <c r="J89" s="327">
        <f>IF(I89&gt;H89, 1, 0)</f>
        <v>0</v>
      </c>
      <c r="K89" s="177">
        <f>+D89+H89</f>
        <v>221</v>
      </c>
      <c r="L89" s="336">
        <f>E89+I89</f>
        <v>234</v>
      </c>
      <c r="M89" s="327">
        <f>IF(L89&gt;K89, 1, 0)</f>
        <v>1</v>
      </c>
      <c r="N89" s="337">
        <f>(+H89-D89)</f>
        <v>-5</v>
      </c>
      <c r="O89" s="355">
        <f>I89-E89</f>
        <v>-24</v>
      </c>
      <c r="P89" s="405">
        <f>IF(OR(AND(N89&gt;0,O89&gt;0),AND(N89&lt;0,O89&lt;0)),1,0)</f>
        <v>1</v>
      </c>
      <c r="Q89" s="289">
        <f>WEEKNUM(tblResultadosNBA[[#This Row],[Fecha]],2)</f>
        <v>44</v>
      </c>
      <c r="R89" t="str">
        <f>TEXT(tblResultadosNBA[[#This Row],[Fecha]],"mmm")</f>
        <v>nov</v>
      </c>
    </row>
    <row r="90" spans="1:18">
      <c r="A90" s="419">
        <v>45963</v>
      </c>
      <c r="B90" s="302" t="s">
        <v>717</v>
      </c>
      <c r="C90" s="177" t="str">
        <f>LEFT(B90,FIND("@",B90)-2)</f>
        <v>Utah Jazz</v>
      </c>
      <c r="D90" s="177">
        <v>104</v>
      </c>
      <c r="E90" s="336">
        <v>103</v>
      </c>
      <c r="F90" s="327">
        <f>IF(E90&gt;D90, 1, 0)</f>
        <v>0</v>
      </c>
      <c r="G90" s="177" t="str">
        <f>MID(B90,FIND("@",B90)+2,LEN(B90)-FIND("@",B90)-1)</f>
        <v>Charlotte Hornets</v>
      </c>
      <c r="H90" s="177">
        <v>107</v>
      </c>
      <c r="I90" s="336">
        <v>126</v>
      </c>
      <c r="J90" s="327">
        <f>IF(I90&gt;H90, 1, 0)</f>
        <v>1</v>
      </c>
      <c r="K90" s="177">
        <f>+D90+H90</f>
        <v>211</v>
      </c>
      <c r="L90" s="336">
        <f>E90+I90</f>
        <v>229</v>
      </c>
      <c r="M90" s="327">
        <f>IF(L90&gt;K90, 1, 0)</f>
        <v>1</v>
      </c>
      <c r="N90" s="337">
        <f>(+H90-D90)</f>
        <v>3</v>
      </c>
      <c r="O90" s="355">
        <f>I90-E90</f>
        <v>23</v>
      </c>
      <c r="P90" s="405">
        <f>IF(OR(AND(N90&gt;0,O90&gt;0),AND(N90&lt;0,O90&lt;0)),1,0)</f>
        <v>1</v>
      </c>
      <c r="Q90" s="289">
        <f>WEEKNUM(tblResultadosNBA[[#This Row],[Fecha]],2)</f>
        <v>44</v>
      </c>
      <c r="R90" t="str">
        <f>TEXT(tblResultadosNBA[[#This Row],[Fecha]],"mmm")</f>
        <v>nov</v>
      </c>
    </row>
    <row r="91" spans="1:18">
      <c r="A91" s="419">
        <v>45963</v>
      </c>
      <c r="B91" s="302" t="s">
        <v>573</v>
      </c>
      <c r="C91" s="177" t="str">
        <f>LEFT(B91,FIND("@",B91)-2)</f>
        <v>Atlanta Hawks</v>
      </c>
      <c r="D91" s="177">
        <v>117</v>
      </c>
      <c r="E91" s="336">
        <v>109</v>
      </c>
      <c r="F91" s="327">
        <f>IF(E91&gt;D91, 1, 0)</f>
        <v>0</v>
      </c>
      <c r="G91" s="177" t="str">
        <f>MID(B91,FIND("@",B91)+2,LEN(B91)-FIND("@",B91)-1)</f>
        <v>Cleveland Cavaliers</v>
      </c>
      <c r="H91" s="177">
        <v>127</v>
      </c>
      <c r="I91" s="336">
        <v>117</v>
      </c>
      <c r="J91" s="327">
        <f>IF(I91&gt;H91, 1, 0)</f>
        <v>0</v>
      </c>
      <c r="K91" s="177">
        <f>+D91+H91</f>
        <v>244</v>
      </c>
      <c r="L91" s="336">
        <f>E91+I91</f>
        <v>226</v>
      </c>
      <c r="M91" s="327">
        <f>IF(L91&gt;K91, 1, 0)</f>
        <v>0</v>
      </c>
      <c r="N91" s="337">
        <f>(+H91-D91)</f>
        <v>10</v>
      </c>
      <c r="O91" s="355">
        <f>I91-E91</f>
        <v>8</v>
      </c>
      <c r="P91" s="405">
        <f>IF(OR(AND(N91&gt;0,O91&gt;0),AND(N91&lt;0,O91&lt;0)),1,0)</f>
        <v>1</v>
      </c>
      <c r="Q91" s="289">
        <f>WEEKNUM(tblResultadosNBA[[#This Row],[Fecha]],2)</f>
        <v>44</v>
      </c>
      <c r="R91" t="str">
        <f>TEXT(tblResultadosNBA[[#This Row],[Fecha]],"mmm")</f>
        <v>nov</v>
      </c>
    </row>
    <row r="92" spans="1:18">
      <c r="A92" s="419">
        <v>45963</v>
      </c>
      <c r="B92" s="302" t="s">
        <v>718</v>
      </c>
      <c r="C92" s="177" t="str">
        <f>LEFT(B92,FIND("@",B92)-2)</f>
        <v>Memphis Grizzlies</v>
      </c>
      <c r="D92" s="177">
        <v>116</v>
      </c>
      <c r="E92" s="336">
        <v>104</v>
      </c>
      <c r="F92" s="327">
        <f>IF(E92&gt;D92, 1, 0)</f>
        <v>0</v>
      </c>
      <c r="G92" s="177" t="str">
        <f>MID(B92,FIND("@",B92)+2,LEN(B92)-FIND("@",B92)-1)</f>
        <v>Toronto Raptors</v>
      </c>
      <c r="H92" s="177">
        <v>111</v>
      </c>
      <c r="I92" s="336">
        <v>117</v>
      </c>
      <c r="J92" s="327">
        <f>IF(I92&gt;H92, 1, 0)</f>
        <v>1</v>
      </c>
      <c r="K92" s="177">
        <f>+D92+H92</f>
        <v>227</v>
      </c>
      <c r="L92" s="336">
        <f>E92+I92</f>
        <v>221</v>
      </c>
      <c r="M92" s="327">
        <f>IF(L92&gt;K92, 1, 0)</f>
        <v>0</v>
      </c>
      <c r="N92" s="337">
        <f>(+H92-D92)</f>
        <v>-5</v>
      </c>
      <c r="O92" s="355">
        <f>I92-E92</f>
        <v>13</v>
      </c>
      <c r="P92" s="405">
        <f>IF(OR(AND(N92&gt;0,O92&gt;0),AND(N92&lt;0,O92&lt;0)),1,0)</f>
        <v>0</v>
      </c>
      <c r="Q92" s="289">
        <f>WEEKNUM(tblResultadosNBA[[#This Row],[Fecha]],2)</f>
        <v>44</v>
      </c>
      <c r="R92" t="str">
        <f>TEXT(tblResultadosNBA[[#This Row],[Fecha]],"mmm")</f>
        <v>nov</v>
      </c>
    </row>
    <row r="93" spans="1:18">
      <c r="A93" s="419">
        <v>45963</v>
      </c>
      <c r="B93" s="302" t="s">
        <v>553</v>
      </c>
      <c r="C93" s="177" t="str">
        <f>LEFT(B93,FIND("@",B93)-2)</f>
        <v>Chicago Bulls</v>
      </c>
      <c r="D93" s="177">
        <v>112</v>
      </c>
      <c r="E93" s="336">
        <v>116</v>
      </c>
      <c r="F93" s="327">
        <f>IF(E93&gt;D93, 1, 0)</f>
        <v>1</v>
      </c>
      <c r="G93" s="177" t="str">
        <f>MID(B93,FIND("@",B93)+2,LEN(B93)-FIND("@",B93)-1)</f>
        <v>New York Knicks</v>
      </c>
      <c r="H93" s="177">
        <v>120</v>
      </c>
      <c r="I93" s="336">
        <v>128</v>
      </c>
      <c r="J93" s="327">
        <f>IF(I93&gt;H93, 1, 0)</f>
        <v>1</v>
      </c>
      <c r="K93" s="177">
        <f>+D93+H93</f>
        <v>232</v>
      </c>
      <c r="L93" s="336">
        <f>E93+I93</f>
        <v>244</v>
      </c>
      <c r="M93" s="327">
        <f>IF(L93&gt;K93, 1, 0)</f>
        <v>1</v>
      </c>
      <c r="N93" s="337">
        <f>(+H93-D93)</f>
        <v>8</v>
      </c>
      <c r="O93" s="355">
        <f>I93-E93</f>
        <v>12</v>
      </c>
      <c r="P93" s="405">
        <f>IF(OR(AND(N93&gt;0,O93&gt;0),AND(N93&lt;0,O93&lt;0)),1,0)</f>
        <v>1</v>
      </c>
      <c r="Q93" s="289">
        <f>WEEKNUM(tblResultadosNBA[[#This Row],[Fecha]],2)</f>
        <v>44</v>
      </c>
      <c r="R93" t="str">
        <f>TEXT(tblResultadosNBA[[#This Row],[Fecha]],"mmm")</f>
        <v>nov</v>
      </c>
    </row>
    <row r="94" spans="1:18">
      <c r="A94" s="419">
        <v>45963</v>
      </c>
      <c r="B94" s="302" t="s">
        <v>96</v>
      </c>
      <c r="C94" s="177" t="str">
        <f>LEFT(B94,FIND("@",B94)-2)</f>
        <v>San Antonio Spurs</v>
      </c>
      <c r="D94" s="177">
        <v>116</v>
      </c>
      <c r="E94" s="336">
        <v>118</v>
      </c>
      <c r="F94" s="327">
        <f>IF(E94&gt;D94, 1, 0)</f>
        <v>1</v>
      </c>
      <c r="G94" s="177" t="str">
        <f>MID(B94,FIND("@",B94)+2,LEN(B94)-FIND("@",B94)-1)</f>
        <v>Phoenix Suns</v>
      </c>
      <c r="H94" s="177">
        <v>107</v>
      </c>
      <c r="I94" s="336">
        <v>130</v>
      </c>
      <c r="J94" s="327">
        <f>IF(I94&gt;H94, 1, 0)</f>
        <v>1</v>
      </c>
      <c r="K94" s="177">
        <f>+D94+H94</f>
        <v>223</v>
      </c>
      <c r="L94" s="336">
        <f>E94+I94</f>
        <v>248</v>
      </c>
      <c r="M94" s="327">
        <f>IF(L94&gt;K94, 1, 0)</f>
        <v>1</v>
      </c>
      <c r="N94" s="337">
        <f>(+H94-D94)</f>
        <v>-9</v>
      </c>
      <c r="O94" s="355">
        <f>I94-E94</f>
        <v>12</v>
      </c>
      <c r="P94" s="405">
        <f>IF(OR(AND(N94&gt;0,O94&gt;0),AND(N94&lt;0,O94&lt;0)),1,0)</f>
        <v>0</v>
      </c>
      <c r="Q94" s="289">
        <f>WEEKNUM(tblResultadosNBA[[#This Row],[Fecha]],2)</f>
        <v>44</v>
      </c>
      <c r="R94" t="str">
        <f>TEXT(tblResultadosNBA[[#This Row],[Fecha]],"mmm")</f>
        <v>nov</v>
      </c>
    </row>
    <row r="95" spans="1:18">
      <c r="A95" s="445">
        <v>45963</v>
      </c>
      <c r="B95" s="328" t="s">
        <v>719</v>
      </c>
      <c r="C95" s="299" t="str">
        <f>LEFT(B95,FIND("@",B95)-2)</f>
        <v>Miami Heat</v>
      </c>
      <c r="D95" s="299">
        <v>103</v>
      </c>
      <c r="E95" s="309">
        <v>120</v>
      </c>
      <c r="F95" s="334">
        <f>IF(E95&gt;D95, 1, 0)</f>
        <v>1</v>
      </c>
      <c r="G95" s="299" t="str">
        <f>MID(B95,FIND("@",B95)+2,LEN(B95)-FIND("@",B95)-1)</f>
        <v>Los Angeles Lakers</v>
      </c>
      <c r="H95" s="299">
        <v>111</v>
      </c>
      <c r="I95" s="309">
        <v>130</v>
      </c>
      <c r="J95" s="334">
        <f>IF(I95&gt;H95, 1, 0)</f>
        <v>1</v>
      </c>
      <c r="K95" s="299">
        <f>+D95+H95</f>
        <v>214</v>
      </c>
      <c r="L95" s="309">
        <f>E95+I95</f>
        <v>250</v>
      </c>
      <c r="M95" s="334">
        <f>IF(L95&gt;K95, 1, 0)</f>
        <v>1</v>
      </c>
      <c r="N95" s="321">
        <f>(+H95-D95)</f>
        <v>8</v>
      </c>
      <c r="O95" s="360">
        <f>I95-E95</f>
        <v>10</v>
      </c>
      <c r="P95" s="408">
        <f>IF(OR(AND(N95&gt;0,O95&gt;0),AND(N95&lt;0,O95&lt;0)),1,0)</f>
        <v>1</v>
      </c>
      <c r="Q95" s="433">
        <f>WEEKNUM(tblResultadosNBA[[#This Row],[Fecha]],2)</f>
        <v>44</v>
      </c>
      <c r="R95" s="433" t="str">
        <f>TEXT(tblResultadosNBA[[#This Row],[Fecha]],"mmm")</f>
        <v>nov</v>
      </c>
    </row>
    <row r="96" spans="1:18">
      <c r="A96" s="439">
        <v>45964</v>
      </c>
      <c r="B96" s="329" t="s">
        <v>720</v>
      </c>
      <c r="C96" s="244" t="str">
        <f>LEFT(B96,FIND("@",B96)-2)</f>
        <v>Minnesota Timberwolves</v>
      </c>
      <c r="D96" s="244">
        <v>123</v>
      </c>
      <c r="E96" s="292">
        <v>125</v>
      </c>
      <c r="F96" s="358">
        <f>IF(E96&gt;D96, 1, 0)</f>
        <v>1</v>
      </c>
      <c r="G96" s="244" t="str">
        <f>MID(B96,FIND("@",B96)+2,LEN(B96)-FIND("@",B96)-1)</f>
        <v>Brooklyn Nets</v>
      </c>
      <c r="H96" s="244">
        <v>115</v>
      </c>
      <c r="I96" s="292">
        <v>109</v>
      </c>
      <c r="J96" s="358">
        <f>IF(I96&gt;H96, 1, 0)</f>
        <v>0</v>
      </c>
      <c r="K96" s="244">
        <f>+D96+H96</f>
        <v>238</v>
      </c>
      <c r="L96" s="292">
        <f>E96+I96</f>
        <v>234</v>
      </c>
      <c r="M96" s="358">
        <f>IF(L96&gt;K96, 1, 0)</f>
        <v>0</v>
      </c>
      <c r="N96" s="320">
        <f>(+H96-D96)</f>
        <v>-8</v>
      </c>
      <c r="O96" s="359">
        <f>I96-E96</f>
        <v>-16</v>
      </c>
      <c r="P96" s="410">
        <f>IF(OR(AND(N96&gt;0,O96&gt;0),AND(N96&lt;0,O96&lt;0)),1,0)</f>
        <v>1</v>
      </c>
      <c r="Q96" s="289">
        <f>WEEKNUM(tblResultadosNBA[[#This Row],[Fecha]],2)</f>
        <v>45</v>
      </c>
      <c r="R96" t="str">
        <f>TEXT(tblResultadosNBA[[#This Row],[Fecha]],"mmm")</f>
        <v>nov</v>
      </c>
    </row>
    <row r="97" spans="1:18">
      <c r="A97" s="419">
        <v>45964</v>
      </c>
      <c r="B97" s="302" t="s">
        <v>216</v>
      </c>
      <c r="C97" s="177" t="str">
        <f>LEFT(B97,FIND("@",B97)-2)</f>
        <v>Milwaukee Bucks</v>
      </c>
      <c r="D97" s="177">
        <v>116</v>
      </c>
      <c r="E97" s="336">
        <v>117</v>
      </c>
      <c r="F97" s="327">
        <f>IF(E97&gt;D97, 1, 0)</f>
        <v>1</v>
      </c>
      <c r="G97" s="177" t="str">
        <f>MID(B97,FIND("@",B97)+2,LEN(B97)-FIND("@",B97)-1)</f>
        <v>Indiana Pacers</v>
      </c>
      <c r="H97" s="177">
        <v>114</v>
      </c>
      <c r="I97" s="336">
        <v>115</v>
      </c>
      <c r="J97" s="327">
        <f>IF(I97&gt;H97, 1, 0)</f>
        <v>1</v>
      </c>
      <c r="K97" s="177">
        <f>+D97+H97</f>
        <v>230</v>
      </c>
      <c r="L97" s="336">
        <f>E97+I97</f>
        <v>232</v>
      </c>
      <c r="M97" s="327">
        <f>IF(L97&gt;K97, 1, 0)</f>
        <v>1</v>
      </c>
      <c r="N97" s="337">
        <f>(+H97-D97)</f>
        <v>-2</v>
      </c>
      <c r="O97" s="355">
        <f>I97-E97</f>
        <v>-2</v>
      </c>
      <c r="P97" s="405">
        <f>IF(OR(AND(N97&gt;0,O97&gt;0),AND(N97&lt;0,O97&lt;0)),1,0)</f>
        <v>1</v>
      </c>
      <c r="Q97" s="289">
        <f>WEEKNUM(tblResultadosNBA[[#This Row],[Fecha]],2)</f>
        <v>45</v>
      </c>
      <c r="R97" t="str">
        <f>TEXT(tblResultadosNBA[[#This Row],[Fecha]],"mmm")</f>
        <v>nov</v>
      </c>
    </row>
    <row r="98" spans="1:18">
      <c r="A98" s="419">
        <v>45964</v>
      </c>
      <c r="B98" s="302" t="s">
        <v>721</v>
      </c>
      <c r="C98" s="177" t="str">
        <f>LEFT(B98,FIND("@",B98)-2)</f>
        <v>Utah Jazz</v>
      </c>
      <c r="D98" s="177">
        <v>95</v>
      </c>
      <c r="E98" s="336">
        <v>105</v>
      </c>
      <c r="F98" s="327">
        <f>IF(E98&gt;D98, 1, 0)</f>
        <v>1</v>
      </c>
      <c r="G98" s="177" t="str">
        <f>MID(B98,FIND("@",B98)+2,LEN(B98)-FIND("@",B98)-1)</f>
        <v>Boston Celtics</v>
      </c>
      <c r="H98" s="177">
        <v>108</v>
      </c>
      <c r="I98" s="336">
        <v>103</v>
      </c>
      <c r="J98" s="327">
        <f>IF(I98&gt;H98, 1, 0)</f>
        <v>0</v>
      </c>
      <c r="K98" s="177">
        <f>+D98+H98</f>
        <v>203</v>
      </c>
      <c r="L98" s="336">
        <f>E98+I98</f>
        <v>208</v>
      </c>
      <c r="M98" s="327">
        <f>IF(L98&gt;K98, 1, 0)</f>
        <v>1</v>
      </c>
      <c r="N98" s="337">
        <f>(+H98-D98)</f>
        <v>13</v>
      </c>
      <c r="O98" s="355">
        <f>I98-E98</f>
        <v>-2</v>
      </c>
      <c r="P98" s="405">
        <f>IF(OR(AND(N98&gt;0,O98&gt;0),AND(N98&lt;0,O98&lt;0)),1,0)</f>
        <v>0</v>
      </c>
      <c r="Q98" s="289">
        <f>WEEKNUM(tblResultadosNBA[[#This Row],[Fecha]],2)</f>
        <v>45</v>
      </c>
      <c r="R98" t="str">
        <f>TEXT(tblResultadosNBA[[#This Row],[Fecha]],"mmm")</f>
        <v>nov</v>
      </c>
    </row>
    <row r="99" spans="1:18">
      <c r="A99" s="419">
        <v>45964</v>
      </c>
      <c r="B99" s="302" t="s">
        <v>493</v>
      </c>
      <c r="C99" s="177" t="str">
        <f>LEFT(B99,FIND("@",B99)-2)</f>
        <v>Washington Wizards</v>
      </c>
      <c r="D99" s="177">
        <v>115</v>
      </c>
      <c r="E99" s="336">
        <v>102</v>
      </c>
      <c r="F99" s="327">
        <f>IF(E99&gt;D99, 1, 0)</f>
        <v>0</v>
      </c>
      <c r="G99" s="177" t="str">
        <f>MID(B99,FIND("@",B99)+2,LEN(B99)-FIND("@",B99)-1)</f>
        <v>New York Knicks</v>
      </c>
      <c r="H99" s="177">
        <v>119</v>
      </c>
      <c r="I99" s="336">
        <v>119</v>
      </c>
      <c r="J99" s="327">
        <f>IF(I99&gt;H99, 1, 0)</f>
        <v>0</v>
      </c>
      <c r="K99" s="177">
        <f>+D99+H99</f>
        <v>234</v>
      </c>
      <c r="L99" s="336">
        <f>E99+I99</f>
        <v>221</v>
      </c>
      <c r="M99" s="327">
        <f>IF(L99&gt;K99, 1, 0)</f>
        <v>0</v>
      </c>
      <c r="N99" s="337">
        <f>(+H99-D99)</f>
        <v>4</v>
      </c>
      <c r="O99" s="355">
        <f>I99-E99</f>
        <v>17</v>
      </c>
      <c r="P99" s="405">
        <f>IF(OR(AND(N99&gt;0,O99&gt;0),AND(N99&lt;0,O99&lt;0)),1,0)</f>
        <v>1</v>
      </c>
      <c r="Q99" s="289">
        <f>WEEKNUM(tblResultadosNBA[[#This Row],[Fecha]],2)</f>
        <v>45</v>
      </c>
      <c r="R99" t="str">
        <f>TEXT(tblResultadosNBA[[#This Row],[Fecha]],"mmm")</f>
        <v>nov</v>
      </c>
    </row>
    <row r="100" spans="1:18">
      <c r="A100" s="419">
        <v>45964</v>
      </c>
      <c r="B100" s="302" t="s">
        <v>722</v>
      </c>
      <c r="C100" s="177" t="str">
        <f>LEFT(B100,FIND("@",B100)-2)</f>
        <v>Dallas Mavericks</v>
      </c>
      <c r="D100" s="177">
        <v>119</v>
      </c>
      <c r="E100" s="336">
        <v>102</v>
      </c>
      <c r="F100" s="327">
        <f>IF(E100&gt;D100, 1, 0)</f>
        <v>0</v>
      </c>
      <c r="G100" s="177" t="str">
        <f>MID(B100,FIND("@",B100)+2,LEN(B100)-FIND("@",B100)-1)</f>
        <v>Houston Rockets</v>
      </c>
      <c r="H100" s="177">
        <v>109</v>
      </c>
      <c r="I100" s="336">
        <v>110</v>
      </c>
      <c r="J100" s="327">
        <f>IF(I100&gt;H100, 1, 0)</f>
        <v>1</v>
      </c>
      <c r="K100" s="177">
        <f>+D100+H100</f>
        <v>228</v>
      </c>
      <c r="L100" s="336">
        <f>E100+I100</f>
        <v>212</v>
      </c>
      <c r="M100" s="327">
        <f>IF(L100&gt;K100, 1, 0)</f>
        <v>0</v>
      </c>
      <c r="N100" s="337">
        <f>(+H100-D100)</f>
        <v>-10</v>
      </c>
      <c r="O100" s="355">
        <f>I100-E100</f>
        <v>8</v>
      </c>
      <c r="P100" s="405">
        <f>IF(OR(AND(N100&gt;0,O100&gt;0),AND(N100&lt;0,O100&lt;0)),1,0)</f>
        <v>0</v>
      </c>
      <c r="Q100" s="289">
        <f>WEEKNUM(tblResultadosNBA[[#This Row],[Fecha]],2)</f>
        <v>45</v>
      </c>
      <c r="R100" t="str">
        <f>TEXT(tblResultadosNBA[[#This Row],[Fecha]],"mmm")</f>
        <v>nov</v>
      </c>
    </row>
    <row r="101" spans="1:18">
      <c r="A101" s="419">
        <v>45964</v>
      </c>
      <c r="B101" s="302" t="s">
        <v>723</v>
      </c>
      <c r="C101" s="177" t="str">
        <f>LEFT(B101,FIND("@",B101)-2)</f>
        <v>Detroit Pistons</v>
      </c>
      <c r="D101" s="177">
        <v>108</v>
      </c>
      <c r="E101" s="336">
        <v>114</v>
      </c>
      <c r="F101" s="327">
        <f>IF(E101&gt;D101, 1, 0)</f>
        <v>1</v>
      </c>
      <c r="G101" s="177" t="str">
        <f>MID(B101,FIND("@",B101)+2,LEN(B101)-FIND("@",B101)-1)</f>
        <v>Memphis Grizzlies</v>
      </c>
      <c r="H101" s="177">
        <v>120</v>
      </c>
      <c r="I101" s="336">
        <v>106</v>
      </c>
      <c r="J101" s="327">
        <f>IF(I101&gt;H101, 1, 0)</f>
        <v>0</v>
      </c>
      <c r="K101" s="177">
        <f>+D101+H101</f>
        <v>228</v>
      </c>
      <c r="L101" s="336">
        <f>E101+I101</f>
        <v>220</v>
      </c>
      <c r="M101" s="327">
        <f>IF(L101&gt;K101, 1, 0)</f>
        <v>0</v>
      </c>
      <c r="N101" s="337">
        <f>(+H101-D101)</f>
        <v>12</v>
      </c>
      <c r="O101" s="355">
        <f>I101-E101</f>
        <v>-8</v>
      </c>
      <c r="P101" s="405">
        <f>IF(OR(AND(N101&gt;0,O101&gt;0),AND(N101&lt;0,O101&lt;0)),1,0)</f>
        <v>0</v>
      </c>
      <c r="Q101" s="289">
        <f>WEEKNUM(tblResultadosNBA[[#This Row],[Fecha]],2)</f>
        <v>45</v>
      </c>
      <c r="R101" t="str">
        <f>TEXT(tblResultadosNBA[[#This Row],[Fecha]],"mmm")</f>
        <v>nov</v>
      </c>
    </row>
    <row r="102" spans="1:18">
      <c r="A102" s="419">
        <v>45964</v>
      </c>
      <c r="B102" s="302" t="s">
        <v>724</v>
      </c>
      <c r="C102" s="177" t="str">
        <f>LEFT(B102,FIND("@",B102)-2)</f>
        <v>Sacramento Kings</v>
      </c>
      <c r="D102" s="177">
        <v>115</v>
      </c>
      <c r="E102" s="336">
        <v>124</v>
      </c>
      <c r="F102" s="327">
        <f>IF(E102&gt;D102, 1, 0)</f>
        <v>1</v>
      </c>
      <c r="G102" s="177" t="str">
        <f>MID(B102,FIND("@",B102)+2,LEN(B102)-FIND("@",B102)-1)</f>
        <v>Denver Nuggets</v>
      </c>
      <c r="H102" s="177">
        <v>110</v>
      </c>
      <c r="I102" s="336">
        <v>130</v>
      </c>
      <c r="J102" s="327">
        <f>IF(I102&gt;H102, 1, 0)</f>
        <v>1</v>
      </c>
      <c r="K102" s="177">
        <f>+D102+H102</f>
        <v>225</v>
      </c>
      <c r="L102" s="336">
        <f>E102+I102</f>
        <v>254</v>
      </c>
      <c r="M102" s="327">
        <f>IF(L102&gt;K102, 1, 0)</f>
        <v>1</v>
      </c>
      <c r="N102" s="337">
        <f>(+H102-D102)</f>
        <v>-5</v>
      </c>
      <c r="O102" s="355">
        <f>I102-E102</f>
        <v>6</v>
      </c>
      <c r="P102" s="405">
        <f>IF(OR(AND(N102&gt;0,O102&gt;0),AND(N102&lt;0,O102&lt;0)),1,0)</f>
        <v>0</v>
      </c>
      <c r="Q102" s="289">
        <f>WEEKNUM(tblResultadosNBA[[#This Row],[Fecha]],2)</f>
        <v>45</v>
      </c>
      <c r="R102" t="str">
        <f>TEXT(tblResultadosNBA[[#This Row],[Fecha]],"mmm")</f>
        <v>nov</v>
      </c>
    </row>
    <row r="103" spans="1:18">
      <c r="A103" s="419">
        <v>45964</v>
      </c>
      <c r="B103" s="302" t="s">
        <v>725</v>
      </c>
      <c r="C103" s="177" t="str">
        <f>LEFT(B103,FIND("@",B103)-2)</f>
        <v>Los Angeles Lakers</v>
      </c>
      <c r="D103" s="177">
        <v>109</v>
      </c>
      <c r="E103" s="336">
        <v>123</v>
      </c>
      <c r="F103" s="327">
        <f>IF(E103&gt;D103, 1, 0)</f>
        <v>1</v>
      </c>
      <c r="G103" s="177" t="str">
        <f>MID(B103,FIND("@",B103)+2,LEN(B103)-FIND("@",B103)-1)</f>
        <v>Portland Trail Blazers</v>
      </c>
      <c r="H103" s="177">
        <v>114</v>
      </c>
      <c r="I103" s="336">
        <v>115</v>
      </c>
      <c r="J103" s="327">
        <f>IF(I103&gt;H103, 1, 0)</f>
        <v>1</v>
      </c>
      <c r="K103" s="177">
        <f>+D103+H103</f>
        <v>223</v>
      </c>
      <c r="L103" s="336">
        <f>E103+I103</f>
        <v>238</v>
      </c>
      <c r="M103" s="327">
        <f>IF(L103&gt;K103, 1, 0)</f>
        <v>1</v>
      </c>
      <c r="N103" s="337">
        <f>(+H103-D103)</f>
        <v>5</v>
      </c>
      <c r="O103" s="355">
        <f>I103-E103</f>
        <v>-8</v>
      </c>
      <c r="P103" s="405">
        <f>IF(OR(AND(N103&gt;0,O103&gt;0),AND(N103&lt;0,O103&lt;0)),1,0)</f>
        <v>0</v>
      </c>
      <c r="Q103" s="289">
        <f>WEEKNUM(tblResultadosNBA[[#This Row],[Fecha]],2)</f>
        <v>45</v>
      </c>
      <c r="R103" t="str">
        <f>TEXT(tblResultadosNBA[[#This Row],[Fecha]],"mmm")</f>
        <v>nov</v>
      </c>
    </row>
    <row r="104" spans="1:18">
      <c r="A104" s="445">
        <v>45964</v>
      </c>
      <c r="B104" s="328" t="s">
        <v>726</v>
      </c>
      <c r="C104" s="299" t="str">
        <f>LEFT(B104,FIND("@",B104)-2)</f>
        <v>Miami Heat</v>
      </c>
      <c r="D104" s="299">
        <v>114</v>
      </c>
      <c r="E104" s="309">
        <v>120</v>
      </c>
      <c r="F104" s="334">
        <f>IF(E104&gt;D104, 1, 0)</f>
        <v>1</v>
      </c>
      <c r="G104" s="299" t="str">
        <f>MID(B104,FIND("@",B104)+2,LEN(B104)-FIND("@",B104)-1)</f>
        <v>LA Clippers</v>
      </c>
      <c r="H104" s="299">
        <v>118</v>
      </c>
      <c r="I104" s="309">
        <v>119</v>
      </c>
      <c r="J104" s="334">
        <f>IF(I104&gt;H104, 1, 0)</f>
        <v>1</v>
      </c>
      <c r="K104" s="299">
        <f>+D104+H104</f>
        <v>232</v>
      </c>
      <c r="L104" s="309">
        <f>E104+I104</f>
        <v>239</v>
      </c>
      <c r="M104" s="334">
        <f>IF(L104&gt;K104, 1, 0)</f>
        <v>1</v>
      </c>
      <c r="N104" s="321">
        <f>(+H104-D104)</f>
        <v>4</v>
      </c>
      <c r="O104" s="360">
        <f>I104-E104</f>
        <v>-1</v>
      </c>
      <c r="P104" s="408">
        <f>IF(OR(AND(N104&gt;0,O104&gt;0),AND(N104&lt;0,O104&lt;0)),1,0)</f>
        <v>0</v>
      </c>
      <c r="Q104" s="433">
        <f>WEEKNUM(tblResultadosNBA[[#This Row],[Fecha]],2)</f>
        <v>45</v>
      </c>
      <c r="R104" s="433" t="str">
        <f>TEXT(tblResultadosNBA[[#This Row],[Fecha]],"mmm")</f>
        <v>nov</v>
      </c>
    </row>
    <row r="105" spans="1:18">
      <c r="A105" s="439">
        <v>45965</v>
      </c>
      <c r="B105" s="329" t="s">
        <v>672</v>
      </c>
      <c r="C105" s="244" t="str">
        <f>LEFT(B105,FIND("@",B105)-2)</f>
        <v>Milwaukee Bucks</v>
      </c>
      <c r="D105" s="244">
        <v>125</v>
      </c>
      <c r="E105" s="292">
        <v>100</v>
      </c>
      <c r="F105" s="358">
        <f>IF(E105&gt;D105, 1, 0)</f>
        <v>0</v>
      </c>
      <c r="G105" s="244" t="str">
        <f>MID(B105,FIND("@",B105)+2,LEN(B105)-FIND("@",B105)-1)</f>
        <v>Toronto Raptors</v>
      </c>
      <c r="H105" s="244">
        <v>118</v>
      </c>
      <c r="I105" s="292">
        <v>128</v>
      </c>
      <c r="J105" s="358">
        <f>IF(I105&gt;H105, 1, 0)</f>
        <v>1</v>
      </c>
      <c r="K105" s="244">
        <f>+D105+H105</f>
        <v>243</v>
      </c>
      <c r="L105" s="292">
        <f>E105+I105</f>
        <v>228</v>
      </c>
      <c r="M105" s="358">
        <f>IF(L105&gt;K105, 1, 0)</f>
        <v>0</v>
      </c>
      <c r="N105" s="320">
        <f>(+H105-D105)</f>
        <v>-7</v>
      </c>
      <c r="O105" s="359">
        <f>I105-E105</f>
        <v>28</v>
      </c>
      <c r="P105" s="410">
        <f>IF(OR(AND(N105&gt;0,O105&gt;0),AND(N105&lt;0,O105&lt;0)),1,0)</f>
        <v>0</v>
      </c>
      <c r="Q105" s="289">
        <f>WEEKNUM(tblResultadosNBA[[#This Row],[Fecha]],2)</f>
        <v>45</v>
      </c>
      <c r="R105" t="str">
        <f>TEXT(tblResultadosNBA[[#This Row],[Fecha]],"mmm")</f>
        <v>nov</v>
      </c>
    </row>
    <row r="106" spans="1:18">
      <c r="A106" s="419">
        <v>45965</v>
      </c>
      <c r="B106" s="302" t="s">
        <v>727</v>
      </c>
      <c r="C106" s="177" t="str">
        <f>LEFT(B106,FIND("@",B106)-2)</f>
        <v>Orlando Magic</v>
      </c>
      <c r="D106" s="177">
        <v>113</v>
      </c>
      <c r="E106" s="336">
        <v>112</v>
      </c>
      <c r="F106" s="327">
        <f>IF(E106&gt;D106, 1, 0)</f>
        <v>0</v>
      </c>
      <c r="G106" s="177" t="str">
        <f>MID(B106,FIND("@",B106)+2,LEN(B106)-FIND("@",B106)-1)</f>
        <v>Atlanta Hawks</v>
      </c>
      <c r="H106" s="177">
        <v>116</v>
      </c>
      <c r="I106" s="336">
        <v>127</v>
      </c>
      <c r="J106" s="327">
        <f>IF(I106&gt;H106, 1, 0)</f>
        <v>1</v>
      </c>
      <c r="K106" s="177">
        <f>+D106+H106</f>
        <v>229</v>
      </c>
      <c r="L106" s="336">
        <f>E106+I106</f>
        <v>239</v>
      </c>
      <c r="M106" s="327">
        <f>IF(L106&gt;K106, 1, 0)</f>
        <v>1</v>
      </c>
      <c r="N106" s="337">
        <f>(+H106-D106)</f>
        <v>3</v>
      </c>
      <c r="O106" s="355">
        <f>I106-E106</f>
        <v>15</v>
      </c>
      <c r="P106" s="405">
        <f>IF(OR(AND(N106&gt;0,O106&gt;0),AND(N106&lt;0,O106&lt;0)),1,0)</f>
        <v>1</v>
      </c>
      <c r="Q106" s="289">
        <f>WEEKNUM(tblResultadosNBA[[#This Row],[Fecha]],2)</f>
        <v>45</v>
      </c>
      <c r="R106" t="str">
        <f>TEXT(tblResultadosNBA[[#This Row],[Fecha]],"mmm")</f>
        <v>nov</v>
      </c>
    </row>
    <row r="107" spans="1:18">
      <c r="A107" s="419">
        <v>45965</v>
      </c>
      <c r="B107" s="302" t="s">
        <v>728</v>
      </c>
      <c r="C107" s="177" t="str">
        <f>LEFT(B107,FIND("@",B107)-2)</f>
        <v>Philadelphia 76ers</v>
      </c>
      <c r="D107" s="177">
        <v>112</v>
      </c>
      <c r="E107" s="336">
        <v>111</v>
      </c>
      <c r="F107" s="327">
        <f>IF(E107&gt;D107, 1, 0)</f>
        <v>0</v>
      </c>
      <c r="G107" s="177" t="str">
        <f>MID(B107,FIND("@",B107)+2,LEN(B107)-FIND("@",B107)-1)</f>
        <v>Chicago Bulls</v>
      </c>
      <c r="H107" s="177">
        <v>109</v>
      </c>
      <c r="I107" s="336">
        <v>113</v>
      </c>
      <c r="J107" s="327">
        <f>IF(I107&gt;H107, 1, 0)</f>
        <v>1</v>
      </c>
      <c r="K107" s="177">
        <f>+D107+H107</f>
        <v>221</v>
      </c>
      <c r="L107" s="336">
        <f>E107+I107</f>
        <v>224</v>
      </c>
      <c r="M107" s="327">
        <f>IF(L107&gt;K107, 1, 0)</f>
        <v>1</v>
      </c>
      <c r="N107" s="337">
        <f>(+H107-D107)</f>
        <v>-3</v>
      </c>
      <c r="O107" s="355">
        <f>I107-E107</f>
        <v>2</v>
      </c>
      <c r="P107" s="405">
        <f>IF(OR(AND(N107&gt;0,O107&gt;0),AND(N107&lt;0,O107&lt;0)),1,0)</f>
        <v>0</v>
      </c>
      <c r="Q107" s="289">
        <f>WEEKNUM(tblResultadosNBA[[#This Row],[Fecha]],2)</f>
        <v>45</v>
      </c>
      <c r="R107" t="str">
        <f>TEXT(tblResultadosNBA[[#This Row],[Fecha]],"mmm")</f>
        <v>nov</v>
      </c>
    </row>
    <row r="108" spans="1:18">
      <c r="A108" s="419">
        <v>45965</v>
      </c>
      <c r="B108" s="302" t="s">
        <v>729</v>
      </c>
      <c r="C108" s="177" t="str">
        <f>LEFT(B108,FIND("@",B108)-2)</f>
        <v>Charlotte Hornets</v>
      </c>
      <c r="D108" s="177">
        <v>113</v>
      </c>
      <c r="E108" s="336">
        <v>112</v>
      </c>
      <c r="F108" s="327">
        <f>IF(E108&gt;D108, 1, 0)</f>
        <v>0</v>
      </c>
      <c r="G108" s="177" t="str">
        <f>MID(B108,FIND("@",B108)+2,LEN(B108)-FIND("@",B108)-1)</f>
        <v>New Orleans Pelicans</v>
      </c>
      <c r="H108" s="177">
        <v>120</v>
      </c>
      <c r="I108" s="336">
        <v>116</v>
      </c>
      <c r="J108" s="327">
        <f>IF(I108&gt;H108, 1, 0)</f>
        <v>0</v>
      </c>
      <c r="K108" s="177">
        <f>+D108+H108</f>
        <v>233</v>
      </c>
      <c r="L108" s="336">
        <f>E108+I108</f>
        <v>228</v>
      </c>
      <c r="M108" s="327">
        <f>IF(L108&gt;K108, 1, 0)</f>
        <v>0</v>
      </c>
      <c r="N108" s="337">
        <f>(+H108-D108)</f>
        <v>7</v>
      </c>
      <c r="O108" s="355">
        <f>I108-E108</f>
        <v>4</v>
      </c>
      <c r="P108" s="405">
        <f>IF(OR(AND(N108&gt;0,O108&gt;0),AND(N108&lt;0,O108&lt;0)),1,0)</f>
        <v>1</v>
      </c>
      <c r="Q108" s="289">
        <f>WEEKNUM(tblResultadosNBA[[#This Row],[Fecha]],2)</f>
        <v>45</v>
      </c>
      <c r="R108" t="str">
        <f>TEXT(tblResultadosNBA[[#This Row],[Fecha]],"mmm")</f>
        <v>nov</v>
      </c>
    </row>
    <row r="109" spans="1:18">
      <c r="A109" s="419">
        <v>45965</v>
      </c>
      <c r="B109" s="302" t="s">
        <v>201</v>
      </c>
      <c r="C109" s="177" t="str">
        <f>LEFT(B109,FIND("@",B109)-2)</f>
        <v>Phoenix Suns</v>
      </c>
      <c r="D109" s="177">
        <v>116</v>
      </c>
      <c r="E109" s="336">
        <v>107</v>
      </c>
      <c r="F109" s="327">
        <f>IF(E109&gt;D109, 1, 0)</f>
        <v>0</v>
      </c>
      <c r="G109" s="177" t="str">
        <f>MID(B109,FIND("@",B109)+2,LEN(B109)-FIND("@",B109)-1)</f>
        <v>Golden State Warriors</v>
      </c>
      <c r="H109" s="177">
        <v>108</v>
      </c>
      <c r="I109" s="336">
        <v>118</v>
      </c>
      <c r="J109" s="327">
        <f>IF(I109&gt;H109, 1, 0)</f>
        <v>1</v>
      </c>
      <c r="K109" s="177">
        <f>+D109+H109</f>
        <v>224</v>
      </c>
      <c r="L109" s="336">
        <f>E109+I109</f>
        <v>225</v>
      </c>
      <c r="M109" s="327">
        <f>IF(L109&gt;K109, 1, 0)</f>
        <v>1</v>
      </c>
      <c r="N109" s="337">
        <f>(+H109-D109)</f>
        <v>-8</v>
      </c>
      <c r="O109" s="355">
        <f>I109-E109</f>
        <v>11</v>
      </c>
      <c r="P109" s="405">
        <f>IF(OR(AND(N109&gt;0,O109&gt;0),AND(N109&lt;0,O109&lt;0)),1,0)</f>
        <v>0</v>
      </c>
      <c r="Q109" s="289">
        <f>WEEKNUM(tblResultadosNBA[[#This Row],[Fecha]],2)</f>
        <v>45</v>
      </c>
      <c r="R109" t="str">
        <f>TEXT(tblResultadosNBA[[#This Row],[Fecha]],"mmm")</f>
        <v>nov</v>
      </c>
    </row>
    <row r="110" spans="1:18">
      <c r="A110" s="445">
        <v>45965</v>
      </c>
      <c r="B110" s="423" t="s">
        <v>575</v>
      </c>
      <c r="C110" s="299" t="str">
        <f>LEFT(B110,FIND("@",B110)-2)</f>
        <v>Oklahoma City Thunder</v>
      </c>
      <c r="D110" s="299">
        <v>108</v>
      </c>
      <c r="E110" s="309">
        <v>126</v>
      </c>
      <c r="F110" s="334">
        <f>IF(E110&gt;D110, 1, 0)</f>
        <v>1</v>
      </c>
      <c r="G110" s="299" t="str">
        <f>MID(B110,FIND("@",B110)+2,LEN(B110)-FIND("@",B110)-1)</f>
        <v>LA Clippers</v>
      </c>
      <c r="H110" s="299">
        <v>115</v>
      </c>
      <c r="I110" s="309">
        <v>107</v>
      </c>
      <c r="J110" s="334">
        <f>IF(I110&gt;H110, 1, 0)</f>
        <v>0</v>
      </c>
      <c r="K110" s="299">
        <f>+D110+H110</f>
        <v>223</v>
      </c>
      <c r="L110" s="309">
        <f>E110+I110</f>
        <v>233</v>
      </c>
      <c r="M110" s="334">
        <f>IF(L110&gt;K110, 1, 0)</f>
        <v>1</v>
      </c>
      <c r="N110" s="321">
        <f>(+H110-D110)</f>
        <v>7</v>
      </c>
      <c r="O110" s="360">
        <f>I110-E110</f>
        <v>-19</v>
      </c>
      <c r="P110" s="408">
        <f>IF(OR(AND(N110&gt;0,O110&gt;0),AND(N110&lt;0,O110&lt;0)),1,0)</f>
        <v>0</v>
      </c>
      <c r="Q110" s="433">
        <f>WEEKNUM(tblResultadosNBA[[#This Row],[Fecha]],2)</f>
        <v>45</v>
      </c>
      <c r="R110" s="433" t="str">
        <f>TEXT(tblResultadosNBA[[#This Row],[Fecha]],"mmm")</f>
        <v>nov</v>
      </c>
    </row>
    <row r="111" spans="1:18">
      <c r="A111" s="439">
        <v>45966</v>
      </c>
      <c r="B111" s="329" t="s">
        <v>730</v>
      </c>
      <c r="C111" s="244" t="str">
        <f>LEFT(B111,FIND("@",B111)-2)</f>
        <v>Philadelphia 76ers</v>
      </c>
      <c r="D111" s="244">
        <v>124</v>
      </c>
      <c r="E111" s="292">
        <v>121</v>
      </c>
      <c r="F111" s="358">
        <f>IF(E111&gt;D111, 1, 0)</f>
        <v>0</v>
      </c>
      <c r="G111" s="244" t="str">
        <f>MID(B111,FIND("@",B111)+2,LEN(B111)-FIND("@",B111)-1)</f>
        <v>Cleveland Cavaliers</v>
      </c>
      <c r="H111" s="244">
        <v>118</v>
      </c>
      <c r="I111" s="292">
        <v>132</v>
      </c>
      <c r="J111" s="358">
        <f>IF(I111&gt;H111, 1, 0)</f>
        <v>1</v>
      </c>
      <c r="K111" s="244">
        <f>+D111+H111</f>
        <v>242</v>
      </c>
      <c r="L111" s="292">
        <f>E111+I111</f>
        <v>253</v>
      </c>
      <c r="M111" s="358">
        <f>IF(L111&gt;K111, 1, 0)</f>
        <v>1</v>
      </c>
      <c r="N111" s="320">
        <f>(+H111-D111)</f>
        <v>-6</v>
      </c>
      <c r="O111" s="359">
        <f>I111-E111</f>
        <v>11</v>
      </c>
      <c r="P111" s="410">
        <f>IF(OR(AND(N111&gt;0,O111&gt;0),AND(N111&lt;0,O111&lt;0)),1,0)</f>
        <v>0</v>
      </c>
      <c r="Q111" s="289">
        <f>WEEKNUM(tblResultadosNBA[[#This Row],[Fecha]],2)</f>
        <v>45</v>
      </c>
      <c r="R111" t="str">
        <f>TEXT(tblResultadosNBA[[#This Row],[Fecha]],"mmm")</f>
        <v>nov</v>
      </c>
    </row>
    <row r="112" spans="1:18">
      <c r="A112" s="419">
        <v>45966</v>
      </c>
      <c r="B112" s="302" t="s">
        <v>731</v>
      </c>
      <c r="C112" s="177" t="str">
        <f>LEFT(B112,FIND("@",B112)-2)</f>
        <v>Utah Jazz</v>
      </c>
      <c r="D112" s="177">
        <v>115</v>
      </c>
      <c r="E112" s="336">
        <v>103</v>
      </c>
      <c r="F112" s="327">
        <f>IF(E112&gt;D112, 1, 0)</f>
        <v>0</v>
      </c>
      <c r="G112" s="177" t="str">
        <f>MID(B112,FIND("@",B112)+2,LEN(B112)-FIND("@",B112)-1)</f>
        <v>Detroit Pistons</v>
      </c>
      <c r="H112" s="177">
        <v>111</v>
      </c>
      <c r="I112" s="336">
        <v>114</v>
      </c>
      <c r="J112" s="327">
        <f>IF(I112&gt;H112, 1, 0)</f>
        <v>1</v>
      </c>
      <c r="K112" s="177">
        <f>+D112+H112</f>
        <v>226</v>
      </c>
      <c r="L112" s="336">
        <f>E112+I112</f>
        <v>217</v>
      </c>
      <c r="M112" s="327">
        <f>IF(L112&gt;K112, 1, 0)</f>
        <v>0</v>
      </c>
      <c r="N112" s="337">
        <f>(+H112-D112)</f>
        <v>-4</v>
      </c>
      <c r="O112" s="355">
        <f>I112-E112</f>
        <v>11</v>
      </c>
      <c r="P112" s="405">
        <f>IF(OR(AND(N112&gt;0,O112&gt;0),AND(N112&lt;0,O112&lt;0)),1,0)</f>
        <v>0</v>
      </c>
      <c r="Q112" s="289">
        <f>WEEKNUM(tblResultadosNBA[[#This Row],[Fecha]],2)</f>
        <v>45</v>
      </c>
      <c r="R112" t="str">
        <f>TEXT(tblResultadosNBA[[#This Row],[Fecha]],"mmm")</f>
        <v>nov</v>
      </c>
    </row>
    <row r="113" spans="1:18">
      <c r="A113" s="419">
        <v>45966</v>
      </c>
      <c r="B113" s="302" t="s">
        <v>732</v>
      </c>
      <c r="C113" s="177" t="str">
        <f>LEFT(B113,FIND("@",B113)-2)</f>
        <v>Brooklyn Nets</v>
      </c>
      <c r="D113" s="177">
        <v>100</v>
      </c>
      <c r="E113" s="336">
        <v>112</v>
      </c>
      <c r="F113" s="327">
        <f>IF(E113&gt;D113, 1, 0)</f>
        <v>1</v>
      </c>
      <c r="G113" s="177" t="str">
        <f>MID(B113,FIND("@",B113)+2,LEN(B113)-FIND("@",B113)-1)</f>
        <v>Indiana Pacers</v>
      </c>
      <c r="H113" s="177">
        <v>112</v>
      </c>
      <c r="I113" s="336">
        <v>103</v>
      </c>
      <c r="J113" s="327">
        <f>IF(I113&gt;H113, 1, 0)</f>
        <v>0</v>
      </c>
      <c r="K113" s="177">
        <f>+D113+H113</f>
        <v>212</v>
      </c>
      <c r="L113" s="336">
        <f>E113+I113</f>
        <v>215</v>
      </c>
      <c r="M113" s="327">
        <f>IF(L113&gt;K113, 1, 0)</f>
        <v>1</v>
      </c>
      <c r="N113" s="337">
        <f>(+H113-D113)</f>
        <v>12</v>
      </c>
      <c r="O113" s="355">
        <f>I113-E113</f>
        <v>-9</v>
      </c>
      <c r="P113" s="405">
        <f>IF(OR(AND(N113&gt;0,O113&gt;0),AND(N113&lt;0,O113&lt;0)),1,0)</f>
        <v>0</v>
      </c>
      <c r="Q113" s="289">
        <f>WEEKNUM(tblResultadosNBA[[#This Row],[Fecha]],2)</f>
        <v>45</v>
      </c>
      <c r="R113" t="str">
        <f>TEXT(tblResultadosNBA[[#This Row],[Fecha]],"mmm")</f>
        <v>nov</v>
      </c>
    </row>
    <row r="114" spans="1:18">
      <c r="A114" s="419">
        <v>45966</v>
      </c>
      <c r="B114" s="302" t="s">
        <v>466</v>
      </c>
      <c r="C114" s="177" t="str">
        <f>LEFT(B114,FIND("@",B114)-2)</f>
        <v>Washington Wizards</v>
      </c>
      <c r="D114" s="177">
        <v>108</v>
      </c>
      <c r="E114" s="336">
        <v>107</v>
      </c>
      <c r="F114" s="327">
        <f>IF(E114&gt;D114, 1, 0)</f>
        <v>0</v>
      </c>
      <c r="G114" s="177" t="str">
        <f>MID(B114,FIND("@",B114)+2,LEN(B114)-FIND("@",B114)-1)</f>
        <v>Boston Celtics</v>
      </c>
      <c r="H114" s="177">
        <v>115</v>
      </c>
      <c r="I114" s="336">
        <v>136</v>
      </c>
      <c r="J114" s="327">
        <f>IF(I114&gt;H114, 1, 0)</f>
        <v>1</v>
      </c>
      <c r="K114" s="177">
        <f>+D114+H114</f>
        <v>223</v>
      </c>
      <c r="L114" s="336">
        <f>E114+I114</f>
        <v>243</v>
      </c>
      <c r="M114" s="327">
        <f>IF(L114&gt;K114, 1, 0)</f>
        <v>1</v>
      </c>
      <c r="N114" s="337">
        <f>(+H114-D114)</f>
        <v>7</v>
      </c>
      <c r="O114" s="355">
        <f>I114-E114</f>
        <v>29</v>
      </c>
      <c r="P114" s="405">
        <f>IF(OR(AND(N114&gt;0,O114&gt;0),AND(N114&lt;0,O114&lt;0)),1,0)</f>
        <v>1</v>
      </c>
      <c r="Q114" s="289">
        <f>WEEKNUM(tblResultadosNBA[[#This Row],[Fecha]],2)</f>
        <v>45</v>
      </c>
      <c r="R114" t="str">
        <f>TEXT(tblResultadosNBA[[#This Row],[Fecha]],"mmm")</f>
        <v>nov</v>
      </c>
    </row>
    <row r="115" spans="1:18">
      <c r="A115" s="419">
        <v>45966</v>
      </c>
      <c r="B115" s="302" t="s">
        <v>733</v>
      </c>
      <c r="C115" s="177" t="str">
        <f>LEFT(B115,FIND("@",B115)-2)</f>
        <v>Minnesota Timberwolves</v>
      </c>
      <c r="D115" s="177">
        <v>117</v>
      </c>
      <c r="E115" s="336">
        <v>114</v>
      </c>
      <c r="F115" s="327">
        <f>IF(E115&gt;D115, 1, 0)</f>
        <v>0</v>
      </c>
      <c r="G115" s="177" t="str">
        <f>MID(B115,FIND("@",B115)+2,LEN(B115)-FIND("@",B115)-1)</f>
        <v>New York Knicks</v>
      </c>
      <c r="H115" s="177">
        <v>109</v>
      </c>
      <c r="I115" s="336">
        <v>137</v>
      </c>
      <c r="J115" s="327">
        <f>IF(I115&gt;H115, 1, 0)</f>
        <v>1</v>
      </c>
      <c r="K115" s="177">
        <f>+D115+H115</f>
        <v>226</v>
      </c>
      <c r="L115" s="336">
        <f>E115+I115</f>
        <v>251</v>
      </c>
      <c r="M115" s="327">
        <f>IF(L115&gt;K115, 1, 0)</f>
        <v>1</v>
      </c>
      <c r="N115" s="337">
        <f>(+H115-D115)</f>
        <v>-8</v>
      </c>
      <c r="O115" s="355">
        <f>I115-E115</f>
        <v>23</v>
      </c>
      <c r="P115" s="405">
        <f>IF(OR(AND(N115&gt;0,O115&gt;0),AND(N115&lt;0,O115&lt;0)),1,0)</f>
        <v>0</v>
      </c>
      <c r="Q115" s="289">
        <f>WEEKNUM(tblResultadosNBA[[#This Row],[Fecha]],2)</f>
        <v>45</v>
      </c>
      <c r="R115" t="str">
        <f>TEXT(tblResultadosNBA[[#This Row],[Fecha]],"mmm")</f>
        <v>nov</v>
      </c>
    </row>
    <row r="116" spans="1:18">
      <c r="A116" s="419">
        <v>45966</v>
      </c>
      <c r="B116" s="302" t="s">
        <v>515</v>
      </c>
      <c r="C116" s="177" t="str">
        <f>LEFT(B116,FIND("@",B116)-2)</f>
        <v>Houston Rockets</v>
      </c>
      <c r="D116" s="177">
        <v>109</v>
      </c>
      <c r="E116" s="336">
        <v>124</v>
      </c>
      <c r="F116" s="327">
        <f>IF(E116&gt;D116, 1, 0)</f>
        <v>1</v>
      </c>
      <c r="G116" s="177" t="str">
        <f>MID(B116,FIND("@",B116)+2,LEN(B116)-FIND("@",B116)-1)</f>
        <v>Memphis Grizzlies</v>
      </c>
      <c r="H116" s="177">
        <v>120</v>
      </c>
      <c r="I116" s="336">
        <v>109</v>
      </c>
      <c r="J116" s="327">
        <f>IF(I116&gt;H116, 1, 0)</f>
        <v>0</v>
      </c>
      <c r="K116" s="177">
        <f>+D116+H116</f>
        <v>229</v>
      </c>
      <c r="L116" s="336">
        <f>E116+I116</f>
        <v>233</v>
      </c>
      <c r="M116" s="327">
        <f>IF(L116&gt;K116, 1, 0)</f>
        <v>1</v>
      </c>
      <c r="N116" s="337">
        <f>(+H116-D116)</f>
        <v>11</v>
      </c>
      <c r="O116" s="355">
        <f>I116-E116</f>
        <v>-15</v>
      </c>
      <c r="P116" s="405">
        <f>IF(OR(AND(N116&gt;0,O116&gt;0),AND(N116&lt;0,O116&lt;0)),1,0)</f>
        <v>0</v>
      </c>
      <c r="Q116" s="289">
        <f>WEEKNUM(tblResultadosNBA[[#This Row],[Fecha]],2)</f>
        <v>45</v>
      </c>
      <c r="R116" t="str">
        <f>TEXT(tblResultadosNBA[[#This Row],[Fecha]],"mmm")</f>
        <v>nov</v>
      </c>
    </row>
    <row r="117" spans="1:18">
      <c r="A117" s="419">
        <v>45966</v>
      </c>
      <c r="B117" s="302" t="s">
        <v>734</v>
      </c>
      <c r="C117" s="177" t="str">
        <f>LEFT(B117,FIND("@",B117)-2)</f>
        <v>New Orleans Pelicans</v>
      </c>
      <c r="D117" s="177">
        <v>117</v>
      </c>
      <c r="E117" s="336">
        <v>101</v>
      </c>
      <c r="F117" s="327">
        <f>IF(E117&gt;D117, 1, 0)</f>
        <v>0</v>
      </c>
      <c r="G117" s="177" t="str">
        <f>MID(B117,FIND("@",B117)+2,LEN(B117)-FIND("@",B117)-1)</f>
        <v>Dallas Mavericks</v>
      </c>
      <c r="H117" s="177">
        <v>106</v>
      </c>
      <c r="I117" s="336">
        <v>99</v>
      </c>
      <c r="J117" s="327">
        <f>IF(I117&gt;H117, 1, 0)</f>
        <v>0</v>
      </c>
      <c r="K117" s="177">
        <f>+D117+H117</f>
        <v>223</v>
      </c>
      <c r="L117" s="336">
        <f>E117+I117</f>
        <v>200</v>
      </c>
      <c r="M117" s="327">
        <f>IF(L117&gt;K117, 1, 0)</f>
        <v>0</v>
      </c>
      <c r="N117" s="337">
        <f>(+H117-D117)</f>
        <v>-11</v>
      </c>
      <c r="O117" s="355">
        <f>I117-E117</f>
        <v>-2</v>
      </c>
      <c r="P117" s="405">
        <f>IF(OR(AND(N117&gt;0,O117&gt;0),AND(N117&lt;0,O117&lt;0)),1,0)</f>
        <v>1</v>
      </c>
      <c r="Q117" s="289">
        <f>WEEKNUM(tblResultadosNBA[[#This Row],[Fecha]],2)</f>
        <v>45</v>
      </c>
      <c r="R117" t="str">
        <f>TEXT(tblResultadosNBA[[#This Row],[Fecha]],"mmm")</f>
        <v>nov</v>
      </c>
    </row>
    <row r="118" spans="1:18">
      <c r="A118" s="419">
        <v>45966</v>
      </c>
      <c r="B118" s="302" t="s">
        <v>735</v>
      </c>
      <c r="C118" s="177" t="str">
        <f>LEFT(B118,FIND("@",B118)-2)</f>
        <v>Miami Heat</v>
      </c>
      <c r="D118" s="177">
        <v>104</v>
      </c>
      <c r="E118" s="336">
        <v>112</v>
      </c>
      <c r="F118" s="327">
        <f>IF(E118&gt;D118, 1, 0)</f>
        <v>1</v>
      </c>
      <c r="G118" s="177" t="str">
        <f>MID(B118,FIND("@",B118)+2,LEN(B118)-FIND("@",B118)-1)</f>
        <v>Denver Nuggets</v>
      </c>
      <c r="H118" s="177">
        <v>112</v>
      </c>
      <c r="I118" s="336">
        <v>122</v>
      </c>
      <c r="J118" s="327">
        <f>IF(I118&gt;H118, 1, 0)</f>
        <v>1</v>
      </c>
      <c r="K118" s="177">
        <f>+D118+H118</f>
        <v>216</v>
      </c>
      <c r="L118" s="336">
        <f>E118+I118</f>
        <v>234</v>
      </c>
      <c r="M118" s="327">
        <f>IF(L118&gt;K118, 1, 0)</f>
        <v>1</v>
      </c>
      <c r="N118" s="337">
        <f>(+H118-D118)</f>
        <v>8</v>
      </c>
      <c r="O118" s="355">
        <f>I118-E118</f>
        <v>10</v>
      </c>
      <c r="P118" s="405">
        <f>IF(OR(AND(N118&gt;0,O118&gt;0),AND(N118&lt;0,O118&lt;0)),1,0)</f>
        <v>1</v>
      </c>
      <c r="Q118" s="289">
        <f>WEEKNUM(tblResultadosNBA[[#This Row],[Fecha]],2)</f>
        <v>45</v>
      </c>
      <c r="R118" t="str">
        <f>TEXT(tblResultadosNBA[[#This Row],[Fecha]],"mmm")</f>
        <v>nov</v>
      </c>
    </row>
    <row r="119" spans="1:18">
      <c r="A119" s="419">
        <v>45966</v>
      </c>
      <c r="B119" s="396" t="s">
        <v>736</v>
      </c>
      <c r="C119" s="177" t="str">
        <f>LEFT(B119,FIND("@",B119)-2)</f>
        <v>San Antonio Spurs</v>
      </c>
      <c r="D119" s="177">
        <v>107</v>
      </c>
      <c r="E119" s="336">
        <v>116</v>
      </c>
      <c r="F119" s="327">
        <f>IF(E119&gt;D119, 1, 0)</f>
        <v>1</v>
      </c>
      <c r="G119" s="177" t="str">
        <f>MID(B119,FIND("@",B119)+2,LEN(B119)-FIND("@",B119)-1)</f>
        <v>Los Angeles Lakers</v>
      </c>
      <c r="H119" s="177">
        <v>113</v>
      </c>
      <c r="I119" s="336">
        <v>118</v>
      </c>
      <c r="J119" s="327">
        <f>IF(I119&gt;H119, 1, 0)</f>
        <v>1</v>
      </c>
      <c r="K119" s="177">
        <f>+D119+H119</f>
        <v>220</v>
      </c>
      <c r="L119" s="336">
        <f>E119+I119</f>
        <v>234</v>
      </c>
      <c r="M119" s="327">
        <f>IF(L119&gt;K119, 1, 0)</f>
        <v>1</v>
      </c>
      <c r="N119" s="337">
        <f>(+H119-D119)</f>
        <v>6</v>
      </c>
      <c r="O119" s="355">
        <f>I119-E119</f>
        <v>2</v>
      </c>
      <c r="P119" s="405">
        <f>IF(OR(AND(N119&gt;0,O119&gt;0),AND(N119&lt;0,O119&lt;0)),1,0)</f>
        <v>1</v>
      </c>
      <c r="Q119" s="289">
        <f>WEEKNUM(tblResultadosNBA[[#This Row],[Fecha]],2)</f>
        <v>45</v>
      </c>
      <c r="R119" t="str">
        <f>TEXT(tblResultadosNBA[[#This Row],[Fecha]],"mmm")</f>
        <v>nov</v>
      </c>
    </row>
    <row r="120" spans="1:18">
      <c r="A120" s="419">
        <v>45966</v>
      </c>
      <c r="B120" s="396" t="s">
        <v>737</v>
      </c>
      <c r="C120" s="177" t="str">
        <f>LEFT(B120,FIND("@",B120)-2)</f>
        <v>Oklahoma City Thunder</v>
      </c>
      <c r="D120" s="177">
        <v>114</v>
      </c>
      <c r="E120" s="336">
        <v>119</v>
      </c>
      <c r="F120" s="327">
        <f>IF(E120&gt;D120, 1, 0)</f>
        <v>1</v>
      </c>
      <c r="G120" s="177" t="str">
        <f>MID(B120,FIND("@",B120)+2,LEN(B120)-FIND("@",B120)-1)</f>
        <v>Portland Trail Blazers</v>
      </c>
      <c r="H120" s="177">
        <v>117</v>
      </c>
      <c r="I120" s="336">
        <v>121</v>
      </c>
      <c r="J120" s="327">
        <f>IF(I120&gt;H120, 1, 0)</f>
        <v>1</v>
      </c>
      <c r="K120" s="177">
        <f>+D120+H120</f>
        <v>231</v>
      </c>
      <c r="L120" s="336">
        <f>E120+I120</f>
        <v>240</v>
      </c>
      <c r="M120" s="327">
        <f>IF(L120&gt;K120, 1, 0)</f>
        <v>1</v>
      </c>
      <c r="N120" s="337">
        <f>(+H120-D120)</f>
        <v>3</v>
      </c>
      <c r="O120" s="355">
        <f>I120-E120</f>
        <v>2</v>
      </c>
      <c r="P120" s="405">
        <f>IF(OR(AND(N120&gt;0,O120&gt;0),AND(N120&lt;0,O120&lt;0)),1,0)</f>
        <v>1</v>
      </c>
      <c r="Q120" s="289">
        <f>WEEKNUM(tblResultadosNBA[[#This Row],[Fecha]],2)</f>
        <v>45</v>
      </c>
      <c r="R120" t="str">
        <f>TEXT(tblResultadosNBA[[#This Row],[Fecha]],"mmm")</f>
        <v>nov</v>
      </c>
    </row>
    <row r="121" spans="1:18">
      <c r="A121" s="445">
        <v>45966</v>
      </c>
      <c r="B121" s="424" t="s">
        <v>738</v>
      </c>
      <c r="C121" s="299" t="str">
        <f>LEFT(B121,FIND("@",B121)-2)</f>
        <v>Golden State Warriors</v>
      </c>
      <c r="D121" s="299">
        <v>117</v>
      </c>
      <c r="E121" s="309">
        <v>116</v>
      </c>
      <c r="F121" s="334">
        <f>IF(E121&gt;D121, 1, 0)</f>
        <v>0</v>
      </c>
      <c r="G121" s="299" t="str">
        <f>MID(B121,FIND("@",B121)+2,LEN(B121)-FIND("@",B121)-1)</f>
        <v>Sacramento Kings</v>
      </c>
      <c r="H121" s="299">
        <v>122</v>
      </c>
      <c r="I121" s="309">
        <v>121</v>
      </c>
      <c r="J121" s="334">
        <f>IF(I121&gt;H121, 1, 0)</f>
        <v>0</v>
      </c>
      <c r="K121" s="299">
        <f>+D121+H121</f>
        <v>239</v>
      </c>
      <c r="L121" s="309">
        <f>E121+I121</f>
        <v>237</v>
      </c>
      <c r="M121" s="334">
        <f>IF(L121&gt;K121, 1, 0)</f>
        <v>0</v>
      </c>
      <c r="N121" s="321">
        <f>(+H121-D121)</f>
        <v>5</v>
      </c>
      <c r="O121" s="360">
        <f>I121-E121</f>
        <v>5</v>
      </c>
      <c r="P121" s="408">
        <f>IF(OR(AND(N121&gt;0,O121&gt;0),AND(N121&lt;0,O121&lt;0)),1,0)</f>
        <v>1</v>
      </c>
      <c r="Q121" s="433">
        <f>WEEKNUM(tblResultadosNBA[[#This Row],[Fecha]],2)</f>
        <v>45</v>
      </c>
      <c r="R121" s="433" t="str">
        <f>TEXT(tblResultadosNBA[[#This Row],[Fecha]],"mmm")</f>
        <v>nov</v>
      </c>
    </row>
    <row r="122" spans="1:18">
      <c r="A122" s="446">
        <v>45967</v>
      </c>
      <c r="B122" s="330" t="s">
        <v>328</v>
      </c>
      <c r="C122" s="312" t="str">
        <f>LEFT(B122,FIND("@",B122)-2)</f>
        <v>LA Clippers</v>
      </c>
      <c r="D122" s="312">
        <v>126</v>
      </c>
      <c r="E122" s="362">
        <v>102</v>
      </c>
      <c r="F122" s="339">
        <f>IF(E122&gt;D122, 1, 0)</f>
        <v>0</v>
      </c>
      <c r="G122" s="312" t="str">
        <f>MID(B122,FIND("@",B122)+2,LEN(B122)-FIND("@",B122)-1)</f>
        <v>Phoenix Suns</v>
      </c>
      <c r="H122" s="312">
        <v>114</v>
      </c>
      <c r="I122" s="362">
        <v>115</v>
      </c>
      <c r="J122" s="339">
        <f>IF(I122&gt;H122, 1, 0)</f>
        <v>1</v>
      </c>
      <c r="K122" s="312">
        <f>+D122+H122</f>
        <v>240</v>
      </c>
      <c r="L122" s="362">
        <f>E122+I122</f>
        <v>217</v>
      </c>
      <c r="M122" s="339">
        <f>IF(L122&gt;K122, 1, 0)</f>
        <v>0</v>
      </c>
      <c r="N122" s="363">
        <f>(+H122-D122)</f>
        <v>-12</v>
      </c>
      <c r="O122" s="364">
        <f>I122-E122</f>
        <v>13</v>
      </c>
      <c r="P122" s="409">
        <f>IF(OR(AND(N122&gt;0,O122&gt;0),AND(N122&lt;0,O122&lt;0)),1,0)</f>
        <v>0</v>
      </c>
      <c r="Q122" s="289">
        <f>WEEKNUM(tblResultadosNBA[[#This Row],[Fecha]],2)</f>
        <v>45</v>
      </c>
      <c r="R122" t="str">
        <f>TEXT(tblResultadosNBA[[#This Row],[Fecha]],"mmm")</f>
        <v>nov</v>
      </c>
    </row>
    <row r="123" spans="1:18">
      <c r="A123" s="439">
        <v>45968</v>
      </c>
      <c r="B123" s="329" t="s">
        <v>739</v>
      </c>
      <c r="C123" s="244" t="str">
        <f>LEFT(B123,FIND("@",B123)-2)</f>
        <v>Boston Celtics</v>
      </c>
      <c r="D123" s="244">
        <v>119</v>
      </c>
      <c r="E123" s="292">
        <v>110</v>
      </c>
      <c r="F123" s="358">
        <f>IF(E123&gt;D123, 1, 0)</f>
        <v>0</v>
      </c>
      <c r="G123" s="244" t="str">
        <f>MID(B123,FIND("@",B123)+2,LEN(B123)-FIND("@",B123)-1)</f>
        <v>Orlando Magic</v>
      </c>
      <c r="H123" s="244">
        <v>107</v>
      </c>
      <c r="I123" s="292">
        <v>123</v>
      </c>
      <c r="J123" s="358">
        <f>IF(I123&gt;H123, 1, 0)</f>
        <v>1</v>
      </c>
      <c r="K123" s="244">
        <f>+D123+H123</f>
        <v>226</v>
      </c>
      <c r="L123" s="292">
        <f>E123+I123</f>
        <v>233</v>
      </c>
      <c r="M123" s="358">
        <f>IF(L123&gt;K123, 1, 0)</f>
        <v>1</v>
      </c>
      <c r="N123" s="320">
        <f>(+H123-D123)</f>
        <v>-12</v>
      </c>
      <c r="O123" s="359">
        <f>I123-E123</f>
        <v>13</v>
      </c>
      <c r="P123" s="410">
        <f>IF(OR(AND(N123&gt;0,O123&gt;0),AND(N123&lt;0,O123&lt;0)),1,0)</f>
        <v>0</v>
      </c>
      <c r="Q123" s="289">
        <f>WEEKNUM(tblResultadosNBA[[#This Row],[Fecha]],2)</f>
        <v>45</v>
      </c>
      <c r="R123" t="str">
        <f>TEXT(tblResultadosNBA[[#This Row],[Fecha]],"mmm")</f>
        <v>nov</v>
      </c>
    </row>
    <row r="124" spans="1:18">
      <c r="A124" s="419">
        <v>45968</v>
      </c>
      <c r="B124" s="302" t="s">
        <v>174</v>
      </c>
      <c r="C124" s="177" t="str">
        <f>LEFT(B124,FIND("@",B124)-2)</f>
        <v>Cleveland Cavaliers</v>
      </c>
      <c r="D124" s="177">
        <v>114</v>
      </c>
      <c r="E124" s="336">
        <v>148</v>
      </c>
      <c r="F124" s="327">
        <f>IF(E124&gt;D124, 1, 0)</f>
        <v>1</v>
      </c>
      <c r="G124" s="177" t="str">
        <f>MID(B124,FIND("@",B124)+2,LEN(B124)-FIND("@",B124)-1)</f>
        <v>Washington Wizards</v>
      </c>
      <c r="H124" s="177">
        <v>112</v>
      </c>
      <c r="I124" s="336">
        <v>114</v>
      </c>
      <c r="J124" s="327">
        <f>IF(I124&gt;H124, 1, 0)</f>
        <v>1</v>
      </c>
      <c r="K124" s="177">
        <f>+D124+H124</f>
        <v>226</v>
      </c>
      <c r="L124" s="336">
        <f>E124+I124</f>
        <v>262</v>
      </c>
      <c r="M124" s="327">
        <f>IF(L124&gt;K124, 1, 0)</f>
        <v>1</v>
      </c>
      <c r="N124" s="337">
        <f>(+H124-D124)</f>
        <v>-2</v>
      </c>
      <c r="O124" s="355">
        <f>I124-E124</f>
        <v>-34</v>
      </c>
      <c r="P124" s="405">
        <f>IF(OR(AND(N124&gt;0,O124&gt;0),AND(N124&lt;0,O124&lt;0)),1,0)</f>
        <v>1</v>
      </c>
      <c r="Q124" s="289">
        <f>WEEKNUM(tblResultadosNBA[[#This Row],[Fecha]],2)</f>
        <v>45</v>
      </c>
      <c r="R124" t="str">
        <f>TEXT(tblResultadosNBA[[#This Row],[Fecha]],"mmm")</f>
        <v>nov</v>
      </c>
    </row>
    <row r="125" spans="1:18">
      <c r="A125" s="419">
        <v>45968</v>
      </c>
      <c r="B125" s="302" t="s">
        <v>667</v>
      </c>
      <c r="C125" s="177" t="str">
        <f>LEFT(B125,FIND("@",B125)-2)</f>
        <v>Toronto Raptors</v>
      </c>
      <c r="D125" s="177">
        <v>109</v>
      </c>
      <c r="E125" s="336">
        <v>109</v>
      </c>
      <c r="F125" s="327">
        <f>IF(E125&gt;D125, 1, 0)</f>
        <v>0</v>
      </c>
      <c r="G125" s="177" t="str">
        <f>MID(B125,FIND("@",B125)+2,LEN(B125)-FIND("@",B125)-1)</f>
        <v>Atlanta Hawks</v>
      </c>
      <c r="H125" s="177">
        <v>117</v>
      </c>
      <c r="I125" s="336">
        <v>97</v>
      </c>
      <c r="J125" s="327">
        <f>IF(I125&gt;H125, 1, 0)</f>
        <v>0</v>
      </c>
      <c r="K125" s="177">
        <f>+D125+H125</f>
        <v>226</v>
      </c>
      <c r="L125" s="336">
        <f>E125+I125</f>
        <v>206</v>
      </c>
      <c r="M125" s="327">
        <f>IF(L125&gt;K125, 1, 0)</f>
        <v>0</v>
      </c>
      <c r="N125" s="337">
        <f>(+H125-D125)</f>
        <v>8</v>
      </c>
      <c r="O125" s="355">
        <f>I125-E125</f>
        <v>-12</v>
      </c>
      <c r="P125" s="405">
        <f>IF(OR(AND(N125&gt;0,O125&gt;0),AND(N125&lt;0,O125&lt;0)),1,0)</f>
        <v>0</v>
      </c>
      <c r="Q125" s="289">
        <f>WEEKNUM(tblResultadosNBA[[#This Row],[Fecha]],2)</f>
        <v>45</v>
      </c>
      <c r="R125" t="str">
        <f>TEXT(tblResultadosNBA[[#This Row],[Fecha]],"mmm")</f>
        <v>nov</v>
      </c>
    </row>
    <row r="126" spans="1:18">
      <c r="A126" s="419">
        <v>45968</v>
      </c>
      <c r="B126" s="302" t="s">
        <v>446</v>
      </c>
      <c r="C126" s="177" t="str">
        <f>LEFT(B126,FIND("@",B126)-2)</f>
        <v>Detroit Pistons</v>
      </c>
      <c r="D126" s="177">
        <v>116</v>
      </c>
      <c r="E126" s="336">
        <v>125</v>
      </c>
      <c r="F126" s="327">
        <f>IF(E126&gt;D126, 1, 0)</f>
        <v>1</v>
      </c>
      <c r="G126" s="177" t="str">
        <f>MID(B126,FIND("@",B126)+2,LEN(B126)-FIND("@",B126)-1)</f>
        <v>Brooklyn Nets</v>
      </c>
      <c r="H126" s="177">
        <v>121</v>
      </c>
      <c r="I126" s="336">
        <v>107</v>
      </c>
      <c r="J126" s="327">
        <f>IF(I126&gt;H126, 1, 0)</f>
        <v>0</v>
      </c>
      <c r="K126" s="177">
        <f>+D126+H126</f>
        <v>237</v>
      </c>
      <c r="L126" s="336">
        <f>E126+I126</f>
        <v>232</v>
      </c>
      <c r="M126" s="327">
        <f>IF(L126&gt;K126, 1, 0)</f>
        <v>0</v>
      </c>
      <c r="N126" s="337">
        <f>(+H126-D126)</f>
        <v>5</v>
      </c>
      <c r="O126" s="355">
        <f>I126-E126</f>
        <v>-18</v>
      </c>
      <c r="P126" s="405">
        <f>IF(OR(AND(N126&gt;0,O126&gt;0),AND(N126&lt;0,O126&lt;0)),1,0)</f>
        <v>0</v>
      </c>
      <c r="Q126" s="289">
        <f>WEEKNUM(tblResultadosNBA[[#This Row],[Fecha]],2)</f>
        <v>45</v>
      </c>
      <c r="R126" t="str">
        <f>TEXT(tblResultadosNBA[[#This Row],[Fecha]],"mmm")</f>
        <v>nov</v>
      </c>
    </row>
    <row r="127" spans="1:18">
      <c r="A127" s="419">
        <v>45968</v>
      </c>
      <c r="B127" s="302" t="s">
        <v>740</v>
      </c>
      <c r="C127" s="177" t="str">
        <f>LEFT(B127,FIND("@",B127)-2)</f>
        <v>Houston Rockets</v>
      </c>
      <c r="D127" s="177">
        <v>117</v>
      </c>
      <c r="E127" s="336">
        <v>110</v>
      </c>
      <c r="F127" s="327">
        <f>IF(E127&gt;D127, 1, 0)</f>
        <v>0</v>
      </c>
      <c r="G127" s="177" t="str">
        <f>MID(B127,FIND("@",B127)+2,LEN(B127)-FIND("@",B127)-1)</f>
        <v>San Antonio Spurs</v>
      </c>
      <c r="H127" s="177">
        <v>108</v>
      </c>
      <c r="I127" s="336">
        <v>121</v>
      </c>
      <c r="J127" s="327">
        <f>IF(I127&gt;H127, 1, 0)</f>
        <v>1</v>
      </c>
      <c r="K127" s="177">
        <f>+D127+H127</f>
        <v>225</v>
      </c>
      <c r="L127" s="336">
        <f>E127+I127</f>
        <v>231</v>
      </c>
      <c r="M127" s="327">
        <f>IF(L127&gt;K127, 1, 0)</f>
        <v>1</v>
      </c>
      <c r="N127" s="337">
        <f>(+H127-D127)</f>
        <v>-9</v>
      </c>
      <c r="O127" s="355">
        <f>I127-E127</f>
        <v>11</v>
      </c>
      <c r="P127" s="405">
        <f>IF(OR(AND(N127&gt;0,O127&gt;0),AND(N127&lt;0,O127&lt;0)),1,0)</f>
        <v>0</v>
      </c>
      <c r="Q127" s="289">
        <f>WEEKNUM(tblResultadosNBA[[#This Row],[Fecha]],2)</f>
        <v>45</v>
      </c>
      <c r="R127" t="str">
        <f>TEXT(tblResultadosNBA[[#This Row],[Fecha]],"mmm")</f>
        <v>nov</v>
      </c>
    </row>
    <row r="128" spans="1:18">
      <c r="A128" s="419">
        <v>45968</v>
      </c>
      <c r="B128" s="302" t="s">
        <v>697</v>
      </c>
      <c r="C128" s="177" t="str">
        <f>LEFT(B128,FIND("@",B128)-2)</f>
        <v>Charlotte Hornets</v>
      </c>
      <c r="D128" s="177">
        <v>107</v>
      </c>
      <c r="E128" s="336">
        <v>108</v>
      </c>
      <c r="F128" s="327">
        <f>IF(E128&gt;D128, 1, 0)</f>
        <v>1</v>
      </c>
      <c r="G128" s="177" t="str">
        <f>MID(B128,FIND("@",B128)+2,LEN(B128)-FIND("@",B128)-1)</f>
        <v>Miami Heat</v>
      </c>
      <c r="H128" s="177">
        <v>113</v>
      </c>
      <c r="I128" s="336">
        <v>126</v>
      </c>
      <c r="J128" s="327">
        <f>IF(I128&gt;H128, 1, 0)</f>
        <v>1</v>
      </c>
      <c r="K128" s="177">
        <f>+D128+H128</f>
        <v>220</v>
      </c>
      <c r="L128" s="336">
        <f>E128+I128</f>
        <v>234</v>
      </c>
      <c r="M128" s="327">
        <f>IF(L128&gt;K128, 1, 0)</f>
        <v>1</v>
      </c>
      <c r="N128" s="337">
        <f>(+H128-D128)</f>
        <v>6</v>
      </c>
      <c r="O128" s="355">
        <f>I128-E128</f>
        <v>18</v>
      </c>
      <c r="P128" s="405">
        <f>IF(OR(AND(N128&gt;0,O128&gt;0),AND(N128&lt;0,O128&lt;0)),1,0)</f>
        <v>1</v>
      </c>
      <c r="Q128" s="289">
        <f>WEEKNUM(tblResultadosNBA[[#This Row],[Fecha]],2)</f>
        <v>45</v>
      </c>
      <c r="R128" t="str">
        <f>TEXT(tblResultadosNBA[[#This Row],[Fecha]],"mmm")</f>
        <v>nov</v>
      </c>
    </row>
    <row r="129" spans="1:18">
      <c r="A129" s="419">
        <v>45968</v>
      </c>
      <c r="B129" s="302" t="s">
        <v>458</v>
      </c>
      <c r="C129" s="177" t="str">
        <f>LEFT(B129,FIND("@",B129)-2)</f>
        <v>Dallas Mavericks</v>
      </c>
      <c r="D129" s="177">
        <v>102</v>
      </c>
      <c r="E129" s="336">
        <v>104</v>
      </c>
      <c r="F129" s="327">
        <f>IF(E129&gt;D129, 1, 0)</f>
        <v>1</v>
      </c>
      <c r="G129" s="177" t="str">
        <f>MID(B129,FIND("@",B129)+2,LEN(B129)-FIND("@",B129)-1)</f>
        <v>Memphis Grizzlies</v>
      </c>
      <c r="H129" s="177">
        <v>106</v>
      </c>
      <c r="I129" s="336">
        <v>118</v>
      </c>
      <c r="J129" s="327">
        <f>IF(I129&gt;H129, 1, 0)</f>
        <v>1</v>
      </c>
      <c r="K129" s="177">
        <f>+D129+H129</f>
        <v>208</v>
      </c>
      <c r="L129" s="336">
        <f>E129+I129</f>
        <v>222</v>
      </c>
      <c r="M129" s="327">
        <f>IF(L129&gt;K129, 1, 0)</f>
        <v>1</v>
      </c>
      <c r="N129" s="337">
        <f>(+H129-D129)</f>
        <v>4</v>
      </c>
      <c r="O129" s="355">
        <f>I129-E129</f>
        <v>14</v>
      </c>
      <c r="P129" s="405">
        <f>IF(OR(AND(N129&gt;0,O129&gt;0),AND(N129&lt;0,O129&lt;0)),1,0)</f>
        <v>1</v>
      </c>
      <c r="Q129" s="289">
        <f>WEEKNUM(tblResultadosNBA[[#This Row],[Fecha]],2)</f>
        <v>45</v>
      </c>
      <c r="R129" t="str">
        <f>TEXT(tblResultadosNBA[[#This Row],[Fecha]],"mmm")</f>
        <v>nov</v>
      </c>
    </row>
    <row r="130" spans="1:18">
      <c r="A130" s="419">
        <v>45968</v>
      </c>
      <c r="B130" s="302" t="s">
        <v>741</v>
      </c>
      <c r="C130" s="177" t="str">
        <f>LEFT(B130,FIND("@",B130)-2)</f>
        <v>Chicago Bulls</v>
      </c>
      <c r="D130" s="177">
        <v>113</v>
      </c>
      <c r="E130" s="336">
        <v>110</v>
      </c>
      <c r="F130" s="327">
        <f>IF(E130&gt;D130, 1, 0)</f>
        <v>0</v>
      </c>
      <c r="G130" s="177" t="str">
        <f>MID(B130,FIND("@",B130)+2,LEN(B130)-FIND("@",B130)-1)</f>
        <v>Milwaukee Bucks</v>
      </c>
      <c r="H130" s="177">
        <v>117</v>
      </c>
      <c r="I130" s="336">
        <v>126</v>
      </c>
      <c r="J130" s="327">
        <f>IF(I130&gt;H130, 1, 0)</f>
        <v>1</v>
      </c>
      <c r="K130" s="177">
        <f>+D130+H130</f>
        <v>230</v>
      </c>
      <c r="L130" s="336">
        <f>E130+I130</f>
        <v>236</v>
      </c>
      <c r="M130" s="327">
        <f>IF(L130&gt;K130, 1, 0)</f>
        <v>1</v>
      </c>
      <c r="N130" s="337">
        <f>(+H130-D130)</f>
        <v>4</v>
      </c>
      <c r="O130" s="355">
        <f>I130-E130</f>
        <v>16</v>
      </c>
      <c r="P130" s="405">
        <f>IF(OR(AND(N130&gt;0,O130&gt;0),AND(N130&lt;0,O130&lt;0)),1,0)</f>
        <v>1</v>
      </c>
      <c r="Q130" s="289">
        <f>WEEKNUM(tblResultadosNBA[[#This Row],[Fecha]],2)</f>
        <v>45</v>
      </c>
      <c r="R130" t="str">
        <f>TEXT(tblResultadosNBA[[#This Row],[Fecha]],"mmm")</f>
        <v>nov</v>
      </c>
    </row>
    <row r="131" spans="1:18">
      <c r="A131" s="419">
        <v>45968</v>
      </c>
      <c r="B131" s="302" t="s">
        <v>742</v>
      </c>
      <c r="C131" s="177" t="str">
        <f>LEFT(B131,FIND("@",B131)-2)</f>
        <v>Utah Jazz</v>
      </c>
      <c r="D131" s="177">
        <v>116</v>
      </c>
      <c r="E131" s="336">
        <v>97</v>
      </c>
      <c r="F131" s="327">
        <f>IF(E131&gt;D131, 1, 0)</f>
        <v>0</v>
      </c>
      <c r="G131" s="177" t="str">
        <f>MID(B131,FIND("@",B131)+2,LEN(B131)-FIND("@",B131)-1)</f>
        <v>Minnesota Timberwolves</v>
      </c>
      <c r="H131" s="177">
        <v>118</v>
      </c>
      <c r="I131" s="336">
        <v>137</v>
      </c>
      <c r="J131" s="327">
        <f>IF(I131&gt;H131, 1, 0)</f>
        <v>1</v>
      </c>
      <c r="K131" s="177">
        <f>+D131+H131</f>
        <v>234</v>
      </c>
      <c r="L131" s="336">
        <f>E131+I131</f>
        <v>234</v>
      </c>
      <c r="M131" s="327">
        <f>IF(L131&gt;K131, 1, 0)</f>
        <v>0</v>
      </c>
      <c r="N131" s="337">
        <f>(+H131-D131)</f>
        <v>2</v>
      </c>
      <c r="O131" s="355">
        <f>I131-E131</f>
        <v>40</v>
      </c>
      <c r="P131" s="405">
        <f>IF(OR(AND(N131&gt;0,O131&gt;0),AND(N131&lt;0,O131&lt;0)),1,0)</f>
        <v>1</v>
      </c>
      <c r="Q131" s="289">
        <f>WEEKNUM(tblResultadosNBA[[#This Row],[Fecha]],2)</f>
        <v>45</v>
      </c>
      <c r="R131" t="str">
        <f>TEXT(tblResultadosNBA[[#This Row],[Fecha]],"mmm")</f>
        <v>nov</v>
      </c>
    </row>
    <row r="132" spans="1:18">
      <c r="A132" s="419">
        <v>45968</v>
      </c>
      <c r="B132" s="302" t="s">
        <v>527</v>
      </c>
      <c r="C132" s="177" t="str">
        <f>LEFT(B132,FIND("@",B132)-2)</f>
        <v>Golden State Warriors</v>
      </c>
      <c r="D132" s="177">
        <v>107</v>
      </c>
      <c r="E132" s="336">
        <v>104</v>
      </c>
      <c r="F132" s="327">
        <f>IF(E132&gt;D132, 1, 0)</f>
        <v>0</v>
      </c>
      <c r="G132" s="177" t="str">
        <f>MID(B132,FIND("@",B132)+2,LEN(B132)-FIND("@",B132)-1)</f>
        <v>Denver Nuggets</v>
      </c>
      <c r="H132" s="177">
        <v>105</v>
      </c>
      <c r="I132" s="336">
        <v>129</v>
      </c>
      <c r="J132" s="327">
        <f>IF(I132&gt;H132, 1, 0)</f>
        <v>1</v>
      </c>
      <c r="K132" s="177">
        <f>+D132+H132</f>
        <v>212</v>
      </c>
      <c r="L132" s="336">
        <f>E132+I132</f>
        <v>233</v>
      </c>
      <c r="M132" s="327">
        <f>IF(L132&gt;K132, 1, 0)</f>
        <v>1</v>
      </c>
      <c r="N132" s="337">
        <f>(+H132-D132)</f>
        <v>-2</v>
      </c>
      <c r="O132" s="355">
        <f>I132-E132</f>
        <v>25</v>
      </c>
      <c r="P132" s="405">
        <f>IF(OR(AND(N132&gt;0,O132&gt;0),AND(N132&lt;0,O132&lt;0)),1,0)</f>
        <v>0</v>
      </c>
      <c r="Q132" s="289">
        <f>WEEKNUM(tblResultadosNBA[[#This Row],[Fecha]],2)</f>
        <v>45</v>
      </c>
      <c r="R132" t="str">
        <f>TEXT(tblResultadosNBA[[#This Row],[Fecha]],"mmm")</f>
        <v>nov</v>
      </c>
    </row>
    <row r="133" spans="1:18">
      <c r="A133" s="445">
        <v>45968</v>
      </c>
      <c r="B133" s="328" t="s">
        <v>743</v>
      </c>
      <c r="C133" s="299" t="str">
        <f>LEFT(B133,FIND("@",B133)-2)</f>
        <v>Oklahoma City Thunder</v>
      </c>
      <c r="D133" s="299">
        <v>121</v>
      </c>
      <c r="E133" s="309">
        <v>132</v>
      </c>
      <c r="F133" s="334">
        <f>IF(E133&gt;D133, 1, 0)</f>
        <v>1</v>
      </c>
      <c r="G133" s="299" t="str">
        <f>MID(B133,FIND("@",B133)+2,LEN(B133)-FIND("@",B133)-1)</f>
        <v>Sacramento Kings</v>
      </c>
      <c r="H133" s="299">
        <v>106</v>
      </c>
      <c r="I133" s="309">
        <v>101</v>
      </c>
      <c r="J133" s="334">
        <f>IF(I133&gt;H133, 1, 0)</f>
        <v>0</v>
      </c>
      <c r="K133" s="299">
        <f>+D133+H133</f>
        <v>227</v>
      </c>
      <c r="L133" s="309">
        <f>E133+I133</f>
        <v>233</v>
      </c>
      <c r="M133" s="334">
        <f>IF(L133&gt;K133, 1, 0)</f>
        <v>1</v>
      </c>
      <c r="N133" s="321">
        <f>(+H133-D133)</f>
        <v>-15</v>
      </c>
      <c r="O133" s="360">
        <f>I133-E133</f>
        <v>-31</v>
      </c>
      <c r="P133" s="408">
        <f>IF(OR(AND(N133&gt;0,O133&gt;0),AND(N133&lt;0,O133&lt;0)),1,0)</f>
        <v>1</v>
      </c>
      <c r="Q133" s="433">
        <f>WEEKNUM(tblResultadosNBA[[#This Row],[Fecha]],2)</f>
        <v>45</v>
      </c>
      <c r="R133" s="433" t="str">
        <f>TEXT(tblResultadosNBA[[#This Row],[Fecha]],"mmm")</f>
        <v>nov</v>
      </c>
    </row>
    <row r="134" spans="1:18">
      <c r="A134" s="439">
        <v>45969</v>
      </c>
      <c r="B134" s="329" t="s">
        <v>744</v>
      </c>
      <c r="C134" s="244" t="str">
        <f>LEFT(B134,FIND("@",B134)-2)</f>
        <v>Dallas Mavericks</v>
      </c>
      <c r="D134" s="244">
        <v>123</v>
      </c>
      <c r="E134" s="292">
        <v>111</v>
      </c>
      <c r="F134" s="358">
        <f>IF(E134&gt;D134, 1, 0)</f>
        <v>0</v>
      </c>
      <c r="G134" s="244" t="str">
        <f>MID(B134,FIND("@",B134)+2,LEN(B134)-FIND("@",B134)-1)</f>
        <v>Washington Wizards</v>
      </c>
      <c r="H134" s="244">
        <v>118</v>
      </c>
      <c r="I134" s="292">
        <v>105</v>
      </c>
      <c r="J134" s="358">
        <f>IF(I134&gt;H134, 1, 0)</f>
        <v>0</v>
      </c>
      <c r="K134" s="244">
        <f>+D134+H134</f>
        <v>241</v>
      </c>
      <c r="L134" s="292">
        <f>E134+I134</f>
        <v>216</v>
      </c>
      <c r="M134" s="358">
        <f>IF(L134&gt;K134, 1, 0)</f>
        <v>0</v>
      </c>
      <c r="N134" s="320">
        <f>(+H134-D134)</f>
        <v>-5</v>
      </c>
      <c r="O134" s="359">
        <f>I134-E134</f>
        <v>-6</v>
      </c>
      <c r="P134" s="410">
        <f>IF(OR(AND(N134&gt;0,O134&gt;0),AND(N134&lt;0,O134&lt;0)),1,0)</f>
        <v>1</v>
      </c>
      <c r="Q134" s="289">
        <f>WEEKNUM(tblResultadosNBA[[#This Row],[Fecha]],2)</f>
        <v>45</v>
      </c>
      <c r="R134" t="str">
        <f>TEXT(tblResultadosNBA[[#This Row],[Fecha]],"mmm")</f>
        <v>nov</v>
      </c>
    </row>
    <row r="135" spans="1:18">
      <c r="A135" s="419">
        <v>45969</v>
      </c>
      <c r="B135" s="302" t="s">
        <v>745</v>
      </c>
      <c r="C135" s="177" t="str">
        <f>LEFT(B135,FIND("@",B135)-2)</f>
        <v>Toronto Raptors</v>
      </c>
      <c r="D135" s="177">
        <v>112</v>
      </c>
      <c r="E135" s="336">
        <v>120</v>
      </c>
      <c r="F135" s="327">
        <f>IF(E135&gt;D135, 1, 0)</f>
        <v>1</v>
      </c>
      <c r="G135" s="177" t="str">
        <f>MID(B135,FIND("@",B135)+2,LEN(B135)-FIND("@",B135)-1)</f>
        <v>Philadelphia 76ers</v>
      </c>
      <c r="H135" s="177">
        <v>118</v>
      </c>
      <c r="I135" s="336">
        <v>130</v>
      </c>
      <c r="J135" s="327">
        <f>IF(I135&gt;H135, 1, 0)</f>
        <v>1</v>
      </c>
      <c r="K135" s="177">
        <f>+D135+H135</f>
        <v>230</v>
      </c>
      <c r="L135" s="336">
        <f>E135+I135</f>
        <v>250</v>
      </c>
      <c r="M135" s="327">
        <f>IF(L135&gt;K135, 1, 0)</f>
        <v>1</v>
      </c>
      <c r="N135" s="337">
        <f>(+H135-D135)</f>
        <v>6</v>
      </c>
      <c r="O135" s="355">
        <f>I135-E135</f>
        <v>10</v>
      </c>
      <c r="P135" s="405">
        <f>IF(OR(AND(N135&gt;0,O135&gt;0),AND(N135&lt;0,O135&lt;0)),1,0)</f>
        <v>1</v>
      </c>
      <c r="Q135" s="289">
        <f>WEEKNUM(tblResultadosNBA[[#This Row],[Fecha]],2)</f>
        <v>45</v>
      </c>
      <c r="R135" t="str">
        <f>TEXT(tblResultadosNBA[[#This Row],[Fecha]],"mmm")</f>
        <v>nov</v>
      </c>
    </row>
    <row r="136" spans="1:18">
      <c r="A136" s="419">
        <v>45969</v>
      </c>
      <c r="B136" s="302" t="s">
        <v>746</v>
      </c>
      <c r="C136" s="177" t="str">
        <f>LEFT(B136,FIND("@",B136)-2)</f>
        <v>Los Angeles Lakers</v>
      </c>
      <c r="D136" s="177">
        <v>114</v>
      </c>
      <c r="E136" s="336">
        <v>102</v>
      </c>
      <c r="F136" s="327">
        <f>IF(E136&gt;D136, 1, 0)</f>
        <v>0</v>
      </c>
      <c r="G136" s="177" t="str">
        <f>MID(B136,FIND("@",B136)+2,LEN(B136)-FIND("@",B136)-1)</f>
        <v>Atlanta Hawks</v>
      </c>
      <c r="H136" s="177">
        <v>112</v>
      </c>
      <c r="I136" s="336">
        <v>122</v>
      </c>
      <c r="J136" s="327">
        <f>IF(I136&gt;H136, 1, 0)</f>
        <v>1</v>
      </c>
      <c r="K136" s="177">
        <f>+D136+H136</f>
        <v>226</v>
      </c>
      <c r="L136" s="336">
        <f>E136+I136</f>
        <v>224</v>
      </c>
      <c r="M136" s="327">
        <f>IF(L136&gt;K136, 1, 0)</f>
        <v>0</v>
      </c>
      <c r="N136" s="337">
        <f>(+H136-D136)</f>
        <v>-2</v>
      </c>
      <c r="O136" s="355">
        <f>I136-E136</f>
        <v>20</v>
      </c>
      <c r="P136" s="405">
        <f>IF(OR(AND(N136&gt;0,O136&gt;0),AND(N136&lt;0,O136&lt;0)),1,0)</f>
        <v>0</v>
      </c>
      <c r="Q136" s="289">
        <f>WEEKNUM(tblResultadosNBA[[#This Row],[Fecha]],2)</f>
        <v>45</v>
      </c>
      <c r="R136" t="str">
        <f>TEXT(tblResultadosNBA[[#This Row],[Fecha]],"mmm")</f>
        <v>nov</v>
      </c>
    </row>
    <row r="137" spans="1:18">
      <c r="A137" s="419">
        <v>45969</v>
      </c>
      <c r="B137" s="302" t="s">
        <v>197</v>
      </c>
      <c r="C137" s="177" t="str">
        <f>LEFT(B137,FIND("@",B137)-2)</f>
        <v>Chicago Bulls</v>
      </c>
      <c r="D137" s="177">
        <v>118</v>
      </c>
      <c r="E137" s="336">
        <v>122</v>
      </c>
      <c r="F137" s="327">
        <f>IF(E137&gt;D137, 1, 0)</f>
        <v>1</v>
      </c>
      <c r="G137" s="177" t="str">
        <f>MID(B137,FIND("@",B137)+2,LEN(B137)-FIND("@",B137)-1)</f>
        <v>Cleveland Cavaliers</v>
      </c>
      <c r="H137" s="177">
        <v>125</v>
      </c>
      <c r="I137" s="336">
        <v>128</v>
      </c>
      <c r="J137" s="327">
        <f>IF(I137&gt;H137, 1, 0)</f>
        <v>1</v>
      </c>
      <c r="K137" s="177">
        <f>+D137+H137</f>
        <v>243</v>
      </c>
      <c r="L137" s="336">
        <f>E137+I137</f>
        <v>250</v>
      </c>
      <c r="M137" s="327">
        <f>IF(L137&gt;K137, 1, 0)</f>
        <v>1</v>
      </c>
      <c r="N137" s="337">
        <f>(+H137-D137)</f>
        <v>7</v>
      </c>
      <c r="O137" s="355">
        <f>I137-E137</f>
        <v>6</v>
      </c>
      <c r="P137" s="405">
        <f>IF(OR(AND(N137&gt;0,O137&gt;0),AND(N137&lt;0,O137&lt;0)),1,0)</f>
        <v>1</v>
      </c>
      <c r="Q137" s="289">
        <f>WEEKNUM(tblResultadosNBA[[#This Row],[Fecha]],2)</f>
        <v>45</v>
      </c>
      <c r="R137" t="str">
        <f>TEXT(tblResultadosNBA[[#This Row],[Fecha]],"mmm")</f>
        <v>nov</v>
      </c>
    </row>
    <row r="138" spans="1:18">
      <c r="A138" s="419">
        <v>45969</v>
      </c>
      <c r="B138" s="396" t="s">
        <v>747</v>
      </c>
      <c r="C138" s="291" t="str">
        <f>LEFT(B138,FIND("@",B138)-2)</f>
        <v>Portland Trail Blazers</v>
      </c>
      <c r="D138" s="177">
        <v>114</v>
      </c>
      <c r="E138" s="336">
        <v>131</v>
      </c>
      <c r="F138" s="327">
        <f>IF(E138&gt;D138, 1, 0)</f>
        <v>1</v>
      </c>
      <c r="G138" s="177" t="str">
        <f>MID(B138,FIND("@",B138)+2,LEN(B138)-FIND("@",B138)-1)</f>
        <v>Miami Heat</v>
      </c>
      <c r="H138" s="177">
        <v>110</v>
      </c>
      <c r="I138" s="336">
        <v>136</v>
      </c>
      <c r="J138" s="327">
        <f>IF(I138&gt;H138, 1, 0)</f>
        <v>1</v>
      </c>
      <c r="K138" s="177">
        <f>+D138+H138</f>
        <v>224</v>
      </c>
      <c r="L138" s="336">
        <f>E138+I138</f>
        <v>267</v>
      </c>
      <c r="M138" s="327">
        <f>IF(L138&gt;K138, 1, 0)</f>
        <v>1</v>
      </c>
      <c r="N138" s="337">
        <f>(+H138-D138)</f>
        <v>-4</v>
      </c>
      <c r="O138" s="355">
        <f>I138-E138</f>
        <v>5</v>
      </c>
      <c r="P138" s="405">
        <f>IF(OR(AND(N138&gt;0,O138&gt;0),AND(N138&lt;0,O138&lt;0)),1,0)</f>
        <v>0</v>
      </c>
      <c r="Q138" s="289">
        <f>WEEKNUM(tblResultadosNBA[[#This Row],[Fecha]],2)</f>
        <v>45</v>
      </c>
      <c r="R138" t="str">
        <f>TEXT(tblResultadosNBA[[#This Row],[Fecha]],"mmm")</f>
        <v>nov</v>
      </c>
    </row>
    <row r="139" spans="1:18">
      <c r="A139" s="419">
        <v>45969</v>
      </c>
      <c r="B139" s="396" t="s">
        <v>297</v>
      </c>
      <c r="C139" s="291" t="str">
        <f>LEFT(B139,FIND("@",B139)-2)</f>
        <v>New Orleans Pelicans</v>
      </c>
      <c r="D139" s="177">
        <v>110</v>
      </c>
      <c r="E139" s="336">
        <v>119</v>
      </c>
      <c r="F139" s="327">
        <f>IF(E139&gt;D139, 1, 0)</f>
        <v>1</v>
      </c>
      <c r="G139" s="177" t="str">
        <f>MID(B139,FIND("@",B139)+2,LEN(B139)-FIND("@",B139)-1)</f>
        <v>San Antonio Spurs</v>
      </c>
      <c r="H139" s="177">
        <v>115</v>
      </c>
      <c r="I139" s="336">
        <v>126</v>
      </c>
      <c r="J139" s="327">
        <f>IF(I139&gt;H139, 1, 0)</f>
        <v>1</v>
      </c>
      <c r="K139" s="177">
        <f>+D139+H139</f>
        <v>225</v>
      </c>
      <c r="L139" s="336">
        <f>E139+I139</f>
        <v>245</v>
      </c>
      <c r="M139" s="327">
        <f>IF(L139&gt;K139, 1, 0)</f>
        <v>1</v>
      </c>
      <c r="N139" s="337">
        <f>(+H139-D139)</f>
        <v>5</v>
      </c>
      <c r="O139" s="355">
        <f>I139-E139</f>
        <v>7</v>
      </c>
      <c r="P139" s="405">
        <f>IF(OR(AND(N139&gt;0,O139&gt;0),AND(N139&lt;0,O139&lt;0)),1,0)</f>
        <v>1</v>
      </c>
      <c r="Q139" s="289">
        <f>WEEKNUM(tblResultadosNBA[[#This Row],[Fecha]],2)</f>
        <v>45</v>
      </c>
      <c r="R139" t="str">
        <f>TEXT(tblResultadosNBA[[#This Row],[Fecha]],"mmm")</f>
        <v>nov</v>
      </c>
    </row>
    <row r="140" spans="1:18">
      <c r="A140" s="419">
        <v>45969</v>
      </c>
      <c r="B140" s="396" t="s">
        <v>748</v>
      </c>
      <c r="C140" s="291" t="str">
        <f>LEFT(B140,FIND("@",B140)-2)</f>
        <v>Indiana Pacers</v>
      </c>
      <c r="D140" s="177">
        <v>112</v>
      </c>
      <c r="E140" s="336">
        <v>100</v>
      </c>
      <c r="F140" s="327">
        <f>IF(E140&gt;D140, 1, 0)</f>
        <v>0</v>
      </c>
      <c r="G140" s="177" t="str">
        <f>MID(B140,FIND("@",B140)+2,LEN(B140)-FIND("@",B140)-1)</f>
        <v>Denver Nuggets</v>
      </c>
      <c r="H140" s="177">
        <v>115</v>
      </c>
      <c r="I140" s="336">
        <v>117</v>
      </c>
      <c r="J140" s="327">
        <f>IF(I140&gt;H140, 1, 0)</f>
        <v>1</v>
      </c>
      <c r="K140" s="177">
        <f>+D140+H140</f>
        <v>227</v>
      </c>
      <c r="L140" s="336">
        <f>E140+I140</f>
        <v>217</v>
      </c>
      <c r="M140" s="327">
        <f>IF(L140&gt;K140, 1, 0)</f>
        <v>0</v>
      </c>
      <c r="N140" s="337">
        <f>(+H140-D140)</f>
        <v>3</v>
      </c>
      <c r="O140" s="355">
        <f>I140-E140</f>
        <v>17</v>
      </c>
      <c r="P140" s="405">
        <f>IF(OR(AND(N140&gt;0,O140&gt;0),AND(N140&lt;0,O140&lt;0)),1,0)</f>
        <v>1</v>
      </c>
      <c r="Q140" s="289">
        <f>WEEKNUM(tblResultadosNBA[[#This Row],[Fecha]],2)</f>
        <v>45</v>
      </c>
      <c r="R140" t="str">
        <f>TEXT(tblResultadosNBA[[#This Row],[Fecha]],"mmm")</f>
        <v>nov</v>
      </c>
    </row>
    <row r="141" spans="1:18">
      <c r="A141" s="445">
        <v>45969</v>
      </c>
      <c r="B141" s="328" t="s">
        <v>749</v>
      </c>
      <c r="C141" s="299" t="str">
        <f>LEFT(B141,FIND("@",B141)-2)</f>
        <v>Phoenix Suns</v>
      </c>
      <c r="D141" s="299">
        <v>103</v>
      </c>
      <c r="E141" s="309">
        <v>114</v>
      </c>
      <c r="F141" s="334">
        <f>IF(E141&gt;D141, 1, 0)</f>
        <v>1</v>
      </c>
      <c r="G141" s="299" t="str">
        <f>MID(B141,FIND("@",B141)+2,LEN(B141)-FIND("@",B141)-1)</f>
        <v>LA Clippers</v>
      </c>
      <c r="H141" s="299">
        <v>112</v>
      </c>
      <c r="I141" s="309">
        <v>103</v>
      </c>
      <c r="J141" s="334">
        <f>IF(I141&gt;H141, 1, 0)</f>
        <v>0</v>
      </c>
      <c r="K141" s="299">
        <f>+D141+H141</f>
        <v>215</v>
      </c>
      <c r="L141" s="309">
        <f>E141+I141</f>
        <v>217</v>
      </c>
      <c r="M141" s="334">
        <f>IF(L141&gt;K141, 1, 0)</f>
        <v>1</v>
      </c>
      <c r="N141" s="321">
        <f>(+H141-D141)</f>
        <v>9</v>
      </c>
      <c r="O141" s="360">
        <f>I141-E141</f>
        <v>-11</v>
      </c>
      <c r="P141" s="408">
        <f>IF(OR(AND(N141&gt;0,O141&gt;0),AND(N141&lt;0,O141&lt;0)),1,0)</f>
        <v>0</v>
      </c>
      <c r="Q141" s="433">
        <f>WEEKNUM(tblResultadosNBA[[#This Row],[Fecha]],2)</f>
        <v>45</v>
      </c>
      <c r="R141" s="433" t="str">
        <f>TEXT(tblResultadosNBA[[#This Row],[Fecha]],"mmm")</f>
        <v>nov</v>
      </c>
    </row>
    <row r="142" spans="1:18">
      <c r="A142" s="439">
        <v>45970</v>
      </c>
      <c r="B142" s="329" t="s">
        <v>750</v>
      </c>
      <c r="C142" s="244" t="str">
        <f>LEFT(B142,FIND("@",B142)-2)</f>
        <v>Houston Rockets</v>
      </c>
      <c r="D142" s="244">
        <v>123</v>
      </c>
      <c r="E142" s="292">
        <v>122</v>
      </c>
      <c r="F142" s="358">
        <f>IF(E142&gt;D142, 1, 0)</f>
        <v>0</v>
      </c>
      <c r="G142" s="293" t="str">
        <f>MID(B142,FIND("@",B142)+2,LEN(B142)-FIND("@",B142)-1)</f>
        <v>Milwaukee Bucks</v>
      </c>
      <c r="H142" s="244">
        <v>117</v>
      </c>
      <c r="I142" s="292">
        <v>115</v>
      </c>
      <c r="J142" s="358">
        <f>IF(I142&gt;H142, 1, 0)</f>
        <v>0</v>
      </c>
      <c r="K142" s="244">
        <f>+D142+H142</f>
        <v>240</v>
      </c>
      <c r="L142" s="292">
        <f>E142+I142</f>
        <v>237</v>
      </c>
      <c r="M142" s="358">
        <f>IF(L142&gt;K142, 1, 0)</f>
        <v>0</v>
      </c>
      <c r="N142" s="320">
        <f>(+H142-D142)</f>
        <v>-6</v>
      </c>
      <c r="O142" s="359">
        <f>I142-E142</f>
        <v>-7</v>
      </c>
      <c r="P142" s="410">
        <f>IF(OR(AND(N142&gt;0,O142&gt;0),AND(N142&lt;0,O142&lt;0)),1,0)</f>
        <v>1</v>
      </c>
      <c r="Q142" s="289">
        <f>WEEKNUM(tblResultadosNBA[[#This Row],[Fecha]],2)</f>
        <v>45</v>
      </c>
      <c r="R142" t="str">
        <f>TEXT(tblResultadosNBA[[#This Row],[Fecha]],"mmm")</f>
        <v>nov</v>
      </c>
    </row>
    <row r="143" spans="1:18">
      <c r="A143" s="419">
        <v>45970</v>
      </c>
      <c r="B143" s="302" t="s">
        <v>751</v>
      </c>
      <c r="C143" s="177" t="str">
        <f>LEFT(B143,FIND("@",B143)-2)</f>
        <v>Brooklyn Nets</v>
      </c>
      <c r="D143" s="177">
        <v>105</v>
      </c>
      <c r="E143" s="336">
        <v>98</v>
      </c>
      <c r="F143" s="327">
        <f>IF(E143&gt;D143, 1, 0)</f>
        <v>0</v>
      </c>
      <c r="G143" s="177" t="str">
        <f>MID(B143,FIND("@",B143)+2,LEN(B143)-FIND("@",B143)-1)</f>
        <v>New York Knicks</v>
      </c>
      <c r="H143" s="177">
        <v>115</v>
      </c>
      <c r="I143" s="336">
        <v>134</v>
      </c>
      <c r="J143" s="327">
        <f>IF(I143&gt;H143, 1, 0)</f>
        <v>1</v>
      </c>
      <c r="K143" s="177">
        <f>+D143+H143</f>
        <v>220</v>
      </c>
      <c r="L143" s="336">
        <f>E143+I143</f>
        <v>232</v>
      </c>
      <c r="M143" s="327">
        <f>IF(L143&gt;K143, 1, 0)</f>
        <v>1</v>
      </c>
      <c r="N143" s="337">
        <f>(+H143-D143)</f>
        <v>10</v>
      </c>
      <c r="O143" s="355">
        <f>I143-E143</f>
        <v>36</v>
      </c>
      <c r="P143" s="405">
        <f>IF(OR(AND(N143&gt;0,O143&gt;0),AND(N143&lt;0,O143&lt;0)),1,0)</f>
        <v>1</v>
      </c>
      <c r="Q143" s="289">
        <f>WEEKNUM(tblResultadosNBA[[#This Row],[Fecha]],2)</f>
        <v>45</v>
      </c>
      <c r="R143" t="str">
        <f>TEXT(tblResultadosNBA[[#This Row],[Fecha]],"mmm")</f>
        <v>nov</v>
      </c>
    </row>
    <row r="144" spans="1:18">
      <c r="A144" s="419">
        <v>45970</v>
      </c>
      <c r="B144" s="302" t="s">
        <v>739</v>
      </c>
      <c r="C144" s="177" t="str">
        <f>LEFT(B144,FIND("@",B144)-2)</f>
        <v>Boston Celtics</v>
      </c>
      <c r="D144" s="177">
        <v>96</v>
      </c>
      <c r="E144" s="336">
        <v>111</v>
      </c>
      <c r="F144" s="327">
        <f>IF(E144&gt;D144, 1, 0)</f>
        <v>1</v>
      </c>
      <c r="G144" s="177" t="str">
        <f>MID(B144,FIND("@",B144)+2,LEN(B144)-FIND("@",B144)-1)</f>
        <v>Orlando Magic</v>
      </c>
      <c r="H144" s="177">
        <v>114</v>
      </c>
      <c r="I144" s="336">
        <v>107</v>
      </c>
      <c r="J144" s="327">
        <f>IF(I144&gt;H144, 1, 0)</f>
        <v>0</v>
      </c>
      <c r="K144" s="177">
        <f>+D144+H144</f>
        <v>210</v>
      </c>
      <c r="L144" s="336">
        <f>E144+I144</f>
        <v>218</v>
      </c>
      <c r="M144" s="327">
        <f>IF(L144&gt;K144, 1, 0)</f>
        <v>1</v>
      </c>
      <c r="N144" s="337">
        <f>(+H144-D144)</f>
        <v>18</v>
      </c>
      <c r="O144" s="355">
        <f>I144-E144</f>
        <v>-4</v>
      </c>
      <c r="P144" s="405">
        <f>IF(OR(AND(N144&gt;0,O144&gt;0),AND(N144&lt;0,O144&lt;0)),1,0)</f>
        <v>0</v>
      </c>
      <c r="Q144" s="289">
        <f>WEEKNUM(tblResultadosNBA[[#This Row],[Fecha]],2)</f>
        <v>45</v>
      </c>
      <c r="R144" t="str">
        <f>TEXT(tblResultadosNBA[[#This Row],[Fecha]],"mmm")</f>
        <v>nov</v>
      </c>
    </row>
    <row r="145" spans="1:18">
      <c r="A145" s="419">
        <v>45970</v>
      </c>
      <c r="B145" s="302" t="s">
        <v>752</v>
      </c>
      <c r="C145" s="177" t="str">
        <f>LEFT(B145,FIND("@",B145)-2)</f>
        <v>Oklahoma City Thunder</v>
      </c>
      <c r="D145" s="177">
        <v>117</v>
      </c>
      <c r="E145" s="336">
        <v>114</v>
      </c>
      <c r="F145" s="327">
        <f>IF(E145&gt;D145, 1, 0)</f>
        <v>0</v>
      </c>
      <c r="G145" s="177" t="str">
        <f>MID(B145,FIND("@",B145)+2,LEN(B145)-FIND("@",B145)-1)</f>
        <v>Memphis Grizzlies</v>
      </c>
      <c r="H145" s="177">
        <v>121</v>
      </c>
      <c r="I145" s="336">
        <v>100</v>
      </c>
      <c r="J145" s="327">
        <f>IF(I145&gt;H145, 1, 0)</f>
        <v>0</v>
      </c>
      <c r="K145" s="177">
        <f>+D145+H145</f>
        <v>238</v>
      </c>
      <c r="L145" s="336">
        <f>E145+I145</f>
        <v>214</v>
      </c>
      <c r="M145" s="327">
        <f>IF(L145&gt;K145, 1, 0)</f>
        <v>0</v>
      </c>
      <c r="N145" s="337">
        <f>(+H145-D145)</f>
        <v>4</v>
      </c>
      <c r="O145" s="355">
        <f>I145-E145</f>
        <v>-14</v>
      </c>
      <c r="P145" s="405">
        <f>IF(OR(AND(N145&gt;0,O145&gt;0),AND(N145&lt;0,O145&lt;0)),1,0)</f>
        <v>0</v>
      </c>
      <c r="Q145" s="289">
        <f>WEEKNUM(tblResultadosNBA[[#This Row],[Fecha]],2)</f>
        <v>45</v>
      </c>
      <c r="R145" t="str">
        <f>TEXT(tblResultadosNBA[[#This Row],[Fecha]],"mmm")</f>
        <v>nov</v>
      </c>
    </row>
    <row r="146" spans="1:18">
      <c r="A146" s="419">
        <v>45970</v>
      </c>
      <c r="B146" s="302" t="s">
        <v>557</v>
      </c>
      <c r="C146" s="291" t="str">
        <f>LEFT(B146,FIND("@",B146)-2)</f>
        <v>Detroit Pistons</v>
      </c>
      <c r="D146" s="177">
        <v>116</v>
      </c>
      <c r="E146" s="336">
        <v>111</v>
      </c>
      <c r="F146" s="327">
        <f>IF(E146&gt;D146, 1, 0)</f>
        <v>0</v>
      </c>
      <c r="G146" s="177" t="str">
        <f>MID(B146,FIND("@",B146)+2,LEN(B146)-FIND("@",B146)-1)</f>
        <v>Philadelphia 76ers</v>
      </c>
      <c r="H146" s="177">
        <v>110</v>
      </c>
      <c r="I146" s="336">
        <v>108</v>
      </c>
      <c r="J146" s="327">
        <f>IF(I146&gt;H146, 1, 0)</f>
        <v>0</v>
      </c>
      <c r="K146" s="177">
        <f>+D146+H146</f>
        <v>226</v>
      </c>
      <c r="L146" s="336">
        <f>E146+I146</f>
        <v>219</v>
      </c>
      <c r="M146" s="327">
        <f>IF(L146&gt;K146, 1, 0)</f>
        <v>0</v>
      </c>
      <c r="N146" s="337">
        <f>(+H146-D146)</f>
        <v>-6</v>
      </c>
      <c r="O146" s="355">
        <f>I146-E146</f>
        <v>-3</v>
      </c>
      <c r="P146" s="405">
        <f>IF(OR(AND(N146&gt;0,O146&gt;0),AND(N146&lt;0,O146&lt;0)),1,0)</f>
        <v>1</v>
      </c>
      <c r="Q146" s="289">
        <f>WEEKNUM(tblResultadosNBA[[#This Row],[Fecha]],2)</f>
        <v>45</v>
      </c>
      <c r="R146" t="str">
        <f>TEXT(tblResultadosNBA[[#This Row],[Fecha]],"mmm")</f>
        <v>nov</v>
      </c>
    </row>
    <row r="147" spans="1:18">
      <c r="A147" s="419">
        <v>45970</v>
      </c>
      <c r="B147" s="302" t="s">
        <v>753</v>
      </c>
      <c r="C147" s="177" t="str">
        <f>LEFT(B147,FIND("@",B147)-2)</f>
        <v>Indiana Pacers</v>
      </c>
      <c r="D147" s="177">
        <v>108</v>
      </c>
      <c r="E147" s="336">
        <v>83</v>
      </c>
      <c r="F147" s="327">
        <f>IF(E147&gt;D147, 1, 0)</f>
        <v>0</v>
      </c>
      <c r="G147" s="177" t="str">
        <f>MID(B147,FIND("@",B147)+2,LEN(B147)-FIND("@",B147)-1)</f>
        <v>Golden State Warriors</v>
      </c>
      <c r="H147" s="177">
        <v>118</v>
      </c>
      <c r="I147" s="336">
        <v>114</v>
      </c>
      <c r="J147" s="327">
        <f>IF(I147&gt;H147, 1, 0)</f>
        <v>0</v>
      </c>
      <c r="K147" s="177">
        <f>+D147+H147</f>
        <v>226</v>
      </c>
      <c r="L147" s="336">
        <f>E147+I147</f>
        <v>197</v>
      </c>
      <c r="M147" s="327">
        <f>IF(L147&gt;K147, 1, 0)</f>
        <v>0</v>
      </c>
      <c r="N147" s="337">
        <f>(+H147-D147)</f>
        <v>10</v>
      </c>
      <c r="O147" s="355">
        <f>I147-E147</f>
        <v>31</v>
      </c>
      <c r="P147" s="405">
        <f>IF(OR(AND(N147&gt;0,O147&gt;0),AND(N147&lt;0,O147&lt;0)),1,0)</f>
        <v>1</v>
      </c>
      <c r="Q147" s="289">
        <f>WEEKNUM(tblResultadosNBA[[#This Row],[Fecha]],2)</f>
        <v>45</v>
      </c>
      <c r="R147" t="str">
        <f>TEXT(tblResultadosNBA[[#This Row],[Fecha]],"mmm")</f>
        <v>nov</v>
      </c>
    </row>
    <row r="148" spans="1:18">
      <c r="A148" s="445">
        <v>45970</v>
      </c>
      <c r="B148" s="328" t="s">
        <v>101</v>
      </c>
      <c r="C148" s="299" t="str">
        <f>LEFT(B148,FIND("@",B148)-2)</f>
        <v>Minnesota Timberwolves</v>
      </c>
      <c r="D148" s="299">
        <v>117</v>
      </c>
      <c r="E148" s="309">
        <v>144</v>
      </c>
      <c r="F148" s="334">
        <f>IF(E148&gt;D148, 1, 0)</f>
        <v>1</v>
      </c>
      <c r="G148" s="299" t="str">
        <f>MID(B148,FIND("@",B148)+2,LEN(B148)-FIND("@",B148)-1)</f>
        <v>Sacramento Kings</v>
      </c>
      <c r="H148" s="299">
        <v>110</v>
      </c>
      <c r="I148" s="309">
        <v>117</v>
      </c>
      <c r="J148" s="334">
        <f>IF(I148&gt;H148, 1, 0)</f>
        <v>1</v>
      </c>
      <c r="K148" s="299">
        <f>+D148+H148</f>
        <v>227</v>
      </c>
      <c r="L148" s="309">
        <f>E148+I148</f>
        <v>261</v>
      </c>
      <c r="M148" s="334">
        <f>IF(L148&gt;K148, 1, 0)</f>
        <v>1</v>
      </c>
      <c r="N148" s="321">
        <f>(+H148-D148)</f>
        <v>-7</v>
      </c>
      <c r="O148" s="360">
        <f>I148-E148</f>
        <v>-27</v>
      </c>
      <c r="P148" s="408">
        <f>IF(OR(AND(N148&gt;0,O148&gt;0),AND(N148&lt;0,O148&lt;0)),1,0)</f>
        <v>1</v>
      </c>
      <c r="Q148" s="433">
        <f>WEEKNUM(tblResultadosNBA[[#This Row],[Fecha]],2)</f>
        <v>45</v>
      </c>
      <c r="R148" s="433" t="str">
        <f>TEXT(tblResultadosNBA[[#This Row],[Fecha]],"mmm")</f>
        <v>nov</v>
      </c>
    </row>
    <row r="149" spans="1:18">
      <c r="A149" s="439">
        <v>45971</v>
      </c>
      <c r="B149" s="329" t="s">
        <v>19</v>
      </c>
      <c r="C149" s="244" t="str">
        <f>LEFT(B149,FIND("@",B149)-2)</f>
        <v>Los Angeles Lakers</v>
      </c>
      <c r="D149" s="244">
        <v>128</v>
      </c>
      <c r="E149" s="292">
        <v>121</v>
      </c>
      <c r="F149" s="358">
        <f>IF(E149&gt;D149, 1, 0)</f>
        <v>0</v>
      </c>
      <c r="G149" s="244" t="str">
        <f>MID(B149,FIND("@",B149)+2,LEN(B149)-FIND("@",B149)-1)</f>
        <v>Charlotte Hornets</v>
      </c>
      <c r="H149" s="244">
        <v>116</v>
      </c>
      <c r="I149" s="292">
        <v>111</v>
      </c>
      <c r="J149" s="358">
        <f>IF(I149&gt;H149, 1, 0)</f>
        <v>0</v>
      </c>
      <c r="K149" s="244">
        <f>+D149+H149</f>
        <v>244</v>
      </c>
      <c r="L149" s="292">
        <f>E149+I149</f>
        <v>232</v>
      </c>
      <c r="M149" s="358">
        <f>IF(L149&gt;K149, 1, 0)</f>
        <v>0</v>
      </c>
      <c r="N149" s="320">
        <f>(+H149-D149)</f>
        <v>-12</v>
      </c>
      <c r="O149" s="359">
        <f>I149-E149</f>
        <v>-10</v>
      </c>
      <c r="P149" s="410">
        <f>IF(OR(AND(N149&gt;0,O149&gt;0),AND(N149&lt;0,O149&lt;0)),1,0)</f>
        <v>1</v>
      </c>
      <c r="Q149" s="289">
        <f>WEEKNUM(tblResultadosNBA[[#This Row],[Fecha]],2)</f>
        <v>46</v>
      </c>
      <c r="R149" t="str">
        <f>TEXT(tblResultadosNBA[[#This Row],[Fecha]],"mmm")</f>
        <v>nov</v>
      </c>
    </row>
    <row r="150" spans="1:18">
      <c r="A150" s="419">
        <v>45971</v>
      </c>
      <c r="B150" s="302" t="s">
        <v>20</v>
      </c>
      <c r="C150" s="177" t="str">
        <f>LEFT(B150,FIND("@",B150)-2)</f>
        <v>Washington Wizards</v>
      </c>
      <c r="D150" s="177">
        <v>115</v>
      </c>
      <c r="E150" s="336">
        <v>135</v>
      </c>
      <c r="F150" s="327">
        <f>IF(E150&gt;D150, 1, 0)</f>
        <v>1</v>
      </c>
      <c r="G150" s="177" t="str">
        <f>MID(B150,FIND("@",B150)+2,LEN(B150)-FIND("@",B150)-1)</f>
        <v>Detroit Pistons</v>
      </c>
      <c r="H150" s="177">
        <v>111</v>
      </c>
      <c r="I150" s="336">
        <v>137</v>
      </c>
      <c r="J150" s="327">
        <f>IF(I150&gt;H150, 1, 0)</f>
        <v>1</v>
      </c>
      <c r="K150" s="177">
        <f>+D150+H150</f>
        <v>226</v>
      </c>
      <c r="L150" s="336">
        <f>E150+I150</f>
        <v>272</v>
      </c>
      <c r="M150" s="327">
        <f>IF(L150&gt;K150, 1, 0)</f>
        <v>1</v>
      </c>
      <c r="N150" s="337">
        <f>(+H150-D150)</f>
        <v>-4</v>
      </c>
      <c r="O150" s="355">
        <f>I150-E150</f>
        <v>2</v>
      </c>
      <c r="P150" s="405">
        <f>IF(OR(AND(N150&gt;0,O150&gt;0),AND(N150&lt;0,O150&lt;0)),1,0)</f>
        <v>0</v>
      </c>
      <c r="Q150" s="289">
        <f>WEEKNUM(tblResultadosNBA[[#This Row],[Fecha]],2)</f>
        <v>46</v>
      </c>
      <c r="R150" t="str">
        <f>TEXT(tblResultadosNBA[[#This Row],[Fecha]],"mmm")</f>
        <v>nov</v>
      </c>
    </row>
    <row r="151" spans="1:18">
      <c r="A151" s="419">
        <v>45971</v>
      </c>
      <c r="B151" s="302" t="s">
        <v>754</v>
      </c>
      <c r="C151" s="177" t="str">
        <f>LEFT(B151,FIND("@",B151)-2)</f>
        <v>Portland Trail Blazers</v>
      </c>
      <c r="D151" s="177">
        <v>97</v>
      </c>
      <c r="E151" s="336">
        <v>112</v>
      </c>
      <c r="F151" s="327">
        <f>IF(E151&gt;D151, 1, 0)</f>
        <v>1</v>
      </c>
      <c r="G151" s="177" t="str">
        <f>MID(B151,FIND("@",B151)+2,LEN(B151)-FIND("@",B151)-1)</f>
        <v>Orlando Magic</v>
      </c>
      <c r="H151" s="177">
        <v>106</v>
      </c>
      <c r="I151" s="336">
        <v>115</v>
      </c>
      <c r="J151" s="327">
        <f>IF(I151&gt;H151, 1, 0)</f>
        <v>1</v>
      </c>
      <c r="K151" s="177">
        <f>+D151+H151</f>
        <v>203</v>
      </c>
      <c r="L151" s="336">
        <f>E151+I151</f>
        <v>227</v>
      </c>
      <c r="M151" s="327">
        <f>IF(L151&gt;K151, 1, 0)</f>
        <v>1</v>
      </c>
      <c r="N151" s="337">
        <f>(+H151-D151)</f>
        <v>9</v>
      </c>
      <c r="O151" s="355">
        <f>I151-E151</f>
        <v>3</v>
      </c>
      <c r="P151" s="405">
        <f>IF(OR(AND(N151&gt;0,O151&gt;0),AND(N151&lt;0,O151&lt;0)),1,0)</f>
        <v>1</v>
      </c>
      <c r="Q151" s="289">
        <f>WEEKNUM(tblResultadosNBA[[#This Row],[Fecha]],2)</f>
        <v>46</v>
      </c>
      <c r="R151" t="str">
        <f>TEXT(tblResultadosNBA[[#This Row],[Fecha]],"mmm")</f>
        <v>nov</v>
      </c>
    </row>
    <row r="152" spans="1:18">
      <c r="A152" s="419">
        <v>45971</v>
      </c>
      <c r="B152" s="302" t="s">
        <v>755</v>
      </c>
      <c r="C152" s="177" t="str">
        <f>LEFT(B152,FIND("@",B152)-2)</f>
        <v>Cleveland Cavaliers</v>
      </c>
      <c r="D152" s="177">
        <v>113</v>
      </c>
      <c r="E152" s="336">
        <v>138</v>
      </c>
      <c r="F152" s="327">
        <f>IF(E152&gt;D152, 1, 0)</f>
        <v>1</v>
      </c>
      <c r="G152" s="177" t="str">
        <f>MID(B152,FIND("@",B152)+2,LEN(B152)-FIND("@",B152)-1)</f>
        <v>Miami Heat</v>
      </c>
      <c r="H152" s="177">
        <v>119</v>
      </c>
      <c r="I152" s="336">
        <v>140</v>
      </c>
      <c r="J152" s="327">
        <f>IF(I152&gt;H152, 1, 0)</f>
        <v>1</v>
      </c>
      <c r="K152" s="177">
        <f>+D152+H152</f>
        <v>232</v>
      </c>
      <c r="L152" s="336">
        <f>E152+I152</f>
        <v>278</v>
      </c>
      <c r="M152" s="327">
        <f>IF(L152&gt;K152, 1, 0)</f>
        <v>1</v>
      </c>
      <c r="N152" s="337">
        <f>(+H152-D152)</f>
        <v>6</v>
      </c>
      <c r="O152" s="355">
        <f>I152-E152</f>
        <v>2</v>
      </c>
      <c r="P152" s="405">
        <f>IF(OR(AND(N152&gt;0,O152&gt;0),AND(N152&lt;0,O152&lt;0)),1,0)</f>
        <v>1</v>
      </c>
      <c r="Q152" s="289">
        <f>WEEKNUM(tblResultadosNBA[[#This Row],[Fecha]],2)</f>
        <v>46</v>
      </c>
      <c r="R152" t="str">
        <f>TEXT(tblResultadosNBA[[#This Row],[Fecha]],"mmm")</f>
        <v>nov</v>
      </c>
    </row>
    <row r="153" spans="1:18">
      <c r="A153" s="419">
        <v>45971</v>
      </c>
      <c r="B153" s="302" t="s">
        <v>21</v>
      </c>
      <c r="C153" s="177" t="str">
        <f>LEFT(B153,FIND("@",B153)-2)</f>
        <v>San Antonio Spurs</v>
      </c>
      <c r="D153" s="177">
        <v>121</v>
      </c>
      <c r="E153" s="336">
        <v>121</v>
      </c>
      <c r="F153" s="327">
        <f>IF(E153&gt;D153, 1, 0)</f>
        <v>0</v>
      </c>
      <c r="G153" s="177" t="str">
        <f>MID(B153,FIND("@",B153)+2,LEN(B153)-FIND("@",B153)-1)</f>
        <v>Chicago Bulls</v>
      </c>
      <c r="H153" s="177">
        <v>109</v>
      </c>
      <c r="I153" s="336">
        <v>117</v>
      </c>
      <c r="J153" s="327">
        <f>IF(I153&gt;H153, 1, 0)</f>
        <v>1</v>
      </c>
      <c r="K153" s="177">
        <f>+D153+H153</f>
        <v>230</v>
      </c>
      <c r="L153" s="336">
        <f>E153+I153</f>
        <v>238</v>
      </c>
      <c r="M153" s="327">
        <f>IF(L153&gt;K153, 1, 0)</f>
        <v>1</v>
      </c>
      <c r="N153" s="337">
        <f>(+H153-D153)</f>
        <v>-12</v>
      </c>
      <c r="O153" s="355">
        <f>I153-E153</f>
        <v>-4</v>
      </c>
      <c r="P153" s="405">
        <f>IF(OR(AND(N153&gt;0,O153&gt;0),AND(N153&lt;0,O153&lt;0)),1,0)</f>
        <v>1</v>
      </c>
      <c r="Q153" s="289">
        <f>WEEKNUM(tblResultadosNBA[[#This Row],[Fecha]],2)</f>
        <v>46</v>
      </c>
      <c r="R153" t="str">
        <f>TEXT(tblResultadosNBA[[#This Row],[Fecha]],"mmm")</f>
        <v>nov</v>
      </c>
    </row>
    <row r="154" spans="1:18">
      <c r="A154" s="419">
        <v>45971</v>
      </c>
      <c r="B154" s="302" t="s">
        <v>22</v>
      </c>
      <c r="C154" s="177" t="str">
        <f>LEFT(B154,FIND("@",B154)-2)</f>
        <v>Milwaukee Bucks</v>
      </c>
      <c r="D154" s="177">
        <v>114</v>
      </c>
      <c r="E154" s="336">
        <v>116</v>
      </c>
      <c r="F154" s="327">
        <f>IF(E154&gt;D154, 1, 0)</f>
        <v>1</v>
      </c>
      <c r="G154" s="177" t="str">
        <f>MID(B154,FIND("@",B154)+2,LEN(B154)-FIND("@",B154)-1)</f>
        <v>Dallas Mavericks</v>
      </c>
      <c r="H154" s="177">
        <v>117</v>
      </c>
      <c r="I154" s="336">
        <v>114</v>
      </c>
      <c r="J154" s="327">
        <f>IF(I154&gt;H154, 1, 0)</f>
        <v>0</v>
      </c>
      <c r="K154" s="177">
        <f>+D154+H154</f>
        <v>231</v>
      </c>
      <c r="L154" s="336">
        <f>E154+I154</f>
        <v>230</v>
      </c>
      <c r="M154" s="327">
        <f>IF(L154&gt;K154, 1, 0)</f>
        <v>0</v>
      </c>
      <c r="N154" s="337">
        <f>(+H154-D154)</f>
        <v>3</v>
      </c>
      <c r="O154" s="355">
        <f>I154-E154</f>
        <v>-2</v>
      </c>
      <c r="P154" s="405">
        <f>IF(OR(AND(N154&gt;0,O154&gt;0),AND(N154&lt;0,O154&lt;0)),1,0)</f>
        <v>0</v>
      </c>
      <c r="Q154" s="289">
        <f>WEEKNUM(tblResultadosNBA[[#This Row],[Fecha]],2)</f>
        <v>46</v>
      </c>
      <c r="R154" t="str">
        <f>TEXT(tblResultadosNBA[[#This Row],[Fecha]],"mmm")</f>
        <v>nov</v>
      </c>
    </row>
    <row r="155" spans="1:18">
      <c r="A155" s="419">
        <v>45971</v>
      </c>
      <c r="B155" s="302" t="s">
        <v>23</v>
      </c>
      <c r="C155" s="177" t="str">
        <f>LEFT(B155,FIND("@",B155)-2)</f>
        <v>New Orleans Pelicans</v>
      </c>
      <c r="D155" s="177">
        <v>118</v>
      </c>
      <c r="E155" s="336">
        <v>98</v>
      </c>
      <c r="F155" s="327">
        <f>IF(E155&gt;D155, 1, 0)</f>
        <v>0</v>
      </c>
      <c r="G155" s="177" t="str">
        <f>MID(B155,FIND("@",B155)+2,LEN(B155)-FIND("@",B155)-1)</f>
        <v>Phoenix Suns</v>
      </c>
      <c r="H155" s="177">
        <v>108</v>
      </c>
      <c r="I155" s="336">
        <v>121</v>
      </c>
      <c r="J155" s="327">
        <f>IF(I155&gt;H155, 1, 0)</f>
        <v>1</v>
      </c>
      <c r="K155" s="177">
        <f>+D155+H155</f>
        <v>226</v>
      </c>
      <c r="L155" s="336">
        <f>E155+I155</f>
        <v>219</v>
      </c>
      <c r="M155" s="327">
        <f>IF(L155&gt;K155, 1, 0)</f>
        <v>0</v>
      </c>
      <c r="N155" s="337">
        <f>(+H155-D155)</f>
        <v>-10</v>
      </c>
      <c r="O155" s="355">
        <f>I155-E155</f>
        <v>23</v>
      </c>
      <c r="P155" s="405">
        <f>IF(OR(AND(N155&gt;0,O155&gt;0),AND(N155&lt;0,O155&lt;0)),1,0)</f>
        <v>0</v>
      </c>
      <c r="Q155" s="289">
        <f>WEEKNUM(tblResultadosNBA[[#This Row],[Fecha]],2)</f>
        <v>46</v>
      </c>
      <c r="R155" t="str">
        <f>TEXT(tblResultadosNBA[[#This Row],[Fecha]],"mmm")</f>
        <v>nov</v>
      </c>
    </row>
    <row r="156" spans="1:18">
      <c r="A156" s="419">
        <v>45971</v>
      </c>
      <c r="B156" s="302" t="s">
        <v>756</v>
      </c>
      <c r="C156" s="177" t="str">
        <f>LEFT(B156,FIND("@",B156)-2)</f>
        <v>Minnesota Timberwolves</v>
      </c>
      <c r="D156" s="177">
        <v>106</v>
      </c>
      <c r="E156" s="336">
        <v>120</v>
      </c>
      <c r="F156" s="327">
        <f>IF(E156&gt;D156, 1, 0)</f>
        <v>1</v>
      </c>
      <c r="G156" s="177" t="str">
        <f>MID(B156,FIND("@",B156)+2,LEN(B156)-FIND("@",B156)-1)</f>
        <v>Utah Jazz</v>
      </c>
      <c r="H156" s="177">
        <v>111</v>
      </c>
      <c r="I156" s="336">
        <v>113</v>
      </c>
      <c r="J156" s="327">
        <f>IF(I156&gt;H156, 1, 0)</f>
        <v>1</v>
      </c>
      <c r="K156" s="177">
        <f>+D156+H156</f>
        <v>217</v>
      </c>
      <c r="L156" s="336">
        <f>E156+I156</f>
        <v>233</v>
      </c>
      <c r="M156" s="327">
        <f>IF(L156&gt;K156, 1, 0)</f>
        <v>1</v>
      </c>
      <c r="N156" s="337">
        <f>(+H156-D156)</f>
        <v>5</v>
      </c>
      <c r="O156" s="355">
        <f>I156-E156</f>
        <v>-7</v>
      </c>
      <c r="P156" s="405">
        <f>IF(OR(AND(N156&gt;0,O156&gt;0),AND(N156&lt;0,O156&lt;0)),1,0)</f>
        <v>0</v>
      </c>
      <c r="Q156" s="289">
        <f>WEEKNUM(tblResultadosNBA[[#This Row],[Fecha]],2)</f>
        <v>46</v>
      </c>
      <c r="R156" t="str">
        <f>TEXT(tblResultadosNBA[[#This Row],[Fecha]],"mmm")</f>
        <v>nov</v>
      </c>
    </row>
    <row r="157" spans="1:18">
      <c r="A157" s="445">
        <v>45971</v>
      </c>
      <c r="B157" s="331" t="s">
        <v>24</v>
      </c>
      <c r="C157" s="296" t="str">
        <f>LEFT(B157,FIND("@",B157)-2)</f>
        <v>Atlanta Hawks</v>
      </c>
      <c r="D157" s="286">
        <v>110</v>
      </c>
      <c r="E157" s="431">
        <v>105</v>
      </c>
      <c r="F157" s="332">
        <f>IF(E157&gt;D157, 1, 0)</f>
        <v>0</v>
      </c>
      <c r="G157" s="296" t="str">
        <f>MID(B157,FIND("@",B157)+2,LEN(B157)-FIND("@",B157)-1)</f>
        <v>LA Clippers</v>
      </c>
      <c r="H157" s="286">
        <v>117</v>
      </c>
      <c r="I157" s="431">
        <v>102</v>
      </c>
      <c r="J157" s="332">
        <f>IF(I157&gt;H157, 1, 0)</f>
        <v>0</v>
      </c>
      <c r="K157" s="286">
        <f>+D157+H157</f>
        <v>227</v>
      </c>
      <c r="L157" s="431">
        <f>E157+I157</f>
        <v>207</v>
      </c>
      <c r="M157" s="332">
        <f>IF(L157&gt;K157, 1, 0)</f>
        <v>0</v>
      </c>
      <c r="N157" s="432">
        <f>(+H157-D157)</f>
        <v>7</v>
      </c>
      <c r="O157" s="447">
        <f>I157-E157</f>
        <v>-3</v>
      </c>
      <c r="P157" s="406">
        <f>IF(OR(AND(N157&gt;0,O157&gt;0),AND(N157&lt;0,O157&lt;0)),1,0)</f>
        <v>0</v>
      </c>
      <c r="Q157" s="433">
        <f>WEEKNUM(tblResultadosNBA[[#This Row],[Fecha]],2)</f>
        <v>46</v>
      </c>
      <c r="R157" s="433" t="str">
        <f>TEXT(tblResultadosNBA[[#This Row],[Fecha]],"mmm")</f>
        <v>nov</v>
      </c>
    </row>
    <row r="158" spans="1:18">
      <c r="A158" s="439">
        <v>45972</v>
      </c>
      <c r="B158" s="422" t="s">
        <v>31</v>
      </c>
      <c r="C158" s="341" t="str">
        <f>LEFT(B158,FIND("@",B158)-2)</f>
        <v>Toronto Raptors</v>
      </c>
      <c r="D158" s="341">
        <v>128</v>
      </c>
      <c r="E158" s="342">
        <v>119</v>
      </c>
      <c r="F158" s="333">
        <f>IF(E158&gt;D158, 1, 0)</f>
        <v>0</v>
      </c>
      <c r="G158" s="341" t="str">
        <f>MID(B158,FIND("@",B158)+2,LEN(B158)-FIND("@",B158)-1)</f>
        <v>Brooklyn Nets</v>
      </c>
      <c r="H158" s="341">
        <v>116</v>
      </c>
      <c r="I158" s="342">
        <v>109</v>
      </c>
      <c r="J158" s="333">
        <f>IF(I158&gt;H158, 1, 0)</f>
        <v>0</v>
      </c>
      <c r="K158" s="341">
        <f>+D158+H158</f>
        <v>244</v>
      </c>
      <c r="L158" s="342">
        <f>E158+I158</f>
        <v>228</v>
      </c>
      <c r="M158" s="333">
        <f>IF(L158&gt;K158, 1, 0)</f>
        <v>0</v>
      </c>
      <c r="N158" s="343">
        <f>(+H158-D158)</f>
        <v>-12</v>
      </c>
      <c r="O158" s="448">
        <f>I158-E158</f>
        <v>-10</v>
      </c>
      <c r="P158" s="407">
        <f>IF(OR(AND(N158&gt;0,O158&gt;0),AND(N158&lt;0,O158&lt;0)),1,0)</f>
        <v>1</v>
      </c>
      <c r="Q158" s="289">
        <f>WEEKNUM(tblResultadosNBA[[#This Row],[Fecha]],2)</f>
        <v>46</v>
      </c>
      <c r="R158" t="str">
        <f>TEXT(tblResultadosNBA[[#This Row],[Fecha]],"mmm")</f>
        <v>nov</v>
      </c>
    </row>
    <row r="159" spans="1:18">
      <c r="A159" s="419">
        <v>45972</v>
      </c>
      <c r="B159" s="302" t="s">
        <v>32</v>
      </c>
      <c r="C159" s="177" t="str">
        <f>LEFT(B159,FIND("@",B159)-2)</f>
        <v>Memphis Grizzlies</v>
      </c>
      <c r="D159" s="177">
        <v>112</v>
      </c>
      <c r="E159" s="336">
        <v>120</v>
      </c>
      <c r="F159" s="327">
        <f>IF(E159&gt;D159, 1, 0)</f>
        <v>1</v>
      </c>
      <c r="G159" s="177" t="str">
        <f>MID(B159,FIND("@",B159)+2,LEN(B159)-FIND("@",B159)-1)</f>
        <v>New York Knicks</v>
      </c>
      <c r="H159" s="177">
        <v>120</v>
      </c>
      <c r="I159" s="336">
        <v>133</v>
      </c>
      <c r="J159" s="327">
        <f>IF(I159&gt;H159, 1, 0)</f>
        <v>1</v>
      </c>
      <c r="K159" s="177">
        <f>+D159+H159</f>
        <v>232</v>
      </c>
      <c r="L159" s="336">
        <f>E159+I159</f>
        <v>253</v>
      </c>
      <c r="M159" s="327">
        <f>IF(L159&gt;K159, 1, 0)</f>
        <v>1</v>
      </c>
      <c r="N159" s="337">
        <f>(+H159-D159)</f>
        <v>8</v>
      </c>
      <c r="O159" s="355">
        <f>I159-E159</f>
        <v>13</v>
      </c>
      <c r="P159" s="405">
        <f>IF(OR(AND(N159&gt;0,O159&gt;0),AND(N159&lt;0,O159&lt;0)),1,0)</f>
        <v>1</v>
      </c>
      <c r="Q159" s="289">
        <f>WEEKNUM(tblResultadosNBA[[#This Row],[Fecha]],2)</f>
        <v>46</v>
      </c>
      <c r="R159" t="str">
        <f>TEXT(tblResultadosNBA[[#This Row],[Fecha]],"mmm")</f>
        <v>nov</v>
      </c>
    </row>
    <row r="160" spans="1:18">
      <c r="A160" s="419">
        <v>45972</v>
      </c>
      <c r="B160" s="302" t="s">
        <v>592</v>
      </c>
      <c r="C160" s="177" t="str">
        <f>LEFT(B160,FIND("@",B160)-2)</f>
        <v>Boston Celtics</v>
      </c>
      <c r="D160" s="177">
        <v>107</v>
      </c>
      <c r="E160" s="336">
        <v>100</v>
      </c>
      <c r="F160" s="327">
        <f>IF(E160&gt;D160, 1, 0)</f>
        <v>0</v>
      </c>
      <c r="G160" s="177" t="str">
        <f>MID(B160,FIND("@",B160)+2,LEN(B160)-FIND("@",B160)-1)</f>
        <v>Philadelphia 76ers</v>
      </c>
      <c r="H160" s="177">
        <v>105</v>
      </c>
      <c r="I160" s="336">
        <v>102</v>
      </c>
      <c r="J160" s="327">
        <f>IF(I160&gt;H160, 1, 0)</f>
        <v>0</v>
      </c>
      <c r="K160" s="177">
        <f>+D160+H160</f>
        <v>212</v>
      </c>
      <c r="L160" s="336">
        <f>E160+I160</f>
        <v>202</v>
      </c>
      <c r="M160" s="327">
        <f>IF(L160&gt;K160, 1, 0)</f>
        <v>0</v>
      </c>
      <c r="N160" s="337">
        <f>(+H160-D160)</f>
        <v>-2</v>
      </c>
      <c r="O160" s="355">
        <f>I160-E160</f>
        <v>2</v>
      </c>
      <c r="P160" s="405">
        <f>IF(OR(AND(N160&gt;0,O160&gt;0),AND(N160&lt;0,O160&lt;0)),1,0)</f>
        <v>0</v>
      </c>
      <c r="Q160" s="289">
        <f>WEEKNUM(tblResultadosNBA[[#This Row],[Fecha]],2)</f>
        <v>46</v>
      </c>
      <c r="R160" t="str">
        <f>TEXT(tblResultadosNBA[[#This Row],[Fecha]],"mmm")</f>
        <v>nov</v>
      </c>
    </row>
    <row r="161" spans="1:18">
      <c r="A161" s="419">
        <v>45972</v>
      </c>
      <c r="B161" s="302" t="s">
        <v>33</v>
      </c>
      <c r="C161" s="177" t="str">
        <f>LEFT(B161,FIND("@",B161)-2)</f>
        <v>Golden State Warriors</v>
      </c>
      <c r="D161" s="177">
        <v>113</v>
      </c>
      <c r="E161" s="336">
        <v>102</v>
      </c>
      <c r="F161" s="327">
        <f>IF(E161&gt;D161, 1, 0)</f>
        <v>0</v>
      </c>
      <c r="G161" s="177" t="str">
        <f>MID(B161,FIND("@",B161)+2,LEN(B161)-FIND("@",B161)-1)</f>
        <v>Oklahoma City Thunder</v>
      </c>
      <c r="H161" s="177">
        <v>121</v>
      </c>
      <c r="I161" s="336">
        <v>126</v>
      </c>
      <c r="J161" s="327">
        <f>IF(I161&gt;H161, 1, 0)</f>
        <v>1</v>
      </c>
      <c r="K161" s="177">
        <f>+D161+H161</f>
        <v>234</v>
      </c>
      <c r="L161" s="336">
        <f>E161+I161</f>
        <v>228</v>
      </c>
      <c r="M161" s="327">
        <f>IF(L161&gt;K161, 1, 0)</f>
        <v>0</v>
      </c>
      <c r="N161" s="337">
        <f>(+H161-D161)</f>
        <v>8</v>
      </c>
      <c r="O161" s="355">
        <f>I161-E161</f>
        <v>24</v>
      </c>
      <c r="P161" s="405">
        <f>IF(OR(AND(N161&gt;0,O161&gt;0),AND(N161&lt;0,O161&lt;0)),1,0)</f>
        <v>1</v>
      </c>
      <c r="Q161" s="289">
        <f>WEEKNUM(tblResultadosNBA[[#This Row],[Fecha]],2)</f>
        <v>46</v>
      </c>
      <c r="R161" t="str">
        <f>TEXT(tblResultadosNBA[[#This Row],[Fecha]],"mmm")</f>
        <v>nov</v>
      </c>
    </row>
    <row r="162" spans="1:18">
      <c r="A162" s="419">
        <v>45972</v>
      </c>
      <c r="B162" s="302" t="s">
        <v>757</v>
      </c>
      <c r="C162" s="177" t="str">
        <f>LEFT(B162,FIND("@",B162)-2)</f>
        <v>Indiana Pacers</v>
      </c>
      <c r="D162" s="177">
        <v>115</v>
      </c>
      <c r="E162" s="336">
        <v>128</v>
      </c>
      <c r="F162" s="327">
        <f>IF(E162&gt;D162, 1, 0)</f>
        <v>1</v>
      </c>
      <c r="G162" s="177" t="str">
        <f>MID(B162,FIND("@",B162)+2,LEN(B162)-FIND("@",B162)-1)</f>
        <v>Utah Jazz</v>
      </c>
      <c r="H162" s="177">
        <v>111</v>
      </c>
      <c r="I162" s="336">
        <v>152</v>
      </c>
      <c r="J162" s="327">
        <f>IF(I162&gt;H162, 1, 0)</f>
        <v>1</v>
      </c>
      <c r="K162" s="177">
        <f>+D162+H162</f>
        <v>226</v>
      </c>
      <c r="L162" s="336">
        <f>E162+I162</f>
        <v>280</v>
      </c>
      <c r="M162" s="327">
        <f>IF(L162&gt;K162, 1, 0)</f>
        <v>1</v>
      </c>
      <c r="N162" s="337">
        <f>(+H162-D162)</f>
        <v>-4</v>
      </c>
      <c r="O162" s="355">
        <f>I162-E162</f>
        <v>24</v>
      </c>
      <c r="P162" s="405">
        <f>IF(OR(AND(N162&gt;0,O162&gt;0),AND(N162&lt;0,O162&lt;0)),1,0)</f>
        <v>0</v>
      </c>
      <c r="Q162" s="289">
        <f>WEEKNUM(tblResultadosNBA[[#This Row],[Fecha]],2)</f>
        <v>46</v>
      </c>
      <c r="R162" t="str">
        <f>TEXT(tblResultadosNBA[[#This Row],[Fecha]],"mmm")</f>
        <v>nov</v>
      </c>
    </row>
    <row r="163" spans="1:18">
      <c r="A163" s="445">
        <v>45972</v>
      </c>
      <c r="B163" s="331" t="s">
        <v>172</v>
      </c>
      <c r="C163" s="286" t="str">
        <f>LEFT(B163,FIND("@",B163)-2)</f>
        <v>Denver Nuggets</v>
      </c>
      <c r="D163" s="286">
        <v>112</v>
      </c>
      <c r="E163" s="431">
        <v>122</v>
      </c>
      <c r="F163" s="332">
        <f>IF(E163&gt;D163, 1, 0)</f>
        <v>1</v>
      </c>
      <c r="G163" s="286" t="str">
        <f>MID(B163,FIND("@",B163)+2,LEN(B163)-FIND("@",B163)-1)</f>
        <v>Sacramento Kings</v>
      </c>
      <c r="H163" s="286">
        <v>115</v>
      </c>
      <c r="I163" s="431">
        <v>108</v>
      </c>
      <c r="J163" s="332">
        <f>IF(I163&gt;H163, 1, 0)</f>
        <v>0</v>
      </c>
      <c r="K163" s="286">
        <f>+D163+H163</f>
        <v>227</v>
      </c>
      <c r="L163" s="431">
        <f>E163+I163</f>
        <v>230</v>
      </c>
      <c r="M163" s="332">
        <f>IF(L163&gt;K163, 1, 0)</f>
        <v>1</v>
      </c>
      <c r="N163" s="432">
        <f>(+H163-D163)</f>
        <v>3</v>
      </c>
      <c r="O163" s="447">
        <f>I163-E163</f>
        <v>-14</v>
      </c>
      <c r="P163" s="406">
        <f>IF(OR(AND(N163&gt;0,O163&gt;0),AND(N163&lt;0,O163&lt;0)),1,0)</f>
        <v>0</v>
      </c>
      <c r="Q163" s="433">
        <f>WEEKNUM(tblResultadosNBA[[#This Row],[Fecha]],2)</f>
        <v>46</v>
      </c>
      <c r="R163" s="433" t="str">
        <f>TEXT(tblResultadosNBA[[#This Row],[Fecha]],"mmm")</f>
        <v>nov</v>
      </c>
    </row>
    <row r="164" spans="1:18">
      <c r="A164" s="439">
        <v>45973</v>
      </c>
      <c r="B164" s="422" t="s">
        <v>39</v>
      </c>
      <c r="C164" s="341" t="str">
        <f>LEFT(B164,FIND("@",B164)-2)</f>
        <v>Milwaukee Bucks</v>
      </c>
      <c r="D164" s="341">
        <v>130</v>
      </c>
      <c r="E164" s="342">
        <v>100</v>
      </c>
      <c r="F164" s="333">
        <f>IF(E164&gt;D164, 1, 0)</f>
        <v>0</v>
      </c>
      <c r="G164" s="341" t="str">
        <f>MID(B164,FIND("@",B164)+2,LEN(B164)-FIND("@",B164)-1)</f>
        <v>Charlotte Hornets</v>
      </c>
      <c r="H164" s="341">
        <v>116</v>
      </c>
      <c r="I164" s="342">
        <v>111</v>
      </c>
      <c r="J164" s="333">
        <f>IF(I164&gt;H164, 1, 0)</f>
        <v>0</v>
      </c>
      <c r="K164" s="341">
        <f>+D164+H164</f>
        <v>246</v>
      </c>
      <c r="L164" s="342">
        <f>E164+I164</f>
        <v>211</v>
      </c>
      <c r="M164" s="333">
        <f>IF(L164&gt;K164, 1, 0)</f>
        <v>0</v>
      </c>
      <c r="N164" s="343">
        <f>(+H164-D164)</f>
        <v>-14</v>
      </c>
      <c r="O164" s="448">
        <f>I164-E164</f>
        <v>11</v>
      </c>
      <c r="P164" s="407">
        <f>IF(OR(AND(N164&gt;0,O164&gt;0),AND(N164&lt;0,O164&lt;0)),1,0)</f>
        <v>0</v>
      </c>
      <c r="Q164" s="289">
        <f>WEEKNUM(tblResultadosNBA[[#This Row],[Fecha]],2)</f>
        <v>46</v>
      </c>
      <c r="R164" t="str">
        <f>TEXT(tblResultadosNBA[[#This Row],[Fecha]],"mmm")</f>
        <v>nov</v>
      </c>
    </row>
    <row r="165" spans="1:18">
      <c r="A165" s="419">
        <v>45973</v>
      </c>
      <c r="B165" s="302" t="s">
        <v>40</v>
      </c>
      <c r="C165" s="177" t="str">
        <f>LEFT(B165,FIND("@",B165)-2)</f>
        <v>Chicago Bulls</v>
      </c>
      <c r="D165" s="177">
        <v>116</v>
      </c>
      <c r="E165" s="336">
        <v>113</v>
      </c>
      <c r="F165" s="327">
        <f>IF(E165&gt;D165, 1, 0)</f>
        <v>0</v>
      </c>
      <c r="G165" s="177" t="str">
        <f>MID(B165,FIND("@",B165)+2,LEN(B165)-FIND("@",B165)-1)</f>
        <v>Detroit Pistons</v>
      </c>
      <c r="H165" s="177">
        <v>119</v>
      </c>
      <c r="I165" s="336">
        <v>124</v>
      </c>
      <c r="J165" s="327">
        <f>IF(I165&gt;H165, 1, 0)</f>
        <v>1</v>
      </c>
      <c r="K165" s="177">
        <f>+D165+H165</f>
        <v>235</v>
      </c>
      <c r="L165" s="336">
        <f>E165+I165</f>
        <v>237</v>
      </c>
      <c r="M165" s="327">
        <f>IF(L165&gt;K165, 1, 0)</f>
        <v>1</v>
      </c>
      <c r="N165" s="337">
        <f>(+H165-D165)</f>
        <v>3</v>
      </c>
      <c r="O165" s="355">
        <f>I165-E165</f>
        <v>11</v>
      </c>
      <c r="P165" s="405">
        <f>IF(OR(AND(N165&gt;0,O165&gt;0),AND(N165&lt;0,O165&lt;0)),1,0)</f>
        <v>1</v>
      </c>
      <c r="Q165" s="289">
        <f>WEEKNUM(tblResultadosNBA[[#This Row],[Fecha]],2)</f>
        <v>46</v>
      </c>
      <c r="R165" t="str">
        <f>TEXT(tblResultadosNBA[[#This Row],[Fecha]],"mmm")</f>
        <v>nov</v>
      </c>
    </row>
    <row r="166" spans="1:18">
      <c r="A166" s="419">
        <v>45973</v>
      </c>
      <c r="B166" s="302" t="s">
        <v>160</v>
      </c>
      <c r="C166" s="177" t="str">
        <f>LEFT(B166,FIND("@",B166)-2)</f>
        <v>Orlando Magic</v>
      </c>
      <c r="D166" s="177">
        <v>105</v>
      </c>
      <c r="E166" s="336">
        <v>124</v>
      </c>
      <c r="F166" s="327">
        <f>IF(E166&gt;D166, 1, 0)</f>
        <v>1</v>
      </c>
      <c r="G166" s="177" t="str">
        <f>MID(B166,FIND("@",B166)+2,LEN(B166)-FIND("@",B166)-1)</f>
        <v>New York Knicks</v>
      </c>
      <c r="H166" s="177">
        <v>109</v>
      </c>
      <c r="I166" s="336">
        <v>107</v>
      </c>
      <c r="J166" s="327">
        <f>IF(I166&gt;H166, 1, 0)</f>
        <v>0</v>
      </c>
      <c r="K166" s="177">
        <f>+D166+H166</f>
        <v>214</v>
      </c>
      <c r="L166" s="336">
        <f>E166+I166</f>
        <v>231</v>
      </c>
      <c r="M166" s="327">
        <f>IF(L166&gt;K166, 1, 0)</f>
        <v>1</v>
      </c>
      <c r="N166" s="337">
        <f>(+H166-D166)</f>
        <v>4</v>
      </c>
      <c r="O166" s="355">
        <f>I166-E166</f>
        <v>-17</v>
      </c>
      <c r="P166" s="405">
        <f>IF(OR(AND(N166&gt;0,O166&gt;0),AND(N166&lt;0,O166&lt;0)),1,0)</f>
        <v>0</v>
      </c>
      <c r="Q166" s="289">
        <f>WEEKNUM(tblResultadosNBA[[#This Row],[Fecha]],2)</f>
        <v>46</v>
      </c>
      <c r="R166" t="str">
        <f>TEXT(tblResultadosNBA[[#This Row],[Fecha]],"mmm")</f>
        <v>nov</v>
      </c>
    </row>
    <row r="167" spans="1:18">
      <c r="A167" s="419">
        <v>45973</v>
      </c>
      <c r="B167" s="302" t="s">
        <v>41</v>
      </c>
      <c r="C167" s="177" t="str">
        <f>LEFT(B167,FIND("@",B167)-2)</f>
        <v>Memphis Grizzlies</v>
      </c>
      <c r="D167" s="177">
        <v>110</v>
      </c>
      <c r="E167" s="336">
        <v>95</v>
      </c>
      <c r="F167" s="327">
        <f>IF(E167&gt;D167, 1, 0)</f>
        <v>0</v>
      </c>
      <c r="G167" s="177" t="str">
        <f>MID(B167,FIND("@",B167)+2,LEN(B167)-FIND("@",B167)-1)</f>
        <v>Boston Celtics</v>
      </c>
      <c r="H167" s="177">
        <v>126</v>
      </c>
      <c r="I167" s="336">
        <v>131</v>
      </c>
      <c r="J167" s="327">
        <f>IF(I167&gt;H167, 1, 0)</f>
        <v>1</v>
      </c>
      <c r="K167" s="177">
        <f>+D167+H167</f>
        <v>236</v>
      </c>
      <c r="L167" s="336">
        <f>E167+I167</f>
        <v>226</v>
      </c>
      <c r="M167" s="327">
        <f>IF(L167&gt;K167, 1, 0)</f>
        <v>0</v>
      </c>
      <c r="N167" s="337">
        <f>(+H167-D167)</f>
        <v>16</v>
      </c>
      <c r="O167" s="355">
        <f>I167-E167</f>
        <v>36</v>
      </c>
      <c r="P167" s="405">
        <f>IF(OR(AND(N167&gt;0,O167&gt;0),AND(N167&lt;0,O167&lt;0)),1,0)</f>
        <v>1</v>
      </c>
      <c r="Q167" s="289">
        <f>WEEKNUM(tblResultadosNBA[[#This Row],[Fecha]],2)</f>
        <v>46</v>
      </c>
      <c r="R167" t="str">
        <f>TEXT(tblResultadosNBA[[#This Row],[Fecha]],"mmm")</f>
        <v>nov</v>
      </c>
    </row>
    <row r="168" spans="1:18">
      <c r="A168" s="419">
        <v>45973</v>
      </c>
      <c r="B168" s="302" t="s">
        <v>755</v>
      </c>
      <c r="C168" s="177" t="str">
        <f>LEFT(B168,FIND("@",B168)-2)</f>
        <v>Cleveland Cavaliers</v>
      </c>
      <c r="D168" s="177">
        <v>105</v>
      </c>
      <c r="E168" s="336">
        <v>130</v>
      </c>
      <c r="F168" s="327">
        <f>IF(E168&gt;D168, 1, 0)</f>
        <v>1</v>
      </c>
      <c r="G168" s="177" t="str">
        <f>MID(B168,FIND("@",B168)+2,LEN(B168)-FIND("@",B168)-1)</f>
        <v>Miami Heat</v>
      </c>
      <c r="H168" s="177">
        <v>111</v>
      </c>
      <c r="I168" s="336">
        <v>116</v>
      </c>
      <c r="J168" s="327">
        <f>IF(I168&gt;H168, 1, 0)</f>
        <v>1</v>
      </c>
      <c r="K168" s="177">
        <f>+D168+H168</f>
        <v>216</v>
      </c>
      <c r="L168" s="336">
        <f>E168+I168</f>
        <v>246</v>
      </c>
      <c r="M168" s="327">
        <f>IF(L168&gt;K168, 1, 0)</f>
        <v>1</v>
      </c>
      <c r="N168" s="337">
        <f>(+H168-D168)</f>
        <v>6</v>
      </c>
      <c r="O168" s="355">
        <f>I168-E168</f>
        <v>-14</v>
      </c>
      <c r="P168" s="405">
        <f>IF(OR(AND(N168&gt;0,O168&gt;0),AND(N168&lt;0,O168&lt;0)),1,0)</f>
        <v>0</v>
      </c>
      <c r="Q168" s="289">
        <f>WEEKNUM(tblResultadosNBA[[#This Row],[Fecha]],2)</f>
        <v>46</v>
      </c>
      <c r="R168" t="str">
        <f>TEXT(tblResultadosNBA[[#This Row],[Fecha]],"mmm")</f>
        <v>nov</v>
      </c>
    </row>
    <row r="169" spans="1:18">
      <c r="A169" s="419">
        <v>45973</v>
      </c>
      <c r="B169" s="302" t="s">
        <v>758</v>
      </c>
      <c r="C169" s="177" t="str">
        <f>LEFT(B169,FIND("@",B169)-2)</f>
        <v>Washington Wizards</v>
      </c>
      <c r="D169" s="177">
        <v>110</v>
      </c>
      <c r="E169" s="336">
        <v>112</v>
      </c>
      <c r="F169" s="327">
        <f>IF(E169&gt;D169, 1, 0)</f>
        <v>1</v>
      </c>
      <c r="G169" s="177" t="str">
        <f>MID(B169,FIND("@",B169)+2,LEN(B169)-FIND("@",B169)-1)</f>
        <v>Houston Rockets</v>
      </c>
      <c r="H169" s="177">
        <v>113</v>
      </c>
      <c r="I169" s="336">
        <v>135</v>
      </c>
      <c r="J169" s="327">
        <f>IF(I169&gt;H169, 1, 0)</f>
        <v>1</v>
      </c>
      <c r="K169" s="177">
        <f>+D169+H169</f>
        <v>223</v>
      </c>
      <c r="L169" s="336">
        <f>E169+I169</f>
        <v>247</v>
      </c>
      <c r="M169" s="327">
        <f>IF(L169&gt;K169, 1, 0)</f>
        <v>1</v>
      </c>
      <c r="N169" s="337">
        <f>(+H169-D169)</f>
        <v>3</v>
      </c>
      <c r="O169" s="355">
        <f>I169-E169</f>
        <v>23</v>
      </c>
      <c r="P169" s="405">
        <f>IF(OR(AND(N169&gt;0,O169&gt;0),AND(N169&lt;0,O169&lt;0)),1,0)</f>
        <v>1</v>
      </c>
      <c r="Q169" s="289">
        <f>WEEKNUM(tblResultadosNBA[[#This Row],[Fecha]],2)</f>
        <v>46</v>
      </c>
      <c r="R169" t="str">
        <f>TEXT(tblResultadosNBA[[#This Row],[Fecha]],"mmm")</f>
        <v>nov</v>
      </c>
    </row>
    <row r="170" spans="1:18">
      <c r="A170" s="419">
        <v>45973</v>
      </c>
      <c r="B170" s="302" t="s">
        <v>42</v>
      </c>
      <c r="C170" s="177" t="str">
        <f>LEFT(B170,FIND("@",B170)-2)</f>
        <v>Portland Trail Blazers</v>
      </c>
      <c r="D170" s="177">
        <v>112</v>
      </c>
      <c r="E170" s="336">
        <v>125</v>
      </c>
      <c r="F170" s="327">
        <f>IF(E170&gt;D170, 1, 0)</f>
        <v>1</v>
      </c>
      <c r="G170" s="177" t="str">
        <f>MID(B170,FIND("@",B170)+2,LEN(B170)-FIND("@",B170)-1)</f>
        <v>New Orleans Pelicans</v>
      </c>
      <c r="H170" s="177">
        <v>116</v>
      </c>
      <c r="I170" s="336">
        <v>117</v>
      </c>
      <c r="J170" s="327">
        <f>IF(I170&gt;H170, 1, 0)</f>
        <v>1</v>
      </c>
      <c r="K170" s="177">
        <f>+D170+H170</f>
        <v>228</v>
      </c>
      <c r="L170" s="336">
        <f>E170+I170</f>
        <v>242</v>
      </c>
      <c r="M170" s="327">
        <f>IF(L170&gt;K170, 1, 0)</f>
        <v>1</v>
      </c>
      <c r="N170" s="337">
        <f>(+H170-D170)</f>
        <v>4</v>
      </c>
      <c r="O170" s="355">
        <f>I170-E170</f>
        <v>-8</v>
      </c>
      <c r="P170" s="405">
        <f>IF(OR(AND(N170&gt;0,O170&gt;0),AND(N170&lt;0,O170&lt;0)),1,0)</f>
        <v>0</v>
      </c>
      <c r="Q170" s="289">
        <f>WEEKNUM(tblResultadosNBA[[#This Row],[Fecha]],2)</f>
        <v>46</v>
      </c>
      <c r="R170" t="str">
        <f>TEXT(tblResultadosNBA[[#This Row],[Fecha]],"mmm")</f>
        <v>nov</v>
      </c>
    </row>
    <row r="171" spans="1:18">
      <c r="A171" s="419">
        <v>45973</v>
      </c>
      <c r="B171" s="302" t="s">
        <v>58</v>
      </c>
      <c r="C171" s="177" t="str">
        <f>LEFT(B171,FIND("@",B171)-2)</f>
        <v>Golden State Warriors</v>
      </c>
      <c r="D171" s="177">
        <v>105</v>
      </c>
      <c r="E171" s="336">
        <v>125</v>
      </c>
      <c r="F171" s="327">
        <f>IF(E171&gt;D171, 1, 0)</f>
        <v>1</v>
      </c>
      <c r="G171" s="177" t="str">
        <f>MID(B171,FIND("@",B171)+2,LEN(B171)-FIND("@",B171)-1)</f>
        <v>San Antonio Spurs</v>
      </c>
      <c r="H171" s="177">
        <v>115</v>
      </c>
      <c r="I171" s="336">
        <v>120</v>
      </c>
      <c r="J171" s="327">
        <f>IF(I171&gt;H171, 1, 0)</f>
        <v>1</v>
      </c>
      <c r="K171" s="177">
        <f>+D171+H171</f>
        <v>220</v>
      </c>
      <c r="L171" s="336">
        <f>E171+I171</f>
        <v>245</v>
      </c>
      <c r="M171" s="327">
        <f>IF(L171&gt;K171, 1, 0)</f>
        <v>1</v>
      </c>
      <c r="N171" s="337">
        <f>(+H171-D171)</f>
        <v>10</v>
      </c>
      <c r="O171" s="355">
        <f>I171-E171</f>
        <v>-5</v>
      </c>
      <c r="P171" s="405">
        <f>IF(OR(AND(N171&gt;0,O171&gt;0),AND(N171&lt;0,O171&lt;0)),1,0)</f>
        <v>0</v>
      </c>
      <c r="Q171" s="289">
        <f>WEEKNUM(tblResultadosNBA[[#This Row],[Fecha]],2)</f>
        <v>46</v>
      </c>
      <c r="R171" t="str">
        <f>TEXT(tblResultadosNBA[[#This Row],[Fecha]],"mmm")</f>
        <v>nov</v>
      </c>
    </row>
    <row r="172" spans="1:18">
      <c r="A172" s="419">
        <v>45973</v>
      </c>
      <c r="B172" s="302" t="s">
        <v>43</v>
      </c>
      <c r="C172" s="177" t="str">
        <f>LEFT(B172,FIND("@",B172)-2)</f>
        <v>Phoenix Suns</v>
      </c>
      <c r="D172" s="177">
        <v>126</v>
      </c>
      <c r="E172" s="336">
        <v>123</v>
      </c>
      <c r="F172" s="327">
        <f>IF(E172&gt;D172, 1, 0)</f>
        <v>0</v>
      </c>
      <c r="G172" s="177" t="str">
        <f>MID(B172,FIND("@",B172)+2,LEN(B172)-FIND("@",B172)-1)</f>
        <v>Dallas Mavericks</v>
      </c>
      <c r="H172" s="177">
        <v>118</v>
      </c>
      <c r="I172" s="336">
        <v>114</v>
      </c>
      <c r="J172" s="327">
        <f>IF(I172&gt;H172, 1, 0)</f>
        <v>0</v>
      </c>
      <c r="K172" s="177">
        <f>+D172+H172</f>
        <v>244</v>
      </c>
      <c r="L172" s="336">
        <f>E172+I172</f>
        <v>237</v>
      </c>
      <c r="M172" s="327">
        <f>IF(L172&gt;K172, 1, 0)</f>
        <v>0</v>
      </c>
      <c r="N172" s="337">
        <f>(+H172-D172)</f>
        <v>-8</v>
      </c>
      <c r="O172" s="355">
        <f>I172-E172</f>
        <v>-9</v>
      </c>
      <c r="P172" s="405">
        <f>IF(OR(AND(N172&gt;0,O172&gt;0),AND(N172&lt;0,O172&lt;0)),1,0)</f>
        <v>1</v>
      </c>
      <c r="Q172" s="289">
        <f>WEEKNUM(tblResultadosNBA[[#This Row],[Fecha]],2)</f>
        <v>46</v>
      </c>
      <c r="R172" t="str">
        <f>TEXT(tblResultadosNBA[[#This Row],[Fecha]],"mmm")</f>
        <v>nov</v>
      </c>
    </row>
    <row r="173" spans="1:18">
      <c r="A173" s="419">
        <v>45973</v>
      </c>
      <c r="B173" s="302" t="s">
        <v>44</v>
      </c>
      <c r="C173" s="177" t="str">
        <f>LEFT(B173,FIND("@",B173)-2)</f>
        <v>Los Angeles Lakers</v>
      </c>
      <c r="D173" s="177">
        <v>110</v>
      </c>
      <c r="E173" s="336">
        <v>92</v>
      </c>
      <c r="F173" s="327">
        <f>IF(E173&gt;D173, 1, 0)</f>
        <v>0</v>
      </c>
      <c r="G173" s="177" t="str">
        <f>MID(B173,FIND("@",B173)+2,LEN(B173)-FIND("@",B173)-1)</f>
        <v>Oklahoma City Thunder</v>
      </c>
      <c r="H173" s="177">
        <v>124</v>
      </c>
      <c r="I173" s="336">
        <v>121</v>
      </c>
      <c r="J173" s="327">
        <f>IF(I173&gt;H173, 1, 0)</f>
        <v>0</v>
      </c>
      <c r="K173" s="177">
        <f>+D173+H173</f>
        <v>234</v>
      </c>
      <c r="L173" s="336">
        <f>E173+I173</f>
        <v>213</v>
      </c>
      <c r="M173" s="327">
        <f>IF(L173&gt;K173, 1, 0)</f>
        <v>0</v>
      </c>
      <c r="N173" s="337">
        <f>(+H173-D173)</f>
        <v>14</v>
      </c>
      <c r="O173" s="355">
        <f>I173-E173</f>
        <v>29</v>
      </c>
      <c r="P173" s="405">
        <f>IF(OR(AND(N173&gt;0,O173&gt;0),AND(N173&lt;0,O173&lt;0)),1,0)</f>
        <v>1</v>
      </c>
      <c r="Q173" s="289">
        <f>WEEKNUM(tblResultadosNBA[[#This Row],[Fecha]],2)</f>
        <v>46</v>
      </c>
      <c r="R173" t="str">
        <f>TEXT(tblResultadosNBA[[#This Row],[Fecha]],"mmm")</f>
        <v>nov</v>
      </c>
    </row>
    <row r="174" spans="1:18">
      <c r="A174" s="419">
        <v>45973</v>
      </c>
      <c r="B174" s="302" t="s">
        <v>45</v>
      </c>
      <c r="C174" s="177" t="str">
        <f>LEFT(B174,FIND("@",B174)-2)</f>
        <v>Atlanta Hawks</v>
      </c>
      <c r="D174" s="177">
        <v>113</v>
      </c>
      <c r="E174" s="336">
        <v>133</v>
      </c>
      <c r="F174" s="327">
        <f>IF(E174&gt;D174, 1, 0)</f>
        <v>1</v>
      </c>
      <c r="G174" s="177" t="str">
        <f>MID(B174,FIND("@",B174)+2,LEN(B174)-FIND("@",B174)-1)</f>
        <v>Sacramento Kings</v>
      </c>
      <c r="H174" s="177">
        <v>124</v>
      </c>
      <c r="I174" s="336">
        <v>100</v>
      </c>
      <c r="J174" s="327">
        <f>IF(I174&gt;H174, 1, 0)</f>
        <v>0</v>
      </c>
      <c r="K174" s="177">
        <f>+D174+H174</f>
        <v>237</v>
      </c>
      <c r="L174" s="336">
        <f>E174+I174</f>
        <v>233</v>
      </c>
      <c r="M174" s="327">
        <f>IF(L174&gt;K174, 1, 0)</f>
        <v>0</v>
      </c>
      <c r="N174" s="337">
        <f>(+H174-D174)</f>
        <v>11</v>
      </c>
      <c r="O174" s="355">
        <f>I174-E174</f>
        <v>-33</v>
      </c>
      <c r="P174" s="405">
        <f>IF(OR(AND(N174&gt;0,O174&gt;0),AND(N174&lt;0,O174&lt;0)),1,0)</f>
        <v>0</v>
      </c>
      <c r="Q174" s="289">
        <f>WEEKNUM(tblResultadosNBA[[#This Row],[Fecha]],2)</f>
        <v>46</v>
      </c>
      <c r="R174" t="str">
        <f>TEXT(tblResultadosNBA[[#This Row],[Fecha]],"mmm")</f>
        <v>nov</v>
      </c>
    </row>
    <row r="175" spans="1:18">
      <c r="A175" s="445">
        <v>45973</v>
      </c>
      <c r="B175" s="331" t="s">
        <v>377</v>
      </c>
      <c r="C175" s="286" t="str">
        <f>LEFT(B175,FIND("@",B175)-2)</f>
        <v>Denver Nuggets</v>
      </c>
      <c r="D175" s="286">
        <v>114</v>
      </c>
      <c r="E175" s="431">
        <v>130</v>
      </c>
      <c r="F175" s="332">
        <f>IF(E175&gt;D175, 1, 0)</f>
        <v>1</v>
      </c>
      <c r="G175" s="286" t="str">
        <f>MID(B175,FIND("@",B175)+2,LEN(B175)-FIND("@",B175)-1)</f>
        <v>LA Clippers</v>
      </c>
      <c r="H175" s="286">
        <v>104</v>
      </c>
      <c r="I175" s="431">
        <v>116</v>
      </c>
      <c r="J175" s="332">
        <f>IF(I175&gt;H175, 1, 0)</f>
        <v>1</v>
      </c>
      <c r="K175" s="286">
        <f>+D175+H175</f>
        <v>218</v>
      </c>
      <c r="L175" s="431">
        <f>E175+I175</f>
        <v>246</v>
      </c>
      <c r="M175" s="332">
        <f>IF(L175&gt;K175, 1, 0)</f>
        <v>1</v>
      </c>
      <c r="N175" s="432">
        <f>(+H175-D175)</f>
        <v>-10</v>
      </c>
      <c r="O175" s="447">
        <f>I175-E175</f>
        <v>-14</v>
      </c>
      <c r="P175" s="406">
        <f>IF(OR(AND(N175&gt;0,O175&gt;0),AND(N175&lt;0,O175&lt;0)),1,0)</f>
        <v>1</v>
      </c>
      <c r="Q175" s="433">
        <f>WEEKNUM(tblResultadosNBA[[#This Row],[Fecha]],2)</f>
        <v>46</v>
      </c>
      <c r="R175" s="433" t="str">
        <f>TEXT(tblResultadosNBA[[#This Row],[Fecha]],"mmm")</f>
        <v>nov</v>
      </c>
    </row>
    <row r="176" spans="1:18">
      <c r="A176" s="439">
        <v>45974</v>
      </c>
      <c r="B176" s="422" t="s">
        <v>48</v>
      </c>
      <c r="C176" s="341" t="str">
        <f>LEFT(B176,FIND("@",B176)-2)</f>
        <v>Toronto Raptors</v>
      </c>
      <c r="D176" s="341">
        <v>128</v>
      </c>
      <c r="E176" s="342">
        <v>126</v>
      </c>
      <c r="F176" s="333">
        <f>IF(E176&gt;D176, 1, 0)</f>
        <v>0</v>
      </c>
      <c r="G176" s="341" t="str">
        <f>MID(B176,FIND("@",B176)+2,LEN(B176)-FIND("@",B176)-1)</f>
        <v>Cleveland Cavaliers</v>
      </c>
      <c r="H176" s="341">
        <v>123</v>
      </c>
      <c r="I176" s="342">
        <v>113</v>
      </c>
      <c r="J176" s="333">
        <f>IF(I176&gt;H176, 1, 0)</f>
        <v>0</v>
      </c>
      <c r="K176" s="341">
        <f>+D176+H176</f>
        <v>251</v>
      </c>
      <c r="L176" s="342">
        <f>E176+I176</f>
        <v>239</v>
      </c>
      <c r="M176" s="333">
        <f>IF(L176&gt;K176, 1, 0)</f>
        <v>0</v>
      </c>
      <c r="N176" s="343">
        <f>(+H176-D176)</f>
        <v>-5</v>
      </c>
      <c r="O176" s="448">
        <f>I176-E176</f>
        <v>-13</v>
      </c>
      <c r="P176" s="407">
        <f>IF(OR(AND(N176&gt;0,O176&gt;0),AND(N176&lt;0,O176&lt;0)),1,0)</f>
        <v>1</v>
      </c>
      <c r="Q176" s="289">
        <f>WEEKNUM(tblResultadosNBA[[#This Row],[Fecha]],2)</f>
        <v>46</v>
      </c>
      <c r="R176" t="str">
        <f>TEXT(tblResultadosNBA[[#This Row],[Fecha]],"mmm")</f>
        <v>nov</v>
      </c>
    </row>
    <row r="177" spans="1:18">
      <c r="A177" s="419">
        <v>45974</v>
      </c>
      <c r="B177" s="302" t="s">
        <v>49</v>
      </c>
      <c r="C177" s="177" t="str">
        <f>LEFT(B177,FIND("@",B177)-2)</f>
        <v>Indiana Pacers</v>
      </c>
      <c r="D177" s="177">
        <v>112</v>
      </c>
      <c r="E177" s="336">
        <v>98</v>
      </c>
      <c r="F177" s="327">
        <f>IF(E177&gt;D177, 1, 0)</f>
        <v>0</v>
      </c>
      <c r="G177" s="177" t="str">
        <f>MID(B177,FIND("@",B177)+2,LEN(B177)-FIND("@",B177)-1)</f>
        <v>Phoenix Suns</v>
      </c>
      <c r="H177" s="177">
        <v>118</v>
      </c>
      <c r="I177" s="336">
        <v>133</v>
      </c>
      <c r="J177" s="327">
        <f>IF(I177&gt;H177, 1, 0)</f>
        <v>1</v>
      </c>
      <c r="K177" s="177">
        <f>+D177+H177</f>
        <v>230</v>
      </c>
      <c r="L177" s="336">
        <f>E177+I177</f>
        <v>231</v>
      </c>
      <c r="M177" s="327">
        <f>IF(L177&gt;K177, 1, 0)</f>
        <v>1</v>
      </c>
      <c r="N177" s="337">
        <f>(+H177-D177)</f>
        <v>6</v>
      </c>
      <c r="O177" s="355">
        <f>I177-E177</f>
        <v>35</v>
      </c>
      <c r="P177" s="405">
        <f>IF(OR(AND(N177&gt;0,O177&gt;0),AND(N177&lt;0,O177&lt;0)),1,0)</f>
        <v>1</v>
      </c>
      <c r="Q177" s="289">
        <f>WEEKNUM(tblResultadosNBA[[#This Row],[Fecha]],2)</f>
        <v>46</v>
      </c>
      <c r="R177" t="str">
        <f>TEXT(tblResultadosNBA[[#This Row],[Fecha]],"mmm")</f>
        <v>nov</v>
      </c>
    </row>
    <row r="178" spans="1:18">
      <c r="A178" s="445">
        <v>45974</v>
      </c>
      <c r="B178" s="331" t="s">
        <v>50</v>
      </c>
      <c r="C178" s="286" t="str">
        <f>LEFT(B178,FIND("@",B178)-2)</f>
        <v>Atlanta Hawks</v>
      </c>
      <c r="D178" s="286">
        <v>111</v>
      </c>
      <c r="E178" s="431">
        <v>132</v>
      </c>
      <c r="F178" s="332">
        <f>IF(E178&gt;D178, 1, 0)</f>
        <v>1</v>
      </c>
      <c r="G178" s="286" t="str">
        <f>MID(B178,FIND("@",B178)+2,LEN(B178)-FIND("@",B178)-1)</f>
        <v>Utah Jazz</v>
      </c>
      <c r="H178" s="286">
        <v>117</v>
      </c>
      <c r="I178" s="431">
        <v>122</v>
      </c>
      <c r="J178" s="332">
        <f>IF(I178&gt;H178, 1, 0)</f>
        <v>1</v>
      </c>
      <c r="K178" s="286">
        <f>+D178+H178</f>
        <v>228</v>
      </c>
      <c r="L178" s="431">
        <f>E178+I178</f>
        <v>254</v>
      </c>
      <c r="M178" s="332">
        <f>IF(L178&gt;K178, 1, 0)</f>
        <v>1</v>
      </c>
      <c r="N178" s="432">
        <f>(+H178-D178)</f>
        <v>6</v>
      </c>
      <c r="O178" s="447">
        <f>I178-E178</f>
        <v>-10</v>
      </c>
      <c r="P178" s="406">
        <f>IF(OR(AND(N178&gt;0,O178&gt;0),AND(N178&lt;0,O178&lt;0)),1,0)</f>
        <v>0</v>
      </c>
      <c r="Q178" s="433">
        <f>WEEKNUM(tblResultadosNBA[[#This Row],[Fecha]],2)</f>
        <v>46</v>
      </c>
      <c r="R178" s="433" t="str">
        <f>TEXT(tblResultadosNBA[[#This Row],[Fecha]],"mmm")</f>
        <v>nov</v>
      </c>
    </row>
    <row r="179" spans="1:18">
      <c r="A179" s="439">
        <v>45975</v>
      </c>
      <c r="B179" s="422" t="s">
        <v>54</v>
      </c>
      <c r="C179" s="341" t="str">
        <f>LEFT(B179,FIND("@",B179)-2)</f>
        <v>Miami Heat</v>
      </c>
      <c r="D179" s="341">
        <v>125</v>
      </c>
      <c r="E179" s="342">
        <v>132</v>
      </c>
      <c r="F179" s="333">
        <f>IF(E179&gt;D179, 1, 0)</f>
        <v>1</v>
      </c>
      <c r="G179" s="341" t="str">
        <f>MID(B179,FIND("@",B179)+2,LEN(B179)-FIND("@",B179)-1)</f>
        <v>New York Knicks</v>
      </c>
      <c r="H179" s="341">
        <v>118</v>
      </c>
      <c r="I179" s="342">
        <v>140</v>
      </c>
      <c r="J179" s="333">
        <f>IF(I179&gt;H179, 1, 0)</f>
        <v>1</v>
      </c>
      <c r="K179" s="341">
        <f>+D179+H179</f>
        <v>243</v>
      </c>
      <c r="L179" s="342">
        <f>E179+I179</f>
        <v>272</v>
      </c>
      <c r="M179" s="333">
        <f>IF(L179&gt;K179, 1, 0)</f>
        <v>1</v>
      </c>
      <c r="N179" s="343">
        <f>(+H179-D179)</f>
        <v>-7</v>
      </c>
      <c r="O179" s="448">
        <f>I179-E179</f>
        <v>8</v>
      </c>
      <c r="P179" s="407">
        <f>IF(OR(AND(N179&gt;0,O179&gt;0),AND(N179&lt;0,O179&lt;0)),1,0)</f>
        <v>0</v>
      </c>
      <c r="Q179" s="289">
        <f>WEEKNUM(tblResultadosNBA[[#This Row],[Fecha]],2)</f>
        <v>46</v>
      </c>
      <c r="R179" t="str">
        <f>TEXT(tblResultadosNBA[[#This Row],[Fecha]],"mmm")</f>
        <v>nov</v>
      </c>
    </row>
    <row r="180" spans="1:18">
      <c r="A180" s="419">
        <v>45975</v>
      </c>
      <c r="B180" s="302" t="s">
        <v>336</v>
      </c>
      <c r="C180" s="177" t="str">
        <f>LEFT(B180,FIND("@",B180)-2)</f>
        <v>Brooklyn Nets</v>
      </c>
      <c r="D180" s="177">
        <v>105</v>
      </c>
      <c r="E180" s="336">
        <v>98</v>
      </c>
      <c r="F180" s="327">
        <f>IF(E180&gt;D180, 1, 0)</f>
        <v>0</v>
      </c>
      <c r="G180" s="177" t="str">
        <f>MID(B180,FIND("@",B180)+2,LEN(B180)-FIND("@",B180)-1)</f>
        <v>Orlando Magic</v>
      </c>
      <c r="H180" s="177">
        <v>110</v>
      </c>
      <c r="I180" s="336">
        <v>105</v>
      </c>
      <c r="J180" s="327">
        <f>IF(I180&gt;H180, 1, 0)</f>
        <v>0</v>
      </c>
      <c r="K180" s="177">
        <f>+D180+H180</f>
        <v>215</v>
      </c>
      <c r="L180" s="336">
        <f>E180+I180</f>
        <v>203</v>
      </c>
      <c r="M180" s="327">
        <f>IF(L180&gt;K180, 1, 0)</f>
        <v>0</v>
      </c>
      <c r="N180" s="337">
        <f>(+H180-D180)</f>
        <v>5</v>
      </c>
      <c r="O180" s="355">
        <f>I180-E180</f>
        <v>7</v>
      </c>
      <c r="P180" s="405">
        <f>IF(OR(AND(N180&gt;0,O180&gt;0),AND(N180&lt;0,O180&lt;0)),1,0)</f>
        <v>1</v>
      </c>
      <c r="Q180" s="289">
        <f>WEEKNUM(tblResultadosNBA[[#This Row],[Fecha]],2)</f>
        <v>46</v>
      </c>
      <c r="R180" t="str">
        <f>TEXT(tblResultadosNBA[[#This Row],[Fecha]],"mmm")</f>
        <v>nov</v>
      </c>
    </row>
    <row r="181" spans="1:18">
      <c r="A181" s="419">
        <v>45975</v>
      </c>
      <c r="B181" s="302" t="s">
        <v>759</v>
      </c>
      <c r="C181" s="177" t="str">
        <f>LEFT(B181,FIND("@",B181)-2)</f>
        <v>Philadelphia 76ers</v>
      </c>
      <c r="D181" s="177">
        <v>113</v>
      </c>
      <c r="E181" s="336">
        <v>105</v>
      </c>
      <c r="F181" s="327">
        <f>IF(E181&gt;D181, 1, 0)</f>
        <v>0</v>
      </c>
      <c r="G181" s="177" t="str">
        <f>MID(B181,FIND("@",B181)+2,LEN(B181)-FIND("@",B181)-1)</f>
        <v>Detroit Pistons</v>
      </c>
      <c r="H181" s="177">
        <v>109</v>
      </c>
      <c r="I181" s="336">
        <v>114</v>
      </c>
      <c r="J181" s="327">
        <f>IF(I181&gt;H181, 1, 0)</f>
        <v>1</v>
      </c>
      <c r="K181" s="177">
        <f>+D181+H181</f>
        <v>222</v>
      </c>
      <c r="L181" s="336">
        <f>E181+I181</f>
        <v>219</v>
      </c>
      <c r="M181" s="327">
        <f>IF(L181&gt;K181, 1, 0)</f>
        <v>0</v>
      </c>
      <c r="N181" s="337">
        <f>(+H181-D181)</f>
        <v>-4</v>
      </c>
      <c r="O181" s="355">
        <f>I181-E181</f>
        <v>9</v>
      </c>
      <c r="P181" s="405">
        <f>IF(OR(AND(N181&gt;0,O181&gt;0),AND(N181&lt;0,O181&lt;0)),1,0)</f>
        <v>0</v>
      </c>
      <c r="Q181" s="289">
        <f>WEEKNUM(tblResultadosNBA[[#This Row],[Fecha]],2)</f>
        <v>46</v>
      </c>
      <c r="R181" t="str">
        <f>TEXT(tblResultadosNBA[[#This Row],[Fecha]],"mmm")</f>
        <v>nov</v>
      </c>
    </row>
    <row r="182" spans="1:18">
      <c r="A182" s="419">
        <v>45975</v>
      </c>
      <c r="B182" s="302" t="s">
        <v>55</v>
      </c>
      <c r="C182" s="177" t="str">
        <f>LEFT(B182,FIND("@",B182)-2)</f>
        <v>Portland Trail Blazers</v>
      </c>
      <c r="D182" s="177">
        <v>116</v>
      </c>
      <c r="E182" s="336">
        <v>116</v>
      </c>
      <c r="F182" s="327">
        <f>IF(E182&gt;D182, 1, 0)</f>
        <v>0</v>
      </c>
      <c r="G182" s="177" t="str">
        <f>MID(B182,FIND("@",B182)+2,LEN(B182)-FIND("@",B182)-1)</f>
        <v>Houston Rockets</v>
      </c>
      <c r="H182" s="177">
        <v>122</v>
      </c>
      <c r="I182" s="336">
        <v>140</v>
      </c>
      <c r="J182" s="327">
        <f>IF(I182&gt;H182, 1, 0)</f>
        <v>1</v>
      </c>
      <c r="K182" s="177">
        <f>+D182+H182</f>
        <v>238</v>
      </c>
      <c r="L182" s="336">
        <f>E182+I182</f>
        <v>256</v>
      </c>
      <c r="M182" s="327">
        <f>IF(L182&gt;K182, 1, 0)</f>
        <v>1</v>
      </c>
      <c r="N182" s="337">
        <f>(+H182-D182)</f>
        <v>6</v>
      </c>
      <c r="O182" s="355">
        <f>I182-E182</f>
        <v>24</v>
      </c>
      <c r="P182" s="405">
        <f>IF(OR(AND(N182&gt;0,O182&gt;0),AND(N182&lt;0,O182&lt;0)),1,0)</f>
        <v>1</v>
      </c>
      <c r="Q182" s="289">
        <f>WEEKNUM(tblResultadosNBA[[#This Row],[Fecha]],2)</f>
        <v>46</v>
      </c>
      <c r="R182" t="str">
        <f>TEXT(tblResultadosNBA[[#This Row],[Fecha]],"mmm")</f>
        <v>nov</v>
      </c>
    </row>
    <row r="183" spans="1:18">
      <c r="A183" s="419">
        <v>45975</v>
      </c>
      <c r="B183" s="302" t="s">
        <v>760</v>
      </c>
      <c r="C183" s="177" t="str">
        <f>LEFT(B183,FIND("@",B183)-2)</f>
        <v>Charlotte Hornets</v>
      </c>
      <c r="D183" s="177">
        <v>105</v>
      </c>
      <c r="E183" s="336">
        <v>134</v>
      </c>
      <c r="F183" s="327">
        <f>IF(E183&gt;D183, 1, 0)</f>
        <v>1</v>
      </c>
      <c r="G183" s="177" t="str">
        <f>MID(B183,FIND("@",B183)+2,LEN(B183)-FIND("@",B183)-1)</f>
        <v>Milwaukee Bucks</v>
      </c>
      <c r="H183" s="177">
        <v>117</v>
      </c>
      <c r="I183" s="336">
        <v>147</v>
      </c>
      <c r="J183" s="327">
        <f>IF(I183&gt;H183, 1, 0)</f>
        <v>1</v>
      </c>
      <c r="K183" s="177">
        <f>+D183+H183</f>
        <v>222</v>
      </c>
      <c r="L183" s="336">
        <f>E183+I183</f>
        <v>281</v>
      </c>
      <c r="M183" s="327">
        <f>IF(L183&gt;K183, 1, 0)</f>
        <v>1</v>
      </c>
      <c r="N183" s="337">
        <f>(+H183-D183)</f>
        <v>12</v>
      </c>
      <c r="O183" s="355">
        <f>I183-E183</f>
        <v>13</v>
      </c>
      <c r="P183" s="405">
        <f>IF(OR(AND(N183&gt;0,O183&gt;0),AND(N183&lt;0,O183&lt;0)),1,0)</f>
        <v>1</v>
      </c>
      <c r="Q183" s="289">
        <f>WEEKNUM(tblResultadosNBA[[#This Row],[Fecha]],2)</f>
        <v>46</v>
      </c>
      <c r="R183" t="str">
        <f>TEXT(tblResultadosNBA[[#This Row],[Fecha]],"mmm")</f>
        <v>nov</v>
      </c>
    </row>
    <row r="184" spans="1:18">
      <c r="A184" s="419">
        <v>45975</v>
      </c>
      <c r="B184" s="302" t="s">
        <v>180</v>
      </c>
      <c r="C184" s="177" t="str">
        <f>LEFT(B184,FIND("@",B184)-2)</f>
        <v>Sacramento Kings</v>
      </c>
      <c r="D184" s="177">
        <v>112</v>
      </c>
      <c r="E184" s="336">
        <v>110</v>
      </c>
      <c r="F184" s="327">
        <f>IF(E184&gt;D184, 1, 0)</f>
        <v>0</v>
      </c>
      <c r="G184" s="177" t="str">
        <f>MID(B184,FIND("@",B184)+2,LEN(B184)-FIND("@",B184)-1)</f>
        <v>Minnesota Timberwolves</v>
      </c>
      <c r="H184" s="177">
        <v>117</v>
      </c>
      <c r="I184" s="336">
        <v>124</v>
      </c>
      <c r="J184" s="327">
        <f>IF(I184&gt;H184, 1, 0)</f>
        <v>1</v>
      </c>
      <c r="K184" s="177">
        <f>+D184+H184</f>
        <v>229</v>
      </c>
      <c r="L184" s="336">
        <f>E184+I184</f>
        <v>234</v>
      </c>
      <c r="M184" s="327">
        <f>IF(L184&gt;K184, 1, 0)</f>
        <v>1</v>
      </c>
      <c r="N184" s="337">
        <f>(+H184-D184)</f>
        <v>5</v>
      </c>
      <c r="O184" s="355">
        <f>I184-E184</f>
        <v>14</v>
      </c>
      <c r="P184" s="405">
        <f>IF(OR(AND(N184&gt;0,O184&gt;0),AND(N184&lt;0,O184&lt;0)),1,0)</f>
        <v>1</v>
      </c>
      <c r="Q184" s="289">
        <f>WEEKNUM(tblResultadosNBA[[#This Row],[Fecha]],2)</f>
        <v>46</v>
      </c>
      <c r="R184" t="str">
        <f>TEXT(tblResultadosNBA[[#This Row],[Fecha]],"mmm")</f>
        <v>nov</v>
      </c>
    </row>
    <row r="185" spans="1:18">
      <c r="A185" s="419">
        <v>45975</v>
      </c>
      <c r="B185" s="302" t="s">
        <v>56</v>
      </c>
      <c r="C185" s="177" t="str">
        <f>LEFT(B185,FIND("@",B185)-2)</f>
        <v>Los Angeles Lakers</v>
      </c>
      <c r="D185" s="177">
        <v>110</v>
      </c>
      <c r="E185" s="336">
        <v>118</v>
      </c>
      <c r="F185" s="327">
        <f>IF(E185&gt;D185, 1, 0)</f>
        <v>1</v>
      </c>
      <c r="G185" s="177" t="str">
        <f>MID(B185,FIND("@",B185)+2,LEN(B185)-FIND("@",B185)-1)</f>
        <v>New Orleans Pelicans</v>
      </c>
      <c r="H185" s="177">
        <v>114</v>
      </c>
      <c r="I185" s="336">
        <v>104</v>
      </c>
      <c r="J185" s="327">
        <f>IF(I185&gt;H185, 1, 0)</f>
        <v>0</v>
      </c>
      <c r="K185" s="177">
        <f>+D185+H185</f>
        <v>224</v>
      </c>
      <c r="L185" s="336">
        <f>E185+I185</f>
        <v>222</v>
      </c>
      <c r="M185" s="327">
        <f>IF(L185&gt;K185, 1, 0)</f>
        <v>0</v>
      </c>
      <c r="N185" s="337">
        <f>(+H185-D185)</f>
        <v>4</v>
      </c>
      <c r="O185" s="355">
        <f>I185-E185</f>
        <v>-14</v>
      </c>
      <c r="P185" s="405">
        <f>IF(OR(AND(N185&gt;0,O185&gt;0),AND(N185&lt;0,O185&lt;0)),1,0)</f>
        <v>0</v>
      </c>
      <c r="Q185" s="289">
        <f>WEEKNUM(tblResultadosNBA[[#This Row],[Fecha]],2)</f>
        <v>46</v>
      </c>
      <c r="R185" t="str">
        <f>TEXT(tblResultadosNBA[[#This Row],[Fecha]],"mmm")</f>
        <v>nov</v>
      </c>
    </row>
    <row r="186" spans="1:18">
      <c r="A186" s="419">
        <v>45975</v>
      </c>
      <c r="B186" s="302" t="s">
        <v>57</v>
      </c>
      <c r="C186" s="177" t="str">
        <f>LEFT(B186,FIND("@",B186)-2)</f>
        <v>LA Clippers</v>
      </c>
      <c r="D186" s="177">
        <v>105</v>
      </c>
      <c r="E186" s="336">
        <v>133</v>
      </c>
      <c r="F186" s="327">
        <f>IF(E186&gt;D186, 1, 0)</f>
        <v>1</v>
      </c>
      <c r="G186" s="177" t="str">
        <f>MID(B186,FIND("@",B186)+2,LEN(B186)-FIND("@",B186)-1)</f>
        <v>Dallas Mavericks</v>
      </c>
      <c r="H186" s="177">
        <v>111</v>
      </c>
      <c r="I186" s="336">
        <v>127</v>
      </c>
      <c r="J186" s="327">
        <f>IF(I186&gt;H186, 1, 0)</f>
        <v>1</v>
      </c>
      <c r="K186" s="177">
        <f>+D186+H186</f>
        <v>216</v>
      </c>
      <c r="L186" s="336">
        <f>E186+I186</f>
        <v>260</v>
      </c>
      <c r="M186" s="327">
        <f>IF(L186&gt;K186, 1, 0)</f>
        <v>1</v>
      </c>
      <c r="N186" s="337">
        <f>(+H186-D186)</f>
        <v>6</v>
      </c>
      <c r="O186" s="355">
        <f>I186-E186</f>
        <v>-6</v>
      </c>
      <c r="P186" s="405">
        <f>IF(OR(AND(N186&gt;0,O186&gt;0),AND(N186&lt;0,O186&lt;0)),1,0)</f>
        <v>0</v>
      </c>
      <c r="Q186" s="289">
        <f>WEEKNUM(tblResultadosNBA[[#This Row],[Fecha]],2)</f>
        <v>46</v>
      </c>
      <c r="R186" t="str">
        <f>TEXT(tblResultadosNBA[[#This Row],[Fecha]],"mmm")</f>
        <v>nov</v>
      </c>
    </row>
    <row r="187" spans="1:18">
      <c r="A187" s="445">
        <v>45975</v>
      </c>
      <c r="B187" s="331" t="s">
        <v>58</v>
      </c>
      <c r="C187" s="286" t="str">
        <f>LEFT(B187,FIND("@",B187)-2)</f>
        <v>Golden State Warriors</v>
      </c>
      <c r="D187" s="286">
        <v>125</v>
      </c>
      <c r="E187" s="431">
        <v>109</v>
      </c>
      <c r="F187" s="332">
        <f>IF(E187&gt;D187, 1, 0)</f>
        <v>0</v>
      </c>
      <c r="G187" s="286" t="str">
        <f>MID(B187,FIND("@",B187)+2,LEN(B187)-FIND("@",B187)-1)</f>
        <v>San Antonio Spurs</v>
      </c>
      <c r="H187" s="286">
        <v>119</v>
      </c>
      <c r="I187" s="431">
        <v>108</v>
      </c>
      <c r="J187" s="332">
        <f>IF(I187&gt;H187, 1, 0)</f>
        <v>0</v>
      </c>
      <c r="K187" s="286">
        <f>+D187+H187</f>
        <v>244</v>
      </c>
      <c r="L187" s="431">
        <f>E187+I187</f>
        <v>217</v>
      </c>
      <c r="M187" s="332">
        <f>IF(L187&gt;K187, 1, 0)</f>
        <v>0</v>
      </c>
      <c r="N187" s="432">
        <f>(+H187-D187)</f>
        <v>-6</v>
      </c>
      <c r="O187" s="447">
        <f>I187-E187</f>
        <v>-1</v>
      </c>
      <c r="P187" s="406">
        <f>IF(OR(AND(N187&gt;0,O187&gt;0),AND(N187&lt;0,O187&lt;0)),1,0)</f>
        <v>1</v>
      </c>
      <c r="Q187" s="433">
        <f>WEEKNUM(tblResultadosNBA[[#This Row],[Fecha]],2)</f>
        <v>46</v>
      </c>
      <c r="R187" s="433" t="str">
        <f>TEXT(tblResultadosNBA[[#This Row],[Fecha]],"mmm")</f>
        <v>nov</v>
      </c>
    </row>
    <row r="188" spans="1:18">
      <c r="A188" s="439">
        <v>45976</v>
      </c>
      <c r="B188" s="422" t="s">
        <v>61</v>
      </c>
      <c r="C188" s="341" t="str">
        <f>LEFT(B188,FIND("@",B188)-2)</f>
        <v>Memphis Grizzlies</v>
      </c>
      <c r="D188" s="341">
        <v>124</v>
      </c>
      <c r="E188" s="342">
        <v>100</v>
      </c>
      <c r="F188" s="333">
        <f>IF(E188&gt;D188, 1, 0)</f>
        <v>0</v>
      </c>
      <c r="G188" s="341" t="str">
        <f>MID(B188,FIND("@",B188)+2,LEN(B188)-FIND("@",B188)-1)</f>
        <v>Cleveland Cavaliers</v>
      </c>
      <c r="H188" s="341">
        <v>122</v>
      </c>
      <c r="I188" s="342">
        <v>108</v>
      </c>
      <c r="J188" s="333">
        <f>IF(I188&gt;H188, 1, 0)</f>
        <v>0</v>
      </c>
      <c r="K188" s="341">
        <f>+D188+H188</f>
        <v>246</v>
      </c>
      <c r="L188" s="342">
        <f>E188+I188</f>
        <v>208</v>
      </c>
      <c r="M188" s="333">
        <f>IF(L188&gt;K188, 1, 0)</f>
        <v>0</v>
      </c>
      <c r="N188" s="343">
        <f>(+H188-D188)</f>
        <v>-2</v>
      </c>
      <c r="O188" s="448">
        <f>I188-E188</f>
        <v>8</v>
      </c>
      <c r="P188" s="407">
        <f>IF(OR(AND(N188&gt;0,O188&gt;0),AND(N188&lt;0,O188&lt;0)),1,0)</f>
        <v>0</v>
      </c>
      <c r="Q188" s="289">
        <f>WEEKNUM(tblResultadosNBA[[#This Row],[Fecha]],2)</f>
        <v>46</v>
      </c>
      <c r="R188" t="str">
        <f>TEXT(tblResultadosNBA[[#This Row],[Fecha]],"mmm")</f>
        <v>nov</v>
      </c>
    </row>
    <row r="189" spans="1:18">
      <c r="A189" s="419">
        <v>45976</v>
      </c>
      <c r="B189" s="302" t="s">
        <v>62</v>
      </c>
      <c r="C189" s="177" t="str">
        <f>LEFT(B189,FIND("@",B189)-2)</f>
        <v>Oklahoma City Thunder</v>
      </c>
      <c r="D189" s="177">
        <v>118</v>
      </c>
      <c r="E189" s="336">
        <v>109</v>
      </c>
      <c r="F189" s="327">
        <f>IF(E189&gt;D189, 1, 0)</f>
        <v>0</v>
      </c>
      <c r="G189" s="177" t="str">
        <f>MID(B189,FIND("@",B189)+2,LEN(B189)-FIND("@",B189)-1)</f>
        <v>Charlotte Hornets</v>
      </c>
      <c r="H189" s="177">
        <v>114</v>
      </c>
      <c r="I189" s="336">
        <v>96</v>
      </c>
      <c r="J189" s="327">
        <f>IF(I189&gt;H189, 1, 0)</f>
        <v>0</v>
      </c>
      <c r="K189" s="177">
        <f>+D189+H189</f>
        <v>232</v>
      </c>
      <c r="L189" s="336">
        <f>E189+I189</f>
        <v>205</v>
      </c>
      <c r="M189" s="327">
        <f>IF(L189&gt;K189, 1, 0)</f>
        <v>0</v>
      </c>
      <c r="N189" s="337">
        <f>(+H189-D189)</f>
        <v>-4</v>
      </c>
      <c r="O189" s="355">
        <f>I189-E189</f>
        <v>-13</v>
      </c>
      <c r="P189" s="405">
        <f>IF(OR(AND(N189&gt;0,O189&gt;0),AND(N189&lt;0,O189&lt;0)),1,0)</f>
        <v>1</v>
      </c>
      <c r="Q189" s="289">
        <f>WEEKNUM(tblResultadosNBA[[#This Row],[Fecha]],2)</f>
        <v>46</v>
      </c>
      <c r="R189" t="str">
        <f>TEXT(tblResultadosNBA[[#This Row],[Fecha]],"mmm")</f>
        <v>nov</v>
      </c>
    </row>
    <row r="190" spans="1:18">
      <c r="A190" s="419">
        <v>45976</v>
      </c>
      <c r="B190" s="302" t="s">
        <v>761</v>
      </c>
      <c r="C190" s="177" t="str">
        <f>LEFT(B190,FIND("@",B190)-2)</f>
        <v>Toronto Raptors</v>
      </c>
      <c r="D190" s="177">
        <v>113</v>
      </c>
      <c r="E190" s="336">
        <v>129</v>
      </c>
      <c r="F190" s="327">
        <f>IF(E190&gt;D190, 1, 0)</f>
        <v>1</v>
      </c>
      <c r="G190" s="177" t="str">
        <f>MID(B190,FIND("@",B190)+2,LEN(B190)-FIND("@",B190)-1)</f>
        <v>Indiana Pacers</v>
      </c>
      <c r="H190" s="177">
        <v>113</v>
      </c>
      <c r="I190" s="336">
        <v>111</v>
      </c>
      <c r="J190" s="327">
        <f>IF(I190&gt;H190, 1, 0)</f>
        <v>0</v>
      </c>
      <c r="K190" s="177">
        <f>+D190+H190</f>
        <v>226</v>
      </c>
      <c r="L190" s="336">
        <f>E190+I190</f>
        <v>240</v>
      </c>
      <c r="M190" s="327">
        <f>IF(L190&gt;K190, 1, 0)</f>
        <v>1</v>
      </c>
      <c r="N190" s="337">
        <f>(+H190-D190)</f>
        <v>0</v>
      </c>
      <c r="O190" s="355">
        <f>I190-E190</f>
        <v>-18</v>
      </c>
      <c r="P190" s="405">
        <f>IF(OR(AND(N190&gt;0,O190&gt;0),AND(N190&lt;0,O190&lt;0)),1,0)</f>
        <v>0</v>
      </c>
      <c r="Q190" s="289">
        <f>WEEKNUM(tblResultadosNBA[[#This Row],[Fecha]],2)</f>
        <v>46</v>
      </c>
      <c r="R190" t="str">
        <f>TEXT(tblResultadosNBA[[#This Row],[Fecha]],"mmm")</f>
        <v>nov</v>
      </c>
    </row>
    <row r="191" spans="1:18">
      <c r="A191" s="419">
        <v>45976</v>
      </c>
      <c r="B191" s="302" t="s">
        <v>63</v>
      </c>
      <c r="C191" s="177" t="str">
        <f>LEFT(B191,FIND("@",B191)-2)</f>
        <v>Los Angeles Lakers</v>
      </c>
      <c r="D191" s="177">
        <v>114</v>
      </c>
      <c r="E191" s="336">
        <v>119</v>
      </c>
      <c r="F191" s="327">
        <f>IF(E191&gt;D191, 1, 0)</f>
        <v>1</v>
      </c>
      <c r="G191" s="177" t="str">
        <f>MID(B191,FIND("@",B191)+2,LEN(B191)-FIND("@",B191)-1)</f>
        <v>Milwaukee Bucks</v>
      </c>
      <c r="H191" s="177">
        <v>124</v>
      </c>
      <c r="I191" s="336">
        <v>95</v>
      </c>
      <c r="J191" s="327">
        <f>IF(I191&gt;H191, 1, 0)</f>
        <v>0</v>
      </c>
      <c r="K191" s="177">
        <f>+D191+H191</f>
        <v>238</v>
      </c>
      <c r="L191" s="336">
        <f>E191+I191</f>
        <v>214</v>
      </c>
      <c r="M191" s="327">
        <f>IF(L191&gt;K191, 1, 0)</f>
        <v>0</v>
      </c>
      <c r="N191" s="337">
        <f>(+H191-D191)</f>
        <v>10</v>
      </c>
      <c r="O191" s="355">
        <f>I191-E191</f>
        <v>-24</v>
      </c>
      <c r="P191" s="405">
        <f>IF(OR(AND(N191&gt;0,O191&gt;0),AND(N191&lt;0,O191&lt;0)),1,0)</f>
        <v>0</v>
      </c>
      <c r="Q191" s="289">
        <f>WEEKNUM(tblResultadosNBA[[#This Row],[Fecha]],2)</f>
        <v>46</v>
      </c>
      <c r="R191" t="str">
        <f>TEXT(tblResultadosNBA[[#This Row],[Fecha]],"mmm")</f>
        <v>nov</v>
      </c>
    </row>
    <row r="192" spans="1:18">
      <c r="A192" s="445">
        <v>45976</v>
      </c>
      <c r="B192" s="331" t="s">
        <v>591</v>
      </c>
      <c r="C192" s="286" t="str">
        <f>LEFT(B192,FIND("@",B192)-2)</f>
        <v>Denver Nuggets</v>
      </c>
      <c r="D192" s="286">
        <v>120</v>
      </c>
      <c r="E192" s="431">
        <v>123</v>
      </c>
      <c r="F192" s="332">
        <f>IF(E192&gt;D192, 1, 0)</f>
        <v>1</v>
      </c>
      <c r="G192" s="286" t="str">
        <f>MID(B192,FIND("@",B192)+2,LEN(B192)-FIND("@",B192)-1)</f>
        <v>Minnesota Timberwolves</v>
      </c>
      <c r="H192" s="286">
        <v>109</v>
      </c>
      <c r="I192" s="431">
        <v>112</v>
      </c>
      <c r="J192" s="332">
        <f>IF(I192&gt;H192, 1, 0)</f>
        <v>1</v>
      </c>
      <c r="K192" s="286">
        <f>+D192+H192</f>
        <v>229</v>
      </c>
      <c r="L192" s="431">
        <f>E192+I192</f>
        <v>235</v>
      </c>
      <c r="M192" s="332">
        <f>IF(L192&gt;K192, 1, 0)</f>
        <v>1</v>
      </c>
      <c r="N192" s="432">
        <f>(+H192-D192)</f>
        <v>-11</v>
      </c>
      <c r="O192" s="447">
        <f>I192-E192</f>
        <v>-11</v>
      </c>
      <c r="P192" s="406">
        <f>IF(OR(AND(N192&gt;0,O192&gt;0),AND(N192&lt;0,O192&lt;0)),1,0)</f>
        <v>1</v>
      </c>
      <c r="Q192" s="433">
        <f>WEEKNUM(tblResultadosNBA[[#This Row],[Fecha]],2)</f>
        <v>46</v>
      </c>
      <c r="R192" s="433" t="str">
        <f>TEXT(tblResultadosNBA[[#This Row],[Fecha]],"mmm")</f>
        <v>nov</v>
      </c>
    </row>
    <row r="193" spans="1:18">
      <c r="A193" s="439">
        <v>45977</v>
      </c>
      <c r="B193" s="422" t="s">
        <v>65</v>
      </c>
      <c r="C193" s="341" t="str">
        <f>LEFT(B193,FIND("@",B193)-2)</f>
        <v>LA Clippers</v>
      </c>
      <c r="D193" s="341">
        <v>118</v>
      </c>
      <c r="E193" s="342">
        <v>118</v>
      </c>
      <c r="F193" s="333">
        <f>IF(E193&gt;D193, 1, 0)</f>
        <v>0</v>
      </c>
      <c r="G193" s="341" t="str">
        <f>MID(B193,FIND("@",B193)+2,LEN(B193)-FIND("@",B193)-1)</f>
        <v>Boston Celtics</v>
      </c>
      <c r="H193" s="341">
        <v>113</v>
      </c>
      <c r="I193" s="342">
        <v>121</v>
      </c>
      <c r="J193" s="333">
        <f>IF(I193&gt;H193, 1, 0)</f>
        <v>1</v>
      </c>
      <c r="K193" s="341">
        <f>+D193+H193</f>
        <v>231</v>
      </c>
      <c r="L193" s="342">
        <f>E193+I193</f>
        <v>239</v>
      </c>
      <c r="M193" s="333">
        <f>IF(L193&gt;K193, 1, 0)</f>
        <v>1</v>
      </c>
      <c r="N193" s="343">
        <f>(+H193-D193)</f>
        <v>-5</v>
      </c>
      <c r="O193" s="448">
        <f>I193-E193</f>
        <v>3</v>
      </c>
      <c r="P193" s="407">
        <f>IF(OR(AND(N193&gt;0,O193&gt;0),AND(N193&lt;0,O193&lt;0)),1,0)</f>
        <v>0</v>
      </c>
      <c r="Q193" s="289">
        <f>WEEKNUM(tblResultadosNBA[[#This Row],[Fecha]],2)</f>
        <v>46</v>
      </c>
      <c r="R193" t="str">
        <f>TEXT(tblResultadosNBA[[#This Row],[Fecha]],"mmm")</f>
        <v>nov</v>
      </c>
    </row>
    <row r="194" spans="1:18">
      <c r="A194" s="419">
        <v>45977</v>
      </c>
      <c r="B194" s="302" t="s">
        <v>385</v>
      </c>
      <c r="C194" s="177" t="str">
        <f>LEFT(B194,FIND("@",B194)-2)</f>
        <v>Sacramento Kings</v>
      </c>
      <c r="D194" s="177">
        <v>111</v>
      </c>
      <c r="E194" s="336">
        <v>110</v>
      </c>
      <c r="F194" s="327">
        <f>IF(E194&gt;D194, 1, 0)</f>
        <v>0</v>
      </c>
      <c r="G194" s="177" t="str">
        <f>MID(B194,FIND("@",B194)+2,LEN(B194)-FIND("@",B194)-1)</f>
        <v>San Antonio Spurs</v>
      </c>
      <c r="H194" s="177">
        <v>120</v>
      </c>
      <c r="I194" s="336">
        <v>123</v>
      </c>
      <c r="J194" s="327">
        <f>IF(I194&gt;H194, 1, 0)</f>
        <v>1</v>
      </c>
      <c r="K194" s="177">
        <f>+D194+H194</f>
        <v>231</v>
      </c>
      <c r="L194" s="336">
        <f>E194+I194</f>
        <v>233</v>
      </c>
      <c r="M194" s="327">
        <f>IF(L194&gt;K194, 1, 0)</f>
        <v>1</v>
      </c>
      <c r="N194" s="337">
        <f>(+H194-D194)</f>
        <v>9</v>
      </c>
      <c r="O194" s="355">
        <f>I194-E194</f>
        <v>13</v>
      </c>
      <c r="P194" s="405">
        <f>IF(OR(AND(N194&gt;0,O194&gt;0),AND(N194&lt;0,O194&lt;0)),1,0)</f>
        <v>1</v>
      </c>
      <c r="Q194" s="289">
        <f>WEEKNUM(tblResultadosNBA[[#This Row],[Fecha]],2)</f>
        <v>46</v>
      </c>
      <c r="R194" t="str">
        <f>TEXT(tblResultadosNBA[[#This Row],[Fecha]],"mmm")</f>
        <v>nov</v>
      </c>
    </row>
    <row r="195" spans="1:18">
      <c r="A195" s="419">
        <v>45977</v>
      </c>
      <c r="B195" s="302" t="s">
        <v>259</v>
      </c>
      <c r="C195" s="177" t="str">
        <f>LEFT(B195,FIND("@",B195)-2)</f>
        <v>Brooklyn Nets</v>
      </c>
      <c r="D195" s="177">
        <v>98</v>
      </c>
      <c r="E195" s="336">
        <v>129</v>
      </c>
      <c r="F195" s="327">
        <f>IF(E195&gt;D195, 1, 0)</f>
        <v>1</v>
      </c>
      <c r="G195" s="177" t="str">
        <f>MID(B195,FIND("@",B195)+2,LEN(B195)-FIND("@",B195)-1)</f>
        <v>Washington Wizards</v>
      </c>
      <c r="H195" s="177">
        <v>123</v>
      </c>
      <c r="I195" s="336">
        <v>106</v>
      </c>
      <c r="J195" s="327">
        <f>IF(I195&gt;H195, 1, 0)</f>
        <v>0</v>
      </c>
      <c r="K195" s="177">
        <f>+D195+H195</f>
        <v>221</v>
      </c>
      <c r="L195" s="336">
        <f>E195+I195</f>
        <v>235</v>
      </c>
      <c r="M195" s="327">
        <f>IF(L195&gt;K195, 1, 0)</f>
        <v>1</v>
      </c>
      <c r="N195" s="337">
        <f>(+H195-D195)</f>
        <v>25</v>
      </c>
      <c r="O195" s="355">
        <f>I195-E195</f>
        <v>-23</v>
      </c>
      <c r="P195" s="405">
        <f>IF(OR(AND(N195&gt;0,O195&gt;0),AND(N195&lt;0,O195&lt;0)),1,0)</f>
        <v>0</v>
      </c>
      <c r="Q195" s="289">
        <f>WEEKNUM(tblResultadosNBA[[#This Row],[Fecha]],2)</f>
        <v>46</v>
      </c>
      <c r="R195" t="str">
        <f>TEXT(tblResultadosNBA[[#This Row],[Fecha]],"mmm")</f>
        <v>nov</v>
      </c>
    </row>
    <row r="196" spans="1:18">
      <c r="A196" s="419">
        <v>45977</v>
      </c>
      <c r="B196" s="302" t="s">
        <v>66</v>
      </c>
      <c r="C196" s="177" t="str">
        <f>LEFT(B196,FIND("@",B196)-2)</f>
        <v>Orlando Magic</v>
      </c>
      <c r="D196" s="177">
        <v>111</v>
      </c>
      <c r="E196" s="336">
        <v>113</v>
      </c>
      <c r="F196" s="327">
        <f>IF(E196&gt;D196, 1, 0)</f>
        <v>1</v>
      </c>
      <c r="G196" s="177" t="str">
        <f>MID(B196,FIND("@",B196)+2,LEN(B196)-FIND("@",B196)-1)</f>
        <v>Houston Rockets</v>
      </c>
      <c r="H196" s="177">
        <v>119</v>
      </c>
      <c r="I196" s="336">
        <v>117</v>
      </c>
      <c r="J196" s="327">
        <f>IF(I196&gt;H196, 1, 0)</f>
        <v>0</v>
      </c>
      <c r="K196" s="177">
        <f>+D196+H196</f>
        <v>230</v>
      </c>
      <c r="L196" s="336">
        <f>E196+I196</f>
        <v>230</v>
      </c>
      <c r="M196" s="327">
        <f>IF(L196&gt;K196, 1, 0)</f>
        <v>0</v>
      </c>
      <c r="N196" s="337">
        <f>(+H196-D196)</f>
        <v>8</v>
      </c>
      <c r="O196" s="355">
        <f>I196-E196</f>
        <v>4</v>
      </c>
      <c r="P196" s="405">
        <f>IF(OR(AND(N196&gt;0,O196&gt;0),AND(N196&lt;0,O196&lt;0)),1,0)</f>
        <v>1</v>
      </c>
      <c r="Q196" s="289">
        <f>WEEKNUM(tblResultadosNBA[[#This Row],[Fecha]],2)</f>
        <v>46</v>
      </c>
      <c r="R196" t="str">
        <f>TEXT(tblResultadosNBA[[#This Row],[Fecha]],"mmm")</f>
        <v>nov</v>
      </c>
    </row>
    <row r="197" spans="1:18">
      <c r="A197" s="419">
        <v>45977</v>
      </c>
      <c r="B197" s="302" t="s">
        <v>67</v>
      </c>
      <c r="C197" s="177" t="str">
        <f>LEFT(B197,FIND("@",B197)-2)</f>
        <v>Golden State Warriors</v>
      </c>
      <c r="D197" s="177">
        <v>117</v>
      </c>
      <c r="E197" s="336">
        <v>124</v>
      </c>
      <c r="F197" s="327">
        <f>IF(E197&gt;D197, 1, 0)</f>
        <v>1</v>
      </c>
      <c r="G197" s="177" t="str">
        <f>MID(B197,FIND("@",B197)+2,LEN(B197)-FIND("@",B197)-1)</f>
        <v>New Orleans Pelicans</v>
      </c>
      <c r="H197" s="177">
        <v>108</v>
      </c>
      <c r="I197" s="336">
        <v>106</v>
      </c>
      <c r="J197" s="327">
        <f>IF(I197&gt;H197, 1, 0)</f>
        <v>0</v>
      </c>
      <c r="K197" s="177">
        <f>+D197+H197</f>
        <v>225</v>
      </c>
      <c r="L197" s="336">
        <f>E197+I197</f>
        <v>230</v>
      </c>
      <c r="M197" s="327">
        <f>IF(L197&gt;K197, 1, 0)</f>
        <v>1</v>
      </c>
      <c r="N197" s="337">
        <f>(+H197-D197)</f>
        <v>-9</v>
      </c>
      <c r="O197" s="355">
        <f>I197-E197</f>
        <v>-18</v>
      </c>
      <c r="P197" s="405">
        <f>IF(OR(AND(N197&gt;0,O197&gt;0),AND(N197&lt;0,O197&lt;0)),1,0)</f>
        <v>1</v>
      </c>
      <c r="Q197" s="289">
        <f>WEEKNUM(tblResultadosNBA[[#This Row],[Fecha]],2)</f>
        <v>46</v>
      </c>
      <c r="R197" t="str">
        <f>TEXT(tblResultadosNBA[[#This Row],[Fecha]],"mmm")</f>
        <v>nov</v>
      </c>
    </row>
    <row r="198" spans="1:18">
      <c r="A198" s="419">
        <v>45977</v>
      </c>
      <c r="B198" s="302" t="s">
        <v>68</v>
      </c>
      <c r="C198" s="177" t="str">
        <f>LEFT(B198,FIND("@",B198)-2)</f>
        <v>Portland Trail Blazers</v>
      </c>
      <c r="D198" s="177">
        <v>115</v>
      </c>
      <c r="E198" s="336">
        <v>133</v>
      </c>
      <c r="F198" s="327">
        <f>IF(E198&gt;D198, 1, 0)</f>
        <v>1</v>
      </c>
      <c r="G198" s="177" t="str">
        <f>MID(B198,FIND("@",B198)+2,LEN(B198)-FIND("@",B198)-1)</f>
        <v>Dallas Mavericks</v>
      </c>
      <c r="H198" s="177">
        <v>117</v>
      </c>
      <c r="I198" s="336">
        <v>138</v>
      </c>
      <c r="J198" s="327">
        <f>IF(I198&gt;H198, 1, 0)</f>
        <v>1</v>
      </c>
      <c r="K198" s="177">
        <f>+D198+H198</f>
        <v>232</v>
      </c>
      <c r="L198" s="336">
        <f>E198+I198</f>
        <v>271</v>
      </c>
      <c r="M198" s="327">
        <f>IF(L198&gt;K198, 1, 0)</f>
        <v>1</v>
      </c>
      <c r="N198" s="337">
        <f>(+H198-D198)</f>
        <v>2</v>
      </c>
      <c r="O198" s="355">
        <f>I198-E198</f>
        <v>5</v>
      </c>
      <c r="P198" s="405">
        <f>IF(OR(AND(N198&gt;0,O198&gt;0),AND(N198&lt;0,O198&lt;0)),1,0)</f>
        <v>1</v>
      </c>
      <c r="Q198" s="289">
        <f>WEEKNUM(tblResultadosNBA[[#This Row],[Fecha]],2)</f>
        <v>46</v>
      </c>
      <c r="R198" t="str">
        <f>TEXT(tblResultadosNBA[[#This Row],[Fecha]],"mmm")</f>
        <v>nov</v>
      </c>
    </row>
    <row r="199" spans="1:18">
      <c r="A199" s="419">
        <v>45977</v>
      </c>
      <c r="B199" s="302" t="s">
        <v>69</v>
      </c>
      <c r="C199" s="177" t="str">
        <f>LEFT(B199,FIND("@",B199)-2)</f>
        <v>Atlanta Hawks</v>
      </c>
      <c r="D199" s="177">
        <v>120</v>
      </c>
      <c r="E199" s="336">
        <v>124</v>
      </c>
      <c r="F199" s="327">
        <f>IF(E199&gt;D199, 1, 0)</f>
        <v>1</v>
      </c>
      <c r="G199" s="177" t="str">
        <f>MID(B199,FIND("@",B199)+2,LEN(B199)-FIND("@",B199)-1)</f>
        <v>Phoenix Suns</v>
      </c>
      <c r="H199" s="177">
        <v>115</v>
      </c>
      <c r="I199" s="336">
        <v>122</v>
      </c>
      <c r="J199" s="327">
        <f>IF(I199&gt;H199, 1, 0)</f>
        <v>1</v>
      </c>
      <c r="K199" s="177">
        <f>+D199+H199</f>
        <v>235</v>
      </c>
      <c r="L199" s="336">
        <f>E199+I199</f>
        <v>246</v>
      </c>
      <c r="M199" s="327">
        <f>IF(L199&gt;K199, 1, 0)</f>
        <v>1</v>
      </c>
      <c r="N199" s="337">
        <f>(+H199-D199)</f>
        <v>-5</v>
      </c>
      <c r="O199" s="355">
        <f>I199-E199</f>
        <v>-2</v>
      </c>
      <c r="P199" s="405">
        <f>IF(OR(AND(N199&gt;0,O199&gt;0),AND(N199&lt;0,O199&lt;0)),1,0)</f>
        <v>1</v>
      </c>
      <c r="Q199" s="289">
        <f>WEEKNUM(tblResultadosNBA[[#This Row],[Fecha]],2)</f>
        <v>46</v>
      </c>
      <c r="R199" t="str">
        <f>TEXT(tblResultadosNBA[[#This Row],[Fecha]],"mmm")</f>
        <v>nov</v>
      </c>
    </row>
    <row r="200" spans="1:18">
      <c r="A200" s="445">
        <v>45977</v>
      </c>
      <c r="B200" s="331" t="s">
        <v>762</v>
      </c>
      <c r="C200" s="286" t="str">
        <f>LEFT(B200,FIND("@",B200)-2)</f>
        <v>Chicago Bulls</v>
      </c>
      <c r="D200" s="286">
        <v>107</v>
      </c>
      <c r="E200" s="431">
        <v>147</v>
      </c>
      <c r="F200" s="332">
        <f>IF(E200&gt;D200, 1, 0)</f>
        <v>1</v>
      </c>
      <c r="G200" s="286" t="str">
        <f>MID(B200,FIND("@",B200)+2,LEN(B200)-FIND("@",B200)-1)</f>
        <v>Utah Jazz</v>
      </c>
      <c r="H200" s="286">
        <v>114</v>
      </c>
      <c r="I200" s="431">
        <v>150</v>
      </c>
      <c r="J200" s="332">
        <f>IF(I200&gt;H200, 1, 0)</f>
        <v>1</v>
      </c>
      <c r="K200" s="286">
        <f>+D200+H200</f>
        <v>221</v>
      </c>
      <c r="L200" s="431">
        <f>E200+I200</f>
        <v>297</v>
      </c>
      <c r="M200" s="332">
        <f>IF(L200&gt;K200, 1, 0)</f>
        <v>1</v>
      </c>
      <c r="N200" s="432">
        <f>(+H200-D200)</f>
        <v>7</v>
      </c>
      <c r="O200" s="447">
        <f>I200-E200</f>
        <v>3</v>
      </c>
      <c r="P200" s="406">
        <f>IF(OR(AND(N200&gt;0,O200&gt;0),AND(N200&lt;0,O200&lt;0)),1,0)</f>
        <v>1</v>
      </c>
      <c r="Q200" s="433">
        <f>WEEKNUM(tblResultadosNBA[[#This Row],[Fecha]],2)</f>
        <v>46</v>
      </c>
      <c r="R200" s="433" t="str">
        <f>TEXT(tblResultadosNBA[[#This Row],[Fecha]],"mmm")</f>
        <v>nov</v>
      </c>
    </row>
    <row r="201" spans="1:18">
      <c r="A201" s="439">
        <v>45978</v>
      </c>
      <c r="B201" s="422" t="s">
        <v>70</v>
      </c>
      <c r="C201" s="341" t="str">
        <f>LEFT(B201,FIND("@",B201)-2)</f>
        <v>Milwaukee Bucks</v>
      </c>
      <c r="D201" s="341">
        <v>127</v>
      </c>
      <c r="E201" s="342">
        <v>106</v>
      </c>
      <c r="F201" s="333">
        <f>IF(E201&gt;D201, 1, 0)</f>
        <v>0</v>
      </c>
      <c r="G201" s="341" t="str">
        <f>MID(B201,FIND("@",B201)+2,LEN(B201)-FIND("@",B201)-1)</f>
        <v>Cleveland Cavaliers</v>
      </c>
      <c r="H201" s="341">
        <v>120</v>
      </c>
      <c r="I201" s="342">
        <v>118</v>
      </c>
      <c r="J201" s="333">
        <f>IF(I201&gt;H201, 1, 0)</f>
        <v>0</v>
      </c>
      <c r="K201" s="341">
        <f>+D201+H201</f>
        <v>247</v>
      </c>
      <c r="L201" s="342">
        <f>E201+I201</f>
        <v>224</v>
      </c>
      <c r="M201" s="333">
        <f>IF(L201&gt;K201, 1, 0)</f>
        <v>0</v>
      </c>
      <c r="N201" s="343">
        <f>(+H201-D201)</f>
        <v>-7</v>
      </c>
      <c r="O201" s="448">
        <f>I201-E201</f>
        <v>12</v>
      </c>
      <c r="P201" s="407">
        <f>IF(OR(AND(N201&gt;0,O201&gt;0),AND(N201&lt;0,O201&lt;0)),1,0)</f>
        <v>0</v>
      </c>
      <c r="Q201" s="289">
        <f>WEEKNUM(tblResultadosNBA[[#This Row],[Fecha]],2)</f>
        <v>47</v>
      </c>
      <c r="R201" t="str">
        <f>TEXT(tblResultadosNBA[[#This Row],[Fecha]],"mmm")</f>
        <v>nov</v>
      </c>
    </row>
    <row r="202" spans="1:18">
      <c r="A202" s="419">
        <v>45978</v>
      </c>
      <c r="B202" s="302" t="s">
        <v>71</v>
      </c>
      <c r="C202" s="177" t="str">
        <f>LEFT(B202,FIND("@",B202)-2)</f>
        <v>Indiana Pacers</v>
      </c>
      <c r="D202" s="177">
        <v>113</v>
      </c>
      <c r="E202" s="336">
        <v>112</v>
      </c>
      <c r="F202" s="327">
        <f>IF(E202&gt;D202, 1, 0)</f>
        <v>0</v>
      </c>
      <c r="G202" s="177" t="str">
        <f>MID(B202,FIND("@",B202)+2,LEN(B202)-FIND("@",B202)-1)</f>
        <v>Detroit Pistons</v>
      </c>
      <c r="H202" s="177">
        <v>117</v>
      </c>
      <c r="I202" s="336">
        <v>127</v>
      </c>
      <c r="J202" s="327">
        <f>IF(I202&gt;H202, 1, 0)</f>
        <v>1</v>
      </c>
      <c r="K202" s="177">
        <f>+D202+H202</f>
        <v>230</v>
      </c>
      <c r="L202" s="336">
        <f>E202+I202</f>
        <v>239</v>
      </c>
      <c r="M202" s="327">
        <f>IF(L202&gt;K202, 1, 0)</f>
        <v>1</v>
      </c>
      <c r="N202" s="337">
        <f>(+H202-D202)</f>
        <v>4</v>
      </c>
      <c r="O202" s="355">
        <f>I202-E202</f>
        <v>15</v>
      </c>
      <c r="P202" s="405">
        <f>IF(OR(AND(N202&gt;0,O202&gt;0),AND(N202&lt;0,O202&lt;0)),1,0)</f>
        <v>1</v>
      </c>
      <c r="Q202" s="289">
        <f>WEEKNUM(tblResultadosNBA[[#This Row],[Fecha]],2)</f>
        <v>47</v>
      </c>
      <c r="R202" t="str">
        <f>TEXT(tblResultadosNBA[[#This Row],[Fecha]],"mmm")</f>
        <v>nov</v>
      </c>
    </row>
    <row r="203" spans="1:18">
      <c r="A203" s="419">
        <v>45978</v>
      </c>
      <c r="B203" s="302" t="s">
        <v>72</v>
      </c>
      <c r="C203" s="177" t="str">
        <f>LEFT(B203,FIND("@",B203)-2)</f>
        <v>LA Clippers</v>
      </c>
      <c r="D203" s="177">
        <v>108</v>
      </c>
      <c r="E203" s="336">
        <v>108</v>
      </c>
      <c r="F203" s="327">
        <f>IF(E203&gt;D203, 1, 0)</f>
        <v>0</v>
      </c>
      <c r="G203" s="177" t="str">
        <f>MID(B203,FIND("@",B203)+2,LEN(B203)-FIND("@",B203)-1)</f>
        <v>Philadelphia 76ers</v>
      </c>
      <c r="H203" s="177">
        <v>110</v>
      </c>
      <c r="I203" s="336">
        <v>110</v>
      </c>
      <c r="J203" s="327">
        <f>IF(I203&gt;H203, 1, 0)</f>
        <v>0</v>
      </c>
      <c r="K203" s="177">
        <f>+D203+H203</f>
        <v>218</v>
      </c>
      <c r="L203" s="336">
        <f>E203+I203</f>
        <v>218</v>
      </c>
      <c r="M203" s="327">
        <f>IF(L203&gt;K203, 1, 0)</f>
        <v>0</v>
      </c>
      <c r="N203" s="337">
        <f>(+H203-D203)</f>
        <v>2</v>
      </c>
      <c r="O203" s="355">
        <f>I203-E203</f>
        <v>2</v>
      </c>
      <c r="P203" s="405">
        <f>IF(OR(AND(N203&gt;0,O203&gt;0),AND(N203&lt;0,O203&lt;0)),1,0)</f>
        <v>1</v>
      </c>
      <c r="Q203" s="289">
        <f>WEEKNUM(tblResultadosNBA[[#This Row],[Fecha]],2)</f>
        <v>47</v>
      </c>
      <c r="R203" t="str">
        <f>TEXT(tblResultadosNBA[[#This Row],[Fecha]],"mmm")</f>
        <v>nov</v>
      </c>
    </row>
    <row r="204" spans="1:18">
      <c r="A204" s="419">
        <v>45978</v>
      </c>
      <c r="B204" s="302" t="s">
        <v>685</v>
      </c>
      <c r="C204" s="177" t="str">
        <f>LEFT(B204,FIND("@",B204)-2)</f>
        <v>New York Knicks</v>
      </c>
      <c r="D204" s="177">
        <v>111</v>
      </c>
      <c r="E204" s="336">
        <v>113</v>
      </c>
      <c r="F204" s="327">
        <f>IF(E204&gt;D204, 1, 0)</f>
        <v>1</v>
      </c>
      <c r="G204" s="177" t="str">
        <f>MID(B204,FIND("@",B204)+2,LEN(B204)-FIND("@",B204)-1)</f>
        <v>Miami Heat</v>
      </c>
      <c r="H204" s="177">
        <v>118</v>
      </c>
      <c r="I204" s="336">
        <v>115</v>
      </c>
      <c r="J204" s="327">
        <f>IF(I204&gt;H204, 1, 0)</f>
        <v>0</v>
      </c>
      <c r="K204" s="177">
        <f>+D204+H204</f>
        <v>229</v>
      </c>
      <c r="L204" s="336">
        <f>E204+I204</f>
        <v>228</v>
      </c>
      <c r="M204" s="327">
        <f>IF(L204&gt;K204, 1, 0)</f>
        <v>0</v>
      </c>
      <c r="N204" s="337">
        <f>(+H204-D204)</f>
        <v>7</v>
      </c>
      <c r="O204" s="355">
        <f>I204-E204</f>
        <v>2</v>
      </c>
      <c r="P204" s="405">
        <f>IF(OR(AND(N204&gt;0,O204&gt;0),AND(N204&lt;0,O204&lt;0)),1,0)</f>
        <v>1</v>
      </c>
      <c r="Q204" s="289">
        <f>WEEKNUM(tblResultadosNBA[[#This Row],[Fecha]],2)</f>
        <v>47</v>
      </c>
      <c r="R204" t="str">
        <f>TEXT(tblResultadosNBA[[#This Row],[Fecha]],"mmm")</f>
        <v>nov</v>
      </c>
    </row>
    <row r="205" spans="1:18">
      <c r="A205" s="419">
        <v>45978</v>
      </c>
      <c r="B205" s="302" t="s">
        <v>152</v>
      </c>
      <c r="C205" s="177" t="str">
        <f>LEFT(B205,FIND("@",B205)-2)</f>
        <v>Charlotte Hornets</v>
      </c>
      <c r="D205" s="177">
        <v>103</v>
      </c>
      <c r="E205" s="336">
        <v>108</v>
      </c>
      <c r="F205" s="327">
        <f>IF(E205&gt;D205, 1, 0)</f>
        <v>1</v>
      </c>
      <c r="G205" s="177" t="str">
        <f>MID(B205,FIND("@",B205)+2,LEN(B205)-FIND("@",B205)-1)</f>
        <v>Toronto Raptors</v>
      </c>
      <c r="H205" s="177">
        <v>113</v>
      </c>
      <c r="I205" s="336">
        <v>110</v>
      </c>
      <c r="J205" s="327">
        <f>IF(I205&gt;H205, 1, 0)</f>
        <v>0</v>
      </c>
      <c r="K205" s="177">
        <f>+D205+H205</f>
        <v>216</v>
      </c>
      <c r="L205" s="336">
        <f>E205+I205</f>
        <v>218</v>
      </c>
      <c r="M205" s="327">
        <f>IF(L205&gt;K205, 1, 0)</f>
        <v>1</v>
      </c>
      <c r="N205" s="337">
        <f>(+H205-D205)</f>
        <v>10</v>
      </c>
      <c r="O205" s="355">
        <f>I205-E205</f>
        <v>2</v>
      </c>
      <c r="P205" s="405">
        <f>IF(OR(AND(N205&gt;0,O205&gt;0),AND(N205&lt;0,O205&lt;0)),1,0)</f>
        <v>1</v>
      </c>
      <c r="Q205">
        <f>WEEKNUM(tblResultadosNBA[[#This Row],[Fecha]],2)</f>
        <v>47</v>
      </c>
      <c r="R205" t="str">
        <f>TEXT(tblResultadosNBA[[#This Row],[Fecha]],"mmm")</f>
        <v>nov</v>
      </c>
    </row>
    <row r="206" spans="1:18">
      <c r="A206" s="419">
        <v>45978</v>
      </c>
      <c r="B206" s="302" t="s">
        <v>73</v>
      </c>
      <c r="C206" s="177" t="str">
        <f>LEFT(B206,FIND("@",B206)-2)</f>
        <v>Dallas Mavericks</v>
      </c>
      <c r="D206" s="177">
        <v>110</v>
      </c>
      <c r="E206" s="336">
        <v>96</v>
      </c>
      <c r="F206" s="327">
        <f>IF(E206&gt;D206, 1, 0)</f>
        <v>0</v>
      </c>
      <c r="G206" s="177" t="str">
        <f>MID(B206,FIND("@",B206)+2,LEN(B206)-FIND("@",B206)-1)</f>
        <v>Minnesota Timberwolves</v>
      </c>
      <c r="H206" s="177">
        <v>116</v>
      </c>
      <c r="I206" s="336">
        <v>120</v>
      </c>
      <c r="J206" s="327">
        <f>IF(I206&gt;H206, 1, 0)</f>
        <v>1</v>
      </c>
      <c r="K206" s="177">
        <f>+D206+H206</f>
        <v>226</v>
      </c>
      <c r="L206" s="336">
        <f>E206+I206</f>
        <v>216</v>
      </c>
      <c r="M206" s="327">
        <f>IF(L206&gt;K206, 1, 0)</f>
        <v>0</v>
      </c>
      <c r="N206" s="337">
        <f>(+H206-D206)</f>
        <v>6</v>
      </c>
      <c r="O206" s="355">
        <f>I206-E206</f>
        <v>24</v>
      </c>
      <c r="P206" s="405">
        <f>IF(OR(AND(N206&gt;0,O206&gt;0),AND(N206&lt;0,O206&lt;0)),1,0)</f>
        <v>1</v>
      </c>
      <c r="Q206" s="289">
        <f>WEEKNUM(tblResultadosNBA[[#This Row],[Fecha]],2)</f>
        <v>47</v>
      </c>
      <c r="R206" t="str">
        <f>TEXT(tblResultadosNBA[[#This Row],[Fecha]],"mmm")</f>
        <v>nov</v>
      </c>
    </row>
    <row r="207" spans="1:18">
      <c r="A207" s="419">
        <v>45978</v>
      </c>
      <c r="B207" s="302" t="s">
        <v>74</v>
      </c>
      <c r="C207" s="177" t="str">
        <f>LEFT(B207,FIND("@",B207)-2)</f>
        <v>Oklahoma City Thunder</v>
      </c>
      <c r="D207" s="177">
        <v>112</v>
      </c>
      <c r="E207" s="336">
        <v>126</v>
      </c>
      <c r="F207" s="327">
        <f>IF(E207&gt;D207, 1, 0)</f>
        <v>1</v>
      </c>
      <c r="G207" s="177" t="str">
        <f>MID(B207,FIND("@",B207)+2,LEN(B207)-FIND("@",B207)-1)</f>
        <v>New Orleans Pelicans</v>
      </c>
      <c r="H207" s="177">
        <v>117</v>
      </c>
      <c r="I207" s="336">
        <v>109</v>
      </c>
      <c r="J207" s="327">
        <f>IF(I207&gt;H207, 1, 0)</f>
        <v>0</v>
      </c>
      <c r="K207" s="177">
        <f>+D207+H207</f>
        <v>229</v>
      </c>
      <c r="L207" s="336">
        <f>E207+I207</f>
        <v>235</v>
      </c>
      <c r="M207" s="327">
        <f>IF(L207&gt;K207, 1, 0)</f>
        <v>1</v>
      </c>
      <c r="N207" s="337">
        <f>(+H207-D207)</f>
        <v>5</v>
      </c>
      <c r="O207" s="355">
        <f>I207-E207</f>
        <v>-17</v>
      </c>
      <c r="P207" s="405">
        <f>IF(OR(AND(N207&gt;0,O207&gt;0),AND(N207&lt;0,O207&lt;0)),1,0)</f>
        <v>0</v>
      </c>
      <c r="Q207" s="289">
        <f>WEEKNUM(tblResultadosNBA[[#This Row],[Fecha]],2)</f>
        <v>47</v>
      </c>
      <c r="R207" t="str">
        <f>TEXT(tblResultadosNBA[[#This Row],[Fecha]],"mmm")</f>
        <v>nov</v>
      </c>
    </row>
    <row r="208" spans="1:18">
      <c r="A208" s="445">
        <v>45978</v>
      </c>
      <c r="B208" s="331" t="s">
        <v>763</v>
      </c>
      <c r="C208" s="286" t="str">
        <f>LEFT(B208,FIND("@",B208)-2)</f>
        <v>Chicago Bulls</v>
      </c>
      <c r="D208" s="286">
        <v>106</v>
      </c>
      <c r="E208" s="431">
        <v>130</v>
      </c>
      <c r="F208" s="332">
        <f>IF(E208&gt;D208, 1, 0)</f>
        <v>1</v>
      </c>
      <c r="G208" s="286" t="str">
        <f>MID(B208,FIND("@",B208)+2,LEN(B208)-FIND("@",B208)-1)</f>
        <v>Denver Nuggets</v>
      </c>
      <c r="H208" s="286">
        <v>121</v>
      </c>
      <c r="I208" s="431">
        <v>127</v>
      </c>
      <c r="J208" s="332">
        <f>IF(I208&gt;H208, 1, 0)</f>
        <v>1</v>
      </c>
      <c r="K208" s="286">
        <f>+D208+H208</f>
        <v>227</v>
      </c>
      <c r="L208" s="431">
        <f>E208+I208</f>
        <v>257</v>
      </c>
      <c r="M208" s="332">
        <f>IF(L208&gt;K208, 1, 0)</f>
        <v>1</v>
      </c>
      <c r="N208" s="432">
        <f>(+H208-D208)</f>
        <v>15</v>
      </c>
      <c r="O208" s="447">
        <f>I208-E208</f>
        <v>-3</v>
      </c>
      <c r="P208" s="406">
        <f>IF(OR(AND(N208&gt;0,O208&gt;0),AND(N208&lt;0,O208&lt;0)),1,0)</f>
        <v>0</v>
      </c>
      <c r="Q208" s="433">
        <f>WEEKNUM(tblResultadosNBA[[#This Row],[Fecha]],2)</f>
        <v>47</v>
      </c>
      <c r="R208" s="433" t="str">
        <f>TEXT(tblResultadosNBA[[#This Row],[Fecha]],"mmm")</f>
        <v>nov</v>
      </c>
    </row>
    <row r="209" spans="1:18">
      <c r="A209" s="439">
        <v>45979</v>
      </c>
      <c r="B209" s="422" t="s">
        <v>75</v>
      </c>
      <c r="C209" s="341" t="str">
        <f>LEFT(B209,FIND("@",B209)-2)</f>
        <v>Golden State Warriors</v>
      </c>
      <c r="D209" s="341">
        <v>119</v>
      </c>
      <c r="E209" s="342">
        <v>113</v>
      </c>
      <c r="F209" s="333">
        <f>IF(E209&gt;D209, 1, 0)</f>
        <v>0</v>
      </c>
      <c r="G209" s="341" t="str">
        <f>MID(B209,FIND("@",B209)+2,LEN(B209)-FIND("@",B209)-1)</f>
        <v>Orlando Magic</v>
      </c>
      <c r="H209" s="341">
        <v>110</v>
      </c>
      <c r="I209" s="342">
        <v>121</v>
      </c>
      <c r="J209" s="333">
        <f>IF(I209&gt;H209, 1, 0)</f>
        <v>1</v>
      </c>
      <c r="K209" s="341">
        <f>+D209+H209</f>
        <v>229</v>
      </c>
      <c r="L209" s="342">
        <f>E209+I209</f>
        <v>234</v>
      </c>
      <c r="M209" s="333">
        <f>IF(L209&gt;K209, 1, 0)</f>
        <v>1</v>
      </c>
      <c r="N209" s="343">
        <f>(+H209-D209)</f>
        <v>-9</v>
      </c>
      <c r="O209" s="448">
        <f>I209-E209</f>
        <v>8</v>
      </c>
      <c r="P209" s="407">
        <f>IF(OR(AND(N209&gt;0,O209&gt;0),AND(N209&lt;0,O209&lt;0)),1,0)</f>
        <v>0</v>
      </c>
      <c r="Q209" s="289">
        <f>WEEKNUM(tblResultadosNBA[[#This Row],[Fecha]],2)</f>
        <v>47</v>
      </c>
      <c r="R209" t="str">
        <f>TEXT(tblResultadosNBA[[#This Row],[Fecha]],"mmm")</f>
        <v>nov</v>
      </c>
    </row>
    <row r="210" spans="1:18">
      <c r="A210" s="419">
        <v>45979</v>
      </c>
      <c r="B210" s="302" t="s">
        <v>76</v>
      </c>
      <c r="C210" s="177" t="str">
        <f>LEFT(B210,FIND("@",B210)-2)</f>
        <v>Boston Celtics</v>
      </c>
      <c r="D210" s="177">
        <v>114</v>
      </c>
      <c r="E210" s="336">
        <v>113</v>
      </c>
      <c r="F210" s="327">
        <f>IF(E210&gt;D210, 1, 0)</f>
        <v>0</v>
      </c>
      <c r="G210" s="177" t="str">
        <f>MID(B210,FIND("@",B210)+2,LEN(B210)-FIND("@",B210)-1)</f>
        <v>Brooklyn Nets</v>
      </c>
      <c r="H210" s="177">
        <v>110</v>
      </c>
      <c r="I210" s="336">
        <v>99</v>
      </c>
      <c r="J210" s="327">
        <f>IF(I210&gt;H210, 1, 0)</f>
        <v>0</v>
      </c>
      <c r="K210" s="177">
        <f>+D210+H210</f>
        <v>224</v>
      </c>
      <c r="L210" s="336">
        <f>E210+I210</f>
        <v>212</v>
      </c>
      <c r="M210" s="327">
        <f>IF(L210&gt;K210, 1, 0)</f>
        <v>0</v>
      </c>
      <c r="N210" s="337">
        <f>(+H210-D210)</f>
        <v>-4</v>
      </c>
      <c r="O210" s="355">
        <f>I210-E210</f>
        <v>-14</v>
      </c>
      <c r="P210" s="405">
        <f>IF(OR(AND(N210&gt;0,O210&gt;0),AND(N210&lt;0,O210&lt;0)),1,0)</f>
        <v>1</v>
      </c>
      <c r="Q210" s="289">
        <f>WEEKNUM(tblResultadosNBA[[#This Row],[Fecha]],2)</f>
        <v>47</v>
      </c>
      <c r="R210" t="str">
        <f>TEXT(tblResultadosNBA[[#This Row],[Fecha]],"mmm")</f>
        <v>nov</v>
      </c>
    </row>
    <row r="211" spans="1:18">
      <c r="A211" s="419">
        <v>45979</v>
      </c>
      <c r="B211" s="302" t="s">
        <v>77</v>
      </c>
      <c r="C211" s="177" t="str">
        <f>LEFT(B211,FIND("@",B211)-2)</f>
        <v>Detroit Pistons</v>
      </c>
      <c r="D211" s="177">
        <v>112</v>
      </c>
      <c r="E211" s="336">
        <v>120</v>
      </c>
      <c r="F211" s="327">
        <f>IF(E211&gt;D211, 1, 0)</f>
        <v>1</v>
      </c>
      <c r="G211" s="177" t="str">
        <f>MID(B211,FIND("@",B211)+2,LEN(B211)-FIND("@",B211)-1)</f>
        <v>Atlanta Hawks</v>
      </c>
      <c r="H211" s="177">
        <v>115</v>
      </c>
      <c r="I211" s="336">
        <v>112</v>
      </c>
      <c r="J211" s="327">
        <f>IF(I211&gt;H211, 1, 0)</f>
        <v>0</v>
      </c>
      <c r="K211" s="177">
        <f>+D211+H211</f>
        <v>227</v>
      </c>
      <c r="L211" s="336">
        <f>E211+I211</f>
        <v>232</v>
      </c>
      <c r="M211" s="327">
        <f>IF(L211&gt;K211, 1, 0)</f>
        <v>1</v>
      </c>
      <c r="N211" s="337">
        <f>(+H211-D211)</f>
        <v>3</v>
      </c>
      <c r="O211" s="355">
        <f>I211-E211</f>
        <v>-8</v>
      </c>
      <c r="P211" s="405">
        <f>IF(OR(AND(N211&gt;0,O211&gt;0),AND(N211&lt;0,O211&lt;0)),1,0)</f>
        <v>0</v>
      </c>
      <c r="Q211" s="289">
        <f>WEEKNUM(tblResultadosNBA[[#This Row],[Fecha]],2)</f>
        <v>47</v>
      </c>
      <c r="R211" t="str">
        <f>TEXT(tblResultadosNBA[[#This Row],[Fecha]],"mmm")</f>
        <v>nov</v>
      </c>
    </row>
    <row r="212" spans="1:18">
      <c r="A212" s="419">
        <v>45979</v>
      </c>
      <c r="B212" s="302" t="s">
        <v>78</v>
      </c>
      <c r="C212" s="177" t="str">
        <f>LEFT(B212,FIND("@",B212)-2)</f>
        <v>Memphis Grizzlies</v>
      </c>
      <c r="D212" s="177">
        <v>112</v>
      </c>
      <c r="E212" s="336">
        <v>101</v>
      </c>
      <c r="F212" s="327">
        <f>IF(E212&gt;D212, 1, 0)</f>
        <v>0</v>
      </c>
      <c r="G212" s="177" t="str">
        <f>MID(B212,FIND("@",B212)+2,LEN(B212)-FIND("@",B212)-1)</f>
        <v>San Antonio Spurs</v>
      </c>
      <c r="H212" s="177">
        <v>123</v>
      </c>
      <c r="I212" s="336">
        <v>111</v>
      </c>
      <c r="J212" s="327">
        <f>IF(I212&gt;H212, 1, 0)</f>
        <v>0</v>
      </c>
      <c r="K212" s="177">
        <f>+D212+H212</f>
        <v>235</v>
      </c>
      <c r="L212" s="336">
        <f>E212+I212</f>
        <v>212</v>
      </c>
      <c r="M212" s="327">
        <f>IF(L212&gt;K212, 1, 0)</f>
        <v>0</v>
      </c>
      <c r="N212" s="337">
        <f>(+H212-D212)</f>
        <v>11</v>
      </c>
      <c r="O212" s="355">
        <f>I212-E212</f>
        <v>10</v>
      </c>
      <c r="P212" s="405">
        <f>IF(OR(AND(N212&gt;0,O212&gt;0),AND(N212&lt;0,O212&lt;0)),1,0)</f>
        <v>1</v>
      </c>
      <c r="Q212" s="289">
        <f>WEEKNUM(tblResultadosNBA[[#This Row],[Fecha]],2)</f>
        <v>47</v>
      </c>
      <c r="R212" t="str">
        <f>TEXT(tblResultadosNBA[[#This Row],[Fecha]],"mmm")</f>
        <v>nov</v>
      </c>
    </row>
    <row r="213" spans="1:18">
      <c r="A213" s="419">
        <v>45979</v>
      </c>
      <c r="B213" s="302" t="s">
        <v>764</v>
      </c>
      <c r="C213" s="177" t="str">
        <f>LEFT(B213,FIND("@",B213)-2)</f>
        <v>Utah Jazz</v>
      </c>
      <c r="D213" s="177">
        <v>104</v>
      </c>
      <c r="E213" s="336">
        <v>126</v>
      </c>
      <c r="F213" s="327">
        <f>IF(E213&gt;D213, 1, 0)</f>
        <v>1</v>
      </c>
      <c r="G213" s="177" t="str">
        <f>MID(B213,FIND("@",B213)+2,LEN(B213)-FIND("@",B213)-1)</f>
        <v>Los Angeles Lakers</v>
      </c>
      <c r="H213" s="177">
        <v>112</v>
      </c>
      <c r="I213" s="336">
        <v>140</v>
      </c>
      <c r="J213" s="327">
        <f>IF(I213&gt;H213, 1, 0)</f>
        <v>1</v>
      </c>
      <c r="K213" s="177">
        <f>+D213+H213</f>
        <v>216</v>
      </c>
      <c r="L213" s="336">
        <f>E213+I213</f>
        <v>266</v>
      </c>
      <c r="M213" s="327">
        <f>IF(L213&gt;K213, 1, 0)</f>
        <v>1</v>
      </c>
      <c r="N213" s="337">
        <f>(+H213-D213)</f>
        <v>8</v>
      </c>
      <c r="O213" s="355">
        <f>I213-E213</f>
        <v>14</v>
      </c>
      <c r="P213" s="405">
        <f>IF(OR(AND(N213&gt;0,O213&gt;0),AND(N213&lt;0,O213&lt;0)),1,0)</f>
        <v>1</v>
      </c>
      <c r="Q213" s="289">
        <f>WEEKNUM(tblResultadosNBA[[#This Row],[Fecha]],2)</f>
        <v>47</v>
      </c>
      <c r="R213" t="str">
        <f>TEXT(tblResultadosNBA[[#This Row],[Fecha]],"mmm")</f>
        <v>nov</v>
      </c>
    </row>
    <row r="214" spans="1:18">
      <c r="A214" s="445">
        <v>45979</v>
      </c>
      <c r="B214" s="331" t="s">
        <v>335</v>
      </c>
      <c r="C214" s="286" t="str">
        <f>LEFT(B214,FIND("@",B214)-2)</f>
        <v>Phoenix Suns</v>
      </c>
      <c r="D214" s="286">
        <v>112</v>
      </c>
      <c r="E214" s="431">
        <v>127</v>
      </c>
      <c r="F214" s="332">
        <f>IF(E214&gt;D214, 1, 0)</f>
        <v>1</v>
      </c>
      <c r="G214" s="286" t="str">
        <f>MID(B214,FIND("@",B214)+2,LEN(B214)-FIND("@",B214)-1)</f>
        <v>Portland Trail Blazers</v>
      </c>
      <c r="H214" s="286">
        <v>116</v>
      </c>
      <c r="I214" s="431">
        <v>110</v>
      </c>
      <c r="J214" s="332">
        <f>IF(I214&gt;H214, 1, 0)</f>
        <v>0</v>
      </c>
      <c r="K214" s="286">
        <f>+D214+H214</f>
        <v>228</v>
      </c>
      <c r="L214" s="431">
        <f>E214+I214</f>
        <v>237</v>
      </c>
      <c r="M214" s="332">
        <f>IF(L214&gt;K214, 1, 0)</f>
        <v>1</v>
      </c>
      <c r="N214" s="432">
        <f>(+H214-D214)</f>
        <v>4</v>
      </c>
      <c r="O214" s="447">
        <f>I214-E214</f>
        <v>-17</v>
      </c>
      <c r="P214" s="406">
        <f>IF(OR(AND(N214&gt;0,O214&gt;0),AND(N214&lt;0,O214&lt;0)),1,0)</f>
        <v>0</v>
      </c>
      <c r="Q214" s="433">
        <f>WEEKNUM(tblResultadosNBA[[#This Row],[Fecha]],2)</f>
        <v>47</v>
      </c>
      <c r="R214" s="433" t="str">
        <f>TEXT(tblResultadosNBA[[#This Row],[Fecha]],"mmm")</f>
        <v>nov</v>
      </c>
    </row>
    <row r="215" spans="1:18">
      <c r="A215" s="439">
        <v>45980</v>
      </c>
      <c r="B215" s="422" t="s">
        <v>79</v>
      </c>
      <c r="C215" s="341" t="str">
        <f>LEFT(B215,FIND("@",B215)-2)</f>
        <v>Houston Rockets</v>
      </c>
      <c r="D215" s="341">
        <v>127</v>
      </c>
      <c r="E215" s="342">
        <v>114</v>
      </c>
      <c r="F215" s="333">
        <f>IF(E215&gt;D215, 1, 0)</f>
        <v>0</v>
      </c>
      <c r="G215" s="341" t="str">
        <f>MID(B215,FIND("@",B215)+2,LEN(B215)-FIND("@",B215)-1)</f>
        <v>Cleveland Cavaliers</v>
      </c>
      <c r="H215" s="341">
        <v>118</v>
      </c>
      <c r="I215" s="342">
        <v>104</v>
      </c>
      <c r="J215" s="333">
        <f>IF(I215&gt;H215, 1, 0)</f>
        <v>0</v>
      </c>
      <c r="K215" s="341">
        <f>+D215+H215</f>
        <v>245</v>
      </c>
      <c r="L215" s="342">
        <f>E215+I215</f>
        <v>218</v>
      </c>
      <c r="M215" s="333">
        <f>IF(L215&gt;K215, 1, 0)</f>
        <v>0</v>
      </c>
      <c r="N215" s="343">
        <f>(+H215-D215)</f>
        <v>-9</v>
      </c>
      <c r="O215" s="449">
        <f>I215-E215</f>
        <v>-10</v>
      </c>
      <c r="P215" s="450">
        <f>IF(OR(AND(N215&gt;0,O215&gt;0),AND(N215&lt;0,O215&lt;0)),1,0)</f>
        <v>1</v>
      </c>
      <c r="Q215" s="289">
        <f>WEEKNUM(tblResultadosNBA[[#This Row],[Fecha]],2)</f>
        <v>47</v>
      </c>
      <c r="R215" t="str">
        <f>TEXT(tblResultadosNBA[[#This Row],[Fecha]],"mmm")</f>
        <v>nov</v>
      </c>
    </row>
    <row r="216" spans="1:18">
      <c r="A216" s="419">
        <v>45980</v>
      </c>
      <c r="B216" s="302" t="s">
        <v>80</v>
      </c>
      <c r="C216" s="177" t="str">
        <f>LEFT(B216,FIND("@",B216)-2)</f>
        <v>Charlotte Hornets</v>
      </c>
      <c r="D216" s="177">
        <v>115</v>
      </c>
      <c r="E216" s="336">
        <v>118</v>
      </c>
      <c r="F216" s="327">
        <f>IF(E216&gt;D216, 1, 0)</f>
        <v>1</v>
      </c>
      <c r="G216" s="177" t="str">
        <f>MID(B216,FIND("@",B216)+2,LEN(B216)-FIND("@",B216)-1)</f>
        <v>Indiana Pacers</v>
      </c>
      <c r="H216" s="177">
        <v>119</v>
      </c>
      <c r="I216" s="336">
        <v>127</v>
      </c>
      <c r="J216" s="327">
        <f>IF(I216&gt;H216, 1, 0)</f>
        <v>1</v>
      </c>
      <c r="K216" s="177">
        <f>+D216+H216</f>
        <v>234</v>
      </c>
      <c r="L216" s="336">
        <f>E216+I216</f>
        <v>245</v>
      </c>
      <c r="M216" s="327">
        <f>IF(L216&gt;K216, 1, 0)</f>
        <v>1</v>
      </c>
      <c r="N216" s="337">
        <f>(+H216-D216)</f>
        <v>4</v>
      </c>
      <c r="O216" s="395">
        <f>I216-E216</f>
        <v>9</v>
      </c>
      <c r="P216" s="411">
        <f>IF(OR(AND(N216&gt;0,O216&gt;0),AND(N216&lt;0,O216&lt;0)),1,0)</f>
        <v>1</v>
      </c>
      <c r="Q216" s="289">
        <f>WEEKNUM(tblResultadosNBA[[#This Row],[Fecha]],2)</f>
        <v>47</v>
      </c>
      <c r="R216" t="str">
        <f>TEXT(tblResultadosNBA[[#This Row],[Fecha]],"mmm")</f>
        <v>nov</v>
      </c>
    </row>
    <row r="217" spans="1:18">
      <c r="A217" s="419">
        <v>45980</v>
      </c>
      <c r="B217" s="302" t="s">
        <v>745</v>
      </c>
      <c r="C217" s="177" t="str">
        <f>LEFT(B217,FIND("@",B217)-2)</f>
        <v>Toronto Raptors</v>
      </c>
      <c r="D217" s="177">
        <v>111</v>
      </c>
      <c r="E217" s="336">
        <v>121</v>
      </c>
      <c r="F217" s="327">
        <f>IF(E217&gt;D217, 1, 0)</f>
        <v>1</v>
      </c>
      <c r="G217" s="177" t="str">
        <f>MID(B217,FIND("@",B217)+2,LEN(B217)-FIND("@",B217)-1)</f>
        <v>Philadelphia 76ers</v>
      </c>
      <c r="H217" s="177">
        <v>115</v>
      </c>
      <c r="I217" s="336">
        <v>112</v>
      </c>
      <c r="J217" s="327">
        <f>IF(I217&gt;H217, 1, 0)</f>
        <v>0</v>
      </c>
      <c r="K217" s="177">
        <f>+D217+H217</f>
        <v>226</v>
      </c>
      <c r="L217" s="336">
        <f>E217+I217</f>
        <v>233</v>
      </c>
      <c r="M217" s="327">
        <f>IF(L217&gt;K217, 1, 0)</f>
        <v>1</v>
      </c>
      <c r="N217" s="337">
        <f>(+H217-D217)</f>
        <v>4</v>
      </c>
      <c r="O217" s="395">
        <f>I217-E217</f>
        <v>-9</v>
      </c>
      <c r="P217" s="411">
        <f>IF(OR(AND(N217&gt;0,O217&gt;0),AND(N217&lt;0,O217&lt;0)),1,0)</f>
        <v>0</v>
      </c>
      <c r="Q217" s="289">
        <f>WEEKNUM(tblResultadosNBA[[#This Row],[Fecha]],2)</f>
        <v>47</v>
      </c>
      <c r="R217" t="str">
        <f>TEXT(tblResultadosNBA[[#This Row],[Fecha]],"mmm")</f>
        <v>nov</v>
      </c>
    </row>
    <row r="218" spans="1:18">
      <c r="A218" s="419">
        <v>45980</v>
      </c>
      <c r="B218" s="302" t="s">
        <v>765</v>
      </c>
      <c r="C218" s="177" t="str">
        <f>LEFT(B218,FIND("@",B218)-2)</f>
        <v>Golden State Warriors</v>
      </c>
      <c r="D218" s="177">
        <v>110</v>
      </c>
      <c r="E218" s="336">
        <v>96</v>
      </c>
      <c r="F218" s="327">
        <f>IF(E218&gt;D218, 1, 0)</f>
        <v>0</v>
      </c>
      <c r="G218" s="177" t="str">
        <f>MID(B218,FIND("@",B218)+2,LEN(B218)-FIND("@",B218)-1)</f>
        <v>Miami Heat</v>
      </c>
      <c r="H218" s="177">
        <v>119</v>
      </c>
      <c r="I218" s="336">
        <v>110</v>
      </c>
      <c r="J218" s="327">
        <f>IF(I218&gt;H218, 1, 0)</f>
        <v>0</v>
      </c>
      <c r="K218" s="177">
        <f>+D218+H218</f>
        <v>229</v>
      </c>
      <c r="L218" s="336">
        <f>E218+I218</f>
        <v>206</v>
      </c>
      <c r="M218" s="327">
        <f>IF(L218&gt;K218, 1, 0)</f>
        <v>0</v>
      </c>
      <c r="N218" s="337">
        <f>(+H218-D218)</f>
        <v>9</v>
      </c>
      <c r="O218" s="395">
        <f>I218-E218</f>
        <v>14</v>
      </c>
      <c r="P218" s="411">
        <f>IF(OR(AND(N218&gt;0,O218&gt;0),AND(N218&lt;0,O218&lt;0)),1,0)</f>
        <v>1</v>
      </c>
      <c r="Q218" s="289">
        <f>WEEKNUM(tblResultadosNBA[[#This Row],[Fecha]],2)</f>
        <v>47</v>
      </c>
      <c r="R218" t="str">
        <f>TEXT(tblResultadosNBA[[#This Row],[Fecha]],"mmm")</f>
        <v>nov</v>
      </c>
    </row>
    <row r="219" spans="1:18">
      <c r="A219" s="419">
        <v>45980</v>
      </c>
      <c r="B219" s="302" t="s">
        <v>766</v>
      </c>
      <c r="C219" s="177" t="str">
        <f>LEFT(B219,FIND("@",B219)-2)</f>
        <v>Washington Wizards</v>
      </c>
      <c r="D219" s="177">
        <v>108</v>
      </c>
      <c r="E219" s="336">
        <v>109</v>
      </c>
      <c r="F219" s="327">
        <f>IF(E219&gt;D219, 1, 0)</f>
        <v>1</v>
      </c>
      <c r="G219" s="177" t="str">
        <f>MID(B219,FIND("@",B219)+2,LEN(B219)-FIND("@",B219)-1)</f>
        <v>Minnesota Timberwolves</v>
      </c>
      <c r="H219" s="177">
        <v>114</v>
      </c>
      <c r="I219" s="336">
        <v>120</v>
      </c>
      <c r="J219" s="327">
        <f>IF(I219&gt;H219, 1, 0)</f>
        <v>1</v>
      </c>
      <c r="K219" s="177">
        <f>+D219+H219</f>
        <v>222</v>
      </c>
      <c r="L219" s="336">
        <f>E219+I219</f>
        <v>229</v>
      </c>
      <c r="M219" s="327">
        <f>IF(L219&gt;K219, 1, 0)</f>
        <v>1</v>
      </c>
      <c r="N219" s="337">
        <f>(+H219-D219)</f>
        <v>6</v>
      </c>
      <c r="O219" s="395">
        <f>I219-E219</f>
        <v>11</v>
      </c>
      <c r="P219" s="411">
        <f>IF(OR(AND(N219&gt;0,O219&gt;0),AND(N219&lt;0,O219&lt;0)),1,0)</f>
        <v>1</v>
      </c>
      <c r="Q219" s="289">
        <f>WEEKNUM(tblResultadosNBA[[#This Row],[Fecha]],2)</f>
        <v>47</v>
      </c>
      <c r="R219" t="str">
        <f>TEXT(tblResultadosNBA[[#This Row],[Fecha]],"mmm")</f>
        <v>nov</v>
      </c>
    </row>
    <row r="220" spans="1:18">
      <c r="A220" s="419">
        <v>45980</v>
      </c>
      <c r="B220" s="302" t="s">
        <v>767</v>
      </c>
      <c r="C220" s="177" t="str">
        <f>LEFT(B220,FIND("@",B220)-2)</f>
        <v>Denver Nuggets</v>
      </c>
      <c r="D220" s="177">
        <v>110</v>
      </c>
      <c r="E220" s="336">
        <v>125</v>
      </c>
      <c r="F220" s="327">
        <f>IF(E220&gt;D220, 1, 0)</f>
        <v>1</v>
      </c>
      <c r="G220" s="177" t="str">
        <f>MID(B220,FIND("@",B220)+2,LEN(B220)-FIND("@",B220)-1)</f>
        <v>New Orleans Pelicans</v>
      </c>
      <c r="H220" s="177">
        <v>114</v>
      </c>
      <c r="I220" s="336">
        <v>118</v>
      </c>
      <c r="J220" s="327">
        <f>IF(I220&gt;H220, 1, 0)</f>
        <v>1</v>
      </c>
      <c r="K220" s="177">
        <f>+D220+H220</f>
        <v>224</v>
      </c>
      <c r="L220" s="336">
        <f>E220+I220</f>
        <v>243</v>
      </c>
      <c r="M220" s="327">
        <f>IF(L220&gt;K220, 1, 0)</f>
        <v>1</v>
      </c>
      <c r="N220" s="337">
        <f>(+H220-D220)</f>
        <v>4</v>
      </c>
      <c r="O220" s="395">
        <f>I220-E220</f>
        <v>-7</v>
      </c>
      <c r="P220" s="411">
        <f>IF(OR(AND(N220&gt;0,O220&gt;0),AND(N220&lt;0,O220&lt;0)),1,0)</f>
        <v>0</v>
      </c>
      <c r="Q220" s="289">
        <f>WEEKNUM(tblResultadosNBA[[#This Row],[Fecha]],2)</f>
        <v>47</v>
      </c>
      <c r="R220" t="str">
        <f>TEXT(tblResultadosNBA[[#This Row],[Fecha]],"mmm")</f>
        <v>nov</v>
      </c>
    </row>
    <row r="221" spans="1:18">
      <c r="A221" s="419">
        <v>45980</v>
      </c>
      <c r="B221" s="396" t="s">
        <v>81</v>
      </c>
      <c r="C221" s="291" t="str">
        <f>LEFT(B221,FIND("@",B221)-2)</f>
        <v>Sacramento Kings</v>
      </c>
      <c r="D221" s="291">
        <v>114</v>
      </c>
      <c r="E221" s="397">
        <v>99</v>
      </c>
      <c r="F221" s="398">
        <f>IF(E221&gt;D221, 1, 0)</f>
        <v>0</v>
      </c>
      <c r="G221" s="291" t="str">
        <f>MID(B221,FIND("@",B221)+2,LEN(B221)-FIND("@",B221)-1)</f>
        <v>Oklahoma City Thunder</v>
      </c>
      <c r="H221" s="291">
        <v>121</v>
      </c>
      <c r="I221" s="397">
        <v>113</v>
      </c>
      <c r="J221" s="398">
        <f>IF(I221&gt;H221, 1, 0)</f>
        <v>0</v>
      </c>
      <c r="K221" s="291">
        <f>+D221+H221</f>
        <v>235</v>
      </c>
      <c r="L221" s="397">
        <f>E221+I221</f>
        <v>212</v>
      </c>
      <c r="M221" s="398">
        <f>IF(L221&gt;K221, 1, 0)</f>
        <v>0</v>
      </c>
      <c r="N221" s="399">
        <f>(+H221-D221)</f>
        <v>7</v>
      </c>
      <c r="O221" s="400">
        <f>I221-E221</f>
        <v>14</v>
      </c>
      <c r="P221" s="412">
        <f>IF(OR(AND(N221&gt;0,O221&gt;0),AND(N221&lt;0,O221&lt;0)),1,0)</f>
        <v>1</v>
      </c>
      <c r="Q221" s="289">
        <f>WEEKNUM(tblResultadosNBA[[#This Row],[Fecha]],2)</f>
        <v>47</v>
      </c>
      <c r="R221" t="str">
        <f>TEXT(tblResultadosNBA[[#This Row],[Fecha]],"mmm")</f>
        <v>nov</v>
      </c>
    </row>
    <row r="222" spans="1:18">
      <c r="A222" s="419">
        <v>45980</v>
      </c>
      <c r="B222" s="302" t="s">
        <v>768</v>
      </c>
      <c r="C222" s="177" t="str">
        <f>LEFT(B222,FIND("@",B222)-2)</f>
        <v>New York Knicks</v>
      </c>
      <c r="D222" s="177">
        <v>107</v>
      </c>
      <c r="E222" s="336">
        <v>113</v>
      </c>
      <c r="F222" s="327">
        <f>IF(E222&gt;D222, 1, 0)</f>
        <v>1</v>
      </c>
      <c r="G222" s="177" t="str">
        <f>MID(B222,FIND("@",B222)+2,LEN(B222)-FIND("@",B222)-1)</f>
        <v>Dallas Mavericks</v>
      </c>
      <c r="H222" s="177">
        <v>111</v>
      </c>
      <c r="I222" s="336">
        <v>111</v>
      </c>
      <c r="J222" s="327">
        <f>IF(I222&gt;H222, 1, 0)</f>
        <v>0</v>
      </c>
      <c r="K222" s="177">
        <f>+D222+H222</f>
        <v>218</v>
      </c>
      <c r="L222" s="336">
        <f>E222+I222</f>
        <v>224</v>
      </c>
      <c r="M222" s="327">
        <f>IF(L222&gt;K222, 1, 0)</f>
        <v>1</v>
      </c>
      <c r="N222" s="337">
        <f>(+H222-D222)</f>
        <v>4</v>
      </c>
      <c r="O222" s="395">
        <f>I222-E222</f>
        <v>-2</v>
      </c>
      <c r="P222" s="412">
        <f>IF(OR(AND(N222&gt;0,O222&gt;0),AND(N222&lt;0,O222&lt;0)),1,0)</f>
        <v>0</v>
      </c>
      <c r="Q222" s="289">
        <f>WEEKNUM(tblResultadosNBA[[#This Row],[Fecha]],2)</f>
        <v>47</v>
      </c>
      <c r="R222" t="str">
        <f>TEXT(tblResultadosNBA[[#This Row],[Fecha]],"mmm")</f>
        <v>nov</v>
      </c>
    </row>
    <row r="223" spans="1:18">
      <c r="A223" s="456">
        <v>45980</v>
      </c>
      <c r="B223" s="328" t="s">
        <v>769</v>
      </c>
      <c r="C223" s="299" t="str">
        <f>LEFT(B223,FIND("@",B223)-2)</f>
        <v>Chicago Bulls</v>
      </c>
      <c r="D223" s="299">
        <v>120</v>
      </c>
      <c r="E223" s="309">
        <v>122</v>
      </c>
      <c r="F223" s="334">
        <f>IF(E223&gt;D223, 1, 0)</f>
        <v>1</v>
      </c>
      <c r="G223" s="299" t="str">
        <f>MID(B223,FIND("@",B223)+2,LEN(B223)-FIND("@",B223)-1)</f>
        <v>Portland Trail Blazers</v>
      </c>
      <c r="H223" s="299">
        <v>117</v>
      </c>
      <c r="I223" s="309">
        <v>121</v>
      </c>
      <c r="J223" s="334">
        <f>IF(I223&gt;H223, 1, 0)</f>
        <v>1</v>
      </c>
      <c r="K223" s="299">
        <f>+D223+H223</f>
        <v>237</v>
      </c>
      <c r="L223" s="309">
        <f>E223+I223</f>
        <v>243</v>
      </c>
      <c r="M223" s="334">
        <f>IF(L223&gt;K223, 1, 0)</f>
        <v>1</v>
      </c>
      <c r="N223" s="321">
        <f>(+H223-D223)</f>
        <v>-3</v>
      </c>
      <c r="O223" s="457">
        <f>I223-E223</f>
        <v>-1</v>
      </c>
      <c r="P223" s="458">
        <f>IF(OR(AND(N223&gt;0,O223&gt;0),AND(N223&lt;0,O223&lt;0)),1,0)</f>
        <v>1</v>
      </c>
      <c r="Q223" s="289">
        <f>WEEKNUM(tblResultadosNBA[[#This Row],[Fecha]],2)</f>
        <v>47</v>
      </c>
      <c r="R223" s="289" t="str">
        <f>TEXT(tblResultadosNBA[[#This Row],[Fecha]],"mmm")</f>
        <v>nov</v>
      </c>
    </row>
    <row r="224" spans="1:18">
      <c r="A224" s="425">
        <v>45981</v>
      </c>
      <c r="B224" s="329" t="s">
        <v>82</v>
      </c>
      <c r="C224" s="244" t="str">
        <f t="shared" ref="C224:C227" si="0">LEFT(B224,FIND("@",B224)-2)</f>
        <v>LA Clippers</v>
      </c>
      <c r="D224" s="244">
        <v>121</v>
      </c>
      <c r="E224" s="292">
        <v>101</v>
      </c>
      <c r="F224" s="358">
        <f t="shared" ref="F224:F227" si="1">IF(E224&gt;D224, 1, 0)</f>
        <v>0</v>
      </c>
      <c r="G224" s="244" t="str">
        <f t="shared" ref="G224:G227" si="2">MID(B224,FIND("@",B224)+2,LEN(B224)-FIND("@",B224)-1)</f>
        <v>Orlando Magic</v>
      </c>
      <c r="H224" s="244">
        <v>110</v>
      </c>
      <c r="I224" s="292">
        <v>129</v>
      </c>
      <c r="J224" s="358">
        <f t="shared" ref="J224:J227" si="3">IF(I224&gt;H224, 1, 0)</f>
        <v>1</v>
      </c>
      <c r="K224" s="244">
        <f t="shared" ref="K224:K227" si="4">+D224+H224</f>
        <v>231</v>
      </c>
      <c r="L224" s="292">
        <f t="shared" ref="L224:L227" si="5">E224+I224</f>
        <v>230</v>
      </c>
      <c r="M224" s="358">
        <f t="shared" ref="M224:M227" si="6">IF(L224&gt;K224, 1, 0)</f>
        <v>0</v>
      </c>
      <c r="N224" s="320">
        <f t="shared" ref="N224:N227" si="7">(+H224-D224)</f>
        <v>-11</v>
      </c>
      <c r="O224" s="462">
        <f t="shared" ref="O224:O227" si="8">I224-E224</f>
        <v>28</v>
      </c>
      <c r="P224" s="463">
        <f t="shared" ref="P224:P227" si="9">IF(OR(AND(N224&gt;0,O224&gt;0),AND(N224&lt;0,O224&lt;0)),1,0)</f>
        <v>0</v>
      </c>
      <c r="Q224" s="440">
        <f>WEEKNUM(tblResultadosNBA[[#This Row],[Fecha]],2)</f>
        <v>47</v>
      </c>
      <c r="R224" s="378" t="str">
        <f>TEXT(tblResultadosNBA[[#This Row],[Fecha]],"mmm")</f>
        <v>nov</v>
      </c>
    </row>
    <row r="225" spans="1:18">
      <c r="A225" s="441">
        <v>45981</v>
      </c>
      <c r="B225" s="396" t="s">
        <v>83</v>
      </c>
      <c r="C225" s="291" t="str">
        <f t="shared" si="0"/>
        <v>Sacramento Kings</v>
      </c>
      <c r="D225" s="291">
        <v>115</v>
      </c>
      <c r="E225" s="397">
        <v>96</v>
      </c>
      <c r="F225" s="398">
        <f t="shared" si="1"/>
        <v>0</v>
      </c>
      <c r="G225" s="291" t="str">
        <f t="shared" si="2"/>
        <v>Memphis Grizzlies</v>
      </c>
      <c r="H225" s="291">
        <v>120</v>
      </c>
      <c r="I225" s="397">
        <v>137</v>
      </c>
      <c r="J225" s="398">
        <f t="shared" si="3"/>
        <v>1</v>
      </c>
      <c r="K225" s="291">
        <f t="shared" si="4"/>
        <v>235</v>
      </c>
      <c r="L225" s="397">
        <f t="shared" si="5"/>
        <v>233</v>
      </c>
      <c r="M225" s="398">
        <f t="shared" si="6"/>
        <v>0</v>
      </c>
      <c r="N225" s="399">
        <f t="shared" si="7"/>
        <v>5</v>
      </c>
      <c r="O225" s="400">
        <f t="shared" si="8"/>
        <v>41</v>
      </c>
      <c r="P225" s="412">
        <f t="shared" si="9"/>
        <v>1</v>
      </c>
      <c r="Q225" s="289">
        <f>WEEKNUM(tblResultadosNBA[[#This Row],[Fecha]],2)</f>
        <v>47</v>
      </c>
      <c r="R225" s="379" t="str">
        <f>TEXT(tblResultadosNBA[[#This Row],[Fecha]],"mmm")</f>
        <v>nov</v>
      </c>
    </row>
    <row r="226" spans="1:18">
      <c r="A226" s="441">
        <v>45981</v>
      </c>
      <c r="B226" s="302" t="s">
        <v>84</v>
      </c>
      <c r="C226" s="177" t="str">
        <f t="shared" si="0"/>
        <v>Philadelphia 76ers</v>
      </c>
      <c r="D226" s="177">
        <v>110</v>
      </c>
      <c r="E226" s="336">
        <v>123</v>
      </c>
      <c r="F226" s="327">
        <f t="shared" si="1"/>
        <v>1</v>
      </c>
      <c r="G226" s="177" t="str">
        <f t="shared" si="2"/>
        <v>Milwaukee Bucks</v>
      </c>
      <c r="H226" s="177">
        <v>115</v>
      </c>
      <c r="I226" s="336">
        <v>114</v>
      </c>
      <c r="J226" s="327">
        <f t="shared" si="3"/>
        <v>0</v>
      </c>
      <c r="K226" s="177">
        <f t="shared" si="4"/>
        <v>225</v>
      </c>
      <c r="L226" s="336">
        <f t="shared" si="5"/>
        <v>237</v>
      </c>
      <c r="M226" s="327">
        <f t="shared" si="6"/>
        <v>1</v>
      </c>
      <c r="N226" s="337">
        <f t="shared" si="7"/>
        <v>5</v>
      </c>
      <c r="O226" s="395">
        <f t="shared" si="8"/>
        <v>-9</v>
      </c>
      <c r="P226" s="412">
        <f t="shared" si="9"/>
        <v>0</v>
      </c>
      <c r="Q226" s="289">
        <f>WEEKNUM(tblResultadosNBA[[#This Row],[Fecha]],2)</f>
        <v>47</v>
      </c>
      <c r="R226" s="379" t="str">
        <f>TEXT(tblResultadosNBA[[#This Row],[Fecha]],"mmm")</f>
        <v>nov</v>
      </c>
    </row>
    <row r="227" spans="1:18">
      <c r="A227" s="442">
        <v>45981</v>
      </c>
      <c r="B227" s="328" t="s">
        <v>85</v>
      </c>
      <c r="C227" s="299" t="str">
        <f t="shared" si="0"/>
        <v>Atlanta Hawks</v>
      </c>
      <c r="D227" s="299">
        <v>116</v>
      </c>
      <c r="E227" s="309">
        <v>126</v>
      </c>
      <c r="F227" s="334">
        <f t="shared" si="1"/>
        <v>1</v>
      </c>
      <c r="G227" s="299" t="str">
        <f t="shared" si="2"/>
        <v>San Antonio Spurs</v>
      </c>
      <c r="H227" s="299">
        <v>124</v>
      </c>
      <c r="I227" s="309">
        <v>135</v>
      </c>
      <c r="J227" s="334">
        <f t="shared" si="3"/>
        <v>1</v>
      </c>
      <c r="K227" s="299">
        <f t="shared" si="4"/>
        <v>240</v>
      </c>
      <c r="L227" s="309">
        <f t="shared" si="5"/>
        <v>261</v>
      </c>
      <c r="M227" s="334">
        <f t="shared" si="6"/>
        <v>1</v>
      </c>
      <c r="N227" s="321">
        <f t="shared" si="7"/>
        <v>8</v>
      </c>
      <c r="O227" s="457">
        <f t="shared" si="8"/>
        <v>9</v>
      </c>
      <c r="P227" s="458">
        <f t="shared" si="9"/>
        <v>1</v>
      </c>
      <c r="Q227" s="289">
        <f>WEEKNUM(tblResultadosNBA[[#This Row],[Fecha]],2)</f>
        <v>47</v>
      </c>
      <c r="R227" s="379" t="str">
        <f>TEXT(tblResultadosNBA[[#This Row],[Fecha]],"mmm")</f>
        <v>nov</v>
      </c>
    </row>
    <row r="228" spans="1:18">
      <c r="A228" s="465">
        <v>45982</v>
      </c>
      <c r="B228" s="329" t="s">
        <v>86</v>
      </c>
      <c r="C228" s="244" t="str">
        <f t="shared" ref="C228:C236" si="10">LEFT(B228,FIND("@",B228)-2)</f>
        <v>Indiana Pacers</v>
      </c>
      <c r="D228" s="244">
        <v>123</v>
      </c>
      <c r="E228" s="292">
        <v>109</v>
      </c>
      <c r="F228" s="358">
        <f t="shared" ref="F228:F236" si="11">IF(E228&gt;D228, 1, 0)</f>
        <v>0</v>
      </c>
      <c r="G228" s="244" t="str">
        <f t="shared" ref="G228:G236" si="12">MID(B228,FIND("@",B228)+2,LEN(B228)-FIND("@",B228)-1)</f>
        <v>Cleveland Cavaliers</v>
      </c>
      <c r="H228" s="244">
        <v>121</v>
      </c>
      <c r="I228" s="292">
        <v>120</v>
      </c>
      <c r="J228" s="358">
        <f t="shared" ref="J228:J236" si="13">IF(I228&gt;H228, 1, 0)</f>
        <v>0</v>
      </c>
      <c r="K228" s="244">
        <f t="shared" ref="K228:K236" si="14">+D228+H228</f>
        <v>244</v>
      </c>
      <c r="L228" s="292">
        <f t="shared" ref="L228:L235" si="15">E228+I228</f>
        <v>229</v>
      </c>
      <c r="M228" s="358">
        <f t="shared" ref="M228:M235" si="16">IF(L228&gt;K228, 1, 0)</f>
        <v>0</v>
      </c>
      <c r="N228" s="320">
        <f t="shared" ref="N228:N235" si="17">(+H228-D228)</f>
        <v>-2</v>
      </c>
      <c r="O228" s="462">
        <f t="shared" ref="O228:O235" si="18">I228-E228</f>
        <v>11</v>
      </c>
      <c r="P228" s="440">
        <f t="shared" ref="P228:P235" si="19">IF(OR(AND(N228&gt;0,O228&gt;0),AND(N228&lt;0,O228&lt;0)),1,0)</f>
        <v>0</v>
      </c>
      <c r="Q228" s="466">
        <f>WEEKNUM(tblResultadosNBA[[#This Row],[Fecha]],2)</f>
        <v>47</v>
      </c>
      <c r="R228" s="467" t="str">
        <f>TEXT(tblResultadosNBA[[#This Row],[Fecha]],"mmm")</f>
        <v>nov</v>
      </c>
    </row>
    <row r="229" spans="1:18">
      <c r="A229" s="441">
        <v>45982</v>
      </c>
      <c r="B229" s="302" t="s">
        <v>770</v>
      </c>
      <c r="C229" s="177" t="str">
        <f t="shared" si="10"/>
        <v>Brooklyn Nets</v>
      </c>
      <c r="D229" s="177">
        <v>105</v>
      </c>
      <c r="E229" s="336">
        <v>113</v>
      </c>
      <c r="F229" s="327">
        <f t="shared" si="11"/>
        <v>1</v>
      </c>
      <c r="G229" s="177" t="str">
        <f t="shared" si="12"/>
        <v>Boston Celtics</v>
      </c>
      <c r="H229" s="177">
        <v>119</v>
      </c>
      <c r="I229" s="336">
        <v>105</v>
      </c>
      <c r="J229" s="327">
        <f t="shared" si="13"/>
        <v>0</v>
      </c>
      <c r="K229" s="177">
        <f t="shared" si="14"/>
        <v>224</v>
      </c>
      <c r="L229" s="336">
        <f t="shared" si="15"/>
        <v>218</v>
      </c>
      <c r="M229" s="327">
        <f t="shared" si="16"/>
        <v>0</v>
      </c>
      <c r="N229" s="337">
        <f t="shared" si="17"/>
        <v>14</v>
      </c>
      <c r="O229" s="395">
        <f t="shared" si="18"/>
        <v>-8</v>
      </c>
      <c r="P229" s="289">
        <f t="shared" si="19"/>
        <v>0</v>
      </c>
      <c r="Q229" s="460">
        <f>WEEKNUM(tblResultadosNBA[[#This Row],[Fecha]],2)</f>
        <v>47</v>
      </c>
      <c r="R229" s="468" t="str">
        <f>TEXT(tblResultadosNBA[[#This Row],[Fecha]],"mmm")</f>
        <v>nov</v>
      </c>
    </row>
    <row r="230" spans="1:18">
      <c r="A230" s="441">
        <v>45982</v>
      </c>
      <c r="B230" s="302" t="s">
        <v>771</v>
      </c>
      <c r="C230" s="177" t="str">
        <f t="shared" si="10"/>
        <v>Washington Wizards</v>
      </c>
      <c r="D230" s="177">
        <v>106</v>
      </c>
      <c r="E230" s="336">
        <v>110</v>
      </c>
      <c r="F230" s="327">
        <f t="shared" si="11"/>
        <v>1</v>
      </c>
      <c r="G230" s="177" t="str">
        <f t="shared" si="12"/>
        <v>Toronto Raptors</v>
      </c>
      <c r="H230" s="177">
        <v>111</v>
      </c>
      <c r="I230" s="336">
        <v>140</v>
      </c>
      <c r="J230" s="327">
        <f t="shared" si="13"/>
        <v>1</v>
      </c>
      <c r="K230" s="177">
        <f t="shared" si="14"/>
        <v>217</v>
      </c>
      <c r="L230" s="336">
        <f t="shared" si="15"/>
        <v>250</v>
      </c>
      <c r="M230" s="327">
        <f t="shared" si="16"/>
        <v>1</v>
      </c>
      <c r="N230" s="337">
        <f t="shared" si="17"/>
        <v>5</v>
      </c>
      <c r="O230" s="395">
        <f t="shared" si="18"/>
        <v>30</v>
      </c>
      <c r="P230" s="289">
        <f t="shared" si="19"/>
        <v>1</v>
      </c>
      <c r="Q230" s="460">
        <f>WEEKNUM(tblResultadosNBA[[#This Row],[Fecha]],2)</f>
        <v>47</v>
      </c>
      <c r="R230" s="468" t="str">
        <f>TEXT(tblResultadosNBA[[#This Row],[Fecha]],"mmm")</f>
        <v>nov</v>
      </c>
    </row>
    <row r="231" spans="1:18">
      <c r="A231" s="441">
        <v>45982</v>
      </c>
      <c r="B231" s="302" t="s">
        <v>314</v>
      </c>
      <c r="C231" s="177" t="str">
        <f t="shared" si="10"/>
        <v>Miami Heat</v>
      </c>
      <c r="D231" s="177">
        <v>118</v>
      </c>
      <c r="E231" s="336">
        <v>143</v>
      </c>
      <c r="F231" s="327">
        <f t="shared" si="11"/>
        <v>1</v>
      </c>
      <c r="G231" s="177" t="str">
        <f t="shared" si="12"/>
        <v>Chicago Bulls</v>
      </c>
      <c r="H231" s="177">
        <v>123</v>
      </c>
      <c r="I231" s="336">
        <v>107</v>
      </c>
      <c r="J231" s="327">
        <f t="shared" si="13"/>
        <v>0</v>
      </c>
      <c r="K231" s="177">
        <f t="shared" si="14"/>
        <v>241</v>
      </c>
      <c r="L231" s="336">
        <f t="shared" si="15"/>
        <v>250</v>
      </c>
      <c r="M231" s="327">
        <f t="shared" si="16"/>
        <v>1</v>
      </c>
      <c r="N231" s="337">
        <f t="shared" si="17"/>
        <v>5</v>
      </c>
      <c r="O231" s="395">
        <f t="shared" si="18"/>
        <v>-36</v>
      </c>
      <c r="P231" s="289">
        <f t="shared" si="19"/>
        <v>0</v>
      </c>
      <c r="Q231" s="460">
        <f>WEEKNUM(tblResultadosNBA[[#This Row],[Fecha]],2)</f>
        <v>47</v>
      </c>
      <c r="R231" s="468" t="str">
        <f>TEXT(tblResultadosNBA[[#This Row],[Fecha]],"mmm")</f>
        <v>nov</v>
      </c>
    </row>
    <row r="232" spans="1:18">
      <c r="A232" s="441">
        <v>45982</v>
      </c>
      <c r="B232" s="302" t="s">
        <v>734</v>
      </c>
      <c r="C232" s="177" t="str">
        <f t="shared" si="10"/>
        <v>New Orleans Pelicans</v>
      </c>
      <c r="D232" s="177">
        <v>100</v>
      </c>
      <c r="E232" s="336">
        <v>115</v>
      </c>
      <c r="F232" s="327">
        <f t="shared" si="11"/>
        <v>1</v>
      </c>
      <c r="G232" s="177" t="str">
        <f t="shared" si="12"/>
        <v>Dallas Mavericks</v>
      </c>
      <c r="H232" s="177">
        <v>105</v>
      </c>
      <c r="I232" s="336">
        <v>118</v>
      </c>
      <c r="J232" s="327">
        <f t="shared" si="13"/>
        <v>1</v>
      </c>
      <c r="K232" s="177">
        <f t="shared" si="14"/>
        <v>205</v>
      </c>
      <c r="L232" s="336">
        <f t="shared" si="15"/>
        <v>233</v>
      </c>
      <c r="M232" s="327">
        <f t="shared" si="16"/>
        <v>1</v>
      </c>
      <c r="N232" s="337">
        <f t="shared" si="17"/>
        <v>5</v>
      </c>
      <c r="O232" s="395">
        <f t="shared" si="18"/>
        <v>3</v>
      </c>
      <c r="P232" s="289">
        <f t="shared" si="19"/>
        <v>1</v>
      </c>
      <c r="Q232" s="460">
        <f>WEEKNUM(tblResultadosNBA[[#This Row],[Fecha]],2)</f>
        <v>47</v>
      </c>
      <c r="R232" s="468" t="str">
        <f>TEXT(tblResultadosNBA[[#This Row],[Fecha]],"mmm")</f>
        <v>nov</v>
      </c>
    </row>
    <row r="233" spans="1:18">
      <c r="A233" s="441">
        <v>45982</v>
      </c>
      <c r="B233" s="302" t="s">
        <v>87</v>
      </c>
      <c r="C233" s="177" t="str">
        <f t="shared" si="10"/>
        <v>Minnesota Timberwolves</v>
      </c>
      <c r="D233" s="177">
        <v>115</v>
      </c>
      <c r="E233" s="336">
        <v>113</v>
      </c>
      <c r="F233" s="327">
        <f t="shared" si="11"/>
        <v>0</v>
      </c>
      <c r="G233" s="177" t="str">
        <f t="shared" si="12"/>
        <v>Phoenix Suns</v>
      </c>
      <c r="H233" s="177">
        <v>119</v>
      </c>
      <c r="I233" s="336">
        <v>114</v>
      </c>
      <c r="J233" s="327">
        <f t="shared" si="13"/>
        <v>0</v>
      </c>
      <c r="K233" s="177">
        <f t="shared" si="14"/>
        <v>234</v>
      </c>
      <c r="L233" s="336">
        <f t="shared" si="15"/>
        <v>227</v>
      </c>
      <c r="M233" s="327">
        <f t="shared" si="16"/>
        <v>0</v>
      </c>
      <c r="N233" s="337">
        <f t="shared" si="17"/>
        <v>4</v>
      </c>
      <c r="O233" s="395">
        <f t="shared" si="18"/>
        <v>1</v>
      </c>
      <c r="P233" s="289">
        <f t="shared" si="19"/>
        <v>1</v>
      </c>
      <c r="Q233" s="460">
        <f>WEEKNUM(tblResultadosNBA[[#This Row],[Fecha]],2)</f>
        <v>47</v>
      </c>
      <c r="R233" s="468" t="str">
        <f>TEXT(tblResultadosNBA[[#This Row],[Fecha]],"mmm")</f>
        <v>nov</v>
      </c>
    </row>
    <row r="234" spans="1:18">
      <c r="A234" s="441">
        <v>45982</v>
      </c>
      <c r="B234" s="302" t="s">
        <v>772</v>
      </c>
      <c r="C234" s="177" t="str">
        <f t="shared" si="10"/>
        <v>Denver Nuggets</v>
      </c>
      <c r="D234" s="177">
        <v>115</v>
      </c>
      <c r="E234" s="336">
        <v>112</v>
      </c>
      <c r="F234" s="327">
        <f t="shared" si="11"/>
        <v>0</v>
      </c>
      <c r="G234" s="177" t="str">
        <f t="shared" si="12"/>
        <v>Houston Rockets</v>
      </c>
      <c r="H234" s="177">
        <v>107</v>
      </c>
      <c r="I234" s="336">
        <v>109</v>
      </c>
      <c r="J234" s="327">
        <f t="shared" si="13"/>
        <v>1</v>
      </c>
      <c r="K234" s="177">
        <f t="shared" si="14"/>
        <v>222</v>
      </c>
      <c r="L234" s="336">
        <f t="shared" si="15"/>
        <v>221</v>
      </c>
      <c r="M234" s="327">
        <f t="shared" si="16"/>
        <v>0</v>
      </c>
      <c r="N234" s="337">
        <f t="shared" si="17"/>
        <v>-8</v>
      </c>
      <c r="O234" s="395">
        <f t="shared" si="18"/>
        <v>-3</v>
      </c>
      <c r="P234" s="289">
        <f t="shared" si="19"/>
        <v>1</v>
      </c>
      <c r="Q234" s="460">
        <f>WEEKNUM(tblResultadosNBA[[#This Row],[Fecha]],2)</f>
        <v>47</v>
      </c>
      <c r="R234" s="468" t="str">
        <f>TEXT(tblResultadosNBA[[#This Row],[Fecha]],"mmm")</f>
        <v>nov</v>
      </c>
    </row>
    <row r="235" spans="1:18">
      <c r="A235" s="442">
        <v>45982</v>
      </c>
      <c r="B235" s="328" t="s">
        <v>164</v>
      </c>
      <c r="C235" s="299" t="str">
        <f t="shared" si="10"/>
        <v>Oklahoma City Thunder</v>
      </c>
      <c r="D235" s="299">
        <v>107</v>
      </c>
      <c r="E235" s="309">
        <v>144</v>
      </c>
      <c r="F235" s="334">
        <f t="shared" si="11"/>
        <v>1</v>
      </c>
      <c r="G235" s="299" t="str">
        <f t="shared" si="12"/>
        <v>Utah Jazz</v>
      </c>
      <c r="H235" s="299">
        <v>103</v>
      </c>
      <c r="I235" s="309">
        <v>112</v>
      </c>
      <c r="J235" s="334">
        <f t="shared" si="13"/>
        <v>1</v>
      </c>
      <c r="K235" s="299">
        <f t="shared" si="14"/>
        <v>210</v>
      </c>
      <c r="L235" s="309">
        <f t="shared" si="15"/>
        <v>256</v>
      </c>
      <c r="M235" s="334">
        <f t="shared" si="16"/>
        <v>1</v>
      </c>
      <c r="N235" s="321">
        <f t="shared" si="17"/>
        <v>-4</v>
      </c>
      <c r="O235" s="457">
        <f t="shared" si="18"/>
        <v>-32</v>
      </c>
      <c r="P235" s="289">
        <f t="shared" si="19"/>
        <v>1</v>
      </c>
      <c r="Q235" s="460">
        <f>WEEKNUM(tblResultadosNBA[[#This Row],[Fecha]],2)</f>
        <v>47</v>
      </c>
      <c r="R235" s="468" t="str">
        <f>TEXT(tblResultadosNBA[[#This Row],[Fecha]],"mmm")</f>
        <v>nov</v>
      </c>
    </row>
    <row r="236" spans="1:18">
      <c r="A236" s="442">
        <v>45983</v>
      </c>
      <c r="B236" s="328" t="s">
        <v>88</v>
      </c>
      <c r="C236" s="299" t="str">
        <f t="shared" si="10"/>
        <v>Portland Trail Blazers</v>
      </c>
      <c r="D236" s="299">
        <v>118</v>
      </c>
      <c r="E236" s="309">
        <v>127</v>
      </c>
      <c r="F236" s="334">
        <f t="shared" si="11"/>
        <v>1</v>
      </c>
      <c r="G236" s="299" t="str">
        <f t="shared" si="12"/>
        <v>Golden State Warriors</v>
      </c>
      <c r="H236" s="299">
        <v>122</v>
      </c>
      <c r="I236" s="309">
        <v>123</v>
      </c>
      <c r="J236" s="334">
        <f t="shared" si="13"/>
        <v>1</v>
      </c>
      <c r="K236" s="299">
        <f t="shared" si="14"/>
        <v>240</v>
      </c>
      <c r="L236" s="309">
        <f t="shared" ref="L236" si="20">E236+I236</f>
        <v>250</v>
      </c>
      <c r="M236" s="334">
        <f t="shared" ref="M236" si="21">IF(L236&gt;K236, 1, 0)</f>
        <v>1</v>
      </c>
      <c r="N236" s="321">
        <f t="shared" ref="N236" si="22">(+H236-D236)</f>
        <v>4</v>
      </c>
      <c r="O236" s="457">
        <f t="shared" ref="O236" si="23">I236-E236</f>
        <v>-4</v>
      </c>
      <c r="P236" s="289">
        <f t="shared" ref="P236" si="24">IF(OR(AND(N236&gt;0,O236&gt;0),AND(N236&lt;0,O236&lt;0)),1,0)</f>
        <v>0</v>
      </c>
      <c r="Q236" s="460">
        <f>WEEKNUM(tblResultadosNBA[[#This Row],[Fecha]],2)</f>
        <v>47</v>
      </c>
      <c r="R236" s="468" t="str">
        <f>TEXT(tblResultadosNBA[[#This Row],[Fecha]],"mmm")</f>
        <v>nov</v>
      </c>
    </row>
    <row r="237" spans="1:18">
      <c r="A237" s="465">
        <v>45983</v>
      </c>
      <c r="B237" s="330" t="s">
        <v>89</v>
      </c>
      <c r="C237" s="312" t="str">
        <f>LEFT(B237,FIND("@",B237)-2)</f>
        <v>LA Clippers</v>
      </c>
      <c r="D237" s="312">
        <v>126</v>
      </c>
      <c r="E237" s="362">
        <v>131</v>
      </c>
      <c r="F237" s="339">
        <f>IF(E237&gt;D237, 1, 0)</f>
        <v>1</v>
      </c>
      <c r="G237" s="312" t="str">
        <f>MID(B237,FIND("@",B237)+2,LEN(B237)-FIND("@",B237)-1)</f>
        <v>Charlotte Hornets</v>
      </c>
      <c r="H237" s="312">
        <v>114</v>
      </c>
      <c r="I237" s="362">
        <v>116</v>
      </c>
      <c r="J237" s="339">
        <f>IF(I237&gt;H237, 1, 0)</f>
        <v>1</v>
      </c>
      <c r="K237" s="312">
        <f>+D237+H237</f>
        <v>240</v>
      </c>
      <c r="L237" s="362">
        <f>E237+I237</f>
        <v>247</v>
      </c>
      <c r="M237" s="339">
        <f>IF(L237&gt;K237, 1, 0)</f>
        <v>1</v>
      </c>
      <c r="N237" s="363">
        <f>(+H237-D237)</f>
        <v>-12</v>
      </c>
      <c r="O237" s="472">
        <f>I237-E237</f>
        <v>-15</v>
      </c>
      <c r="P237" s="440">
        <f>IF(OR(AND(N237&gt;0,O237&gt;0),AND(N237&lt;0,O237&lt;0)),1,0)</f>
        <v>1</v>
      </c>
      <c r="Q237" s="466">
        <f>WEEKNUM(tblResultadosNBA[[#This Row],[Fecha]],2)</f>
        <v>47</v>
      </c>
      <c r="R237" s="467" t="str">
        <f>TEXT(tblResultadosNBA[[#This Row],[Fecha]],"mmm")</f>
        <v>nov</v>
      </c>
    </row>
    <row r="238" spans="1:18">
      <c r="A238" s="441">
        <v>45983</v>
      </c>
      <c r="B238" s="302" t="s">
        <v>773</v>
      </c>
      <c r="C238" s="177" t="str">
        <f t="shared" ref="C238:C243" si="25">LEFT(B238,FIND("@",B238)-2)</f>
        <v>New York Knicks</v>
      </c>
      <c r="D238" s="177">
        <v>109</v>
      </c>
      <c r="E238" s="336">
        <v>121</v>
      </c>
      <c r="F238" s="327">
        <f t="shared" ref="F238:F243" si="26">IF(E238&gt;D238, 1, 0)</f>
        <v>1</v>
      </c>
      <c r="G238" s="177" t="str">
        <f t="shared" ref="G238:G243" si="27">MID(B238,FIND("@",B238)+2,LEN(B238)-FIND("@",B238)-1)</f>
        <v>Orlando Magic</v>
      </c>
      <c r="H238" s="177">
        <v>113</v>
      </c>
      <c r="I238" s="336">
        <v>133</v>
      </c>
      <c r="J238" s="327">
        <f t="shared" ref="J238:J243" si="28">IF(I238&gt;H238, 1, 0)</f>
        <v>1</v>
      </c>
      <c r="K238" s="177">
        <f t="shared" ref="K238:K243" si="29">+D238+H238</f>
        <v>222</v>
      </c>
      <c r="L238" s="336">
        <f t="shared" ref="L238:L243" si="30">E238+I238</f>
        <v>254</v>
      </c>
      <c r="M238" s="327">
        <f t="shared" ref="M238:M243" si="31">IF(L238&gt;K238, 1, 0)</f>
        <v>1</v>
      </c>
      <c r="N238" s="337">
        <f t="shared" ref="N238:N243" si="32">(+H238-D238)</f>
        <v>4</v>
      </c>
      <c r="O238" s="395">
        <f t="shared" ref="O238:O243" si="33">I238-E238</f>
        <v>12</v>
      </c>
      <c r="P238" s="289">
        <f t="shared" ref="P238:P243" si="34">IF(OR(AND(N238&gt;0,O238&gt;0),AND(N238&lt;0,O238&lt;0)),1,0)</f>
        <v>1</v>
      </c>
      <c r="Q238" s="460">
        <f>WEEKNUM(tblResultadosNBA[[#This Row],[Fecha]],2)</f>
        <v>47</v>
      </c>
      <c r="R238" s="468" t="str">
        <f>TEXT(tblResultadosNBA[[#This Row],[Fecha]],"mmm")</f>
        <v>nov</v>
      </c>
    </row>
    <row r="239" spans="1:18">
      <c r="A239" s="441">
        <v>45983</v>
      </c>
      <c r="B239" s="302" t="s">
        <v>90</v>
      </c>
      <c r="C239" s="177" t="str">
        <f t="shared" si="25"/>
        <v>Atlanta Hawks</v>
      </c>
      <c r="D239" s="177">
        <v>111</v>
      </c>
      <c r="E239" s="336">
        <v>115</v>
      </c>
      <c r="F239" s="327">
        <f t="shared" si="26"/>
        <v>1</v>
      </c>
      <c r="G239" s="177" t="str">
        <f t="shared" si="27"/>
        <v>New Orleans Pelicans</v>
      </c>
      <c r="H239" s="177">
        <v>117</v>
      </c>
      <c r="I239" s="336">
        <v>98</v>
      </c>
      <c r="J239" s="327">
        <f t="shared" si="28"/>
        <v>0</v>
      </c>
      <c r="K239" s="177">
        <f t="shared" si="29"/>
        <v>228</v>
      </c>
      <c r="L239" s="336">
        <f t="shared" si="30"/>
        <v>213</v>
      </c>
      <c r="M239" s="327">
        <f t="shared" si="31"/>
        <v>0</v>
      </c>
      <c r="N239" s="337">
        <f t="shared" si="32"/>
        <v>6</v>
      </c>
      <c r="O239" s="395">
        <f t="shared" si="33"/>
        <v>-17</v>
      </c>
      <c r="P239" s="289">
        <f t="shared" si="34"/>
        <v>0</v>
      </c>
      <c r="Q239" s="460">
        <f>WEEKNUM(tblResultadosNBA[[#This Row],[Fecha]],2)</f>
        <v>47</v>
      </c>
      <c r="R239" s="468" t="str">
        <f>TEXT(tblResultadosNBA[[#This Row],[Fecha]],"mmm")</f>
        <v>nov</v>
      </c>
    </row>
    <row r="240" spans="1:18">
      <c r="A240" s="441">
        <v>45983</v>
      </c>
      <c r="B240" s="302" t="s">
        <v>774</v>
      </c>
      <c r="C240" s="177" t="str">
        <f t="shared" si="25"/>
        <v>Washington Wizards</v>
      </c>
      <c r="D240" s="177">
        <v>117</v>
      </c>
      <c r="E240" s="336">
        <v>120</v>
      </c>
      <c r="F240" s="327">
        <f t="shared" si="26"/>
        <v>1</v>
      </c>
      <c r="G240" s="177" t="str">
        <f t="shared" si="27"/>
        <v>Chicago Bulls</v>
      </c>
      <c r="H240" s="177">
        <v>119</v>
      </c>
      <c r="I240" s="336">
        <v>121</v>
      </c>
      <c r="J240" s="327">
        <f t="shared" si="28"/>
        <v>1</v>
      </c>
      <c r="K240" s="177">
        <f t="shared" si="29"/>
        <v>236</v>
      </c>
      <c r="L240" s="336">
        <f t="shared" si="30"/>
        <v>241</v>
      </c>
      <c r="M240" s="327">
        <f t="shared" si="31"/>
        <v>1</v>
      </c>
      <c r="N240" s="337">
        <f t="shared" si="32"/>
        <v>2</v>
      </c>
      <c r="O240" s="395">
        <f t="shared" si="33"/>
        <v>1</v>
      </c>
      <c r="P240" s="289">
        <f t="shared" si="34"/>
        <v>1</v>
      </c>
      <c r="Q240" s="460">
        <f>WEEKNUM(tblResultadosNBA[[#This Row],[Fecha]],2)</f>
        <v>47</v>
      </c>
      <c r="R240" s="468" t="str">
        <f>TEXT(tblResultadosNBA[[#This Row],[Fecha]],"mmm")</f>
        <v>nov</v>
      </c>
    </row>
    <row r="241" spans="1:18">
      <c r="A241" s="441">
        <v>45983</v>
      </c>
      <c r="B241" s="302" t="s">
        <v>91</v>
      </c>
      <c r="C241" s="177" t="str">
        <f t="shared" si="25"/>
        <v>Detroit Pistons</v>
      </c>
      <c r="D241" s="177">
        <v>105</v>
      </c>
      <c r="E241" s="336">
        <v>129</v>
      </c>
      <c r="F241" s="327">
        <f t="shared" si="26"/>
        <v>1</v>
      </c>
      <c r="G241" s="177" t="str">
        <f t="shared" si="27"/>
        <v>Milwaukee Bucks</v>
      </c>
      <c r="H241" s="177">
        <v>117</v>
      </c>
      <c r="I241" s="336">
        <v>116</v>
      </c>
      <c r="J241" s="327">
        <f t="shared" si="28"/>
        <v>0</v>
      </c>
      <c r="K241" s="177">
        <f t="shared" si="29"/>
        <v>222</v>
      </c>
      <c r="L241" s="336">
        <f t="shared" si="30"/>
        <v>245</v>
      </c>
      <c r="M241" s="327">
        <f t="shared" si="31"/>
        <v>1</v>
      </c>
      <c r="N241" s="337">
        <f t="shared" si="32"/>
        <v>12</v>
      </c>
      <c r="O241" s="395">
        <f t="shared" si="33"/>
        <v>-13</v>
      </c>
      <c r="P241" s="289">
        <f t="shared" si="34"/>
        <v>0</v>
      </c>
      <c r="Q241" s="460">
        <f>WEEKNUM(tblResultadosNBA[[#This Row],[Fecha]],2)</f>
        <v>47</v>
      </c>
      <c r="R241" s="468" t="str">
        <f>TEXT(tblResultadosNBA[[#This Row],[Fecha]],"mmm")</f>
        <v>nov</v>
      </c>
    </row>
    <row r="242" spans="1:18">
      <c r="A242" s="441">
        <v>45983</v>
      </c>
      <c r="B242" s="302" t="s">
        <v>92</v>
      </c>
      <c r="C242" s="177" t="str">
        <f t="shared" si="25"/>
        <v>Memphis Grizzlies</v>
      </c>
      <c r="D242" s="177">
        <v>110</v>
      </c>
      <c r="E242" s="336">
        <v>103</v>
      </c>
      <c r="F242" s="327">
        <f t="shared" si="26"/>
        <v>0</v>
      </c>
      <c r="G242" s="177" t="str">
        <f t="shared" si="27"/>
        <v>Dallas Mavericks</v>
      </c>
      <c r="H242" s="177">
        <v>115</v>
      </c>
      <c r="I242" s="336">
        <v>96</v>
      </c>
      <c r="J242" s="327">
        <f t="shared" si="28"/>
        <v>0</v>
      </c>
      <c r="K242" s="177">
        <f t="shared" si="29"/>
        <v>225</v>
      </c>
      <c r="L242" s="336">
        <f t="shared" si="30"/>
        <v>199</v>
      </c>
      <c r="M242" s="327">
        <f t="shared" si="31"/>
        <v>0</v>
      </c>
      <c r="N242" s="337">
        <f t="shared" si="32"/>
        <v>5</v>
      </c>
      <c r="O242" s="395">
        <f t="shared" si="33"/>
        <v>-7</v>
      </c>
      <c r="P242" s="289">
        <f t="shared" si="34"/>
        <v>0</v>
      </c>
      <c r="Q242" s="460">
        <f>WEEKNUM(tblResultadosNBA[[#This Row],[Fecha]],2)</f>
        <v>47</v>
      </c>
      <c r="R242" s="468" t="str">
        <f>TEXT(tblResultadosNBA[[#This Row],[Fecha]],"mmm")</f>
        <v>nov</v>
      </c>
    </row>
    <row r="243" spans="1:18">
      <c r="A243" s="429">
        <v>45983</v>
      </c>
      <c r="B243" s="331" t="s">
        <v>724</v>
      </c>
      <c r="C243" s="286" t="str">
        <f t="shared" si="25"/>
        <v>Sacramento Kings</v>
      </c>
      <c r="D243" s="286">
        <v>110</v>
      </c>
      <c r="E243" s="431">
        <v>128</v>
      </c>
      <c r="F243" s="332">
        <f t="shared" si="26"/>
        <v>1</v>
      </c>
      <c r="G243" s="286" t="str">
        <f t="shared" si="27"/>
        <v>Denver Nuggets</v>
      </c>
      <c r="H243" s="286">
        <v>122</v>
      </c>
      <c r="I243" s="431">
        <v>123</v>
      </c>
      <c r="J243" s="332">
        <f t="shared" si="28"/>
        <v>1</v>
      </c>
      <c r="K243" s="286">
        <f t="shared" si="29"/>
        <v>232</v>
      </c>
      <c r="L243" s="431">
        <f t="shared" si="30"/>
        <v>251</v>
      </c>
      <c r="M243" s="332">
        <f t="shared" si="31"/>
        <v>1</v>
      </c>
      <c r="N243" s="432">
        <f t="shared" si="32"/>
        <v>12</v>
      </c>
      <c r="O243" s="451">
        <f t="shared" si="33"/>
        <v>-5</v>
      </c>
      <c r="P243" s="433">
        <f t="shared" si="34"/>
        <v>0</v>
      </c>
      <c r="Q243" s="469">
        <f>WEEKNUM(tblResultadosNBA[[#This Row],[Fecha]],2)</f>
        <v>47</v>
      </c>
      <c r="R243" s="470" t="str">
        <f>TEXT(tblResultadosNBA[[#This Row],[Fecha]],"mmm")</f>
        <v>nov</v>
      </c>
    </row>
    <row r="244" spans="1:18">
      <c r="A244" s="439">
        <v>45984</v>
      </c>
      <c r="B244" s="422" t="s">
        <v>402</v>
      </c>
      <c r="C244" s="341" t="str">
        <f>LEFT(B244,FIND("@",B244)-2)</f>
        <v>Miami Heat</v>
      </c>
      <c r="D244" s="341">
        <v>126</v>
      </c>
      <c r="E244" s="342">
        <v>127</v>
      </c>
      <c r="F244" s="333">
        <f>IF(E244&gt;D244, 1, 0)</f>
        <v>1</v>
      </c>
      <c r="G244" s="341" t="str">
        <f>MID(B244,FIND("@",B244)+2,LEN(B244)-FIND("@",B244)-1)</f>
        <v>Philadelphia 76ers</v>
      </c>
      <c r="H244" s="341">
        <v>119</v>
      </c>
      <c r="I244" s="342">
        <v>117</v>
      </c>
      <c r="J244" s="333">
        <f>IF(I244&gt;H244, 1, 0)</f>
        <v>0</v>
      </c>
      <c r="K244" s="341">
        <f>+D244+H244</f>
        <v>245</v>
      </c>
      <c r="L244" s="342">
        <f>E244+I244</f>
        <v>244</v>
      </c>
      <c r="M244" s="333">
        <f>IF(L244&gt;K244, 1, 0)</f>
        <v>0</v>
      </c>
      <c r="N244" s="343">
        <f>(+H244-D244)</f>
        <v>-7</v>
      </c>
      <c r="O244" s="449">
        <f>I244-E244</f>
        <v>-10</v>
      </c>
      <c r="P244" s="289">
        <f>IF(OR(AND(N244&gt;0,O244&gt;0),AND(N244&lt;0,O244&lt;0)),1,0)</f>
        <v>1</v>
      </c>
      <c r="Q244" s="460">
        <f>WEEKNUM(tblResultadosNBA[[#This Row],[Fecha]],2)</f>
        <v>47</v>
      </c>
      <c r="R244" s="460" t="str">
        <f>TEXT(tblResultadosNBA[[#This Row],[Fecha]],"mmm")</f>
        <v>nov</v>
      </c>
    </row>
    <row r="245" spans="1:18">
      <c r="A245" s="419">
        <v>45984</v>
      </c>
      <c r="B245" s="302" t="s">
        <v>93</v>
      </c>
      <c r="C245" s="177" t="str">
        <f t="shared" ref="C245:C250" si="35">LEFT(B245,FIND("@",B245)-2)</f>
        <v>Charlotte Hornets</v>
      </c>
      <c r="D245" s="177">
        <v>116</v>
      </c>
      <c r="E245" s="336">
        <v>110</v>
      </c>
      <c r="F245" s="327">
        <f t="shared" ref="F245:F250" si="36">IF(E245&gt;D245, 1, 0)</f>
        <v>0</v>
      </c>
      <c r="G245" s="177" t="str">
        <f t="shared" ref="G245:G250" si="37">MID(B245,FIND("@",B245)+2,LEN(B245)-FIND("@",B245)-1)</f>
        <v>Atlanta Hawks</v>
      </c>
      <c r="H245" s="177">
        <v>121</v>
      </c>
      <c r="I245" s="336">
        <v>113</v>
      </c>
      <c r="J245" s="327">
        <f t="shared" ref="J245:J250" si="38">IF(I245&gt;H245, 1, 0)</f>
        <v>0</v>
      </c>
      <c r="K245" s="177">
        <f t="shared" ref="K245:K250" si="39">+D245+H245</f>
        <v>237</v>
      </c>
      <c r="L245" s="336">
        <f t="shared" ref="L245:L250" si="40">E245+I245</f>
        <v>223</v>
      </c>
      <c r="M245" s="327">
        <f t="shared" ref="M245:M250" si="41">IF(L245&gt;K245, 1, 0)</f>
        <v>0</v>
      </c>
      <c r="N245" s="337">
        <f t="shared" ref="N245:N250" si="42">(+H245-D245)</f>
        <v>5</v>
      </c>
      <c r="O245" s="395">
        <f t="shared" ref="O245:O250" si="43">I245-E245</f>
        <v>3</v>
      </c>
      <c r="P245" s="289">
        <f t="shared" ref="P245:P250" si="44">IF(OR(AND(N245&gt;0,O245&gt;0),AND(N245&lt;0,O245&lt;0)),1,0)</f>
        <v>1</v>
      </c>
      <c r="Q245" s="460">
        <f>WEEKNUM(tblResultadosNBA[[#This Row],[Fecha]],2)</f>
        <v>47</v>
      </c>
      <c r="R245" s="460" t="str">
        <f>TEXT(tblResultadosNBA[[#This Row],[Fecha]],"mmm")</f>
        <v>nov</v>
      </c>
    </row>
    <row r="246" spans="1:18">
      <c r="A246" s="419">
        <v>45984</v>
      </c>
      <c r="B246" s="302" t="s">
        <v>775</v>
      </c>
      <c r="C246" s="177" t="str">
        <f t="shared" si="35"/>
        <v>Orlando Magic</v>
      </c>
      <c r="D246" s="177">
        <v>101</v>
      </c>
      <c r="E246" s="336">
        <v>129</v>
      </c>
      <c r="F246" s="327">
        <f t="shared" si="36"/>
        <v>1</v>
      </c>
      <c r="G246" s="177" t="str">
        <f t="shared" si="37"/>
        <v>Boston Celtics</v>
      </c>
      <c r="H246" s="177">
        <v>114</v>
      </c>
      <c r="I246" s="336">
        <v>138</v>
      </c>
      <c r="J246" s="327">
        <f t="shared" si="38"/>
        <v>1</v>
      </c>
      <c r="K246" s="177">
        <f t="shared" si="39"/>
        <v>215</v>
      </c>
      <c r="L246" s="336">
        <f t="shared" si="40"/>
        <v>267</v>
      </c>
      <c r="M246" s="327">
        <f t="shared" si="41"/>
        <v>1</v>
      </c>
      <c r="N246" s="337">
        <f t="shared" si="42"/>
        <v>13</v>
      </c>
      <c r="O246" s="395">
        <f t="shared" si="43"/>
        <v>9</v>
      </c>
      <c r="P246" s="289">
        <f t="shared" si="44"/>
        <v>1</v>
      </c>
      <c r="Q246" s="460">
        <f>WEEKNUM(tblResultadosNBA[[#This Row],[Fecha]],2)</f>
        <v>47</v>
      </c>
      <c r="R246" s="460" t="str">
        <f>TEXT(tblResultadosNBA[[#This Row],[Fecha]],"mmm")</f>
        <v>nov</v>
      </c>
    </row>
    <row r="247" spans="1:18">
      <c r="A247" s="419">
        <v>45984</v>
      </c>
      <c r="B247" s="302" t="s">
        <v>94</v>
      </c>
      <c r="C247" s="177" t="str">
        <f t="shared" si="35"/>
        <v>LA Clippers</v>
      </c>
      <c r="D247" s="177">
        <v>114</v>
      </c>
      <c r="E247" s="336">
        <v>105</v>
      </c>
      <c r="F247" s="327">
        <f t="shared" si="36"/>
        <v>0</v>
      </c>
      <c r="G247" s="177" t="str">
        <f t="shared" si="37"/>
        <v>Cleveland Cavaliers</v>
      </c>
      <c r="H247" s="177">
        <v>119</v>
      </c>
      <c r="I247" s="336">
        <v>120</v>
      </c>
      <c r="J247" s="327">
        <f t="shared" si="38"/>
        <v>1</v>
      </c>
      <c r="K247" s="177">
        <f t="shared" si="39"/>
        <v>233</v>
      </c>
      <c r="L247" s="336">
        <f t="shared" si="40"/>
        <v>225</v>
      </c>
      <c r="M247" s="327">
        <f t="shared" si="41"/>
        <v>0</v>
      </c>
      <c r="N247" s="337">
        <f t="shared" si="42"/>
        <v>5</v>
      </c>
      <c r="O247" s="395">
        <f t="shared" si="43"/>
        <v>15</v>
      </c>
      <c r="P247" s="289">
        <f t="shared" si="44"/>
        <v>1</v>
      </c>
      <c r="Q247" s="460">
        <f>WEEKNUM(tblResultadosNBA[[#This Row],[Fecha]],2)</f>
        <v>47</v>
      </c>
      <c r="R247" s="460" t="str">
        <f>TEXT(tblResultadosNBA[[#This Row],[Fecha]],"mmm")</f>
        <v>nov</v>
      </c>
    </row>
    <row r="248" spans="1:18">
      <c r="A248" s="419">
        <v>45984</v>
      </c>
      <c r="B248" s="302" t="s">
        <v>776</v>
      </c>
      <c r="C248" s="177" t="str">
        <f t="shared" si="35"/>
        <v>Brooklyn Nets</v>
      </c>
      <c r="D248" s="177">
        <v>103</v>
      </c>
      <c r="E248" s="336">
        <v>109</v>
      </c>
      <c r="F248" s="327">
        <f t="shared" si="36"/>
        <v>1</v>
      </c>
      <c r="G248" s="177" t="str">
        <f t="shared" si="37"/>
        <v>Toronto Raptors</v>
      </c>
      <c r="H248" s="177">
        <v>112</v>
      </c>
      <c r="I248" s="336">
        <v>119</v>
      </c>
      <c r="J248" s="327">
        <f t="shared" si="38"/>
        <v>1</v>
      </c>
      <c r="K248" s="177">
        <f t="shared" si="39"/>
        <v>215</v>
      </c>
      <c r="L248" s="336">
        <f t="shared" si="40"/>
        <v>228</v>
      </c>
      <c r="M248" s="327">
        <f t="shared" si="41"/>
        <v>1</v>
      </c>
      <c r="N248" s="337">
        <f t="shared" si="42"/>
        <v>9</v>
      </c>
      <c r="O248" s="395">
        <f t="shared" si="43"/>
        <v>10</v>
      </c>
      <c r="P248" s="289">
        <f t="shared" si="44"/>
        <v>1</v>
      </c>
      <c r="Q248" s="460">
        <f>WEEKNUM(tblResultadosNBA[[#This Row],[Fecha]],2)</f>
        <v>47</v>
      </c>
      <c r="R248" s="460" t="str">
        <f>TEXT(tblResultadosNBA[[#This Row],[Fecha]],"mmm")</f>
        <v>nov</v>
      </c>
    </row>
    <row r="249" spans="1:18">
      <c r="A249" s="419">
        <v>45984</v>
      </c>
      <c r="B249" s="302" t="s">
        <v>95</v>
      </c>
      <c r="C249" s="177" t="str">
        <f t="shared" si="35"/>
        <v>Portland Trail Blazers</v>
      </c>
      <c r="D249" s="177">
        <v>108</v>
      </c>
      <c r="E249" s="336">
        <v>95</v>
      </c>
      <c r="F249" s="327">
        <f t="shared" si="36"/>
        <v>0</v>
      </c>
      <c r="G249" s="177" t="str">
        <f t="shared" si="37"/>
        <v>Oklahoma City Thunder</v>
      </c>
      <c r="H249" s="177">
        <v>121</v>
      </c>
      <c r="I249" s="336">
        <v>122</v>
      </c>
      <c r="J249" s="327">
        <f t="shared" si="38"/>
        <v>1</v>
      </c>
      <c r="K249" s="177">
        <f t="shared" si="39"/>
        <v>229</v>
      </c>
      <c r="L249" s="336">
        <f t="shared" si="40"/>
        <v>217</v>
      </c>
      <c r="M249" s="327">
        <f t="shared" si="41"/>
        <v>0</v>
      </c>
      <c r="N249" s="337">
        <f t="shared" si="42"/>
        <v>13</v>
      </c>
      <c r="O249" s="395">
        <f t="shared" si="43"/>
        <v>27</v>
      </c>
      <c r="P249" s="289">
        <f t="shared" si="44"/>
        <v>1</v>
      </c>
      <c r="Q249" s="460">
        <f>WEEKNUM(tblResultadosNBA[[#This Row],[Fecha]],2)</f>
        <v>47</v>
      </c>
      <c r="R249" s="460" t="str">
        <f>TEXT(tblResultadosNBA[[#This Row],[Fecha]],"mmm")</f>
        <v>nov</v>
      </c>
    </row>
    <row r="250" spans="1:18">
      <c r="A250" s="419">
        <v>45984</v>
      </c>
      <c r="B250" s="302" t="s">
        <v>96</v>
      </c>
      <c r="C250" s="177" t="str">
        <f t="shared" si="35"/>
        <v>San Antonio Spurs</v>
      </c>
      <c r="D250" s="177">
        <v>114</v>
      </c>
      <c r="E250" s="336">
        <v>102</v>
      </c>
      <c r="F250" s="327">
        <f t="shared" si="36"/>
        <v>0</v>
      </c>
      <c r="G250" s="177" t="str">
        <f t="shared" si="37"/>
        <v>Phoenix Suns</v>
      </c>
      <c r="H250" s="177">
        <v>119</v>
      </c>
      <c r="I250" s="336">
        <v>111</v>
      </c>
      <c r="J250" s="327">
        <f t="shared" si="38"/>
        <v>0</v>
      </c>
      <c r="K250" s="177">
        <f t="shared" si="39"/>
        <v>233</v>
      </c>
      <c r="L250" s="336">
        <f t="shared" si="40"/>
        <v>213</v>
      </c>
      <c r="M250" s="327">
        <f t="shared" si="41"/>
        <v>0</v>
      </c>
      <c r="N250" s="337">
        <f t="shared" si="42"/>
        <v>5</v>
      </c>
      <c r="O250" s="395">
        <f t="shared" si="43"/>
        <v>9</v>
      </c>
      <c r="P250" s="289">
        <f t="shared" si="44"/>
        <v>1</v>
      </c>
      <c r="Q250" s="460">
        <f>WEEKNUM(tblResultadosNBA[[#This Row],[Fecha]],2)</f>
        <v>47</v>
      </c>
      <c r="R250" s="460" t="str">
        <f>TEXT(tblResultadosNBA[[#This Row],[Fecha]],"mmm")</f>
        <v>nov</v>
      </c>
    </row>
    <row r="251" spans="1:18">
      <c r="A251" s="456">
        <v>45984</v>
      </c>
      <c r="B251" s="328" t="s">
        <v>194</v>
      </c>
      <c r="C251" s="286" t="str">
        <f>LEFT(B251,FIND("@",B251)-2)</f>
        <v>Los Angeles Lakers</v>
      </c>
      <c r="D251" s="286">
        <v>107</v>
      </c>
      <c r="E251" s="431">
        <v>108</v>
      </c>
      <c r="F251" s="332">
        <f>IF(E251&gt;D251, 1, 0)</f>
        <v>1</v>
      </c>
      <c r="G251" s="286" t="str">
        <f>MID(B251,FIND("@",B251)+2,LEN(B251)-FIND("@",B251)-1)</f>
        <v>Utah Jazz</v>
      </c>
      <c r="H251" s="286">
        <v>119</v>
      </c>
      <c r="I251" s="431">
        <v>106</v>
      </c>
      <c r="J251" s="332">
        <f>IF(I251&gt;H251, 1, 0)</f>
        <v>0</v>
      </c>
      <c r="K251" s="286">
        <f>+D251+H251</f>
        <v>226</v>
      </c>
      <c r="L251" s="431">
        <f>E251+I251</f>
        <v>214</v>
      </c>
      <c r="M251" s="332">
        <f>IF(L251&gt;K251, 1, 0)</f>
        <v>0</v>
      </c>
      <c r="N251" s="432">
        <f>(+H251-D251)</f>
        <v>12</v>
      </c>
      <c r="O251" s="451">
        <f>I251-E251</f>
        <v>-2</v>
      </c>
      <c r="P251" s="433">
        <f>IF(OR(AND(N251&gt;0,O251&gt;0),AND(N251&lt;0,O251&lt;0)),1,0)</f>
        <v>0</v>
      </c>
      <c r="Q251" s="460">
        <f>WEEKNUM(tblResultadosNBA[[#This Row],[Fecha]],2)</f>
        <v>47</v>
      </c>
      <c r="R251" s="460" t="str">
        <f>TEXT(tblResultadosNBA[[#This Row],[Fecha]],"mmm")</f>
        <v>nov</v>
      </c>
    </row>
    <row r="252" spans="1:18">
      <c r="A252" s="456">
        <v>45985</v>
      </c>
      <c r="B252" s="302" t="s">
        <v>98</v>
      </c>
      <c r="C252" s="341" t="str">
        <f>LEFT(B252,FIND("@",B252)-2)</f>
        <v>Detroit Pistons</v>
      </c>
      <c r="D252" s="341">
        <v>129</v>
      </c>
      <c r="E252" s="342">
        <v>122</v>
      </c>
      <c r="F252" s="333">
        <f>IF(E252&gt;D252, 1, 0)</f>
        <v>0</v>
      </c>
      <c r="G252" s="341" t="str">
        <f>MID(B252,FIND("@",B252)+2,LEN(B252)-FIND("@",B252)-1)</f>
        <v>Indiana Pacers</v>
      </c>
      <c r="H252" s="341">
        <v>119</v>
      </c>
      <c r="I252" s="342">
        <v>117</v>
      </c>
      <c r="J252" s="333">
        <f>IF(I252&gt;H252, 1, 0)</f>
        <v>0</v>
      </c>
      <c r="K252" s="341">
        <f>+D252+H252</f>
        <v>248</v>
      </c>
      <c r="L252" s="342">
        <f>E252+I252</f>
        <v>239</v>
      </c>
      <c r="M252" s="333">
        <f>IF(L252&gt;K252, 1, 0)</f>
        <v>0</v>
      </c>
      <c r="N252" s="343">
        <f>(+H252-D252)</f>
        <v>-10</v>
      </c>
      <c r="O252" s="449">
        <f>I252-E252</f>
        <v>-5</v>
      </c>
      <c r="P252" s="289">
        <f>IF(OR(AND(N252&gt;0,O252&gt;0),AND(N252&lt;0,O252&lt;0)),1,0)</f>
        <v>1</v>
      </c>
      <c r="Q252" s="460">
        <f>WEEKNUM(tblResultadosNBA[[#This Row],[Fecha]],2)</f>
        <v>48</v>
      </c>
      <c r="R252" s="460" t="str">
        <f>TEXT(tblResultadosNBA[[#This Row],[Fecha]],"mmm")</f>
        <v>nov</v>
      </c>
    </row>
    <row r="253" spans="1:18">
      <c r="A253" s="456">
        <v>45985</v>
      </c>
      <c r="B253" s="302" t="s">
        <v>590</v>
      </c>
      <c r="C253" s="177" t="str">
        <f t="shared" ref="C253:C260" si="45">LEFT(B253,FIND("@",B253)-2)</f>
        <v>Cleveland Cavaliers</v>
      </c>
      <c r="D253" s="177">
        <v>112</v>
      </c>
      <c r="E253" s="336">
        <v>99</v>
      </c>
      <c r="F253" s="327">
        <f t="shared" ref="F253:F260" si="46">IF(E253&gt;D253, 1, 0)</f>
        <v>0</v>
      </c>
      <c r="G253" s="177" t="str">
        <f t="shared" ref="G253:G260" si="47">MID(B253,FIND("@",B253)+2,LEN(B253)-FIND("@",B253)-1)</f>
        <v>Toronto Raptors</v>
      </c>
      <c r="H253" s="177">
        <v>118</v>
      </c>
      <c r="I253" s="336">
        <v>110</v>
      </c>
      <c r="J253" s="327">
        <f t="shared" ref="J253:J260" si="48">IF(I253&gt;H253, 1, 0)</f>
        <v>0</v>
      </c>
      <c r="K253" s="177">
        <f t="shared" ref="K253:K260" si="49">+D253+H253</f>
        <v>230</v>
      </c>
      <c r="L253" s="336">
        <f t="shared" ref="L253:L260" si="50">E253+I253</f>
        <v>209</v>
      </c>
      <c r="M253" s="327">
        <f t="shared" ref="M253:M260" si="51">IF(L253&gt;K253, 1, 0)</f>
        <v>0</v>
      </c>
      <c r="N253" s="337">
        <f t="shared" ref="N253:N260" si="52">(+H253-D253)</f>
        <v>6</v>
      </c>
      <c r="O253" s="395">
        <f t="shared" ref="O253:O260" si="53">I253-E253</f>
        <v>11</v>
      </c>
      <c r="P253" s="289">
        <f t="shared" ref="P253:P260" si="54">IF(OR(AND(N253&gt;0,O253&gt;0),AND(N253&lt;0,O253&lt;0)),1,0)</f>
        <v>1</v>
      </c>
      <c r="Q253" s="460">
        <f>WEEKNUM(tblResultadosNBA[[#This Row],[Fecha]],2)</f>
        <v>48</v>
      </c>
      <c r="R253" s="460" t="str">
        <f>TEXT(tblResultadosNBA[[#This Row],[Fecha]],"mmm")</f>
        <v>nov</v>
      </c>
    </row>
    <row r="254" spans="1:18">
      <c r="A254" s="456">
        <v>45985</v>
      </c>
      <c r="B254" s="302" t="s">
        <v>777</v>
      </c>
      <c r="C254" s="177" t="str">
        <f t="shared" si="45"/>
        <v>New York Knicks</v>
      </c>
      <c r="D254" s="177">
        <v>110</v>
      </c>
      <c r="E254" s="336">
        <v>113</v>
      </c>
      <c r="F254" s="327">
        <f t="shared" si="46"/>
        <v>1</v>
      </c>
      <c r="G254" s="177" t="str">
        <f t="shared" si="47"/>
        <v>Brooklyn Nets</v>
      </c>
      <c r="H254" s="177">
        <v>108</v>
      </c>
      <c r="I254" s="336">
        <v>100</v>
      </c>
      <c r="J254" s="327">
        <f t="shared" si="48"/>
        <v>0</v>
      </c>
      <c r="K254" s="177">
        <f t="shared" si="49"/>
        <v>218</v>
      </c>
      <c r="L254" s="336">
        <f t="shared" si="50"/>
        <v>213</v>
      </c>
      <c r="M254" s="327">
        <f t="shared" si="51"/>
        <v>0</v>
      </c>
      <c r="N254" s="337">
        <f t="shared" si="52"/>
        <v>-2</v>
      </c>
      <c r="O254" s="395">
        <f t="shared" si="53"/>
        <v>-13</v>
      </c>
      <c r="P254" s="289">
        <f t="shared" si="54"/>
        <v>1</v>
      </c>
      <c r="Q254" s="460">
        <f>WEEKNUM(tblResultadosNBA[[#This Row],[Fecha]],2)</f>
        <v>48</v>
      </c>
      <c r="R254" s="460" t="str">
        <f>TEXT(tblResultadosNBA[[#This Row],[Fecha]],"mmm")</f>
        <v>nov</v>
      </c>
    </row>
    <row r="255" spans="1:18">
      <c r="A255" s="456">
        <v>45985</v>
      </c>
      <c r="B255" s="302" t="s">
        <v>778</v>
      </c>
      <c r="C255" s="177" t="str">
        <f t="shared" si="45"/>
        <v>Dallas Mavericks</v>
      </c>
      <c r="D255" s="177">
        <v>111</v>
      </c>
      <c r="E255" s="336">
        <v>102</v>
      </c>
      <c r="F255" s="327">
        <f t="shared" si="46"/>
        <v>0</v>
      </c>
      <c r="G255" s="177" t="str">
        <f t="shared" si="47"/>
        <v>Miami Heat</v>
      </c>
      <c r="H255" s="177">
        <v>121</v>
      </c>
      <c r="I255" s="336">
        <v>106</v>
      </c>
      <c r="J255" s="327">
        <f t="shared" si="48"/>
        <v>0</v>
      </c>
      <c r="K255" s="177">
        <f t="shared" si="49"/>
        <v>232</v>
      </c>
      <c r="L255" s="336">
        <f t="shared" si="50"/>
        <v>208</v>
      </c>
      <c r="M255" s="327">
        <f t="shared" si="51"/>
        <v>0</v>
      </c>
      <c r="N255" s="337">
        <f t="shared" si="52"/>
        <v>10</v>
      </c>
      <c r="O255" s="395">
        <f t="shared" si="53"/>
        <v>4</v>
      </c>
      <c r="P255" s="289">
        <f t="shared" si="54"/>
        <v>1</v>
      </c>
      <c r="Q255" s="460">
        <f>WEEKNUM(tblResultadosNBA[[#This Row],[Fecha]],2)</f>
        <v>48</v>
      </c>
      <c r="R255" s="460" t="str">
        <f>TEXT(tblResultadosNBA[[#This Row],[Fecha]],"mmm")</f>
        <v>nov</v>
      </c>
    </row>
    <row r="256" spans="1:18">
      <c r="A256" s="456">
        <v>45985</v>
      </c>
      <c r="B256" s="302" t="s">
        <v>483</v>
      </c>
      <c r="C256" s="177" t="str">
        <f t="shared" si="45"/>
        <v>Denver Nuggets</v>
      </c>
      <c r="D256" s="177">
        <v>111</v>
      </c>
      <c r="E256" s="336">
        <v>125</v>
      </c>
      <c r="F256" s="327">
        <f t="shared" si="46"/>
        <v>1</v>
      </c>
      <c r="G256" s="177" t="str">
        <f t="shared" si="47"/>
        <v>Memphis Grizzlies</v>
      </c>
      <c r="H256" s="177">
        <v>106</v>
      </c>
      <c r="I256" s="336">
        <v>115</v>
      </c>
      <c r="J256" s="327">
        <f t="shared" si="48"/>
        <v>1</v>
      </c>
      <c r="K256" s="177">
        <f t="shared" si="49"/>
        <v>217</v>
      </c>
      <c r="L256" s="336">
        <f t="shared" si="50"/>
        <v>240</v>
      </c>
      <c r="M256" s="327">
        <f t="shared" si="51"/>
        <v>1</v>
      </c>
      <c r="N256" s="337">
        <f t="shared" si="52"/>
        <v>-5</v>
      </c>
      <c r="O256" s="395">
        <f t="shared" si="53"/>
        <v>-10</v>
      </c>
      <c r="P256" s="289">
        <f t="shared" si="54"/>
        <v>1</v>
      </c>
      <c r="Q256" s="460">
        <f>WEEKNUM(tblResultadosNBA[[#This Row],[Fecha]],2)</f>
        <v>48</v>
      </c>
      <c r="R256" s="460" t="str">
        <f>TEXT(tblResultadosNBA[[#This Row],[Fecha]],"mmm")</f>
        <v>nov</v>
      </c>
    </row>
    <row r="257" spans="1:18">
      <c r="A257" s="456">
        <v>45985</v>
      </c>
      <c r="B257" s="302" t="s">
        <v>99</v>
      </c>
      <c r="C257" s="177" t="str">
        <f t="shared" si="45"/>
        <v>Portland Trail Blazers</v>
      </c>
      <c r="D257" s="177">
        <v>111</v>
      </c>
      <c r="E257" s="336">
        <v>115</v>
      </c>
      <c r="F257" s="327">
        <f t="shared" si="46"/>
        <v>1</v>
      </c>
      <c r="G257" s="177" t="str">
        <f t="shared" si="47"/>
        <v>Milwaukee Bucks</v>
      </c>
      <c r="H257" s="177">
        <v>120</v>
      </c>
      <c r="I257" s="336">
        <v>103</v>
      </c>
      <c r="J257" s="327">
        <f t="shared" si="48"/>
        <v>0</v>
      </c>
      <c r="K257" s="177">
        <f t="shared" si="49"/>
        <v>231</v>
      </c>
      <c r="L257" s="336">
        <f t="shared" si="50"/>
        <v>218</v>
      </c>
      <c r="M257" s="327">
        <f t="shared" si="51"/>
        <v>0</v>
      </c>
      <c r="N257" s="337">
        <f t="shared" si="52"/>
        <v>9</v>
      </c>
      <c r="O257" s="395">
        <f t="shared" si="53"/>
        <v>-12</v>
      </c>
      <c r="P257" s="289">
        <f t="shared" si="54"/>
        <v>0</v>
      </c>
      <c r="Q257" s="460">
        <f>WEEKNUM(tblResultadosNBA[[#This Row],[Fecha]],2)</f>
        <v>48</v>
      </c>
      <c r="R257" s="460" t="str">
        <f>TEXT(tblResultadosNBA[[#This Row],[Fecha]],"mmm")</f>
        <v>nov</v>
      </c>
    </row>
    <row r="258" spans="1:18">
      <c r="A258" s="456">
        <v>45985</v>
      </c>
      <c r="B258" s="302" t="s">
        <v>779</v>
      </c>
      <c r="C258" s="177" t="str">
        <f t="shared" si="45"/>
        <v>Chicago Bulls</v>
      </c>
      <c r="D258" s="177">
        <v>117</v>
      </c>
      <c r="E258" s="336">
        <v>130</v>
      </c>
      <c r="F258" s="327">
        <f t="shared" si="46"/>
        <v>1</v>
      </c>
      <c r="G258" s="177" t="str">
        <f t="shared" si="47"/>
        <v>New Orleans Pelicans</v>
      </c>
      <c r="H258" s="177">
        <v>113</v>
      </c>
      <c r="I258" s="336">
        <v>143</v>
      </c>
      <c r="J258" s="327">
        <f t="shared" si="48"/>
        <v>1</v>
      </c>
      <c r="K258" s="177">
        <f t="shared" si="49"/>
        <v>230</v>
      </c>
      <c r="L258" s="336">
        <f t="shared" si="50"/>
        <v>273</v>
      </c>
      <c r="M258" s="327">
        <f t="shared" si="51"/>
        <v>1</v>
      </c>
      <c r="N258" s="337">
        <f t="shared" si="52"/>
        <v>-4</v>
      </c>
      <c r="O258" s="395">
        <f t="shared" si="53"/>
        <v>13</v>
      </c>
      <c r="P258" s="289">
        <f t="shared" si="54"/>
        <v>0</v>
      </c>
      <c r="Q258" s="460">
        <f>WEEKNUM(tblResultadosNBA[[#This Row],[Fecha]],2)</f>
        <v>48</v>
      </c>
      <c r="R258" s="460" t="str">
        <f>TEXT(tblResultadosNBA[[#This Row],[Fecha]],"mmm")</f>
        <v>nov</v>
      </c>
    </row>
    <row r="259" spans="1:18">
      <c r="A259" s="456">
        <v>45985</v>
      </c>
      <c r="B259" s="302" t="s">
        <v>100</v>
      </c>
      <c r="C259" s="177" t="str">
        <f t="shared" si="45"/>
        <v>Houston Rockets</v>
      </c>
      <c r="D259" s="177">
        <v>110</v>
      </c>
      <c r="E259" s="336">
        <v>114</v>
      </c>
      <c r="F259" s="327">
        <f t="shared" si="46"/>
        <v>1</v>
      </c>
      <c r="G259" s="177" t="str">
        <f t="shared" si="47"/>
        <v>Phoenix Suns</v>
      </c>
      <c r="H259" s="177">
        <v>113</v>
      </c>
      <c r="I259" s="336">
        <v>92</v>
      </c>
      <c r="J259" s="327">
        <f t="shared" si="48"/>
        <v>0</v>
      </c>
      <c r="K259" s="177">
        <f t="shared" si="49"/>
        <v>223</v>
      </c>
      <c r="L259" s="336">
        <f t="shared" si="50"/>
        <v>206</v>
      </c>
      <c r="M259" s="327">
        <f t="shared" si="51"/>
        <v>0</v>
      </c>
      <c r="N259" s="337">
        <f t="shared" si="52"/>
        <v>3</v>
      </c>
      <c r="O259" s="395">
        <f t="shared" si="53"/>
        <v>-22</v>
      </c>
      <c r="P259" s="289">
        <f t="shared" si="54"/>
        <v>0</v>
      </c>
      <c r="Q259" s="460">
        <f>WEEKNUM(tblResultadosNBA[[#This Row],[Fecha]],2)</f>
        <v>48</v>
      </c>
      <c r="R259" s="460" t="str">
        <f>TEXT(tblResultadosNBA[[#This Row],[Fecha]],"mmm")</f>
        <v>nov</v>
      </c>
    </row>
    <row r="260" spans="1:18">
      <c r="A260" s="456">
        <v>45985</v>
      </c>
      <c r="B260" s="302" t="s">
        <v>263</v>
      </c>
      <c r="C260" s="177" t="str">
        <f t="shared" si="45"/>
        <v>Utah Jazz</v>
      </c>
      <c r="D260" s="177">
        <v>115</v>
      </c>
      <c r="E260" s="336">
        <v>117</v>
      </c>
      <c r="F260" s="327">
        <f t="shared" si="46"/>
        <v>1</v>
      </c>
      <c r="G260" s="177" t="str">
        <f t="shared" si="47"/>
        <v>Golden State Warriors</v>
      </c>
      <c r="H260" s="177">
        <v>112</v>
      </c>
      <c r="I260" s="336">
        <v>134</v>
      </c>
      <c r="J260" s="327">
        <f t="shared" si="48"/>
        <v>1</v>
      </c>
      <c r="K260" s="177">
        <f t="shared" si="49"/>
        <v>227</v>
      </c>
      <c r="L260" s="336">
        <f t="shared" si="50"/>
        <v>251</v>
      </c>
      <c r="M260" s="327">
        <f t="shared" si="51"/>
        <v>1</v>
      </c>
      <c r="N260" s="337">
        <f t="shared" si="52"/>
        <v>-3</v>
      </c>
      <c r="O260" s="395">
        <f t="shared" si="53"/>
        <v>17</v>
      </c>
      <c r="P260" s="289">
        <f t="shared" si="54"/>
        <v>0</v>
      </c>
      <c r="Q260" s="460">
        <f>WEEKNUM(tblResultadosNBA[[#This Row],[Fecha]],2)</f>
        <v>48</v>
      </c>
      <c r="R260" s="460" t="str">
        <f>TEXT(tblResultadosNBA[[#This Row],[Fecha]],"mmm")</f>
        <v>nov</v>
      </c>
    </row>
    <row r="261" spans="1:18">
      <c r="A261" s="445">
        <v>45985</v>
      </c>
      <c r="B261" s="331" t="s">
        <v>101</v>
      </c>
      <c r="C261" s="286" t="str">
        <f>LEFT(B261,FIND("@",B261)-2)</f>
        <v>Minnesota Timberwolves</v>
      </c>
      <c r="D261" s="286">
        <v>118</v>
      </c>
      <c r="E261" s="431">
        <v>112</v>
      </c>
      <c r="F261" s="332">
        <f>IF(E261&gt;D261, 1, 0)</f>
        <v>0</v>
      </c>
      <c r="G261" s="286" t="str">
        <f>MID(B261,FIND("@",B261)+2,LEN(B261)-FIND("@",B261)-1)</f>
        <v>Sacramento Kings</v>
      </c>
      <c r="H261" s="286">
        <v>121</v>
      </c>
      <c r="I261" s="431">
        <v>117</v>
      </c>
      <c r="J261" s="332">
        <f>IF(I261&gt;H261, 1, 0)</f>
        <v>0</v>
      </c>
      <c r="K261" s="286">
        <f>+D261+H261</f>
        <v>239</v>
      </c>
      <c r="L261" s="431">
        <f>E261+I261</f>
        <v>229</v>
      </c>
      <c r="M261" s="332">
        <f>IF(L261&gt;K261, 1, 0)</f>
        <v>0</v>
      </c>
      <c r="N261" s="432">
        <f>(+H261-D261)</f>
        <v>3</v>
      </c>
      <c r="O261" s="451">
        <f>I261-E261</f>
        <v>5</v>
      </c>
      <c r="P261" s="433">
        <f>IF(OR(AND(N261&gt;0,O261&gt;0),AND(N261&lt;0,O261&lt;0)),1,0)</f>
        <v>1</v>
      </c>
      <c r="Q261" s="460">
        <f>WEEKNUM(tblResultadosNBA[[#This Row],[Fecha]],2)</f>
        <v>48</v>
      </c>
      <c r="R261" s="460" t="str">
        <f>TEXT(tblResultadosNBA[[#This Row],[Fecha]],"mmm")</f>
        <v>nov</v>
      </c>
    </row>
    <row r="262" spans="1:18">
      <c r="A262" s="476">
        <v>45986</v>
      </c>
      <c r="B262" s="422" t="s">
        <v>102</v>
      </c>
      <c r="C262" s="341" t="str">
        <f>LEFT(B262,FIND("@",B262)-2)</f>
        <v>Atlanta Hawks</v>
      </c>
      <c r="D262" s="341">
        <v>127</v>
      </c>
      <c r="E262" s="342">
        <v>113</v>
      </c>
      <c r="F262" s="333">
        <f>IF(E262&gt;D262, 1, 0)</f>
        <v>0</v>
      </c>
      <c r="G262" s="341" t="str">
        <f>MID(B262,FIND("@",B262)+2,LEN(B262)-FIND("@",B262)-1)</f>
        <v>Washington Wizards</v>
      </c>
      <c r="H262" s="341">
        <v>122</v>
      </c>
      <c r="I262" s="342">
        <v>132</v>
      </c>
      <c r="J262" s="333">
        <f>IF(I262&gt;H262, 1, 0)</f>
        <v>1</v>
      </c>
      <c r="K262" s="341">
        <f>+D262+H262</f>
        <v>249</v>
      </c>
      <c r="L262" s="342">
        <f>E262+I262</f>
        <v>245</v>
      </c>
      <c r="M262" s="333">
        <f>IF(L262&gt;K262, 1, 0)</f>
        <v>0</v>
      </c>
      <c r="N262" s="343">
        <f>(+H262-D262)</f>
        <v>-5</v>
      </c>
      <c r="O262" s="449">
        <f>I262-E262</f>
        <v>19</v>
      </c>
      <c r="P262" s="289">
        <f>IF(OR(AND(N262&gt;0,O262&gt;0),AND(N262&lt;0,O262&lt;0)),1,0)</f>
        <v>0</v>
      </c>
      <c r="Q262" s="460">
        <f>WEEKNUM(tblResultadosNBA[[#This Row],[Fecha]],2)</f>
        <v>48</v>
      </c>
      <c r="R262" s="460" t="str">
        <f>TEXT(tblResultadosNBA[[#This Row],[Fecha]],"mmm")</f>
        <v>nov</v>
      </c>
    </row>
    <row r="263" spans="1:18">
      <c r="A263" s="456">
        <v>45986</v>
      </c>
      <c r="B263" s="328" t="s">
        <v>103</v>
      </c>
      <c r="C263" s="299" t="str">
        <f>LEFT(B263,FIND("@",B263)-2)</f>
        <v>Orlando Magic</v>
      </c>
      <c r="D263" s="299">
        <v>113</v>
      </c>
      <c r="E263" s="309">
        <v>144</v>
      </c>
      <c r="F263" s="334">
        <f>IF(E263&gt;D263, 1, 0)</f>
        <v>1</v>
      </c>
      <c r="G263" s="299" t="str">
        <f>MID(B263,FIND("@",B263)+2,LEN(B263)-FIND("@",B263)-1)</f>
        <v>Philadelphia 76ers</v>
      </c>
      <c r="H263" s="299">
        <v>120</v>
      </c>
      <c r="I263" s="309">
        <v>103</v>
      </c>
      <c r="J263" s="334">
        <f>IF(I263&gt;H263, 1, 0)</f>
        <v>0</v>
      </c>
      <c r="K263" s="299">
        <f>+D263+H263</f>
        <v>233</v>
      </c>
      <c r="L263" s="309">
        <f>E263+I263</f>
        <v>247</v>
      </c>
      <c r="M263" s="334">
        <f>IF(L263&gt;K263, 1, 0)</f>
        <v>1</v>
      </c>
      <c r="N263" s="321">
        <f>(+H263-D263)</f>
        <v>7</v>
      </c>
      <c r="O263" s="457">
        <f>I263-E263</f>
        <v>-41</v>
      </c>
      <c r="P263" s="289">
        <f>IF(OR(AND(N263&gt;0,O263&gt;0),AND(N263&lt;0,O263&lt;0)),1,0)</f>
        <v>0</v>
      </c>
      <c r="Q263" s="460">
        <f>WEEKNUM(tblResultadosNBA[[#This Row],[Fecha]],2)</f>
        <v>48</v>
      </c>
      <c r="R263" s="460" t="str">
        <f>TEXT(tblResultadosNBA[[#This Row],[Fecha]],"mmm")</f>
        <v>nov</v>
      </c>
    </row>
    <row r="264" spans="1:18">
      <c r="A264" s="445">
        <v>45986</v>
      </c>
      <c r="B264" s="331" t="s">
        <v>780</v>
      </c>
      <c r="C264" s="286" t="str">
        <f>LEFT(B264,FIND("@",B264)-2)</f>
        <v>LA Clippers</v>
      </c>
      <c r="D264" s="286">
        <v>107</v>
      </c>
      <c r="E264" s="431">
        <v>118</v>
      </c>
      <c r="F264" s="332">
        <f>IF(E264&gt;D264, 1, 0)</f>
        <v>1</v>
      </c>
      <c r="G264" s="286" t="str">
        <f>MID(B264,FIND("@",B264)+2,LEN(B264)-FIND("@",B264)-1)</f>
        <v>Los Angeles Lakers</v>
      </c>
      <c r="H264" s="286">
        <v>111</v>
      </c>
      <c r="I264" s="431">
        <v>135</v>
      </c>
      <c r="J264" s="332">
        <f>IF(I264&gt;H264, 1, 0)</f>
        <v>1</v>
      </c>
      <c r="K264" s="286">
        <f>+D264+H264</f>
        <v>218</v>
      </c>
      <c r="L264" s="431">
        <f>E264+I264</f>
        <v>253</v>
      </c>
      <c r="M264" s="332">
        <f>IF(L264&gt;K264, 1, 0)</f>
        <v>1</v>
      </c>
      <c r="N264" s="432">
        <f>(+H264-D264)</f>
        <v>4</v>
      </c>
      <c r="O264" s="451">
        <f>I264-E264</f>
        <v>17</v>
      </c>
      <c r="P264" s="433">
        <f>IF(OR(AND(N264&gt;0,O264&gt;0),AND(N264&lt;0,O264&lt;0)),1,0)</f>
        <v>1</v>
      </c>
      <c r="Q264" s="460">
        <f>WEEKNUM(tblResultadosNBA[[#This Row],[Fecha]],2)</f>
        <v>48</v>
      </c>
      <c r="R264" s="460" t="str">
        <f>TEXT(tblResultadosNBA[[#This Row],[Fecha]],"mmm")</f>
        <v>nov</v>
      </c>
    </row>
    <row r="265" spans="1:18">
      <c r="A265" s="476">
        <v>45987</v>
      </c>
      <c r="B265" s="422" t="s">
        <v>105</v>
      </c>
      <c r="C265" s="341" t="str">
        <f>LEFT(B265,FIND("@",B265)-2)</f>
        <v>Detroit Pistons</v>
      </c>
      <c r="D265" s="341">
        <v>119</v>
      </c>
      <c r="E265" s="342">
        <v>114</v>
      </c>
      <c r="F265" s="333">
        <f>IF(E265&gt;D265, 1, 0)</f>
        <v>0</v>
      </c>
      <c r="G265" s="341" t="str">
        <f>MID(B265,FIND("@",B265)+2,LEN(B265)-FIND("@",B265)-1)</f>
        <v>Boston Celtics</v>
      </c>
      <c r="H265" s="341">
        <v>114</v>
      </c>
      <c r="I265" s="342">
        <v>117</v>
      </c>
      <c r="J265" s="333">
        <f>IF(I265&gt;H265, 1, 0)</f>
        <v>1</v>
      </c>
      <c r="K265" s="341">
        <f>+D265+H265</f>
        <v>233</v>
      </c>
      <c r="L265" s="342">
        <f>E265+I265</f>
        <v>231</v>
      </c>
      <c r="M265" s="333">
        <f>IF(L265&gt;K265, 1, 0)</f>
        <v>0</v>
      </c>
      <c r="N265" s="343">
        <f>(+H265-D265)</f>
        <v>-5</v>
      </c>
      <c r="O265" s="449">
        <f>I265-E265</f>
        <v>3</v>
      </c>
      <c r="P265" s="289">
        <f>IF(OR(AND(N265&gt;0,O265&gt;0),AND(N265&lt;0,O265&lt;0)),1,0)</f>
        <v>0</v>
      </c>
      <c r="Q265" s="460">
        <f>WEEKNUM(tblResultadosNBA[[#This Row],[Fecha]],2)</f>
        <v>48</v>
      </c>
      <c r="R265" s="460" t="str">
        <f>TEXT(tblResultadosNBA[[#This Row],[Fecha]],"mmm")</f>
        <v>nov</v>
      </c>
    </row>
    <row r="266" spans="1:18">
      <c r="A266" s="456">
        <v>45987</v>
      </c>
      <c r="B266" s="302" t="s">
        <v>510</v>
      </c>
      <c r="C266" s="177" t="str">
        <f>LEFT(B266,FIND("@",B266)-2)</f>
        <v>New York Knicks</v>
      </c>
      <c r="D266" s="177">
        <v>113</v>
      </c>
      <c r="E266" s="336">
        <v>129</v>
      </c>
      <c r="F266" s="327">
        <f>IF(E266&gt;D266, 1, 0)</f>
        <v>1</v>
      </c>
      <c r="G266" s="177" t="str">
        <f>MID(B266,FIND("@",B266)+2,LEN(B266)-FIND("@",B266)-1)</f>
        <v>Charlotte Hornets</v>
      </c>
      <c r="H266" s="177">
        <v>115</v>
      </c>
      <c r="I266" s="336">
        <v>101</v>
      </c>
      <c r="J266" s="327">
        <f>IF(I266&gt;H266, 1, 0)</f>
        <v>0</v>
      </c>
      <c r="K266" s="177">
        <f>+D266+H266</f>
        <v>228</v>
      </c>
      <c r="L266" s="336">
        <f>E266+I266</f>
        <v>230</v>
      </c>
      <c r="M266" s="327">
        <f>IF(L266&gt;K266, 1, 0)</f>
        <v>1</v>
      </c>
      <c r="N266" s="337">
        <f>(+H266-D266)</f>
        <v>2</v>
      </c>
      <c r="O266" s="395">
        <f>I266-E266</f>
        <v>-28</v>
      </c>
      <c r="P266" s="289">
        <f>IF(OR(AND(N266&gt;0,O266&gt;0),AND(N266&lt;0,O266&lt;0)),1,0)</f>
        <v>0</v>
      </c>
      <c r="Q266" s="460">
        <f>WEEKNUM(tblResultadosNBA[[#This Row],[Fecha]],2)</f>
        <v>48</v>
      </c>
      <c r="R266" s="460" t="str">
        <f>TEXT(tblResultadosNBA[[#This Row],[Fecha]],"mmm")</f>
        <v>nov</v>
      </c>
    </row>
    <row r="267" spans="1:18">
      <c r="A267" s="456">
        <v>45987</v>
      </c>
      <c r="B267" s="302" t="s">
        <v>457</v>
      </c>
      <c r="C267" s="177" t="str">
        <f>LEFT(B267,FIND("@",B267)-2)</f>
        <v>Milwaukee Bucks</v>
      </c>
      <c r="D267" s="177">
        <v>101</v>
      </c>
      <c r="E267" s="336">
        <v>103</v>
      </c>
      <c r="F267" s="327">
        <f>IF(E267&gt;D267, 1, 0)</f>
        <v>1</v>
      </c>
      <c r="G267" s="177" t="str">
        <f>MID(B267,FIND("@",B267)+2,LEN(B267)-FIND("@",B267)-1)</f>
        <v>Miami Heat</v>
      </c>
      <c r="H267" s="177">
        <v>127</v>
      </c>
      <c r="I267" s="336">
        <v>106</v>
      </c>
      <c r="J267" s="327">
        <f>IF(I267&gt;H267, 1, 0)</f>
        <v>0</v>
      </c>
      <c r="K267" s="177">
        <f>+D267+H267</f>
        <v>228</v>
      </c>
      <c r="L267" s="336">
        <f>E267+I267</f>
        <v>209</v>
      </c>
      <c r="M267" s="327">
        <f>IF(L267&gt;K267, 1, 0)</f>
        <v>0</v>
      </c>
      <c r="N267" s="337">
        <f>(+H267-D267)</f>
        <v>26</v>
      </c>
      <c r="O267" s="395">
        <f>I267-E267</f>
        <v>3</v>
      </c>
      <c r="P267" s="289">
        <f>IF(OR(AND(N267&gt;0,O267&gt;0),AND(N267&lt;0,O267&lt;0)),1,0)</f>
        <v>1</v>
      </c>
      <c r="Q267" s="460">
        <f>WEEKNUM(tblResultadosNBA[[#This Row],[Fecha]],2)</f>
        <v>48</v>
      </c>
      <c r="R267" s="460" t="str">
        <f>TEXT(tblResultadosNBA[[#This Row],[Fecha]],"mmm")</f>
        <v>nov</v>
      </c>
    </row>
    <row r="268" spans="1:18">
      <c r="A268" s="456">
        <v>45987</v>
      </c>
      <c r="B268" s="302" t="s">
        <v>106</v>
      </c>
      <c r="C268" s="177" t="str">
        <f>LEFT(B268,FIND("@",B268)-2)</f>
        <v>Indiana Pacers</v>
      </c>
      <c r="D268" s="177">
        <v>114</v>
      </c>
      <c r="E268" s="336">
        <v>85</v>
      </c>
      <c r="F268" s="327">
        <f>IF(E268&gt;D268, 1, 0)</f>
        <v>0</v>
      </c>
      <c r="G268" s="177" t="str">
        <f>MID(B268,FIND("@",B268)+2,LEN(B268)-FIND("@",B268)-1)</f>
        <v>Toronto Raptors</v>
      </c>
      <c r="H268" s="177">
        <v>125</v>
      </c>
      <c r="I268" s="336">
        <v>97</v>
      </c>
      <c r="J268" s="327">
        <f>IF(I268&gt;H268, 1, 0)</f>
        <v>0</v>
      </c>
      <c r="K268" s="177">
        <f>+D268+H268</f>
        <v>239</v>
      </c>
      <c r="L268" s="336">
        <f>E268+I268</f>
        <v>182</v>
      </c>
      <c r="M268" s="327">
        <f>IF(L268&gt;K268, 1, 0)</f>
        <v>0</v>
      </c>
      <c r="N268" s="337">
        <f>(+H268-D268)</f>
        <v>11</v>
      </c>
      <c r="O268" s="395">
        <f>I268-E268</f>
        <v>12</v>
      </c>
      <c r="P268" s="289">
        <f>IF(OR(AND(N268&gt;0,O268&gt;0),AND(N268&lt;0,O268&lt;0)),1,0)</f>
        <v>1</v>
      </c>
      <c r="Q268" s="460">
        <f>WEEKNUM(tblResultadosNBA[[#This Row],[Fecha]],2)</f>
        <v>48</v>
      </c>
      <c r="R268" s="460" t="str">
        <f>TEXT(tblResultadosNBA[[#This Row],[Fecha]],"mmm")</f>
        <v>nov</v>
      </c>
    </row>
    <row r="269" spans="1:18">
      <c r="A269" s="456">
        <v>45987</v>
      </c>
      <c r="B269" s="478" t="s">
        <v>107</v>
      </c>
      <c r="C269" s="177" t="str">
        <f>LEFT(B269,FIND("@",B269)-2)</f>
        <v>Minnesota Timberwolves</v>
      </c>
      <c r="D269" s="177">
        <v>116</v>
      </c>
      <c r="E269" s="336">
        <v>105</v>
      </c>
      <c r="F269" s="327">
        <f>IF(E269&gt;D269, 1, 0)</f>
        <v>0</v>
      </c>
      <c r="G269" s="177" t="str">
        <f>MID(B269,FIND("@",B269)+2,LEN(B269)-FIND("@",B269)-1)</f>
        <v>Oklahoma City Thunder</v>
      </c>
      <c r="H269" s="177">
        <v>110</v>
      </c>
      <c r="I269" s="336">
        <v>113</v>
      </c>
      <c r="J269" s="327">
        <f>IF(I269&gt;H269, 1, 0)</f>
        <v>1</v>
      </c>
      <c r="K269" s="177">
        <f>+D269+H269</f>
        <v>226</v>
      </c>
      <c r="L269" s="336">
        <f>E269+I269</f>
        <v>218</v>
      </c>
      <c r="M269" s="327">
        <f>IF(L269&gt;K269, 1, 0)</f>
        <v>0</v>
      </c>
      <c r="N269" s="337">
        <f>(+H269-D269)</f>
        <v>-6</v>
      </c>
      <c r="O269" s="395">
        <f>I269-E269</f>
        <v>8</v>
      </c>
      <c r="P269" s="289">
        <f>IF(OR(AND(N269&gt;0,O269&gt;0),AND(N269&lt;0,O269&lt;0)),1,0)</f>
        <v>0</v>
      </c>
      <c r="Q269" s="460">
        <f>WEEKNUM(tblResultadosNBA[[#This Row],[Fecha]],2)</f>
        <v>48</v>
      </c>
      <c r="R269" s="460" t="str">
        <f>TEXT(tblResultadosNBA[[#This Row],[Fecha]],"mmm")</f>
        <v>nov</v>
      </c>
    </row>
    <row r="270" spans="1:18">
      <c r="A270" s="456">
        <v>45987</v>
      </c>
      <c r="B270" s="302" t="s">
        <v>108</v>
      </c>
      <c r="C270" s="177" t="str">
        <f>LEFT(B270,FIND("@",B270)-2)</f>
        <v>Memphis Grizzlies</v>
      </c>
      <c r="D270" s="177">
        <v>114</v>
      </c>
      <c r="E270" s="336">
        <v>133</v>
      </c>
      <c r="F270" s="327">
        <f>IF(E270&gt;D270, 1, 0)</f>
        <v>1</v>
      </c>
      <c r="G270" s="177" t="str">
        <f>MID(B270,FIND("@",B270)+2,LEN(B270)-FIND("@",B270)-1)</f>
        <v>New Orleans Pelicans</v>
      </c>
      <c r="H270" s="177">
        <v>120</v>
      </c>
      <c r="I270" s="336">
        <v>128</v>
      </c>
      <c r="J270" s="327">
        <f>IF(I270&gt;H270, 1, 0)</f>
        <v>1</v>
      </c>
      <c r="K270" s="177">
        <f>+D270+H270</f>
        <v>234</v>
      </c>
      <c r="L270" s="336">
        <f>E270+I270</f>
        <v>261</v>
      </c>
      <c r="M270" s="327">
        <f>IF(L270&gt;K270, 1, 0)</f>
        <v>1</v>
      </c>
      <c r="N270" s="337">
        <f>(+H270-D270)</f>
        <v>6</v>
      </c>
      <c r="O270" s="395">
        <f>I270-E270</f>
        <v>-5</v>
      </c>
      <c r="P270" s="289">
        <f>IF(OR(AND(N270&gt;0,O270&gt;0),AND(N270&lt;0,O270&lt;0)),1,0)</f>
        <v>0</v>
      </c>
      <c r="Q270" s="460">
        <f>WEEKNUM(tblResultadosNBA[[#This Row],[Fecha]],2)</f>
        <v>48</v>
      </c>
      <c r="R270" s="460" t="str">
        <f>TEXT(tblResultadosNBA[[#This Row],[Fecha]],"mmm")</f>
        <v>nov</v>
      </c>
    </row>
    <row r="271" spans="1:18">
      <c r="A271" s="456">
        <v>45987</v>
      </c>
      <c r="B271" s="302" t="s">
        <v>109</v>
      </c>
      <c r="C271" s="177" t="str">
        <f>LEFT(B271,FIND("@",B271)-2)</f>
        <v>Houston Rockets</v>
      </c>
      <c r="D271" s="177">
        <v>115</v>
      </c>
      <c r="E271" s="336">
        <v>104</v>
      </c>
      <c r="F271" s="327">
        <f>IF(E271&gt;D271, 1, 0)</f>
        <v>0</v>
      </c>
      <c r="G271" s="177" t="str">
        <f>MID(B271,FIND("@",B271)+2,LEN(B271)-FIND("@",B271)-1)</f>
        <v>Golden State Warriors</v>
      </c>
      <c r="H271" s="177">
        <v>108</v>
      </c>
      <c r="I271" s="336">
        <v>100</v>
      </c>
      <c r="J271" s="327">
        <f>IF(I271&gt;H271, 1, 0)</f>
        <v>0</v>
      </c>
      <c r="K271" s="177">
        <f>+D271+H271</f>
        <v>223</v>
      </c>
      <c r="L271" s="336">
        <f>E271+I271</f>
        <v>204</v>
      </c>
      <c r="M271" s="327">
        <f>IF(L271&gt;K271, 1, 0)</f>
        <v>0</v>
      </c>
      <c r="N271" s="337">
        <f>(+H271-D271)</f>
        <v>-7</v>
      </c>
      <c r="O271" s="395">
        <f>I271-E271</f>
        <v>-4</v>
      </c>
      <c r="P271" s="289">
        <f>IF(OR(AND(N271&gt;0,O271&gt;0),AND(N271&lt;0,O271&lt;0)),1,0)</f>
        <v>1</v>
      </c>
      <c r="Q271" s="460">
        <f>WEEKNUM(tblResultadosNBA[[#This Row],[Fecha]],2)</f>
        <v>48</v>
      </c>
      <c r="R271" s="460" t="str">
        <f>TEXT(tblResultadosNBA[[#This Row],[Fecha]],"mmm")</f>
        <v>nov</v>
      </c>
    </row>
    <row r="272" spans="1:18">
      <c r="A272" s="456">
        <v>45987</v>
      </c>
      <c r="B272" s="302" t="s">
        <v>594</v>
      </c>
      <c r="C272" s="177" t="str">
        <f>LEFT(B272,FIND("@",B272)-2)</f>
        <v>San Antonio Spurs</v>
      </c>
      <c r="D272" s="177">
        <v>108</v>
      </c>
      <c r="E272" s="336">
        <v>115</v>
      </c>
      <c r="F272" s="327">
        <f>IF(E272&gt;D272, 1, 0)</f>
        <v>1</v>
      </c>
      <c r="G272" s="177" t="str">
        <f>MID(B272,FIND("@",B272)+2,LEN(B272)-FIND("@",B272)-1)</f>
        <v>Portland Trail Blazers</v>
      </c>
      <c r="H272" s="177">
        <v>104</v>
      </c>
      <c r="I272" s="336">
        <v>102</v>
      </c>
      <c r="J272" s="327">
        <f>IF(I272&gt;H272, 1, 0)</f>
        <v>0</v>
      </c>
      <c r="K272" s="177">
        <f>+D272+H272</f>
        <v>212</v>
      </c>
      <c r="L272" s="336">
        <f>E272+I272</f>
        <v>217</v>
      </c>
      <c r="M272" s="327">
        <f>IF(L272&gt;K272, 1, 0)</f>
        <v>1</v>
      </c>
      <c r="N272" s="337">
        <f>(+H272-D272)</f>
        <v>-4</v>
      </c>
      <c r="O272" s="395">
        <f>I272-E272</f>
        <v>-13</v>
      </c>
      <c r="P272" s="289">
        <f>IF(OR(AND(N272&gt;0,O272&gt;0),AND(N272&lt;0,O272&lt;0)),1,0)</f>
        <v>1</v>
      </c>
      <c r="Q272" s="460">
        <f>WEEKNUM(tblResultadosNBA[[#This Row],[Fecha]],2)</f>
        <v>48</v>
      </c>
      <c r="R272" s="460" t="str">
        <f>TEXT(tblResultadosNBA[[#This Row],[Fecha]],"mmm")</f>
        <v>nov</v>
      </c>
    </row>
    <row r="273" spans="1:18">
      <c r="A273" s="445">
        <v>45987</v>
      </c>
      <c r="B273" s="331" t="s">
        <v>110</v>
      </c>
      <c r="C273" s="286" t="str">
        <f>LEFT(B273,FIND("@",B273)-2)</f>
        <v>Phoenix Suns</v>
      </c>
      <c r="D273" s="286">
        <v>121</v>
      </c>
      <c r="E273" s="431">
        <v>112</v>
      </c>
      <c r="F273" s="332">
        <f>IF(E273&gt;D273, 1, 0)</f>
        <v>0</v>
      </c>
      <c r="G273" s="286" t="str">
        <f>MID(B273,FIND("@",B273)+2,LEN(B273)-FIND("@",B273)-1)</f>
        <v>Sacramento Kings</v>
      </c>
      <c r="H273" s="286">
        <v>116</v>
      </c>
      <c r="I273" s="431">
        <v>100</v>
      </c>
      <c r="J273" s="332">
        <f>IF(I273&gt;H273, 1, 0)</f>
        <v>0</v>
      </c>
      <c r="K273" s="286">
        <f>+D273+H273</f>
        <v>237</v>
      </c>
      <c r="L273" s="431">
        <f>E273+I273</f>
        <v>212</v>
      </c>
      <c r="M273" s="332">
        <f>IF(L273&gt;K273, 1, 0)</f>
        <v>0</v>
      </c>
      <c r="N273" s="432">
        <f>(+H273-D273)</f>
        <v>-5</v>
      </c>
      <c r="O273" s="451">
        <f>I273-E273</f>
        <v>-12</v>
      </c>
      <c r="P273" s="433">
        <f>IF(OR(AND(N273&gt;0,O273&gt;0),AND(N273&lt;0,O273&lt;0)),1,0)</f>
        <v>1</v>
      </c>
      <c r="Q273" s="460">
        <f>WEEKNUM(tblResultadosNBA[[#This Row],[Fecha]],2)</f>
        <v>48</v>
      </c>
      <c r="R273" s="460" t="str">
        <f>TEXT(tblResultadosNBA[[#This Row],[Fecha]],"mmm")</f>
        <v>nov</v>
      </c>
    </row>
    <row r="274" spans="1:18">
      <c r="A274" s="476">
        <v>45989</v>
      </c>
      <c r="B274" s="422" t="s">
        <v>111</v>
      </c>
      <c r="C274" s="341" t="str">
        <f>LEFT(B274,FIND("@",B274)-2)</f>
        <v>Cleveland Cavaliers</v>
      </c>
      <c r="D274" s="341">
        <v>131</v>
      </c>
      <c r="E274" s="342">
        <v>123</v>
      </c>
      <c r="F274" s="333">
        <f>IF(E274&gt;D274, 1, 0)</f>
        <v>0</v>
      </c>
      <c r="G274" s="341" t="str">
        <f>MID(B274,FIND("@",B274)+2,LEN(B274)-FIND("@",B274)-1)</f>
        <v>Atlanta Hawks</v>
      </c>
      <c r="H274" s="341">
        <v>119</v>
      </c>
      <c r="I274" s="342">
        <v>130</v>
      </c>
      <c r="J274" s="333">
        <f>IF(I274&gt;H274, 1, 0)</f>
        <v>1</v>
      </c>
      <c r="K274" s="341">
        <f>+D274+H274</f>
        <v>250</v>
      </c>
      <c r="L274" s="342">
        <f>E274+I274</f>
        <v>253</v>
      </c>
      <c r="M274" s="333">
        <f>IF(L274&gt;K274, 1, 0)</f>
        <v>1</v>
      </c>
      <c r="N274" s="343">
        <f>(+H274-D274)</f>
        <v>-12</v>
      </c>
      <c r="O274" s="449">
        <f>I274-E274</f>
        <v>7</v>
      </c>
      <c r="P274" s="289">
        <f>IF(OR(AND(N274&gt;0,O274&gt;0),AND(N274&lt;0,O274&lt;0)),1,0)</f>
        <v>0</v>
      </c>
      <c r="Q274" s="460">
        <f>WEEKNUM(tblResultadosNBA[[#This Row],[Fecha]],2)</f>
        <v>48</v>
      </c>
      <c r="R274" s="460" t="str">
        <f>TEXT(tblResultadosNBA[[#This Row],[Fecha]],"mmm")</f>
        <v>nov</v>
      </c>
    </row>
    <row r="275" spans="1:18">
      <c r="A275" s="456">
        <v>45989</v>
      </c>
      <c r="B275" s="302" t="s">
        <v>112</v>
      </c>
      <c r="C275" s="177" t="str">
        <f t="shared" ref="C275:C282" si="55">LEFT(B275,FIND("@",B275)-2)</f>
        <v>Philadelphia 76ers</v>
      </c>
      <c r="D275" s="177">
        <v>116</v>
      </c>
      <c r="E275" s="336">
        <v>115</v>
      </c>
      <c r="F275" s="327">
        <f t="shared" ref="F275:F282" si="56">IF(E275&gt;D275, 1, 0)</f>
        <v>0</v>
      </c>
      <c r="G275" s="177" t="str">
        <f t="shared" ref="G275:G282" si="57">MID(B275,FIND("@",B275)+2,LEN(B275)-FIND("@",B275)-1)</f>
        <v>Brooklyn Nets</v>
      </c>
      <c r="H275" s="177">
        <v>112</v>
      </c>
      <c r="I275" s="336">
        <v>103</v>
      </c>
      <c r="J275" s="327">
        <f t="shared" ref="J275:J282" si="58">IF(I275&gt;H275, 1, 0)</f>
        <v>0</v>
      </c>
      <c r="K275" s="177">
        <f t="shared" ref="K275:K282" si="59">+D275+H275</f>
        <v>228</v>
      </c>
      <c r="L275" s="336">
        <f t="shared" ref="L275:L282" si="60">E275+I275</f>
        <v>218</v>
      </c>
      <c r="M275" s="327">
        <f t="shared" ref="M275:M282" si="61">IF(L275&gt;K275, 1, 0)</f>
        <v>0</v>
      </c>
      <c r="N275" s="337">
        <f t="shared" ref="N275:N282" si="62">(+H275-D275)</f>
        <v>-4</v>
      </c>
      <c r="O275" s="395">
        <f t="shared" ref="O275:O282" si="63">I275-E275</f>
        <v>-12</v>
      </c>
      <c r="P275" s="289">
        <f t="shared" ref="P275:P282" si="64">IF(OR(AND(N275&gt;0,O275&gt;0),AND(N275&lt;0,O275&lt;0)),1,0)</f>
        <v>1</v>
      </c>
      <c r="Q275" s="460">
        <f>WEEKNUM(tblResultadosNBA[[#This Row],[Fecha]],2)</f>
        <v>48</v>
      </c>
      <c r="R275" s="460" t="str">
        <f>TEXT(tblResultadosNBA[[#This Row],[Fecha]],"mmm")</f>
        <v>nov</v>
      </c>
    </row>
    <row r="276" spans="1:18">
      <c r="A276" s="456">
        <v>45989</v>
      </c>
      <c r="B276" s="302" t="s">
        <v>173</v>
      </c>
      <c r="C276" s="177" t="str">
        <f t="shared" si="55"/>
        <v>Chicago Bulls</v>
      </c>
      <c r="D276" s="177">
        <v>115</v>
      </c>
      <c r="E276" s="336">
        <v>116</v>
      </c>
      <c r="F276" s="327">
        <f t="shared" si="56"/>
        <v>1</v>
      </c>
      <c r="G276" s="177" t="str">
        <f t="shared" si="57"/>
        <v>Charlotte Hornets</v>
      </c>
      <c r="H276" s="177">
        <v>112</v>
      </c>
      <c r="I276" s="336">
        <v>123</v>
      </c>
      <c r="J276" s="327">
        <f t="shared" si="58"/>
        <v>1</v>
      </c>
      <c r="K276" s="177">
        <f t="shared" si="59"/>
        <v>227</v>
      </c>
      <c r="L276" s="336">
        <f t="shared" si="60"/>
        <v>239</v>
      </c>
      <c r="M276" s="327">
        <f t="shared" si="61"/>
        <v>1</v>
      </c>
      <c r="N276" s="337">
        <f t="shared" si="62"/>
        <v>-3</v>
      </c>
      <c r="O276" s="395">
        <f t="shared" si="63"/>
        <v>7</v>
      </c>
      <c r="P276" s="289">
        <f t="shared" si="64"/>
        <v>0</v>
      </c>
      <c r="Q276" s="460">
        <f>WEEKNUM(tblResultadosNBA[[#This Row],[Fecha]],2)</f>
        <v>48</v>
      </c>
      <c r="R276" s="460" t="str">
        <f>TEXT(tblResultadosNBA[[#This Row],[Fecha]],"mmm")</f>
        <v>nov</v>
      </c>
    </row>
    <row r="277" spans="1:18">
      <c r="A277" s="456">
        <v>45989</v>
      </c>
      <c r="B277" s="302" t="s">
        <v>113</v>
      </c>
      <c r="C277" s="177" t="str">
        <f t="shared" si="55"/>
        <v>Orlando Magic</v>
      </c>
      <c r="D277" s="177">
        <v>118</v>
      </c>
      <c r="E277" s="336">
        <v>112</v>
      </c>
      <c r="F277" s="327">
        <f t="shared" si="56"/>
        <v>0</v>
      </c>
      <c r="G277" s="177" t="str">
        <f t="shared" si="57"/>
        <v>Detroit Pistons</v>
      </c>
      <c r="H277" s="177">
        <v>123</v>
      </c>
      <c r="I277" s="336">
        <v>109</v>
      </c>
      <c r="J277" s="327">
        <f t="shared" si="58"/>
        <v>0</v>
      </c>
      <c r="K277" s="177">
        <f t="shared" si="59"/>
        <v>241</v>
      </c>
      <c r="L277" s="336">
        <f t="shared" si="60"/>
        <v>221</v>
      </c>
      <c r="M277" s="327">
        <f t="shared" si="61"/>
        <v>0</v>
      </c>
      <c r="N277" s="337">
        <f t="shared" si="62"/>
        <v>5</v>
      </c>
      <c r="O277" s="395">
        <f t="shared" si="63"/>
        <v>-3</v>
      </c>
      <c r="P277" s="289">
        <f t="shared" si="64"/>
        <v>0</v>
      </c>
      <c r="Q277" s="460">
        <f>WEEKNUM(tblResultadosNBA[[#This Row],[Fecha]],2)</f>
        <v>48</v>
      </c>
      <c r="R277" s="460" t="str">
        <f>TEXT(tblResultadosNBA[[#This Row],[Fecha]],"mmm")</f>
        <v>nov</v>
      </c>
    </row>
    <row r="278" spans="1:18">
      <c r="A278" s="456">
        <v>45989</v>
      </c>
      <c r="B278" s="302" t="s">
        <v>177</v>
      </c>
      <c r="C278" s="177" t="str">
        <f t="shared" si="55"/>
        <v>Washington Wizards</v>
      </c>
      <c r="D278" s="177">
        <v>120</v>
      </c>
      <c r="E278" s="336">
        <v>86</v>
      </c>
      <c r="F278" s="327">
        <f t="shared" si="56"/>
        <v>0</v>
      </c>
      <c r="G278" s="177" t="str">
        <f t="shared" si="57"/>
        <v>Indiana Pacers</v>
      </c>
      <c r="H278" s="177">
        <v>108</v>
      </c>
      <c r="I278" s="336">
        <v>119</v>
      </c>
      <c r="J278" s="327">
        <f t="shared" si="58"/>
        <v>1</v>
      </c>
      <c r="K278" s="177">
        <f t="shared" si="59"/>
        <v>228</v>
      </c>
      <c r="L278" s="336">
        <f t="shared" si="60"/>
        <v>205</v>
      </c>
      <c r="M278" s="327">
        <f t="shared" si="61"/>
        <v>0</v>
      </c>
      <c r="N278" s="337">
        <f t="shared" si="62"/>
        <v>-12</v>
      </c>
      <c r="O278" s="395">
        <f t="shared" si="63"/>
        <v>33</v>
      </c>
      <c r="P278" s="289">
        <f t="shared" si="64"/>
        <v>0</v>
      </c>
      <c r="Q278" s="460">
        <f>WEEKNUM(tblResultadosNBA[[#This Row],[Fecha]],2)</f>
        <v>48</v>
      </c>
      <c r="R278" s="460" t="str">
        <f>TEXT(tblResultadosNBA[[#This Row],[Fecha]],"mmm")</f>
        <v>nov</v>
      </c>
    </row>
    <row r="279" spans="1:18">
      <c r="A279" s="456">
        <v>45989</v>
      </c>
      <c r="B279" s="302" t="s">
        <v>781</v>
      </c>
      <c r="C279" s="177" t="str">
        <f t="shared" si="55"/>
        <v>Milwaukee Bucks</v>
      </c>
      <c r="D279" s="177">
        <v>114</v>
      </c>
      <c r="E279" s="336">
        <v>109</v>
      </c>
      <c r="F279" s="327">
        <f t="shared" si="56"/>
        <v>0</v>
      </c>
      <c r="G279" s="177" t="str">
        <f t="shared" si="57"/>
        <v>New York Knicks</v>
      </c>
      <c r="H279" s="177">
        <v>110</v>
      </c>
      <c r="I279" s="336">
        <v>118</v>
      </c>
      <c r="J279" s="327">
        <f t="shared" si="58"/>
        <v>1</v>
      </c>
      <c r="K279" s="177">
        <f t="shared" si="59"/>
        <v>224</v>
      </c>
      <c r="L279" s="336">
        <f t="shared" si="60"/>
        <v>227</v>
      </c>
      <c r="M279" s="327">
        <f t="shared" si="61"/>
        <v>1</v>
      </c>
      <c r="N279" s="337">
        <f t="shared" si="62"/>
        <v>-4</v>
      </c>
      <c r="O279" s="395">
        <f t="shared" si="63"/>
        <v>9</v>
      </c>
      <c r="P279" s="289">
        <f t="shared" si="64"/>
        <v>0</v>
      </c>
      <c r="Q279" s="460">
        <f>WEEKNUM(tblResultadosNBA[[#This Row],[Fecha]],2)</f>
        <v>48</v>
      </c>
      <c r="R279" s="460" t="str">
        <f>TEXT(tblResultadosNBA[[#This Row],[Fecha]],"mmm")</f>
        <v>nov</v>
      </c>
    </row>
    <row r="280" spans="1:18">
      <c r="A280" s="456">
        <v>45989</v>
      </c>
      <c r="B280" s="302" t="s">
        <v>586</v>
      </c>
      <c r="C280" s="177" t="str">
        <f t="shared" si="55"/>
        <v>Phoenix Suns</v>
      </c>
      <c r="D280" s="177">
        <v>102</v>
      </c>
      <c r="E280" s="336">
        <v>119</v>
      </c>
      <c r="F280" s="327">
        <f t="shared" si="56"/>
        <v>1</v>
      </c>
      <c r="G280" s="177" t="str">
        <f t="shared" si="57"/>
        <v>Oklahoma City Thunder</v>
      </c>
      <c r="H280" s="177">
        <v>109</v>
      </c>
      <c r="I280" s="336">
        <v>123</v>
      </c>
      <c r="J280" s="327">
        <f t="shared" si="58"/>
        <v>1</v>
      </c>
      <c r="K280" s="177">
        <f t="shared" si="59"/>
        <v>211</v>
      </c>
      <c r="L280" s="336">
        <f t="shared" si="60"/>
        <v>242</v>
      </c>
      <c r="M280" s="327">
        <f t="shared" si="61"/>
        <v>1</v>
      </c>
      <c r="N280" s="337">
        <f t="shared" si="62"/>
        <v>7</v>
      </c>
      <c r="O280" s="395">
        <f t="shared" si="63"/>
        <v>4</v>
      </c>
      <c r="P280" s="289">
        <f t="shared" si="64"/>
        <v>1</v>
      </c>
      <c r="Q280" s="460">
        <f>WEEKNUM(tblResultadosNBA[[#This Row],[Fecha]],2)</f>
        <v>48</v>
      </c>
      <c r="R280" s="460" t="str">
        <f>TEXT(tblResultadosNBA[[#This Row],[Fecha]],"mmm")</f>
        <v>nov</v>
      </c>
    </row>
    <row r="281" spans="1:18">
      <c r="A281" s="456">
        <v>45989</v>
      </c>
      <c r="B281" s="302" t="s">
        <v>114</v>
      </c>
      <c r="C281" s="177" t="str">
        <f t="shared" si="55"/>
        <v>San Antonio Spurs</v>
      </c>
      <c r="D281" s="177">
        <v>117</v>
      </c>
      <c r="E281" s="336">
        <v>139</v>
      </c>
      <c r="F281" s="327">
        <f t="shared" si="56"/>
        <v>1</v>
      </c>
      <c r="G281" s="177" t="str">
        <f t="shared" si="57"/>
        <v>Denver Nuggets</v>
      </c>
      <c r="H281" s="177">
        <v>121</v>
      </c>
      <c r="I281" s="336">
        <v>136</v>
      </c>
      <c r="J281" s="327">
        <f t="shared" si="58"/>
        <v>1</v>
      </c>
      <c r="K281" s="177">
        <f t="shared" si="59"/>
        <v>238</v>
      </c>
      <c r="L281" s="336">
        <f t="shared" si="60"/>
        <v>275</v>
      </c>
      <c r="M281" s="327">
        <f t="shared" si="61"/>
        <v>1</v>
      </c>
      <c r="N281" s="337">
        <f t="shared" si="62"/>
        <v>4</v>
      </c>
      <c r="O281" s="395">
        <f t="shared" si="63"/>
        <v>-3</v>
      </c>
      <c r="P281" s="289">
        <f t="shared" si="64"/>
        <v>0</v>
      </c>
      <c r="Q281" s="460">
        <f>WEEKNUM(tblResultadosNBA[[#This Row],[Fecha]],2)</f>
        <v>48</v>
      </c>
      <c r="R281" s="460" t="str">
        <f>TEXT(tblResultadosNBA[[#This Row],[Fecha]],"mmm")</f>
        <v>nov</v>
      </c>
    </row>
    <row r="282" spans="1:18">
      <c r="A282" s="456">
        <v>45989</v>
      </c>
      <c r="B282" s="302" t="s">
        <v>364</v>
      </c>
      <c r="C282" s="177" t="str">
        <f t="shared" si="55"/>
        <v>Sacramento Kings</v>
      </c>
      <c r="D282" s="177">
        <v>115</v>
      </c>
      <c r="E282" s="336">
        <v>119</v>
      </c>
      <c r="F282" s="327">
        <f t="shared" si="56"/>
        <v>1</v>
      </c>
      <c r="G282" s="177" t="str">
        <f t="shared" si="57"/>
        <v>Utah Jazz</v>
      </c>
      <c r="H282" s="177">
        <v>120</v>
      </c>
      <c r="I282" s="336">
        <v>128</v>
      </c>
      <c r="J282" s="327">
        <f t="shared" si="58"/>
        <v>1</v>
      </c>
      <c r="K282" s="177">
        <f t="shared" si="59"/>
        <v>235</v>
      </c>
      <c r="L282" s="336">
        <f t="shared" si="60"/>
        <v>247</v>
      </c>
      <c r="M282" s="327">
        <f t="shared" si="61"/>
        <v>1</v>
      </c>
      <c r="N282" s="337">
        <f t="shared" si="62"/>
        <v>5</v>
      </c>
      <c r="O282" s="395">
        <f t="shared" si="63"/>
        <v>9</v>
      </c>
      <c r="P282" s="289">
        <f t="shared" si="64"/>
        <v>1</v>
      </c>
      <c r="Q282" s="460">
        <f>WEEKNUM(tblResultadosNBA[[#This Row],[Fecha]],2)</f>
        <v>48</v>
      </c>
      <c r="R282" s="460" t="str">
        <f>TEXT(tblResultadosNBA[[#This Row],[Fecha]],"mmm")</f>
        <v>nov</v>
      </c>
    </row>
    <row r="283" spans="1:18">
      <c r="A283" s="456">
        <v>45989</v>
      </c>
      <c r="B283" s="302" t="s">
        <v>115</v>
      </c>
      <c r="C283" s="177" t="str">
        <f t="shared" ref="C283:C284" si="65">LEFT(B283,FIND("@",B283)-2)</f>
        <v>Dallas Mavericks</v>
      </c>
      <c r="D283" s="177">
        <v>113</v>
      </c>
      <c r="E283" s="336">
        <v>119</v>
      </c>
      <c r="F283" s="327">
        <f t="shared" ref="F283:F284" si="66">IF(E283&gt;D283, 1, 0)</f>
        <v>1</v>
      </c>
      <c r="G283" s="177" t="str">
        <f t="shared" ref="G283:G284" si="67">MID(B283,FIND("@",B283)+2,LEN(B283)-FIND("@",B283)-1)</f>
        <v>Los Angeles Lakers</v>
      </c>
      <c r="H283" s="177">
        <v>115</v>
      </c>
      <c r="I283" s="336">
        <v>129</v>
      </c>
      <c r="J283" s="327">
        <f t="shared" ref="J283:J284" si="68">IF(I283&gt;H283, 1, 0)</f>
        <v>1</v>
      </c>
      <c r="K283" s="177">
        <f t="shared" ref="K283:K284" si="69">+D283+H283</f>
        <v>228</v>
      </c>
      <c r="L283" s="336">
        <f t="shared" ref="L283:L284" si="70">E283+I283</f>
        <v>248</v>
      </c>
      <c r="M283" s="327">
        <f t="shared" ref="M283:M284" si="71">IF(L283&gt;K283, 1, 0)</f>
        <v>1</v>
      </c>
      <c r="N283" s="337">
        <f t="shared" ref="N283:N284" si="72">(+H283-D283)</f>
        <v>2</v>
      </c>
      <c r="O283" s="395">
        <f t="shared" ref="O283:O284" si="73">I283-E283</f>
        <v>10</v>
      </c>
      <c r="P283" s="289">
        <f t="shared" ref="P283:P284" si="74">IF(OR(AND(N283&gt;0,O283&gt;0),AND(N283&lt;0,O283&lt;0)),1,0)</f>
        <v>1</v>
      </c>
      <c r="Q283" s="460">
        <f>WEEKNUM(tblResultadosNBA[[#This Row],[Fecha]],2)</f>
        <v>48</v>
      </c>
      <c r="R283" s="460" t="str">
        <f>TEXT(tblResultadosNBA[[#This Row],[Fecha]],"mmm")</f>
        <v>nov</v>
      </c>
    </row>
    <row r="284" spans="1:18">
      <c r="A284" s="445">
        <v>45989</v>
      </c>
      <c r="B284" s="331" t="s">
        <v>116</v>
      </c>
      <c r="C284" s="286" t="str">
        <f t="shared" si="65"/>
        <v>Memphis Grizzlies</v>
      </c>
      <c r="D284" s="286">
        <v>122</v>
      </c>
      <c r="E284" s="431">
        <v>112</v>
      </c>
      <c r="F284" s="332">
        <f t="shared" si="66"/>
        <v>0</v>
      </c>
      <c r="G284" s="286" t="str">
        <f t="shared" si="67"/>
        <v>LA Clippers</v>
      </c>
      <c r="H284" s="286">
        <v>119</v>
      </c>
      <c r="I284" s="431">
        <v>107</v>
      </c>
      <c r="J284" s="332">
        <f t="shared" si="68"/>
        <v>0</v>
      </c>
      <c r="K284" s="286">
        <f t="shared" si="69"/>
        <v>241</v>
      </c>
      <c r="L284" s="431">
        <f t="shared" si="70"/>
        <v>219</v>
      </c>
      <c r="M284" s="332">
        <f t="shared" si="71"/>
        <v>0</v>
      </c>
      <c r="N284" s="432">
        <f t="shared" si="72"/>
        <v>-3</v>
      </c>
      <c r="O284" s="451">
        <f t="shared" si="73"/>
        <v>-5</v>
      </c>
      <c r="P284" s="433">
        <f t="shared" si="74"/>
        <v>1</v>
      </c>
      <c r="Q284" s="460">
        <f>WEEKNUM(tblResultadosNBA[[#This Row],[Fecha]],2)</f>
        <v>48</v>
      </c>
      <c r="R284" s="460" t="str">
        <f>TEXT(tblResultadosNBA[[#This Row],[Fecha]],"mmm")</f>
        <v>nov</v>
      </c>
    </row>
    <row r="285" spans="1:18">
      <c r="A285" s="476">
        <v>45990</v>
      </c>
      <c r="B285" s="422" t="s">
        <v>117</v>
      </c>
      <c r="C285" s="341" t="str">
        <f>LEFT(B285,FIND("@",B285)-2)</f>
        <v>Boston Celtics</v>
      </c>
      <c r="D285" s="341">
        <v>127</v>
      </c>
      <c r="E285" s="342">
        <v>115</v>
      </c>
      <c r="F285" s="333">
        <f>IF(E285&gt;D285, 1, 0)</f>
        <v>0</v>
      </c>
      <c r="G285" s="341" t="str">
        <f>MID(B285,FIND("@",B285)+2,LEN(B285)-FIND("@",B285)-1)</f>
        <v>Minnesota Timberwolves</v>
      </c>
      <c r="H285" s="341">
        <v>116</v>
      </c>
      <c r="I285" s="342">
        <v>119</v>
      </c>
      <c r="J285" s="333">
        <f>IF(I285&gt;H285, 1, 0)</f>
        <v>1</v>
      </c>
      <c r="K285" s="341">
        <f>+D285+H285</f>
        <v>243</v>
      </c>
      <c r="L285" s="342">
        <f>E285+I285</f>
        <v>234</v>
      </c>
      <c r="M285" s="333">
        <f>IF(L285&gt;K285, 1, 0)</f>
        <v>0</v>
      </c>
      <c r="N285" s="343">
        <f>(+H285-D285)</f>
        <v>-11</v>
      </c>
      <c r="O285" s="449">
        <f>I285-E285</f>
        <v>4</v>
      </c>
      <c r="P285" s="289">
        <f>IF(OR(AND(N285&gt;0,O285&gt;0),AND(N285&lt;0,O285&lt;0)),1,0)</f>
        <v>0</v>
      </c>
      <c r="Q285" s="460">
        <f>WEEKNUM(tblResultadosNBA[[#This Row],[Fecha]],2)</f>
        <v>48</v>
      </c>
      <c r="R285" s="460" t="str">
        <f>TEXT(tblResultadosNBA[[#This Row],[Fecha]],"mmm")</f>
        <v>nov</v>
      </c>
    </row>
    <row r="286" spans="1:18">
      <c r="A286" s="456">
        <v>45990</v>
      </c>
      <c r="B286" s="302" t="s">
        <v>118</v>
      </c>
      <c r="C286" s="177" t="str">
        <f t="shared" ref="C286:C289" si="75">LEFT(B286,FIND("@",B286)-2)</f>
        <v>Toronto Raptors</v>
      </c>
      <c r="D286" s="177">
        <v>120</v>
      </c>
      <c r="E286" s="336">
        <v>111</v>
      </c>
      <c r="F286" s="327">
        <f t="shared" ref="F286:F289" si="76">IF(E286&gt;D286, 1, 0)</f>
        <v>0</v>
      </c>
      <c r="G286" s="177" t="str">
        <f t="shared" ref="G286:G289" si="77">MID(B286,FIND("@",B286)+2,LEN(B286)-FIND("@",B286)-1)</f>
        <v>Charlotte Hornets</v>
      </c>
      <c r="H286" s="177">
        <v>117</v>
      </c>
      <c r="I286" s="336">
        <v>118</v>
      </c>
      <c r="J286" s="327">
        <f t="shared" ref="J286:J289" si="78">IF(I286&gt;H286, 1, 0)</f>
        <v>1</v>
      </c>
      <c r="K286" s="177">
        <f t="shared" ref="K286:K289" si="79">+D286+H286</f>
        <v>237</v>
      </c>
      <c r="L286" s="336">
        <f t="shared" ref="L286:L289" si="80">E286+I286</f>
        <v>229</v>
      </c>
      <c r="M286" s="327">
        <f t="shared" ref="M286:M289" si="81">IF(L286&gt;K286, 1, 0)</f>
        <v>0</v>
      </c>
      <c r="N286" s="337">
        <f t="shared" ref="N286:N289" si="82">(+H286-D286)</f>
        <v>-3</v>
      </c>
      <c r="O286" s="395">
        <f t="shared" ref="O286:O289" si="83">I286-E286</f>
        <v>7</v>
      </c>
      <c r="P286" s="289">
        <f t="shared" ref="P286:P289" si="84">IF(OR(AND(N286&gt;0,O286&gt;0),AND(N286&lt;0,O286&lt;0)),1,0)</f>
        <v>0</v>
      </c>
      <c r="Q286" s="460">
        <f>WEEKNUM(tblResultadosNBA[[#This Row],[Fecha]],2)</f>
        <v>48</v>
      </c>
      <c r="R286" s="460" t="str">
        <f>TEXT(tblResultadosNBA[[#This Row],[Fecha]],"mmm")</f>
        <v>nov</v>
      </c>
    </row>
    <row r="287" spans="1:18">
      <c r="A287" s="456">
        <v>45990</v>
      </c>
      <c r="B287" s="302" t="s">
        <v>308</v>
      </c>
      <c r="C287" s="177" t="str">
        <f t="shared" si="75"/>
        <v>Chicago Bulls</v>
      </c>
      <c r="D287" s="177">
        <v>115</v>
      </c>
      <c r="E287" s="336">
        <v>101</v>
      </c>
      <c r="F287" s="327">
        <f t="shared" si="76"/>
        <v>0</v>
      </c>
      <c r="G287" s="177" t="str">
        <f t="shared" si="77"/>
        <v>Indiana Pacers</v>
      </c>
      <c r="H287" s="177">
        <v>114</v>
      </c>
      <c r="I287" s="336">
        <v>103</v>
      </c>
      <c r="J287" s="327">
        <f t="shared" si="78"/>
        <v>0</v>
      </c>
      <c r="K287" s="177">
        <f t="shared" si="79"/>
        <v>229</v>
      </c>
      <c r="L287" s="336">
        <f t="shared" si="80"/>
        <v>204</v>
      </c>
      <c r="M287" s="327">
        <f t="shared" si="81"/>
        <v>0</v>
      </c>
      <c r="N287" s="337">
        <f t="shared" si="82"/>
        <v>-1</v>
      </c>
      <c r="O287" s="395">
        <f t="shared" si="83"/>
        <v>2</v>
      </c>
      <c r="P287" s="289">
        <f t="shared" si="84"/>
        <v>0</v>
      </c>
      <c r="Q287" s="460">
        <f>WEEKNUM(tblResultadosNBA[[#This Row],[Fecha]],2)</f>
        <v>48</v>
      </c>
      <c r="R287" s="460" t="str">
        <f>TEXT(tblResultadosNBA[[#This Row],[Fecha]],"mmm")</f>
        <v>nov</v>
      </c>
    </row>
    <row r="288" spans="1:18">
      <c r="A288" s="456">
        <v>45990</v>
      </c>
      <c r="B288" s="302" t="s">
        <v>440</v>
      </c>
      <c r="C288" s="177" t="str">
        <f t="shared" si="75"/>
        <v>Detroit Pistons</v>
      </c>
      <c r="D288" s="177">
        <v>111</v>
      </c>
      <c r="E288" s="336">
        <v>138</v>
      </c>
      <c r="F288" s="327">
        <f t="shared" si="76"/>
        <v>1</v>
      </c>
      <c r="G288" s="177" t="str">
        <f t="shared" si="77"/>
        <v>Miami Heat</v>
      </c>
      <c r="H288" s="177">
        <v>121</v>
      </c>
      <c r="I288" s="336">
        <v>135</v>
      </c>
      <c r="J288" s="327">
        <f t="shared" si="78"/>
        <v>1</v>
      </c>
      <c r="K288" s="177">
        <f t="shared" si="79"/>
        <v>232</v>
      </c>
      <c r="L288" s="336">
        <f t="shared" si="80"/>
        <v>273</v>
      </c>
      <c r="M288" s="327">
        <f t="shared" si="81"/>
        <v>1</v>
      </c>
      <c r="N288" s="337">
        <f t="shared" si="82"/>
        <v>10</v>
      </c>
      <c r="O288" s="395">
        <f t="shared" si="83"/>
        <v>-3</v>
      </c>
      <c r="P288" s="289">
        <f t="shared" si="84"/>
        <v>0</v>
      </c>
      <c r="Q288" s="460">
        <f>WEEKNUM(tblResultadosNBA[[#This Row],[Fecha]],2)</f>
        <v>48</v>
      </c>
      <c r="R288" s="460" t="str">
        <f>TEXT(tblResultadosNBA[[#This Row],[Fecha]],"mmm")</f>
        <v>nov</v>
      </c>
    </row>
    <row r="289" spans="1:19">
      <c r="A289" s="456">
        <v>45990</v>
      </c>
      <c r="B289" s="302" t="s">
        <v>119</v>
      </c>
      <c r="C289" s="177" t="str">
        <f t="shared" si="75"/>
        <v>Brooklyn Nets</v>
      </c>
      <c r="D289" s="177">
        <v>114</v>
      </c>
      <c r="E289" s="336">
        <v>99</v>
      </c>
      <c r="F289" s="327">
        <f t="shared" si="76"/>
        <v>0</v>
      </c>
      <c r="G289" s="177" t="str">
        <f t="shared" si="77"/>
        <v>Milwaukee Bucks</v>
      </c>
      <c r="H289" s="177">
        <v>109</v>
      </c>
      <c r="I289" s="336">
        <v>116</v>
      </c>
      <c r="J289" s="327">
        <f t="shared" si="78"/>
        <v>1</v>
      </c>
      <c r="K289" s="177">
        <f t="shared" si="79"/>
        <v>223</v>
      </c>
      <c r="L289" s="336">
        <f t="shared" si="80"/>
        <v>215</v>
      </c>
      <c r="M289" s="327">
        <f t="shared" si="81"/>
        <v>0</v>
      </c>
      <c r="N289" s="337">
        <f t="shared" si="82"/>
        <v>-5</v>
      </c>
      <c r="O289" s="395">
        <f t="shared" si="83"/>
        <v>17</v>
      </c>
      <c r="P289" s="289">
        <f t="shared" si="84"/>
        <v>0</v>
      </c>
      <c r="Q289" s="460">
        <f>WEEKNUM(tblResultadosNBA[[#This Row],[Fecha]],2)</f>
        <v>48</v>
      </c>
      <c r="R289" s="460" t="str">
        <f>TEXT(tblResultadosNBA[[#This Row],[Fecha]],"mmm")</f>
        <v>nov</v>
      </c>
    </row>
    <row r="290" spans="1:19">
      <c r="A290" s="456">
        <v>45990</v>
      </c>
      <c r="B290" s="302" t="s">
        <v>120</v>
      </c>
      <c r="C290" s="177" t="str">
        <f t="shared" ref="C290:C291" si="85">LEFT(B290,FIND("@",B290)-2)</f>
        <v>New Orleans Pelicans</v>
      </c>
      <c r="D290" s="177">
        <v>116</v>
      </c>
      <c r="E290" s="336">
        <v>96</v>
      </c>
      <c r="F290" s="327">
        <f t="shared" ref="F290:F291" si="86">IF(E290&gt;D290, 1, 0)</f>
        <v>0</v>
      </c>
      <c r="G290" s="177" t="str">
        <f t="shared" ref="G290:G291" si="87">MID(B290,FIND("@",B290)+2,LEN(B290)-FIND("@",B290)-1)</f>
        <v>Golden State Warriors</v>
      </c>
      <c r="H290" s="177">
        <v>119</v>
      </c>
      <c r="I290" s="336">
        <v>104</v>
      </c>
      <c r="J290" s="327">
        <f t="shared" ref="J290:J291" si="88">IF(I290&gt;H290, 1, 0)</f>
        <v>0</v>
      </c>
      <c r="K290" s="177">
        <f t="shared" ref="K290:K291" si="89">+D290+H290</f>
        <v>235</v>
      </c>
      <c r="L290" s="336">
        <f t="shared" ref="L290:L291" si="90">E290+I290</f>
        <v>200</v>
      </c>
      <c r="M290" s="327">
        <f t="shared" ref="M290:M291" si="91">IF(L290&gt;K290, 1, 0)</f>
        <v>0</v>
      </c>
      <c r="N290" s="337">
        <f t="shared" ref="N290:N291" si="92">(+H290-D290)</f>
        <v>3</v>
      </c>
      <c r="O290" s="395">
        <f t="shared" ref="O290:O291" si="93">I290-E290</f>
        <v>8</v>
      </c>
      <c r="P290" s="289">
        <f t="shared" ref="P290:P291" si="94">IF(OR(AND(N290&gt;0,O290&gt;0),AND(N290&lt;0,O290&lt;0)),1,0)</f>
        <v>1</v>
      </c>
      <c r="Q290" s="460">
        <f>WEEKNUM(tblResultadosNBA[[#This Row],[Fecha]],2)</f>
        <v>48</v>
      </c>
      <c r="R290" s="460" t="str">
        <f>TEXT(tblResultadosNBA[[#This Row],[Fecha]],"mmm")</f>
        <v>nov</v>
      </c>
    </row>
    <row r="291" spans="1:19">
      <c r="A291" s="456">
        <v>45990</v>
      </c>
      <c r="B291" s="302" t="s">
        <v>502</v>
      </c>
      <c r="C291" s="177" t="str">
        <f t="shared" si="85"/>
        <v>Denver Nuggets</v>
      </c>
      <c r="D291" s="177">
        <v>118</v>
      </c>
      <c r="E291" s="336">
        <v>130</v>
      </c>
      <c r="F291" s="327">
        <f t="shared" si="86"/>
        <v>1</v>
      </c>
      <c r="G291" s="177" t="str">
        <f t="shared" si="87"/>
        <v>Phoenix Suns</v>
      </c>
      <c r="H291" s="177">
        <v>108</v>
      </c>
      <c r="I291" s="336">
        <v>112</v>
      </c>
      <c r="J291" s="327">
        <f t="shared" si="88"/>
        <v>1</v>
      </c>
      <c r="K291" s="177">
        <f t="shared" si="89"/>
        <v>226</v>
      </c>
      <c r="L291" s="336">
        <f t="shared" si="90"/>
        <v>242</v>
      </c>
      <c r="M291" s="327">
        <f t="shared" si="91"/>
        <v>1</v>
      </c>
      <c r="N291" s="337">
        <f t="shared" si="92"/>
        <v>-10</v>
      </c>
      <c r="O291" s="395">
        <f t="shared" si="93"/>
        <v>-18</v>
      </c>
      <c r="P291" s="289">
        <f t="shared" si="94"/>
        <v>1</v>
      </c>
      <c r="Q291" s="460">
        <f>WEEKNUM(tblResultadosNBA[[#This Row],[Fecha]],2)</f>
        <v>48</v>
      </c>
      <c r="R291" s="460" t="str">
        <f>TEXT(tblResultadosNBA[[#This Row],[Fecha]],"mmm")</f>
        <v>nov</v>
      </c>
    </row>
    <row r="292" spans="1:19">
      <c r="A292" s="445">
        <v>45990</v>
      </c>
      <c r="B292" s="331" t="s">
        <v>572</v>
      </c>
      <c r="C292" s="286" t="str">
        <f>LEFT(B292,FIND("@",B292)-2)</f>
        <v>Dallas Mavericks</v>
      </c>
      <c r="D292" s="286">
        <v>99</v>
      </c>
      <c r="E292" s="431">
        <v>114</v>
      </c>
      <c r="F292" s="332">
        <f>IF(E292&gt;D292, 1, 0)</f>
        <v>1</v>
      </c>
      <c r="G292" s="286" t="str">
        <f>MID(B292,FIND("@",B292)+2,LEN(B292)-FIND("@",B292)-1)</f>
        <v>LA Clippers</v>
      </c>
      <c r="H292" s="286">
        <v>107</v>
      </c>
      <c r="I292" s="431">
        <v>110</v>
      </c>
      <c r="J292" s="332">
        <f>IF(I292&gt;H292, 1, 0)</f>
        <v>1</v>
      </c>
      <c r="K292" s="286">
        <f>+D292+H292</f>
        <v>206</v>
      </c>
      <c r="L292" s="431">
        <f>E292+I292</f>
        <v>224</v>
      </c>
      <c r="M292" s="332">
        <f>IF(L292&gt;K292, 1, 0)</f>
        <v>1</v>
      </c>
      <c r="N292" s="432">
        <f>(+H292-D292)</f>
        <v>8</v>
      </c>
      <c r="O292" s="451">
        <f>I292-E292</f>
        <v>-4</v>
      </c>
      <c r="P292" s="433">
        <f>IF(OR(AND(N292&gt;0,O292&gt;0),AND(N292&lt;0,O292&lt;0)),1,0)</f>
        <v>0</v>
      </c>
      <c r="Q292" s="460">
        <f>WEEKNUM(tblResultadosNBA[[#This Row],[Fecha]],2)</f>
        <v>48</v>
      </c>
      <c r="R292" s="460" t="str">
        <f>TEXT(tblResultadosNBA[[#This Row],[Fecha]],"mmm")</f>
        <v>nov</v>
      </c>
    </row>
    <row r="293" spans="1:19">
      <c r="A293" s="476">
        <v>45991</v>
      </c>
      <c r="B293" s="422" t="s">
        <v>121</v>
      </c>
      <c r="C293" s="341" t="str">
        <f>LEFT(B293,FIND("@",B293)-2)</f>
        <v>Houston Rockets</v>
      </c>
      <c r="D293" s="341">
        <v>126</v>
      </c>
      <c r="E293" s="342">
        <v>129</v>
      </c>
      <c r="F293" s="333">
        <f>IF(E293&gt;D293, 1, 0)</f>
        <v>1</v>
      </c>
      <c r="G293" s="341" t="str">
        <f>MID(B293,FIND("@",B293)+2,LEN(B293)-FIND("@",B293)-1)</f>
        <v>Utah Jazz</v>
      </c>
      <c r="H293" s="341">
        <v>117</v>
      </c>
      <c r="I293" s="342">
        <v>101</v>
      </c>
      <c r="J293" s="333">
        <f>IF(I293&gt;H293, 1, 0)</f>
        <v>0</v>
      </c>
      <c r="K293" s="341">
        <f>+D293+H293</f>
        <v>243</v>
      </c>
      <c r="L293" s="342">
        <f>E293+I293</f>
        <v>230</v>
      </c>
      <c r="M293" s="333">
        <f>IF(L293&gt;K293, 1, 0)</f>
        <v>0</v>
      </c>
      <c r="N293" s="343">
        <f>(+H293-D293)</f>
        <v>-9</v>
      </c>
      <c r="O293" s="449">
        <f>I293-E293</f>
        <v>-28</v>
      </c>
      <c r="P293" s="289">
        <f>IF(OR(AND(N293&gt;0,O293&gt;0),AND(N293&lt;0,O293&lt;0)),1,0)</f>
        <v>1</v>
      </c>
      <c r="Q293" s="460">
        <f>WEEKNUM(tblResultadosNBA[[#This Row],[Fecha]],2)</f>
        <v>48</v>
      </c>
      <c r="R293" s="460" t="str">
        <f>TEXT(tblResultadosNBA[[#This Row],[Fecha]],"mmm")</f>
        <v>nov</v>
      </c>
    </row>
    <row r="294" spans="1:19">
      <c r="A294" s="456">
        <v>45991</v>
      </c>
      <c r="B294" s="302" t="s">
        <v>782</v>
      </c>
      <c r="C294" s="177" t="str">
        <f t="shared" ref="C294:C299" si="95">LEFT(B294,FIND("@",B294)-2)</f>
        <v>Boston Celtics</v>
      </c>
      <c r="D294" s="177">
        <v>112</v>
      </c>
      <c r="E294" s="336">
        <v>117</v>
      </c>
      <c r="F294" s="327">
        <f t="shared" ref="F294:F299" si="96">IF(E294&gt;D294, 1, 0)</f>
        <v>1</v>
      </c>
      <c r="G294" s="177" t="str">
        <f t="shared" ref="G294:G299" si="97">MID(B294,FIND("@",B294)+2,LEN(B294)-FIND("@",B294)-1)</f>
        <v>Cleveland Cavaliers</v>
      </c>
      <c r="H294" s="177">
        <v>115</v>
      </c>
      <c r="I294" s="336">
        <v>115</v>
      </c>
      <c r="J294" s="327">
        <f t="shared" ref="J294:J299" si="98">IF(I294&gt;H294, 1, 0)</f>
        <v>0</v>
      </c>
      <c r="K294" s="177">
        <f t="shared" ref="K294:K299" si="99">+D294+H294</f>
        <v>227</v>
      </c>
      <c r="L294" s="336">
        <f t="shared" ref="L294:L299" si="100">E294+I294</f>
        <v>232</v>
      </c>
      <c r="M294" s="327">
        <f t="shared" ref="M294:M299" si="101">IF(L294&gt;K294, 1, 0)</f>
        <v>1</v>
      </c>
      <c r="N294" s="337">
        <f t="shared" ref="N294:N299" si="102">(+H294-D294)</f>
        <v>3</v>
      </c>
      <c r="O294" s="395">
        <f t="shared" ref="O294:O299" si="103">I294-E294</f>
        <v>-2</v>
      </c>
      <c r="P294" s="289">
        <f t="shared" ref="P294:P299" si="104">IF(OR(AND(N294&gt;0,O294&gt;0),AND(N294&lt;0,O294&lt;0)),1,0)</f>
        <v>0</v>
      </c>
      <c r="Q294" s="460">
        <f>WEEKNUM(tblResultadosNBA[[#This Row],[Fecha]],2)</f>
        <v>48</v>
      </c>
      <c r="R294" s="460" t="str">
        <f>TEXT(tblResultadosNBA[[#This Row],[Fecha]],"mmm")</f>
        <v>nov</v>
      </c>
    </row>
    <row r="295" spans="1:19">
      <c r="A295" s="456">
        <v>45991</v>
      </c>
      <c r="B295" s="302" t="s">
        <v>783</v>
      </c>
      <c r="C295" s="177" t="str">
        <f t="shared" si="95"/>
        <v>Toronto Raptors</v>
      </c>
      <c r="D295" s="177">
        <v>111</v>
      </c>
      <c r="E295" s="336">
        <v>94</v>
      </c>
      <c r="F295" s="327">
        <f t="shared" si="96"/>
        <v>0</v>
      </c>
      <c r="G295" s="177" t="str">
        <f t="shared" si="97"/>
        <v>New York Knicks</v>
      </c>
      <c r="H295" s="177">
        <v>114</v>
      </c>
      <c r="I295" s="336">
        <v>116</v>
      </c>
      <c r="J295" s="327">
        <f t="shared" si="98"/>
        <v>1</v>
      </c>
      <c r="K295" s="177">
        <f t="shared" si="99"/>
        <v>225</v>
      </c>
      <c r="L295" s="336">
        <f t="shared" si="100"/>
        <v>210</v>
      </c>
      <c r="M295" s="327">
        <f t="shared" si="101"/>
        <v>0</v>
      </c>
      <c r="N295" s="337">
        <f t="shared" si="102"/>
        <v>3</v>
      </c>
      <c r="O295" s="395">
        <f t="shared" si="103"/>
        <v>22</v>
      </c>
      <c r="P295" s="289">
        <f t="shared" si="104"/>
        <v>1</v>
      </c>
      <c r="Q295" s="460">
        <f>WEEKNUM(tblResultadosNBA[[#This Row],[Fecha]],2)</f>
        <v>48</v>
      </c>
      <c r="R295" s="460" t="str">
        <f>TEXT(tblResultadosNBA[[#This Row],[Fecha]],"mmm")</f>
        <v>nov</v>
      </c>
    </row>
    <row r="296" spans="1:19">
      <c r="A296" s="456">
        <v>45991</v>
      </c>
      <c r="B296" s="302" t="s">
        <v>122</v>
      </c>
      <c r="C296" s="177" t="str">
        <f t="shared" si="95"/>
        <v>Atlanta Hawks</v>
      </c>
      <c r="D296" s="177">
        <v>117</v>
      </c>
      <c r="E296" s="336">
        <v>142</v>
      </c>
      <c r="F296" s="327">
        <f t="shared" si="96"/>
        <v>1</v>
      </c>
      <c r="G296" s="177" t="str">
        <f t="shared" si="97"/>
        <v>Philadelphia 76ers</v>
      </c>
      <c r="H296" s="177">
        <v>125</v>
      </c>
      <c r="I296" s="336">
        <v>134</v>
      </c>
      <c r="J296" s="327">
        <f t="shared" si="98"/>
        <v>1</v>
      </c>
      <c r="K296" s="177">
        <f t="shared" si="99"/>
        <v>242</v>
      </c>
      <c r="L296" s="336">
        <f t="shared" si="100"/>
        <v>276</v>
      </c>
      <c r="M296" s="327">
        <f t="shared" si="101"/>
        <v>1</v>
      </c>
      <c r="N296" s="337">
        <f t="shared" si="102"/>
        <v>8</v>
      </c>
      <c r="O296" s="395">
        <f t="shared" si="103"/>
        <v>-8</v>
      </c>
      <c r="P296" s="289">
        <f t="shared" si="104"/>
        <v>0</v>
      </c>
      <c r="Q296" s="460">
        <f>WEEKNUM(tblResultadosNBA[[#This Row],[Fecha]],2)</f>
        <v>48</v>
      </c>
      <c r="R296" s="460" t="str">
        <f>TEXT(tblResultadosNBA[[#This Row],[Fecha]],"mmm")</f>
        <v>nov</v>
      </c>
    </row>
    <row r="297" spans="1:19">
      <c r="A297" s="456">
        <v>45991</v>
      </c>
      <c r="B297" s="302" t="s">
        <v>737</v>
      </c>
      <c r="C297" s="177" t="str">
        <f t="shared" si="95"/>
        <v>Oklahoma City Thunder</v>
      </c>
      <c r="D297" s="177">
        <v>110</v>
      </c>
      <c r="E297" s="336">
        <v>123</v>
      </c>
      <c r="F297" s="327">
        <f t="shared" si="96"/>
        <v>1</v>
      </c>
      <c r="G297" s="177" t="str">
        <f t="shared" si="97"/>
        <v>Portland Trail Blazers</v>
      </c>
      <c r="H297" s="177">
        <v>107</v>
      </c>
      <c r="I297" s="336">
        <v>115</v>
      </c>
      <c r="J297" s="327">
        <f t="shared" si="98"/>
        <v>1</v>
      </c>
      <c r="K297" s="177">
        <f t="shared" si="99"/>
        <v>217</v>
      </c>
      <c r="L297" s="336">
        <f t="shared" si="100"/>
        <v>238</v>
      </c>
      <c r="M297" s="327">
        <f t="shared" si="101"/>
        <v>1</v>
      </c>
      <c r="N297" s="337">
        <f t="shared" si="102"/>
        <v>-3</v>
      </c>
      <c r="O297" s="395">
        <f t="shared" si="103"/>
        <v>-8</v>
      </c>
      <c r="P297" s="289">
        <f t="shared" si="104"/>
        <v>1</v>
      </c>
      <c r="Q297" s="460">
        <f>WEEKNUM(tblResultadosNBA[[#This Row],[Fecha]],2)</f>
        <v>48</v>
      </c>
      <c r="R297" s="460" t="str">
        <f>TEXT(tblResultadosNBA[[#This Row],[Fecha]],"mmm")</f>
        <v>nov</v>
      </c>
    </row>
    <row r="298" spans="1:19">
      <c r="A298" s="456">
        <v>45991</v>
      </c>
      <c r="B298" s="302" t="s">
        <v>123</v>
      </c>
      <c r="C298" s="177" t="str">
        <f t="shared" si="95"/>
        <v>San Antonio Spurs</v>
      </c>
      <c r="D298" s="177">
        <v>113</v>
      </c>
      <c r="E298" s="336">
        <v>112</v>
      </c>
      <c r="F298" s="327">
        <f t="shared" si="96"/>
        <v>0</v>
      </c>
      <c r="G298" s="177" t="str">
        <f t="shared" si="97"/>
        <v>Minnesota Timberwolves</v>
      </c>
      <c r="H298" s="177">
        <v>116</v>
      </c>
      <c r="I298" s="336">
        <v>125</v>
      </c>
      <c r="J298" s="327">
        <f t="shared" si="98"/>
        <v>1</v>
      </c>
      <c r="K298" s="177">
        <f t="shared" si="99"/>
        <v>229</v>
      </c>
      <c r="L298" s="336">
        <f t="shared" si="100"/>
        <v>237</v>
      </c>
      <c r="M298" s="327">
        <f t="shared" si="101"/>
        <v>1</v>
      </c>
      <c r="N298" s="337">
        <f t="shared" si="102"/>
        <v>3</v>
      </c>
      <c r="O298" s="395">
        <f t="shared" si="103"/>
        <v>13</v>
      </c>
      <c r="P298" s="289">
        <f t="shared" si="104"/>
        <v>1</v>
      </c>
      <c r="Q298" s="460">
        <f>WEEKNUM(tblResultadosNBA[[#This Row],[Fecha]],2)</f>
        <v>48</v>
      </c>
      <c r="R298" s="460" t="str">
        <f>TEXT(tblResultadosNBA[[#This Row],[Fecha]],"mmm")</f>
        <v>nov</v>
      </c>
    </row>
    <row r="299" spans="1:19">
      <c r="A299" s="456">
        <v>45991</v>
      </c>
      <c r="B299" s="302" t="s">
        <v>124</v>
      </c>
      <c r="C299" s="177" t="str">
        <f t="shared" si="95"/>
        <v>Memphis Grizzlies</v>
      </c>
      <c r="D299" s="177">
        <v>120</v>
      </c>
      <c r="E299" s="336">
        <v>115</v>
      </c>
      <c r="F299" s="327">
        <f t="shared" si="96"/>
        <v>0</v>
      </c>
      <c r="G299" s="177" t="str">
        <f t="shared" si="97"/>
        <v>Sacramento Kings</v>
      </c>
      <c r="H299" s="177">
        <v>113</v>
      </c>
      <c r="I299" s="336">
        <v>107</v>
      </c>
      <c r="J299" s="327">
        <f t="shared" si="98"/>
        <v>0</v>
      </c>
      <c r="K299" s="177">
        <f t="shared" si="99"/>
        <v>233</v>
      </c>
      <c r="L299" s="336">
        <f t="shared" si="100"/>
        <v>222</v>
      </c>
      <c r="M299" s="327">
        <f t="shared" si="101"/>
        <v>0</v>
      </c>
      <c r="N299" s="337">
        <f t="shared" si="102"/>
        <v>-7</v>
      </c>
      <c r="O299" s="395">
        <f t="shared" si="103"/>
        <v>-8</v>
      </c>
      <c r="P299" s="289">
        <f t="shared" si="104"/>
        <v>1</v>
      </c>
      <c r="Q299" s="460">
        <f>WEEKNUM(tblResultadosNBA[[#This Row],[Fecha]],2)</f>
        <v>48</v>
      </c>
      <c r="R299" s="460" t="str">
        <f>TEXT(tblResultadosNBA[[#This Row],[Fecha]],"mmm")</f>
        <v>nov</v>
      </c>
    </row>
    <row r="300" spans="1:19">
      <c r="A300" s="445">
        <v>45991</v>
      </c>
      <c r="B300" s="331" t="s">
        <v>424</v>
      </c>
      <c r="C300" s="286" t="str">
        <f>LEFT(B300,FIND("@",B300)-2)</f>
        <v>New Orleans Pelicans</v>
      </c>
      <c r="D300" s="286">
        <v>104</v>
      </c>
      <c r="E300" s="431">
        <v>121</v>
      </c>
      <c r="F300" s="332">
        <f>IF(E300&gt;D300, 1, 0)</f>
        <v>1</v>
      </c>
      <c r="G300" s="286" t="str">
        <f>MID(B300,FIND("@",B300)+2,LEN(B300)-FIND("@",B300)-1)</f>
        <v>Los Angeles Lakers</v>
      </c>
      <c r="H300" s="286">
        <v>113</v>
      </c>
      <c r="I300" s="431">
        <v>133</v>
      </c>
      <c r="J300" s="332">
        <f>IF(I300&gt;H300, 1, 0)</f>
        <v>1</v>
      </c>
      <c r="K300" s="286">
        <f>+D300+H300</f>
        <v>217</v>
      </c>
      <c r="L300" s="431">
        <f>E300+I300</f>
        <v>254</v>
      </c>
      <c r="M300" s="332">
        <f>IF(L300&gt;K300, 1, 0)</f>
        <v>1</v>
      </c>
      <c r="N300" s="432">
        <f>(+H300-D300)</f>
        <v>9</v>
      </c>
      <c r="O300" s="451">
        <f>I300-E300</f>
        <v>12</v>
      </c>
      <c r="P300" s="433">
        <f>IF(OR(AND(N300&gt;0,O300&gt;0),AND(N300&lt;0,O300&lt;0)),1,0)</f>
        <v>1</v>
      </c>
      <c r="Q300" s="460">
        <f>WEEKNUM(tblResultadosNBA[[#This Row],[Fecha]],2)</f>
        <v>48</v>
      </c>
      <c r="R300" s="460" t="str">
        <f>TEXT(tblResultadosNBA[[#This Row],[Fecha]],"mmm")</f>
        <v>nov</v>
      </c>
      <c r="S300" s="489" t="s">
        <v>620</v>
      </c>
    </row>
    <row r="301" spans="1:19">
      <c r="A301" s="476">
        <v>45992</v>
      </c>
      <c r="B301" s="422" t="s">
        <v>126</v>
      </c>
      <c r="C301" s="341" t="str">
        <f>LEFT(B301,FIND("@",B301)-2)</f>
        <v>Atlanta Hawks</v>
      </c>
      <c r="D301" s="341">
        <v>132</v>
      </c>
      <c r="E301" s="342">
        <v>98</v>
      </c>
      <c r="F301" s="333">
        <f>IF(E301&gt;D301, 1, 0)</f>
        <v>0</v>
      </c>
      <c r="G301" s="341" t="str">
        <f>MID(B301,FIND("@",B301)+2,LEN(B301)-FIND("@",B301)-1)</f>
        <v>Detroit Pistons</v>
      </c>
      <c r="H301" s="341">
        <v>121</v>
      </c>
      <c r="I301" s="342">
        <v>99</v>
      </c>
      <c r="J301" s="333">
        <f>IF(I301&gt;H301, 1, 0)</f>
        <v>0</v>
      </c>
      <c r="K301" s="341">
        <f>+D301+H301</f>
        <v>253</v>
      </c>
      <c r="L301" s="342">
        <f>E301+I301</f>
        <v>197</v>
      </c>
      <c r="M301" s="333">
        <f>IF(L301&gt;K301, 1, 0)</f>
        <v>0</v>
      </c>
      <c r="N301" s="343">
        <f>(+H301-D301)</f>
        <v>-11</v>
      </c>
      <c r="O301" s="449">
        <f>I301-E301</f>
        <v>1</v>
      </c>
      <c r="P301" s="289">
        <f>IF(OR(AND(N301&gt;0,O301&gt;0),AND(N301&lt;0,O301&lt;0)),1,0)</f>
        <v>0</v>
      </c>
      <c r="Q301" s="460">
        <f>WEEKNUM(tblResultadosNBA[[#This Row],[Fecha]],2)</f>
        <v>49</v>
      </c>
      <c r="R301" s="460" t="str">
        <f>TEXT(tblResultadosNBA[[#This Row],[Fecha]],"mmm")</f>
        <v>dic</v>
      </c>
    </row>
    <row r="302" spans="1:19">
      <c r="A302" s="456">
        <v>45992</v>
      </c>
      <c r="B302" s="302" t="s">
        <v>127</v>
      </c>
      <c r="C302" s="177" t="str">
        <f t="shared" ref="C302:C309" si="105">LEFT(B302,FIND("@",B302)-2)</f>
        <v>Cleveland Cavaliers</v>
      </c>
      <c r="D302" s="177">
        <v>120</v>
      </c>
      <c r="E302" s="336">
        <v>135</v>
      </c>
      <c r="F302" s="327">
        <f t="shared" ref="F302:F309" si="106">IF(E302&gt;D302, 1, 0)</f>
        <v>1</v>
      </c>
      <c r="G302" s="177" t="str">
        <f t="shared" ref="G302:G309" si="107">MID(B302,FIND("@",B302)+2,LEN(B302)-FIND("@",B302)-1)</f>
        <v>Indiana Pacers</v>
      </c>
      <c r="H302" s="177">
        <v>116</v>
      </c>
      <c r="I302" s="336">
        <v>119</v>
      </c>
      <c r="J302" s="327">
        <f t="shared" ref="J302:J309" si="108">IF(I302&gt;H302, 1, 0)</f>
        <v>1</v>
      </c>
      <c r="K302" s="177">
        <f t="shared" ref="K302:K309" si="109">+D302+H302</f>
        <v>236</v>
      </c>
      <c r="L302" s="336">
        <f t="shared" ref="L302:L309" si="110">E302+I302</f>
        <v>254</v>
      </c>
      <c r="M302" s="327">
        <f t="shared" ref="M302:M309" si="111">IF(L302&gt;K302, 1, 0)</f>
        <v>1</v>
      </c>
      <c r="N302" s="337">
        <f t="shared" ref="N302:N309" si="112">(+H302-D302)</f>
        <v>-4</v>
      </c>
      <c r="O302" s="395">
        <f t="shared" ref="O302:O309" si="113">I302-E302</f>
        <v>-16</v>
      </c>
      <c r="P302" s="289">
        <f t="shared" ref="P302:P309" si="114">IF(OR(AND(N302&gt;0,O302&gt;0),AND(N302&lt;0,O302&lt;0)),1,0)</f>
        <v>1</v>
      </c>
      <c r="Q302" s="460">
        <f>WEEKNUM(tblResultadosNBA[[#This Row],[Fecha]],2)</f>
        <v>49</v>
      </c>
      <c r="R302" s="460" t="str">
        <f>TEXT(tblResultadosNBA[[#This Row],[Fecha]],"mmm")</f>
        <v>dic</v>
      </c>
    </row>
    <row r="303" spans="1:19">
      <c r="A303" s="456">
        <v>45992</v>
      </c>
      <c r="B303" s="302" t="s">
        <v>128</v>
      </c>
      <c r="C303" s="177" t="str">
        <f t="shared" si="105"/>
        <v>Milwaukee Bucks</v>
      </c>
      <c r="D303" s="177">
        <v>116</v>
      </c>
      <c r="E303" s="336">
        <v>126</v>
      </c>
      <c r="F303" s="327">
        <f t="shared" si="106"/>
        <v>1</v>
      </c>
      <c r="G303" s="177" t="str">
        <f t="shared" si="107"/>
        <v>Washington Wizards</v>
      </c>
      <c r="H303" s="177">
        <v>124</v>
      </c>
      <c r="I303" s="336">
        <v>129</v>
      </c>
      <c r="J303" s="327">
        <f t="shared" si="108"/>
        <v>1</v>
      </c>
      <c r="K303" s="177">
        <f t="shared" si="109"/>
        <v>240</v>
      </c>
      <c r="L303" s="336">
        <f t="shared" si="110"/>
        <v>255</v>
      </c>
      <c r="M303" s="327">
        <f t="shared" si="111"/>
        <v>1</v>
      </c>
      <c r="N303" s="337">
        <f t="shared" si="112"/>
        <v>8</v>
      </c>
      <c r="O303" s="395">
        <f t="shared" si="113"/>
        <v>3</v>
      </c>
      <c r="P303" s="289">
        <f t="shared" si="114"/>
        <v>1</v>
      </c>
      <c r="Q303" s="460">
        <f>WEEKNUM(tblResultadosNBA[[#This Row],[Fecha]],2)</f>
        <v>49</v>
      </c>
      <c r="R303" s="460" t="str">
        <f>TEXT(tblResultadosNBA[[#This Row],[Fecha]],"mmm")</f>
        <v>dic</v>
      </c>
    </row>
    <row r="304" spans="1:19">
      <c r="A304" s="456">
        <v>45992</v>
      </c>
      <c r="B304" s="302" t="s">
        <v>129</v>
      </c>
      <c r="C304" s="177" t="str">
        <f t="shared" si="105"/>
        <v>Charlotte Hornets</v>
      </c>
      <c r="D304" s="177">
        <v>115</v>
      </c>
      <c r="E304" s="336">
        <v>103</v>
      </c>
      <c r="F304" s="327">
        <f t="shared" si="106"/>
        <v>0</v>
      </c>
      <c r="G304" s="177" t="str">
        <f t="shared" si="107"/>
        <v>Brooklyn Nets</v>
      </c>
      <c r="H304" s="177">
        <v>113</v>
      </c>
      <c r="I304" s="336">
        <v>116</v>
      </c>
      <c r="J304" s="327">
        <f t="shared" si="108"/>
        <v>1</v>
      </c>
      <c r="K304" s="177">
        <f t="shared" si="109"/>
        <v>228</v>
      </c>
      <c r="L304" s="336">
        <f t="shared" si="110"/>
        <v>219</v>
      </c>
      <c r="M304" s="327">
        <f t="shared" si="111"/>
        <v>0</v>
      </c>
      <c r="N304" s="337">
        <f t="shared" si="112"/>
        <v>-2</v>
      </c>
      <c r="O304" s="395">
        <f t="shared" si="113"/>
        <v>13</v>
      </c>
      <c r="P304" s="289">
        <f t="shared" si="114"/>
        <v>0</v>
      </c>
      <c r="Q304" s="460">
        <f>WEEKNUM(tblResultadosNBA[[#This Row],[Fecha]],2)</f>
        <v>49</v>
      </c>
      <c r="R304" s="460" t="str">
        <f>TEXT(tblResultadosNBA[[#This Row],[Fecha]],"mmm")</f>
        <v>dic</v>
      </c>
    </row>
    <row r="305" spans="1:18">
      <c r="A305" s="456">
        <v>45992</v>
      </c>
      <c r="B305" s="302" t="s">
        <v>784</v>
      </c>
      <c r="C305" s="177" t="str">
        <f t="shared" si="105"/>
        <v>LA Clippers</v>
      </c>
      <c r="D305" s="177">
        <v>117</v>
      </c>
      <c r="E305" s="336">
        <v>123</v>
      </c>
      <c r="F305" s="327">
        <f t="shared" si="106"/>
        <v>1</v>
      </c>
      <c r="G305" s="177" t="str">
        <f t="shared" si="107"/>
        <v>Miami Heat</v>
      </c>
      <c r="H305" s="177">
        <v>111</v>
      </c>
      <c r="I305" s="336">
        <v>140</v>
      </c>
      <c r="J305" s="327">
        <f t="shared" si="108"/>
        <v>1</v>
      </c>
      <c r="K305" s="177">
        <f t="shared" si="109"/>
        <v>228</v>
      </c>
      <c r="L305" s="336">
        <f t="shared" si="110"/>
        <v>263</v>
      </c>
      <c r="M305" s="327">
        <f t="shared" si="111"/>
        <v>1</v>
      </c>
      <c r="N305" s="337">
        <f t="shared" si="112"/>
        <v>-6</v>
      </c>
      <c r="O305" s="395">
        <f t="shared" si="113"/>
        <v>17</v>
      </c>
      <c r="P305" s="289">
        <f t="shared" si="114"/>
        <v>0</v>
      </c>
      <c r="Q305" s="460">
        <f>WEEKNUM(tblResultadosNBA[[#This Row],[Fecha]],2)</f>
        <v>49</v>
      </c>
      <c r="R305" s="460" t="str">
        <f>TEXT(tblResultadosNBA[[#This Row],[Fecha]],"mmm")</f>
        <v>dic</v>
      </c>
    </row>
    <row r="306" spans="1:18">
      <c r="A306" s="456">
        <v>45992</v>
      </c>
      <c r="B306" s="302" t="s">
        <v>130</v>
      </c>
      <c r="C306" s="177" t="str">
        <f t="shared" si="105"/>
        <v>Chicago Bulls</v>
      </c>
      <c r="D306" s="177">
        <v>117</v>
      </c>
      <c r="E306" s="336">
        <v>120</v>
      </c>
      <c r="F306" s="327">
        <f t="shared" si="106"/>
        <v>1</v>
      </c>
      <c r="G306" s="177" t="str">
        <f t="shared" si="107"/>
        <v>Orlando Magic</v>
      </c>
      <c r="H306" s="177">
        <v>122</v>
      </c>
      <c r="I306" s="336">
        <v>125</v>
      </c>
      <c r="J306" s="327">
        <f t="shared" si="108"/>
        <v>1</v>
      </c>
      <c r="K306" s="177">
        <f t="shared" si="109"/>
        <v>239</v>
      </c>
      <c r="L306" s="336">
        <f t="shared" si="110"/>
        <v>245</v>
      </c>
      <c r="M306" s="327">
        <f t="shared" si="111"/>
        <v>1</v>
      </c>
      <c r="N306" s="337">
        <f t="shared" si="112"/>
        <v>5</v>
      </c>
      <c r="O306" s="395">
        <f t="shared" si="113"/>
        <v>5</v>
      </c>
      <c r="P306" s="289">
        <f t="shared" si="114"/>
        <v>1</v>
      </c>
      <c r="Q306" s="460">
        <f>WEEKNUM(tblResultadosNBA[[#This Row],[Fecha]],2)</f>
        <v>49</v>
      </c>
      <c r="R306" s="460" t="str">
        <f>TEXT(tblResultadosNBA[[#This Row],[Fecha]],"mmm")</f>
        <v>dic</v>
      </c>
    </row>
    <row r="307" spans="1:18">
      <c r="A307" s="456">
        <v>45992</v>
      </c>
      <c r="B307" s="302" t="s">
        <v>508</v>
      </c>
      <c r="C307" s="177" t="str">
        <f t="shared" si="105"/>
        <v>Dallas Mavericks</v>
      </c>
      <c r="D307" s="177">
        <v>112</v>
      </c>
      <c r="E307" s="336">
        <v>131</v>
      </c>
      <c r="F307" s="327">
        <f t="shared" si="106"/>
        <v>1</v>
      </c>
      <c r="G307" s="177" t="str">
        <f t="shared" si="107"/>
        <v>Denver Nuggets</v>
      </c>
      <c r="H307" s="177">
        <v>108</v>
      </c>
      <c r="I307" s="336">
        <v>121</v>
      </c>
      <c r="J307" s="327">
        <f t="shared" si="108"/>
        <v>1</v>
      </c>
      <c r="K307" s="177">
        <f t="shared" si="109"/>
        <v>220</v>
      </c>
      <c r="L307" s="336">
        <f t="shared" si="110"/>
        <v>252</v>
      </c>
      <c r="M307" s="327">
        <f t="shared" si="111"/>
        <v>1</v>
      </c>
      <c r="N307" s="337">
        <f t="shared" si="112"/>
        <v>-4</v>
      </c>
      <c r="O307" s="395">
        <f t="shared" si="113"/>
        <v>-10</v>
      </c>
      <c r="P307" s="289">
        <f t="shared" si="114"/>
        <v>1</v>
      </c>
      <c r="Q307" s="460">
        <f>WEEKNUM(tblResultadosNBA[[#This Row],[Fecha]],2)</f>
        <v>49</v>
      </c>
      <c r="R307" s="460" t="str">
        <f>TEXT(tblResultadosNBA[[#This Row],[Fecha]],"mmm")</f>
        <v>dic</v>
      </c>
    </row>
    <row r="308" spans="1:18">
      <c r="A308" s="456">
        <v>45992</v>
      </c>
      <c r="B308" s="302" t="s">
        <v>121</v>
      </c>
      <c r="C308" s="177" t="str">
        <f t="shared" si="105"/>
        <v>Houston Rockets</v>
      </c>
      <c r="D308" s="177">
        <v>123</v>
      </c>
      <c r="E308" s="336">
        <v>125</v>
      </c>
      <c r="F308" s="327">
        <f t="shared" si="106"/>
        <v>1</v>
      </c>
      <c r="G308" s="177" t="str">
        <f t="shared" si="107"/>
        <v>Utah Jazz</v>
      </c>
      <c r="H308" s="177">
        <v>124</v>
      </c>
      <c r="I308" s="336">
        <v>133</v>
      </c>
      <c r="J308" s="327">
        <f t="shared" si="108"/>
        <v>1</v>
      </c>
      <c r="K308" s="177">
        <f t="shared" si="109"/>
        <v>247</v>
      </c>
      <c r="L308" s="336">
        <f t="shared" si="110"/>
        <v>258</v>
      </c>
      <c r="M308" s="327">
        <f t="shared" si="111"/>
        <v>1</v>
      </c>
      <c r="N308" s="337">
        <f t="shared" si="112"/>
        <v>1</v>
      </c>
      <c r="O308" s="395">
        <f t="shared" si="113"/>
        <v>8</v>
      </c>
      <c r="P308" s="289">
        <f t="shared" si="114"/>
        <v>1</v>
      </c>
      <c r="Q308" s="460">
        <f>WEEKNUM(tblResultadosNBA[[#This Row],[Fecha]],2)</f>
        <v>49</v>
      </c>
      <c r="R308" s="460" t="str">
        <f>TEXT(tblResultadosNBA[[#This Row],[Fecha]],"mmm")</f>
        <v>dic</v>
      </c>
    </row>
    <row r="309" spans="1:18">
      <c r="A309" s="456">
        <v>45992</v>
      </c>
      <c r="B309" s="331" t="s">
        <v>131</v>
      </c>
      <c r="C309" s="286" t="str">
        <f t="shared" si="105"/>
        <v>Phoenix Suns</v>
      </c>
      <c r="D309" s="286">
        <v>119</v>
      </c>
      <c r="E309" s="431">
        <v>125</v>
      </c>
      <c r="F309" s="332">
        <f t="shared" si="106"/>
        <v>1</v>
      </c>
      <c r="G309" s="286" t="str">
        <f t="shared" si="107"/>
        <v>Los Angeles Lakers</v>
      </c>
      <c r="H309" s="286">
        <v>124</v>
      </c>
      <c r="I309" s="431">
        <v>108</v>
      </c>
      <c r="J309" s="332">
        <f t="shared" si="108"/>
        <v>0</v>
      </c>
      <c r="K309" s="286">
        <f t="shared" si="109"/>
        <v>243</v>
      </c>
      <c r="L309" s="431">
        <f t="shared" si="110"/>
        <v>233</v>
      </c>
      <c r="M309" s="332">
        <f t="shared" si="111"/>
        <v>0</v>
      </c>
      <c r="N309" s="432">
        <f t="shared" si="112"/>
        <v>5</v>
      </c>
      <c r="O309" s="451">
        <f t="shared" si="113"/>
        <v>-17</v>
      </c>
      <c r="P309" s="433">
        <f t="shared" si="114"/>
        <v>0</v>
      </c>
      <c r="Q309" s="460">
        <f>WEEKNUM(tblResultadosNBA[[#This Row],[Fecha]],2)</f>
        <v>49</v>
      </c>
      <c r="R309" s="460" t="str">
        <f>TEXT(tblResultadosNBA[[#This Row],[Fecha]],"mmm")</f>
        <v>dic</v>
      </c>
    </row>
    <row r="310" spans="1:18">
      <c r="A310" s="456">
        <v>45993</v>
      </c>
      <c r="B310" s="422" t="s">
        <v>132</v>
      </c>
      <c r="C310" s="341" t="str">
        <f>LEFT(B310,FIND("@",B310)-2)</f>
        <v>Washington Wizards</v>
      </c>
      <c r="D310" s="341">
        <v>126</v>
      </c>
      <c r="E310" s="342">
        <v>102</v>
      </c>
      <c r="F310" s="333">
        <f>IF(E310&gt;D310, 1, 0)</f>
        <v>0</v>
      </c>
      <c r="G310" s="341" t="str">
        <f>MID(B310,FIND("@",B310)+2,LEN(B310)-FIND("@",B310)-1)</f>
        <v>Philadelphia 76ers</v>
      </c>
      <c r="H310" s="341">
        <v>130</v>
      </c>
      <c r="I310" s="342">
        <v>121</v>
      </c>
      <c r="J310" s="333">
        <f>IF(I310&gt;H310, 1, 0)</f>
        <v>0</v>
      </c>
      <c r="K310" s="341">
        <f>+D310+H310</f>
        <v>256</v>
      </c>
      <c r="L310" s="342">
        <f>E310+I310</f>
        <v>223</v>
      </c>
      <c r="M310" s="333">
        <f>IF(L310&gt;K310, 1, 0)</f>
        <v>0</v>
      </c>
      <c r="N310" s="343">
        <f>(+H310-D310)</f>
        <v>4</v>
      </c>
      <c r="O310" s="449">
        <f>I310-E310</f>
        <v>19</v>
      </c>
      <c r="P310" s="289">
        <f>IF(OR(AND(N310&gt;0,O310&gt;0),AND(N310&lt;0,O310&lt;0)),1,0)</f>
        <v>1</v>
      </c>
      <c r="Q310" s="460">
        <f>WEEKNUM(tblResultadosNBA[[#This Row],[Fecha]],2)</f>
        <v>49</v>
      </c>
      <c r="R310" s="460" t="str">
        <f>TEXT(tblResultadosNBA[[#This Row],[Fecha]],"mmm")</f>
        <v>dic</v>
      </c>
    </row>
    <row r="311" spans="1:18">
      <c r="A311" s="456">
        <v>45993</v>
      </c>
      <c r="B311" s="302" t="s">
        <v>133</v>
      </c>
      <c r="C311" s="177" t="str">
        <f t="shared" ref="C311:C314" si="115">LEFT(B311,FIND("@",B311)-2)</f>
        <v>Portland Trail Blazers</v>
      </c>
      <c r="D311" s="177">
        <v>113</v>
      </c>
      <c r="E311" s="336">
        <v>118</v>
      </c>
      <c r="F311" s="327">
        <f t="shared" ref="F311:F314" si="116">IF(E311&gt;D311, 1, 0)</f>
        <v>1</v>
      </c>
      <c r="G311" s="177" t="str">
        <f t="shared" ref="G311:G314" si="117">MID(B311,FIND("@",B311)+2,LEN(B311)-FIND("@",B311)-1)</f>
        <v>Toronto Raptors</v>
      </c>
      <c r="H311" s="177">
        <v>120</v>
      </c>
      <c r="I311" s="336">
        <v>121</v>
      </c>
      <c r="J311" s="327">
        <f t="shared" ref="J311:J314" si="118">IF(I311&gt;H311, 1, 0)</f>
        <v>1</v>
      </c>
      <c r="K311" s="177">
        <f t="shared" ref="K311:K314" si="119">+D311+H311</f>
        <v>233</v>
      </c>
      <c r="L311" s="336">
        <f t="shared" ref="L311:L314" si="120">E311+I311</f>
        <v>239</v>
      </c>
      <c r="M311" s="327">
        <f t="shared" ref="M311:M314" si="121">IF(L311&gt;K311, 1, 0)</f>
        <v>1</v>
      </c>
      <c r="N311" s="337">
        <f t="shared" ref="N311:N314" si="122">(+H311-D311)</f>
        <v>7</v>
      </c>
      <c r="O311" s="395">
        <f t="shared" ref="O311:O314" si="123">I311-E311</f>
        <v>3</v>
      </c>
      <c r="P311" s="289">
        <f t="shared" ref="P311:P314" si="124">IF(OR(AND(N311&gt;0,O311&gt;0),AND(N311&lt;0,O311&lt;0)),1,0)</f>
        <v>1</v>
      </c>
      <c r="Q311" s="460">
        <f>WEEKNUM(tblResultadosNBA[[#This Row],[Fecha]],2)</f>
        <v>49</v>
      </c>
      <c r="R311" s="460" t="str">
        <f>TEXT(tblResultadosNBA[[#This Row],[Fecha]],"mmm")</f>
        <v>dic</v>
      </c>
    </row>
    <row r="312" spans="1:18">
      <c r="A312" s="456">
        <v>45993</v>
      </c>
      <c r="B312" s="302" t="s">
        <v>134</v>
      </c>
      <c r="C312" s="177" t="str">
        <f t="shared" si="115"/>
        <v>New York Knicks</v>
      </c>
      <c r="D312" s="177">
        <v>107</v>
      </c>
      <c r="E312" s="336">
        <v>117</v>
      </c>
      <c r="F312" s="327">
        <f t="shared" si="116"/>
        <v>1</v>
      </c>
      <c r="G312" s="177" t="str">
        <f t="shared" si="117"/>
        <v>Boston Celtics</v>
      </c>
      <c r="H312" s="177">
        <v>126</v>
      </c>
      <c r="I312" s="336">
        <v>123</v>
      </c>
      <c r="J312" s="327">
        <f t="shared" si="118"/>
        <v>0</v>
      </c>
      <c r="K312" s="177">
        <f t="shared" si="119"/>
        <v>233</v>
      </c>
      <c r="L312" s="336">
        <f t="shared" si="120"/>
        <v>240</v>
      </c>
      <c r="M312" s="327">
        <f t="shared" si="121"/>
        <v>1</v>
      </c>
      <c r="N312" s="337">
        <f t="shared" si="122"/>
        <v>19</v>
      </c>
      <c r="O312" s="395">
        <f t="shared" si="123"/>
        <v>6</v>
      </c>
      <c r="P312" s="289">
        <f t="shared" si="124"/>
        <v>1</v>
      </c>
      <c r="Q312" s="460">
        <f>WEEKNUM(tblResultadosNBA[[#This Row],[Fecha]],2)</f>
        <v>49</v>
      </c>
      <c r="R312" s="460" t="str">
        <f>TEXT(tblResultadosNBA[[#This Row],[Fecha]],"mmm")</f>
        <v>dic</v>
      </c>
    </row>
    <row r="313" spans="1:18">
      <c r="A313" s="456">
        <v>45993</v>
      </c>
      <c r="B313" s="302" t="s">
        <v>135</v>
      </c>
      <c r="C313" s="177" t="str">
        <f t="shared" si="115"/>
        <v>Minnesota Timberwolves</v>
      </c>
      <c r="D313" s="177">
        <v>124</v>
      </c>
      <c r="E313" s="336">
        <v>149</v>
      </c>
      <c r="F313" s="327">
        <f t="shared" si="116"/>
        <v>1</v>
      </c>
      <c r="G313" s="177" t="str">
        <f t="shared" si="117"/>
        <v>New Orleans Pelicans</v>
      </c>
      <c r="H313" s="177">
        <v>135</v>
      </c>
      <c r="I313" s="336">
        <v>142</v>
      </c>
      <c r="J313" s="327">
        <f t="shared" si="118"/>
        <v>1</v>
      </c>
      <c r="K313" s="177">
        <f t="shared" si="119"/>
        <v>259</v>
      </c>
      <c r="L313" s="336">
        <f t="shared" si="120"/>
        <v>291</v>
      </c>
      <c r="M313" s="327">
        <f t="shared" si="121"/>
        <v>1</v>
      </c>
      <c r="N313" s="337">
        <f t="shared" si="122"/>
        <v>11</v>
      </c>
      <c r="O313" s="395">
        <f t="shared" si="123"/>
        <v>-7</v>
      </c>
      <c r="P313" s="289">
        <f t="shared" si="124"/>
        <v>0</v>
      </c>
      <c r="Q313" s="460">
        <f>WEEKNUM(tblResultadosNBA[[#This Row],[Fecha]],2)</f>
        <v>49</v>
      </c>
      <c r="R313" s="460" t="str">
        <f>TEXT(tblResultadosNBA[[#This Row],[Fecha]],"mmm")</f>
        <v>dic</v>
      </c>
    </row>
    <row r="314" spans="1:18">
      <c r="A314" s="456">
        <v>45993</v>
      </c>
      <c r="B314" s="302" t="s">
        <v>78</v>
      </c>
      <c r="C314" s="177" t="str">
        <f t="shared" si="115"/>
        <v>Memphis Grizzlies</v>
      </c>
      <c r="D314" s="177">
        <v>114</v>
      </c>
      <c r="E314" s="336">
        <v>119</v>
      </c>
      <c r="F314" s="327">
        <f t="shared" si="116"/>
        <v>1</v>
      </c>
      <c r="G314" s="177" t="str">
        <f t="shared" si="117"/>
        <v>San Antonio Spurs</v>
      </c>
      <c r="H314" s="177">
        <v>127</v>
      </c>
      <c r="I314" s="336">
        <v>126</v>
      </c>
      <c r="J314" s="327">
        <f t="shared" si="118"/>
        <v>0</v>
      </c>
      <c r="K314" s="177">
        <f t="shared" si="119"/>
        <v>241</v>
      </c>
      <c r="L314" s="336">
        <f t="shared" si="120"/>
        <v>245</v>
      </c>
      <c r="M314" s="327">
        <f t="shared" si="121"/>
        <v>1</v>
      </c>
      <c r="N314" s="337">
        <f t="shared" si="122"/>
        <v>13</v>
      </c>
      <c r="O314" s="395">
        <f t="shared" si="123"/>
        <v>7</v>
      </c>
      <c r="P314" s="289">
        <f t="shared" si="124"/>
        <v>1</v>
      </c>
      <c r="Q314" s="460">
        <f>WEEKNUM(tblResultadosNBA[[#This Row],[Fecha]],2)</f>
        <v>49</v>
      </c>
      <c r="R314" s="460" t="str">
        <f>TEXT(tblResultadosNBA[[#This Row],[Fecha]],"mmm")</f>
        <v>dic</v>
      </c>
    </row>
    <row r="315" spans="1:18">
      <c r="A315" s="445">
        <v>45993</v>
      </c>
      <c r="B315" s="331" t="s">
        <v>136</v>
      </c>
      <c r="C315" s="286" t="str">
        <f>LEFT(B315,FIND("@",B315)-2)</f>
        <v>Oklahoma City Thunder</v>
      </c>
      <c r="D315" s="286">
        <v>120</v>
      </c>
      <c r="E315" s="431">
        <v>124</v>
      </c>
      <c r="F315" s="332">
        <f>IF(E315&gt;D315, 1, 0)</f>
        <v>1</v>
      </c>
      <c r="G315" s="286" t="str">
        <f>MID(B315,FIND("@",B315)+2,LEN(B315)-FIND("@",B315)-1)</f>
        <v>Golden State Warriors</v>
      </c>
      <c r="H315" s="286">
        <v>123</v>
      </c>
      <c r="I315" s="431">
        <v>112</v>
      </c>
      <c r="J315" s="332">
        <f>IF(I315&gt;H315, 1, 0)</f>
        <v>0</v>
      </c>
      <c r="K315" s="286">
        <f>+D315+H315</f>
        <v>243</v>
      </c>
      <c r="L315" s="431">
        <f>E315+I315</f>
        <v>236</v>
      </c>
      <c r="M315" s="332">
        <f>IF(L315&gt;K315, 1, 0)</f>
        <v>0</v>
      </c>
      <c r="N315" s="432">
        <f>(+H315-D315)</f>
        <v>3</v>
      </c>
      <c r="O315" s="451">
        <f>I315-E315</f>
        <v>-12</v>
      </c>
      <c r="P315" s="433">
        <f>IF(OR(AND(N315&gt;0,O315&gt;0),AND(N315&lt;0,O315&lt;0)),1,0)</f>
        <v>0</v>
      </c>
      <c r="Q315" s="460">
        <f>WEEKNUM(tblResultadosNBA[[#This Row],[Fecha]],2)</f>
        <v>49</v>
      </c>
      <c r="R315" s="460" t="str">
        <f>TEXT(tblResultadosNBA[[#This Row],[Fecha]],"mmm")</f>
        <v>dic</v>
      </c>
    </row>
    <row r="316" spans="1:18">
      <c r="A316" s="476">
        <v>45994</v>
      </c>
      <c r="B316" s="422" t="s">
        <v>137</v>
      </c>
      <c r="C316" s="341" t="str">
        <f t="shared" ref="C316:C318" si="125">LEFT(B316,FIND("@",B316)-2)</f>
        <v>Portland Trail Blazers</v>
      </c>
      <c r="D316" s="341">
        <v>127</v>
      </c>
      <c r="E316" s="342">
        <v>122</v>
      </c>
      <c r="F316" s="333">
        <f t="shared" ref="F316:F318" si="126">IF(E316&gt;D316, 1, 0)</f>
        <v>0</v>
      </c>
      <c r="G316" s="341" t="str">
        <f t="shared" ref="G316:G318" si="127">MID(B316,FIND("@",B316)+2,LEN(B316)-FIND("@",B316)-1)</f>
        <v>Cleveland Cavaliers</v>
      </c>
      <c r="H316" s="341">
        <v>120</v>
      </c>
      <c r="I316" s="342">
        <v>110</v>
      </c>
      <c r="J316" s="333">
        <f t="shared" ref="J316:J318" si="128">IF(I316&gt;H316, 1, 0)</f>
        <v>0</v>
      </c>
      <c r="K316" s="341">
        <f t="shared" ref="K316:K318" si="129">+D316+H316</f>
        <v>247</v>
      </c>
      <c r="L316" s="342">
        <f t="shared" ref="L316:L318" si="130">E316+I316</f>
        <v>232</v>
      </c>
      <c r="M316" s="333">
        <f t="shared" ref="M316:M318" si="131">IF(L316&gt;K316, 1, 0)</f>
        <v>0</v>
      </c>
      <c r="N316" s="343">
        <f t="shared" ref="N316:N318" si="132">(+H316-D316)</f>
        <v>-7</v>
      </c>
      <c r="O316" s="449">
        <f t="shared" ref="O316:O318" si="133">I316-E316</f>
        <v>-12</v>
      </c>
      <c r="P316" s="289">
        <f t="shared" ref="P316:P318" si="134">IF(OR(AND(N316&gt;0,O316&gt;0),AND(N316&lt;0,O316&lt;0)),1,0)</f>
        <v>1</v>
      </c>
      <c r="Q316" s="460">
        <f>WEEKNUM(tblResultadosNBA[[#This Row],[Fecha]],2)</f>
        <v>49</v>
      </c>
      <c r="R316" s="460" t="str">
        <f>TEXT(tblResultadosNBA[[#This Row],[Fecha]],"mmm")</f>
        <v>dic</v>
      </c>
    </row>
    <row r="317" spans="1:18">
      <c r="A317" s="456">
        <v>45994</v>
      </c>
      <c r="B317" s="302" t="s">
        <v>138</v>
      </c>
      <c r="C317" s="177" t="str">
        <f t="shared" si="125"/>
        <v>Denver Nuggets</v>
      </c>
      <c r="D317" s="177">
        <v>120</v>
      </c>
      <c r="E317" s="336">
        <v>135</v>
      </c>
      <c r="F317" s="327">
        <f t="shared" si="126"/>
        <v>1</v>
      </c>
      <c r="G317" s="177" t="str">
        <f t="shared" si="127"/>
        <v>Indiana Pacers</v>
      </c>
      <c r="H317" s="177">
        <v>117</v>
      </c>
      <c r="I317" s="336">
        <v>120</v>
      </c>
      <c r="J317" s="327">
        <f t="shared" si="128"/>
        <v>1</v>
      </c>
      <c r="K317" s="177">
        <f t="shared" si="129"/>
        <v>237</v>
      </c>
      <c r="L317" s="336">
        <f t="shared" si="130"/>
        <v>255</v>
      </c>
      <c r="M317" s="327">
        <f t="shared" si="131"/>
        <v>1</v>
      </c>
      <c r="N317" s="337">
        <f t="shared" si="132"/>
        <v>-3</v>
      </c>
      <c r="O317" s="395">
        <f t="shared" si="133"/>
        <v>-15</v>
      </c>
      <c r="P317" s="289">
        <f t="shared" si="134"/>
        <v>1</v>
      </c>
      <c r="Q317" s="460">
        <f>WEEKNUM(tblResultadosNBA[[#This Row],[Fecha]],2)</f>
        <v>49</v>
      </c>
      <c r="R317" s="460" t="str">
        <f>TEXT(tblResultadosNBA[[#This Row],[Fecha]],"mmm")</f>
        <v>dic</v>
      </c>
    </row>
    <row r="318" spans="1:18">
      <c r="A318" s="456">
        <v>45994</v>
      </c>
      <c r="B318" s="302" t="s">
        <v>785</v>
      </c>
      <c r="C318" s="177" t="str">
        <f t="shared" si="125"/>
        <v>San Antonio Spurs</v>
      </c>
      <c r="D318" s="177">
        <v>114</v>
      </c>
      <c r="E318" s="336">
        <v>114</v>
      </c>
      <c r="F318" s="327">
        <f t="shared" si="126"/>
        <v>0</v>
      </c>
      <c r="G318" s="177" t="str">
        <f t="shared" si="127"/>
        <v>Orlando Magic</v>
      </c>
      <c r="H318" s="177">
        <v>116</v>
      </c>
      <c r="I318" s="336">
        <v>112</v>
      </c>
      <c r="J318" s="327">
        <f t="shared" si="128"/>
        <v>0</v>
      </c>
      <c r="K318" s="177">
        <f t="shared" si="129"/>
        <v>230</v>
      </c>
      <c r="L318" s="336">
        <f t="shared" si="130"/>
        <v>226</v>
      </c>
      <c r="M318" s="327">
        <f t="shared" si="131"/>
        <v>0</v>
      </c>
      <c r="N318" s="337">
        <f t="shared" si="132"/>
        <v>2</v>
      </c>
      <c r="O318" s="395">
        <f t="shared" si="133"/>
        <v>-2</v>
      </c>
      <c r="P318" s="289">
        <f t="shared" si="134"/>
        <v>0</v>
      </c>
      <c r="Q318" s="460">
        <f>WEEKNUM(tblResultadosNBA[[#This Row],[Fecha]],2)</f>
        <v>49</v>
      </c>
      <c r="R318" s="460" t="str">
        <f>TEXT(tblResultadosNBA[[#This Row],[Fecha]],"mmm")</f>
        <v>dic</v>
      </c>
    </row>
    <row r="319" spans="1:18">
      <c r="A319" s="456">
        <v>45994</v>
      </c>
      <c r="B319" s="302" t="s">
        <v>139</v>
      </c>
      <c r="C319" s="177" t="str">
        <f t="shared" ref="C319:C321" si="135">LEFT(B319,FIND("@",B319)-2)</f>
        <v>LA Clippers</v>
      </c>
      <c r="D319" s="177">
        <v>117</v>
      </c>
      <c r="E319" s="336">
        <v>115</v>
      </c>
      <c r="F319" s="327">
        <f t="shared" ref="F319:F321" si="136">IF(E319&gt;D319, 1, 0)</f>
        <v>0</v>
      </c>
      <c r="G319" s="177" t="str">
        <f t="shared" ref="G319:G321" si="137">MID(B319,FIND("@",B319)+2,LEN(B319)-FIND("@",B319)-1)</f>
        <v>Atlanta Hawks</v>
      </c>
      <c r="H319" s="177">
        <v>123</v>
      </c>
      <c r="I319" s="336">
        <v>92</v>
      </c>
      <c r="J319" s="327">
        <f t="shared" ref="J319:J321" si="138">IF(I319&gt;H319, 1, 0)</f>
        <v>0</v>
      </c>
      <c r="K319" s="177">
        <f t="shared" ref="K319:K321" si="139">+D319+H319</f>
        <v>240</v>
      </c>
      <c r="L319" s="336">
        <f t="shared" ref="L319:L321" si="140">E319+I319</f>
        <v>207</v>
      </c>
      <c r="M319" s="327">
        <f t="shared" ref="M319:M321" si="141">IF(L319&gt;K319, 1, 0)</f>
        <v>0</v>
      </c>
      <c r="N319" s="337">
        <f t="shared" ref="N319:N321" si="142">(+H319-D319)</f>
        <v>6</v>
      </c>
      <c r="O319" s="395">
        <f t="shared" ref="O319:O321" si="143">I319-E319</f>
        <v>-23</v>
      </c>
      <c r="P319" s="289">
        <f t="shared" ref="P319:P321" si="144">IF(OR(AND(N319&gt;0,O319&gt;0),AND(N319&lt;0,O319&lt;0)),1,0)</f>
        <v>0</v>
      </c>
      <c r="Q319" s="460">
        <f>WEEKNUM(tblResultadosNBA[[#This Row],[Fecha]],2)</f>
        <v>49</v>
      </c>
      <c r="R319" s="460" t="str">
        <f>TEXT(tblResultadosNBA[[#This Row],[Fecha]],"mmm")</f>
        <v>dic</v>
      </c>
    </row>
    <row r="320" spans="1:18">
      <c r="A320" s="456">
        <v>45994</v>
      </c>
      <c r="B320" s="302" t="s">
        <v>140</v>
      </c>
      <c r="C320" s="177" t="str">
        <f t="shared" si="135"/>
        <v>Charlotte Hornets</v>
      </c>
      <c r="D320" s="177">
        <v>116</v>
      </c>
      <c r="E320" s="336">
        <v>104</v>
      </c>
      <c r="F320" s="327">
        <f t="shared" si="136"/>
        <v>0</v>
      </c>
      <c r="G320" s="177" t="str">
        <f t="shared" si="137"/>
        <v>New York Knicks</v>
      </c>
      <c r="H320" s="177">
        <v>127</v>
      </c>
      <c r="I320" s="336">
        <v>119</v>
      </c>
      <c r="J320" s="327">
        <f t="shared" si="138"/>
        <v>0</v>
      </c>
      <c r="K320" s="177">
        <f t="shared" si="139"/>
        <v>243</v>
      </c>
      <c r="L320" s="336">
        <f t="shared" si="140"/>
        <v>223</v>
      </c>
      <c r="M320" s="327">
        <f t="shared" si="141"/>
        <v>0</v>
      </c>
      <c r="N320" s="337">
        <f t="shared" si="142"/>
        <v>11</v>
      </c>
      <c r="O320" s="395">
        <f t="shared" si="143"/>
        <v>15</v>
      </c>
      <c r="P320" s="289">
        <f t="shared" si="144"/>
        <v>1</v>
      </c>
      <c r="Q320" s="460">
        <f>WEEKNUM(tblResultadosNBA[[#This Row],[Fecha]],2)</f>
        <v>49</v>
      </c>
      <c r="R320" s="460" t="str">
        <f>TEXT(tblResultadosNBA[[#This Row],[Fecha]],"mmm")</f>
        <v>dic</v>
      </c>
    </row>
    <row r="321" spans="1:18">
      <c r="A321" s="456">
        <v>45994</v>
      </c>
      <c r="B321" s="302" t="s">
        <v>141</v>
      </c>
      <c r="C321" s="177" t="str">
        <f t="shared" si="135"/>
        <v>Brooklyn Nets</v>
      </c>
      <c r="D321" s="177">
        <v>111</v>
      </c>
      <c r="E321" s="336">
        <v>113</v>
      </c>
      <c r="F321" s="327">
        <f t="shared" si="136"/>
        <v>1</v>
      </c>
      <c r="G321" s="177" t="str">
        <f t="shared" si="137"/>
        <v>Chicago Bulls</v>
      </c>
      <c r="H321" s="177">
        <v>119</v>
      </c>
      <c r="I321" s="336">
        <v>103</v>
      </c>
      <c r="J321" s="327">
        <f t="shared" si="138"/>
        <v>0</v>
      </c>
      <c r="K321" s="177">
        <f t="shared" si="139"/>
        <v>230</v>
      </c>
      <c r="L321" s="336">
        <f t="shared" si="140"/>
        <v>216</v>
      </c>
      <c r="M321" s="327">
        <f t="shared" si="141"/>
        <v>0</v>
      </c>
      <c r="N321" s="337">
        <f t="shared" si="142"/>
        <v>8</v>
      </c>
      <c r="O321" s="395">
        <f t="shared" si="143"/>
        <v>-10</v>
      </c>
      <c r="P321" s="289">
        <f t="shared" si="144"/>
        <v>0</v>
      </c>
      <c r="Q321" s="460">
        <f>WEEKNUM(tblResultadosNBA[[#This Row],[Fecha]],2)</f>
        <v>49</v>
      </c>
      <c r="R321" s="460" t="str">
        <f>TEXT(tblResultadosNBA[[#This Row],[Fecha]],"mmm")</f>
        <v>dic</v>
      </c>
    </row>
    <row r="322" spans="1:18">
      <c r="A322" s="456">
        <v>45994</v>
      </c>
      <c r="B322" s="302" t="s">
        <v>142</v>
      </c>
      <c r="C322" s="177" t="str">
        <f t="shared" ref="C322:C324" si="145">LEFT(B322,FIND("@",B322)-2)</f>
        <v>Sacramento Kings</v>
      </c>
      <c r="D322" s="177">
        <v>113</v>
      </c>
      <c r="E322" s="336">
        <v>95</v>
      </c>
      <c r="F322" s="327">
        <f t="shared" ref="F322:F324" si="146">IF(E322&gt;D322, 1, 0)</f>
        <v>0</v>
      </c>
      <c r="G322" s="177" t="str">
        <f t="shared" ref="G322:G324" si="147">MID(B322,FIND("@",B322)+2,LEN(B322)-FIND("@",B322)-1)</f>
        <v>Houston Rockets</v>
      </c>
      <c r="H322" s="177">
        <v>119</v>
      </c>
      <c r="I322" s="336">
        <v>121</v>
      </c>
      <c r="J322" s="327">
        <f t="shared" ref="J322:J324" si="148">IF(I322&gt;H322, 1, 0)</f>
        <v>1</v>
      </c>
      <c r="K322" s="177">
        <f t="shared" ref="K322:K324" si="149">+D322+H322</f>
        <v>232</v>
      </c>
      <c r="L322" s="336">
        <f t="shared" ref="L322:L324" si="150">E322+I322</f>
        <v>216</v>
      </c>
      <c r="M322" s="327">
        <f t="shared" ref="M322:M324" si="151">IF(L322&gt;K322, 1, 0)</f>
        <v>0</v>
      </c>
      <c r="N322" s="337">
        <f t="shared" ref="N322:N324" si="152">(+H322-D322)</f>
        <v>6</v>
      </c>
      <c r="O322" s="395">
        <f t="shared" ref="O322:O324" si="153">I322-E322</f>
        <v>26</v>
      </c>
      <c r="P322" s="289">
        <f t="shared" ref="P322:P324" si="154">IF(OR(AND(N322&gt;0,O322&gt;0),AND(N322&lt;0,O322&lt;0)),1,0)</f>
        <v>1</v>
      </c>
      <c r="Q322" s="460">
        <f>WEEKNUM(tblResultadosNBA[[#This Row],[Fecha]],2)</f>
        <v>49</v>
      </c>
      <c r="R322" s="460" t="str">
        <f>TEXT(tblResultadosNBA[[#This Row],[Fecha]],"mmm")</f>
        <v>dic</v>
      </c>
    </row>
    <row r="323" spans="1:18">
      <c r="A323" s="456">
        <v>45994</v>
      </c>
      <c r="B323" s="302" t="s">
        <v>91</v>
      </c>
      <c r="C323" s="177" t="str">
        <f t="shared" si="145"/>
        <v>Detroit Pistons</v>
      </c>
      <c r="D323" s="177">
        <v>104</v>
      </c>
      <c r="E323" s="336">
        <v>109</v>
      </c>
      <c r="F323" s="327">
        <f t="shared" si="146"/>
        <v>1</v>
      </c>
      <c r="G323" s="177" t="str">
        <f t="shared" si="147"/>
        <v>Milwaukee Bucks</v>
      </c>
      <c r="H323" s="177">
        <v>122</v>
      </c>
      <c r="I323" s="336">
        <v>113</v>
      </c>
      <c r="J323" s="327">
        <f t="shared" si="148"/>
        <v>0</v>
      </c>
      <c r="K323" s="177">
        <f t="shared" si="149"/>
        <v>226</v>
      </c>
      <c r="L323" s="336">
        <f t="shared" si="150"/>
        <v>222</v>
      </c>
      <c r="M323" s="327">
        <f t="shared" si="151"/>
        <v>0</v>
      </c>
      <c r="N323" s="337">
        <f t="shared" si="152"/>
        <v>18</v>
      </c>
      <c r="O323" s="395">
        <f t="shared" si="153"/>
        <v>4</v>
      </c>
      <c r="P323" s="289">
        <f t="shared" si="154"/>
        <v>1</v>
      </c>
      <c r="Q323" s="460">
        <f>WEEKNUM(tblResultadosNBA[[#This Row],[Fecha]],2)</f>
        <v>49</v>
      </c>
      <c r="R323" s="460" t="str">
        <f>TEXT(tblResultadosNBA[[#This Row],[Fecha]],"mmm")</f>
        <v>dic</v>
      </c>
    </row>
    <row r="324" spans="1:18">
      <c r="A324" s="445">
        <v>45994</v>
      </c>
      <c r="B324" s="331" t="s">
        <v>143</v>
      </c>
      <c r="C324" s="286" t="str">
        <f t="shared" si="145"/>
        <v>Miami Heat</v>
      </c>
      <c r="D324" s="286">
        <v>122</v>
      </c>
      <c r="E324" s="431">
        <v>108</v>
      </c>
      <c r="F324" s="332">
        <f t="shared" si="146"/>
        <v>0</v>
      </c>
      <c r="G324" s="286" t="str">
        <f t="shared" si="147"/>
        <v>Dallas Mavericks</v>
      </c>
      <c r="H324" s="286">
        <v>117</v>
      </c>
      <c r="I324" s="431">
        <v>118</v>
      </c>
      <c r="J324" s="332">
        <f t="shared" si="148"/>
        <v>1</v>
      </c>
      <c r="K324" s="286">
        <f t="shared" si="149"/>
        <v>239</v>
      </c>
      <c r="L324" s="431">
        <f t="shared" si="150"/>
        <v>226</v>
      </c>
      <c r="M324" s="332">
        <f t="shared" si="151"/>
        <v>0</v>
      </c>
      <c r="N324" s="432">
        <f t="shared" si="152"/>
        <v>-5</v>
      </c>
      <c r="O324" s="451">
        <f t="shared" si="153"/>
        <v>10</v>
      </c>
      <c r="P324" s="433">
        <f t="shared" si="154"/>
        <v>0</v>
      </c>
      <c r="Q324" s="460">
        <f>WEEKNUM(tblResultadosNBA[[#This Row],[Fecha]],2)</f>
        <v>49</v>
      </c>
      <c r="R324" s="460" t="str">
        <f>TEXT(tblResultadosNBA[[#This Row],[Fecha]],"mmm")</f>
        <v>dic</v>
      </c>
    </row>
    <row r="325" spans="1:18">
      <c r="A325" s="476">
        <v>45995</v>
      </c>
      <c r="B325" s="422" t="s">
        <v>144</v>
      </c>
      <c r="C325" s="341" t="str">
        <f t="shared" ref="C325:C329" si="155">LEFT(B325,FIND("@",B325)-2)</f>
        <v>Golden State Warriors</v>
      </c>
      <c r="D325" s="341">
        <v>126</v>
      </c>
      <c r="E325" s="342">
        <v>98</v>
      </c>
      <c r="F325" s="333">
        <f t="shared" ref="F325:F329" si="156">IF(E325&gt;D325, 1, 0)</f>
        <v>0</v>
      </c>
      <c r="G325" s="341" t="str">
        <f t="shared" ref="G325:G329" si="157">MID(B325,FIND("@",B325)+2,LEN(B325)-FIND("@",B325)-1)</f>
        <v>Philadelphia 76ers</v>
      </c>
      <c r="H325" s="341">
        <v>130</v>
      </c>
      <c r="I325" s="342">
        <v>99</v>
      </c>
      <c r="J325" s="333">
        <f t="shared" ref="J325:J329" si="158">IF(I325&gt;H325, 1, 0)</f>
        <v>0</v>
      </c>
      <c r="K325" s="341">
        <f t="shared" ref="K325:K329" si="159">+D325+H325</f>
        <v>256</v>
      </c>
      <c r="L325" s="342">
        <f t="shared" ref="L325:L329" si="160">E325+I325</f>
        <v>197</v>
      </c>
      <c r="M325" s="333">
        <f t="shared" ref="M325:M329" si="161">IF(L325&gt;K325, 1, 0)</f>
        <v>0</v>
      </c>
      <c r="N325" s="343">
        <f t="shared" ref="N325:N329" si="162">(+H325-D325)</f>
        <v>4</v>
      </c>
      <c r="O325" s="449">
        <f t="shared" ref="O325:O329" si="163">I325-E325</f>
        <v>1</v>
      </c>
      <c r="P325" s="289">
        <f t="shared" ref="P325:P329" si="164">IF(OR(AND(N325&gt;0,O325&gt;0),AND(N325&lt;0,O325&lt;0)),1,0)</f>
        <v>1</v>
      </c>
      <c r="Q325" s="460">
        <f>WEEKNUM(tblResultadosNBA[[#This Row],[Fecha]],2)</f>
        <v>49</v>
      </c>
      <c r="R325" s="460" t="str">
        <f>TEXT(tblResultadosNBA[[#This Row],[Fecha]],"mmm")</f>
        <v>dic</v>
      </c>
    </row>
    <row r="326" spans="1:18">
      <c r="A326" s="456">
        <v>45995</v>
      </c>
      <c r="B326" s="302" t="s">
        <v>145</v>
      </c>
      <c r="C326" s="177" t="str">
        <f t="shared" si="155"/>
        <v>Boston Celtics</v>
      </c>
      <c r="D326" s="177">
        <v>122</v>
      </c>
      <c r="E326" s="336">
        <v>146</v>
      </c>
      <c r="F326" s="327">
        <f t="shared" si="156"/>
        <v>1</v>
      </c>
      <c r="G326" s="177" t="str">
        <f t="shared" si="157"/>
        <v>Washington Wizards</v>
      </c>
      <c r="H326" s="177">
        <v>124</v>
      </c>
      <c r="I326" s="336">
        <v>101</v>
      </c>
      <c r="J326" s="327">
        <f t="shared" si="158"/>
        <v>0</v>
      </c>
      <c r="K326" s="177">
        <f t="shared" si="159"/>
        <v>246</v>
      </c>
      <c r="L326" s="336">
        <f t="shared" si="160"/>
        <v>247</v>
      </c>
      <c r="M326" s="327">
        <f t="shared" si="161"/>
        <v>1</v>
      </c>
      <c r="N326" s="337">
        <f t="shared" si="162"/>
        <v>2</v>
      </c>
      <c r="O326" s="395">
        <f t="shared" si="163"/>
        <v>-45</v>
      </c>
      <c r="P326" s="289">
        <f t="shared" si="164"/>
        <v>0</v>
      </c>
      <c r="Q326" s="460">
        <f>WEEKNUM(tblResultadosNBA[[#This Row],[Fecha]],2)</f>
        <v>49</v>
      </c>
      <c r="R326" s="460" t="str">
        <f>TEXT(tblResultadosNBA[[#This Row],[Fecha]],"mmm")</f>
        <v>dic</v>
      </c>
    </row>
    <row r="327" spans="1:18">
      <c r="A327" s="456">
        <v>45995</v>
      </c>
      <c r="B327" s="302" t="s">
        <v>146</v>
      </c>
      <c r="C327" s="177" t="str">
        <f t="shared" si="155"/>
        <v>Utah Jazz</v>
      </c>
      <c r="D327" s="177">
        <v>110</v>
      </c>
      <c r="E327" s="336">
        <v>123</v>
      </c>
      <c r="F327" s="327">
        <f t="shared" si="156"/>
        <v>1</v>
      </c>
      <c r="G327" s="177" t="str">
        <f t="shared" si="157"/>
        <v>Brooklyn Nets</v>
      </c>
      <c r="H327" s="177">
        <v>119</v>
      </c>
      <c r="I327" s="336">
        <v>110</v>
      </c>
      <c r="J327" s="327">
        <f t="shared" si="158"/>
        <v>0</v>
      </c>
      <c r="K327" s="177">
        <f t="shared" si="159"/>
        <v>229</v>
      </c>
      <c r="L327" s="336">
        <f t="shared" si="160"/>
        <v>233</v>
      </c>
      <c r="M327" s="327">
        <f t="shared" si="161"/>
        <v>1</v>
      </c>
      <c r="N327" s="337">
        <f t="shared" si="162"/>
        <v>9</v>
      </c>
      <c r="O327" s="395">
        <f t="shared" si="163"/>
        <v>-13</v>
      </c>
      <c r="P327" s="289">
        <f t="shared" si="164"/>
        <v>0</v>
      </c>
      <c r="Q327" s="460">
        <f>WEEKNUM(tblResultadosNBA[[#This Row],[Fecha]],2)</f>
        <v>49</v>
      </c>
      <c r="R327" s="460" t="str">
        <f>TEXT(tblResultadosNBA[[#This Row],[Fecha]],"mmm")</f>
        <v>dic</v>
      </c>
    </row>
    <row r="328" spans="1:18">
      <c r="A328" s="456">
        <v>45995</v>
      </c>
      <c r="B328" s="302" t="s">
        <v>147</v>
      </c>
      <c r="C328" s="177" t="str">
        <f t="shared" si="155"/>
        <v>Los Angeles Lakers</v>
      </c>
      <c r="D328" s="177">
        <v>115</v>
      </c>
      <c r="E328" s="336">
        <v>123</v>
      </c>
      <c r="F328" s="327">
        <f t="shared" si="156"/>
        <v>1</v>
      </c>
      <c r="G328" s="177" t="str">
        <f t="shared" si="157"/>
        <v>Toronto Raptors</v>
      </c>
      <c r="H328" s="177">
        <v>121</v>
      </c>
      <c r="I328" s="336">
        <v>120</v>
      </c>
      <c r="J328" s="327">
        <f t="shared" si="158"/>
        <v>0</v>
      </c>
      <c r="K328" s="177">
        <f t="shared" si="159"/>
        <v>236</v>
      </c>
      <c r="L328" s="336">
        <f t="shared" si="160"/>
        <v>243</v>
      </c>
      <c r="M328" s="327">
        <f t="shared" si="161"/>
        <v>1</v>
      </c>
      <c r="N328" s="337">
        <f t="shared" si="162"/>
        <v>6</v>
      </c>
      <c r="O328" s="395">
        <f t="shared" si="163"/>
        <v>-3</v>
      </c>
      <c r="P328" s="289">
        <f t="shared" si="164"/>
        <v>0</v>
      </c>
      <c r="Q328" s="460">
        <f>WEEKNUM(tblResultadosNBA[[#This Row],[Fecha]],2)</f>
        <v>49</v>
      </c>
      <c r="R328" s="460" t="str">
        <f>TEXT(tblResultadosNBA[[#This Row],[Fecha]],"mmm")</f>
        <v>dic</v>
      </c>
    </row>
    <row r="329" spans="1:18">
      <c r="A329" s="445">
        <v>45995</v>
      </c>
      <c r="B329" s="331" t="s">
        <v>135</v>
      </c>
      <c r="C329" s="286" t="str">
        <f t="shared" si="155"/>
        <v>Minnesota Timberwolves</v>
      </c>
      <c r="D329" s="286">
        <v>120</v>
      </c>
      <c r="E329" s="431">
        <v>125</v>
      </c>
      <c r="F329" s="332">
        <f t="shared" si="156"/>
        <v>1</v>
      </c>
      <c r="G329" s="286" t="str">
        <f t="shared" si="157"/>
        <v>New Orleans Pelicans</v>
      </c>
      <c r="H329" s="286">
        <v>128</v>
      </c>
      <c r="I329" s="431">
        <v>116</v>
      </c>
      <c r="J329" s="332">
        <f t="shared" si="158"/>
        <v>0</v>
      </c>
      <c r="K329" s="286">
        <f t="shared" si="159"/>
        <v>248</v>
      </c>
      <c r="L329" s="431">
        <f t="shared" si="160"/>
        <v>241</v>
      </c>
      <c r="M329" s="332">
        <f t="shared" si="161"/>
        <v>0</v>
      </c>
      <c r="N329" s="432">
        <f t="shared" si="162"/>
        <v>8</v>
      </c>
      <c r="O329" s="451">
        <f t="shared" si="163"/>
        <v>-9</v>
      </c>
      <c r="P329" s="433">
        <f t="shared" si="164"/>
        <v>0</v>
      </c>
      <c r="Q329" s="460">
        <f>WEEKNUM(tblResultadosNBA[[#This Row],[Fecha]],2)</f>
        <v>49</v>
      </c>
      <c r="R329" s="460" t="str">
        <f>TEXT(tblResultadosNBA[[#This Row],[Fecha]],"mmm")</f>
        <v>dic</v>
      </c>
    </row>
    <row r="330" spans="1:18">
      <c r="A330" s="476">
        <v>45996</v>
      </c>
      <c r="B330" s="422" t="s">
        <v>148</v>
      </c>
      <c r="C330" s="341" t="str">
        <f t="shared" ref="C330:C336" si="165">LEFT(B330,FIND("@",B330)-2)</f>
        <v>Los Angeles Lakers</v>
      </c>
      <c r="D330" s="341">
        <v>123</v>
      </c>
      <c r="E330" s="342">
        <v>105</v>
      </c>
      <c r="F330" s="333">
        <f t="shared" ref="F330:F336" si="166">IF(E330&gt;D330, 1, 0)</f>
        <v>0</v>
      </c>
      <c r="G330" s="341" t="str">
        <f t="shared" ref="G330:G336" si="167">MID(B330,FIND("@",B330)+2,LEN(B330)-FIND("@",B330)-1)</f>
        <v>Boston Celtics</v>
      </c>
      <c r="H330" s="341">
        <v>117</v>
      </c>
      <c r="I330" s="342">
        <v>126</v>
      </c>
      <c r="J330" s="333">
        <f t="shared" ref="J330:J336" si="168">IF(I330&gt;H330, 1, 0)</f>
        <v>1</v>
      </c>
      <c r="K330" s="341">
        <f t="shared" ref="K330:K336" si="169">+D330+H330</f>
        <v>240</v>
      </c>
      <c r="L330" s="342">
        <f t="shared" ref="L330:L336" si="170">E330+I330</f>
        <v>231</v>
      </c>
      <c r="M330" s="333">
        <f t="shared" ref="M330:M336" si="171">IF(L330&gt;K330, 1, 0)</f>
        <v>0</v>
      </c>
      <c r="N330" s="343">
        <f t="shared" ref="N330:N336" si="172">(+H330-D330)</f>
        <v>-6</v>
      </c>
      <c r="O330" s="449">
        <f t="shared" ref="O330:O336" si="173">I330-E330</f>
        <v>21</v>
      </c>
      <c r="P330" s="289">
        <f t="shared" ref="P330:P336" si="174">IF(OR(AND(N330&gt;0,O330&gt;0),AND(N330&lt;0,O330&lt;0)),1,0)</f>
        <v>0</v>
      </c>
      <c r="Q330" s="460">
        <f>WEEKNUM(tblResultadosNBA[[#This Row],[Fecha]],2)</f>
        <v>49</v>
      </c>
      <c r="R330" s="460" t="str">
        <f>TEXT(tblResultadosNBA[[#This Row],[Fecha]],"mmm")</f>
        <v>dic</v>
      </c>
    </row>
    <row r="331" spans="1:18">
      <c r="A331" s="456">
        <v>45996</v>
      </c>
      <c r="B331" s="302" t="s">
        <v>168</v>
      </c>
      <c r="C331" s="177" t="str">
        <f t="shared" si="165"/>
        <v>Miami Heat</v>
      </c>
      <c r="D331" s="177">
        <v>109</v>
      </c>
      <c r="E331" s="336">
        <v>105</v>
      </c>
      <c r="F331" s="327">
        <f t="shared" si="166"/>
        <v>0</v>
      </c>
      <c r="G331" s="177" t="str">
        <f t="shared" si="167"/>
        <v>Orlando Magic</v>
      </c>
      <c r="H331" s="177">
        <v>115</v>
      </c>
      <c r="I331" s="336">
        <v>106</v>
      </c>
      <c r="J331" s="327">
        <f t="shared" si="168"/>
        <v>0</v>
      </c>
      <c r="K331" s="177">
        <f t="shared" si="169"/>
        <v>224</v>
      </c>
      <c r="L331" s="336">
        <f t="shared" si="170"/>
        <v>211</v>
      </c>
      <c r="M331" s="327">
        <f t="shared" si="171"/>
        <v>0</v>
      </c>
      <c r="N331" s="337">
        <f t="shared" si="172"/>
        <v>6</v>
      </c>
      <c r="O331" s="395">
        <f t="shared" si="173"/>
        <v>1</v>
      </c>
      <c r="P331" s="289">
        <f t="shared" si="174"/>
        <v>1</v>
      </c>
      <c r="Q331" s="460">
        <f>WEEKNUM(tblResultadosNBA[[#This Row],[Fecha]],2)</f>
        <v>49</v>
      </c>
      <c r="R331" s="460" t="str">
        <f>TEXT(tblResultadosNBA[[#This Row],[Fecha]],"mmm")</f>
        <v>dic</v>
      </c>
    </row>
    <row r="332" spans="1:18">
      <c r="A332" s="456">
        <v>45996</v>
      </c>
      <c r="B332" s="302" t="s">
        <v>149</v>
      </c>
      <c r="C332" s="177" t="str">
        <f t="shared" si="165"/>
        <v>Denver Nuggets</v>
      </c>
      <c r="D332" s="177">
        <v>110</v>
      </c>
      <c r="E332" s="336">
        <v>134</v>
      </c>
      <c r="F332" s="327">
        <f t="shared" si="166"/>
        <v>1</v>
      </c>
      <c r="G332" s="177" t="str">
        <f t="shared" si="167"/>
        <v>Atlanta Hawks</v>
      </c>
      <c r="H332" s="177">
        <v>126</v>
      </c>
      <c r="I332" s="336">
        <v>133</v>
      </c>
      <c r="J332" s="327">
        <f t="shared" si="168"/>
        <v>1</v>
      </c>
      <c r="K332" s="177">
        <f t="shared" si="169"/>
        <v>236</v>
      </c>
      <c r="L332" s="336">
        <f t="shared" si="170"/>
        <v>267</v>
      </c>
      <c r="M332" s="327">
        <f t="shared" si="171"/>
        <v>1</v>
      </c>
      <c r="N332" s="337">
        <f t="shared" si="172"/>
        <v>16</v>
      </c>
      <c r="O332" s="395">
        <f t="shared" si="173"/>
        <v>-1</v>
      </c>
      <c r="P332" s="289">
        <f t="shared" si="174"/>
        <v>0</v>
      </c>
      <c r="Q332" s="460">
        <f>WEEKNUM(tblResultadosNBA[[#This Row],[Fecha]],2)</f>
        <v>49</v>
      </c>
      <c r="R332" s="460" t="str">
        <f>TEXT(tblResultadosNBA[[#This Row],[Fecha]],"mmm")</f>
        <v>dic</v>
      </c>
    </row>
    <row r="333" spans="1:18">
      <c r="A333" s="456">
        <v>45996</v>
      </c>
      <c r="B333" s="302" t="s">
        <v>150</v>
      </c>
      <c r="C333" s="177" t="str">
        <f t="shared" si="165"/>
        <v>San Antonio Spurs</v>
      </c>
      <c r="D333" s="177">
        <v>119</v>
      </c>
      <c r="E333" s="336">
        <v>117</v>
      </c>
      <c r="F333" s="327">
        <f t="shared" si="166"/>
        <v>0</v>
      </c>
      <c r="G333" s="177" t="str">
        <f t="shared" si="167"/>
        <v>Cleveland Cavaliers</v>
      </c>
      <c r="H333" s="177">
        <v>127</v>
      </c>
      <c r="I333" s="336">
        <v>130</v>
      </c>
      <c r="J333" s="327">
        <f t="shared" si="168"/>
        <v>1</v>
      </c>
      <c r="K333" s="177">
        <f t="shared" si="169"/>
        <v>246</v>
      </c>
      <c r="L333" s="336">
        <f t="shared" si="170"/>
        <v>247</v>
      </c>
      <c r="M333" s="327">
        <f t="shared" si="171"/>
        <v>1</v>
      </c>
      <c r="N333" s="337">
        <f t="shared" si="172"/>
        <v>8</v>
      </c>
      <c r="O333" s="395">
        <f t="shared" si="173"/>
        <v>13</v>
      </c>
      <c r="P333" s="289">
        <f t="shared" si="174"/>
        <v>1</v>
      </c>
      <c r="Q333" s="460">
        <f>WEEKNUM(tblResultadosNBA[[#This Row],[Fecha]],2)</f>
        <v>49</v>
      </c>
      <c r="R333" s="460" t="str">
        <f>TEXT(tblResultadosNBA[[#This Row],[Fecha]],"mmm")</f>
        <v>dic</v>
      </c>
    </row>
    <row r="334" spans="1:18">
      <c r="A334" s="456">
        <v>45996</v>
      </c>
      <c r="B334" s="302" t="s">
        <v>786</v>
      </c>
      <c r="C334" s="177" t="str">
        <f t="shared" si="165"/>
        <v>Portland Trail Blazers</v>
      </c>
      <c r="D334" s="177">
        <v>120</v>
      </c>
      <c r="E334" s="336">
        <v>115</v>
      </c>
      <c r="F334" s="327">
        <f t="shared" si="166"/>
        <v>0</v>
      </c>
      <c r="G334" s="177" t="str">
        <f t="shared" si="167"/>
        <v>Detroit Pistons</v>
      </c>
      <c r="H334" s="177">
        <v>110</v>
      </c>
      <c r="I334" s="336">
        <v>122</v>
      </c>
      <c r="J334" s="327">
        <f t="shared" si="168"/>
        <v>1</v>
      </c>
      <c r="K334" s="177">
        <f t="shared" si="169"/>
        <v>230</v>
      </c>
      <c r="L334" s="336">
        <f t="shared" si="170"/>
        <v>237</v>
      </c>
      <c r="M334" s="327">
        <f t="shared" si="171"/>
        <v>1</v>
      </c>
      <c r="N334" s="337">
        <f t="shared" si="172"/>
        <v>-10</v>
      </c>
      <c r="O334" s="395">
        <f t="shared" si="173"/>
        <v>7</v>
      </c>
      <c r="P334" s="289">
        <f t="shared" si="174"/>
        <v>0</v>
      </c>
      <c r="Q334" s="460">
        <f>WEEKNUM(tblResultadosNBA[[#This Row],[Fecha]],2)</f>
        <v>49</v>
      </c>
      <c r="R334" s="460" t="str">
        <f>TEXT(tblResultadosNBA[[#This Row],[Fecha]],"mmm")</f>
        <v>dic</v>
      </c>
    </row>
    <row r="335" spans="1:18">
      <c r="A335" s="456">
        <v>45996</v>
      </c>
      <c r="B335" s="302" t="s">
        <v>151</v>
      </c>
      <c r="C335" s="177" t="str">
        <f t="shared" si="165"/>
        <v>Utah Jazz</v>
      </c>
      <c r="D335" s="177">
        <v>125</v>
      </c>
      <c r="E335" s="336">
        <v>112</v>
      </c>
      <c r="F335" s="327">
        <f t="shared" si="166"/>
        <v>0</v>
      </c>
      <c r="G335" s="177" t="str">
        <f t="shared" si="167"/>
        <v>New York Knicks</v>
      </c>
      <c r="H335" s="177">
        <v>133</v>
      </c>
      <c r="I335" s="336">
        <v>146</v>
      </c>
      <c r="J335" s="327">
        <f t="shared" si="168"/>
        <v>1</v>
      </c>
      <c r="K335" s="177">
        <f t="shared" si="169"/>
        <v>258</v>
      </c>
      <c r="L335" s="336">
        <f t="shared" si="170"/>
        <v>258</v>
      </c>
      <c r="M335" s="327">
        <f t="shared" si="171"/>
        <v>0</v>
      </c>
      <c r="N335" s="337">
        <f t="shared" si="172"/>
        <v>8</v>
      </c>
      <c r="O335" s="395">
        <f t="shared" si="173"/>
        <v>34</v>
      </c>
      <c r="P335" s="289">
        <f t="shared" si="174"/>
        <v>1</v>
      </c>
      <c r="Q335" s="460">
        <f>WEEKNUM(tblResultadosNBA[[#This Row],[Fecha]],2)</f>
        <v>49</v>
      </c>
      <c r="R335" s="460" t="str">
        <f>TEXT(tblResultadosNBA[[#This Row],[Fecha]],"mmm")</f>
        <v>dic</v>
      </c>
    </row>
    <row r="336" spans="1:18">
      <c r="A336" s="456">
        <v>45996</v>
      </c>
      <c r="B336" s="302" t="s">
        <v>152</v>
      </c>
      <c r="C336" s="177" t="str">
        <f t="shared" si="165"/>
        <v>Charlotte Hornets</v>
      </c>
      <c r="D336" s="177">
        <v>113</v>
      </c>
      <c r="E336" s="336">
        <v>111</v>
      </c>
      <c r="F336" s="327">
        <f t="shared" si="166"/>
        <v>0</v>
      </c>
      <c r="G336" s="177" t="str">
        <f t="shared" si="167"/>
        <v>Toronto Raptors</v>
      </c>
      <c r="H336" s="177">
        <v>116</v>
      </c>
      <c r="I336" s="336">
        <v>86</v>
      </c>
      <c r="J336" s="327">
        <f t="shared" si="168"/>
        <v>0</v>
      </c>
      <c r="K336" s="177">
        <f t="shared" si="169"/>
        <v>229</v>
      </c>
      <c r="L336" s="336">
        <f t="shared" si="170"/>
        <v>197</v>
      </c>
      <c r="M336" s="327">
        <f t="shared" si="171"/>
        <v>0</v>
      </c>
      <c r="N336" s="337">
        <f t="shared" si="172"/>
        <v>3</v>
      </c>
      <c r="O336" s="395">
        <f t="shared" si="173"/>
        <v>-25</v>
      </c>
      <c r="P336" s="289">
        <f t="shared" si="174"/>
        <v>0</v>
      </c>
      <c r="Q336" s="460">
        <f>WEEKNUM(tblResultadosNBA[[#This Row],[Fecha]],2)</f>
        <v>49</v>
      </c>
      <c r="R336" s="460" t="str">
        <f>TEXT(tblResultadosNBA[[#This Row],[Fecha]],"mmm")</f>
        <v>dic</v>
      </c>
    </row>
    <row r="337" spans="1:18">
      <c r="A337" s="456">
        <v>45996</v>
      </c>
      <c r="B337" s="302" t="s">
        <v>543</v>
      </c>
      <c r="C337" s="177" t="str">
        <f t="shared" ref="C337:C341" si="175">LEFT(B337,FIND("@",B337)-2)</f>
        <v>Indiana Pacers</v>
      </c>
      <c r="D337" s="177">
        <v>105</v>
      </c>
      <c r="E337" s="336">
        <v>120</v>
      </c>
      <c r="F337" s="327">
        <f t="shared" ref="F337:F341" si="176">IF(E337&gt;D337, 1, 0)</f>
        <v>1</v>
      </c>
      <c r="G337" s="177" t="str">
        <f t="shared" ref="G337:G341" si="177">MID(B337,FIND("@",B337)+2,LEN(B337)-FIND("@",B337)-1)</f>
        <v>Chicago Bulls</v>
      </c>
      <c r="H337" s="177">
        <v>115</v>
      </c>
      <c r="I337" s="336">
        <v>105</v>
      </c>
      <c r="J337" s="327">
        <f t="shared" ref="J337:J341" si="178">IF(I337&gt;H337, 1, 0)</f>
        <v>0</v>
      </c>
      <c r="K337" s="177">
        <f t="shared" ref="K337:K341" si="179">+D337+H337</f>
        <v>220</v>
      </c>
      <c r="L337" s="336">
        <f t="shared" ref="L337:L341" si="180">E337+I337</f>
        <v>225</v>
      </c>
      <c r="M337" s="327">
        <f t="shared" ref="M337:M341" si="181">IF(L337&gt;K337, 1, 0)</f>
        <v>1</v>
      </c>
      <c r="N337" s="337">
        <f t="shared" ref="N337:N341" si="182">(+H337-D337)</f>
        <v>10</v>
      </c>
      <c r="O337" s="395">
        <f t="shared" ref="O337:O341" si="183">I337-E337</f>
        <v>-15</v>
      </c>
      <c r="P337" s="289">
        <f t="shared" ref="P337:P341" si="184">IF(OR(AND(N337&gt;0,O337&gt;0),AND(N337&lt;0,O337&lt;0)),1,0)</f>
        <v>0</v>
      </c>
      <c r="Q337" s="460">
        <f>WEEKNUM(tblResultadosNBA[[#This Row],[Fecha]],2)</f>
        <v>49</v>
      </c>
      <c r="R337" s="460" t="str">
        <f>TEXT(tblResultadosNBA[[#This Row],[Fecha]],"mmm")</f>
        <v>dic</v>
      </c>
    </row>
    <row r="338" spans="1:18">
      <c r="A338" s="456">
        <v>45996</v>
      </c>
      <c r="B338" s="302" t="s">
        <v>153</v>
      </c>
      <c r="C338" s="177" t="str">
        <f t="shared" si="175"/>
        <v>Phoenix Suns</v>
      </c>
      <c r="D338" s="177">
        <v>119</v>
      </c>
      <c r="E338" s="336">
        <v>98</v>
      </c>
      <c r="F338" s="327">
        <f t="shared" si="176"/>
        <v>0</v>
      </c>
      <c r="G338" s="177" t="str">
        <f t="shared" si="177"/>
        <v>Houston Rockets</v>
      </c>
      <c r="H338" s="177">
        <v>121</v>
      </c>
      <c r="I338" s="336">
        <v>117</v>
      </c>
      <c r="J338" s="327">
        <f t="shared" si="178"/>
        <v>0</v>
      </c>
      <c r="K338" s="177">
        <f t="shared" si="179"/>
        <v>240</v>
      </c>
      <c r="L338" s="336">
        <f t="shared" si="180"/>
        <v>215</v>
      </c>
      <c r="M338" s="327">
        <f t="shared" si="181"/>
        <v>0</v>
      </c>
      <c r="N338" s="337">
        <f t="shared" si="182"/>
        <v>2</v>
      </c>
      <c r="O338" s="395">
        <f t="shared" si="183"/>
        <v>19</v>
      </c>
      <c r="P338" s="289">
        <f t="shared" si="184"/>
        <v>1</v>
      </c>
      <c r="Q338" s="460">
        <f>WEEKNUM(tblResultadosNBA[[#This Row],[Fecha]],2)</f>
        <v>49</v>
      </c>
      <c r="R338" s="460" t="str">
        <f>TEXT(tblResultadosNBA[[#This Row],[Fecha]],"mmm")</f>
        <v>dic</v>
      </c>
    </row>
    <row r="339" spans="1:18">
      <c r="A339" s="456">
        <v>45996</v>
      </c>
      <c r="B339" s="302" t="s">
        <v>154</v>
      </c>
      <c r="C339" s="177" t="str">
        <f t="shared" si="175"/>
        <v>LA Clippers</v>
      </c>
      <c r="D339" s="177">
        <v>117</v>
      </c>
      <c r="E339" s="336">
        <v>98</v>
      </c>
      <c r="F339" s="327">
        <f t="shared" si="176"/>
        <v>0</v>
      </c>
      <c r="G339" s="177" t="str">
        <f t="shared" si="177"/>
        <v>Memphis Grizzlies</v>
      </c>
      <c r="H339" s="177">
        <v>119</v>
      </c>
      <c r="I339" s="336">
        <v>107</v>
      </c>
      <c r="J339" s="327">
        <f t="shared" si="178"/>
        <v>0</v>
      </c>
      <c r="K339" s="177">
        <f t="shared" si="179"/>
        <v>236</v>
      </c>
      <c r="L339" s="336">
        <f t="shared" si="180"/>
        <v>205</v>
      </c>
      <c r="M339" s="327">
        <f t="shared" si="181"/>
        <v>0</v>
      </c>
      <c r="N339" s="337">
        <f t="shared" si="182"/>
        <v>2</v>
      </c>
      <c r="O339" s="395">
        <f t="shared" si="183"/>
        <v>9</v>
      </c>
      <c r="P339" s="289">
        <f t="shared" si="184"/>
        <v>1</v>
      </c>
      <c r="Q339" s="460">
        <f>WEEKNUM(tblResultadosNBA[[#This Row],[Fecha]],2)</f>
        <v>49</v>
      </c>
      <c r="R339" s="460" t="str">
        <f>TEXT(tblResultadosNBA[[#This Row],[Fecha]],"mmm")</f>
        <v>dic</v>
      </c>
    </row>
    <row r="340" spans="1:18">
      <c r="A340" s="456">
        <v>45996</v>
      </c>
      <c r="B340" s="302" t="s">
        <v>84</v>
      </c>
      <c r="C340" s="177" t="str">
        <f t="shared" si="175"/>
        <v>Philadelphia 76ers</v>
      </c>
      <c r="D340" s="177">
        <v>107</v>
      </c>
      <c r="E340" s="336">
        <v>116</v>
      </c>
      <c r="F340" s="327">
        <f t="shared" si="176"/>
        <v>1</v>
      </c>
      <c r="G340" s="177" t="str">
        <f t="shared" si="177"/>
        <v>Milwaukee Bucks</v>
      </c>
      <c r="H340" s="177">
        <v>120</v>
      </c>
      <c r="I340" s="336">
        <v>101</v>
      </c>
      <c r="J340" s="327">
        <f t="shared" si="178"/>
        <v>0</v>
      </c>
      <c r="K340" s="177">
        <f t="shared" si="179"/>
        <v>227</v>
      </c>
      <c r="L340" s="336">
        <f t="shared" si="180"/>
        <v>217</v>
      </c>
      <c r="M340" s="327">
        <f t="shared" si="181"/>
        <v>0</v>
      </c>
      <c r="N340" s="337">
        <f t="shared" si="182"/>
        <v>13</v>
      </c>
      <c r="O340" s="395">
        <f t="shared" si="183"/>
        <v>-15</v>
      </c>
      <c r="P340" s="289">
        <f t="shared" si="184"/>
        <v>0</v>
      </c>
      <c r="Q340" s="460">
        <f>WEEKNUM(tblResultadosNBA[[#This Row],[Fecha]],2)</f>
        <v>49</v>
      </c>
      <c r="R340" s="460" t="str">
        <f>TEXT(tblResultadosNBA[[#This Row],[Fecha]],"mmm")</f>
        <v>dic</v>
      </c>
    </row>
    <row r="341" spans="1:18">
      <c r="A341" s="445">
        <v>45996</v>
      </c>
      <c r="B341" s="331" t="s">
        <v>787</v>
      </c>
      <c r="C341" s="286" t="str">
        <f t="shared" si="175"/>
        <v>Dallas Mavericks</v>
      </c>
      <c r="D341" s="286">
        <v>107</v>
      </c>
      <c r="E341" s="431">
        <v>111</v>
      </c>
      <c r="F341" s="332">
        <f t="shared" si="176"/>
        <v>1</v>
      </c>
      <c r="G341" s="286" t="str">
        <f t="shared" si="177"/>
        <v>Oklahoma City Thunder</v>
      </c>
      <c r="H341" s="286">
        <v>114</v>
      </c>
      <c r="I341" s="431">
        <v>132</v>
      </c>
      <c r="J341" s="332">
        <f t="shared" si="178"/>
        <v>1</v>
      </c>
      <c r="K341" s="286">
        <f t="shared" si="179"/>
        <v>221</v>
      </c>
      <c r="L341" s="431">
        <f t="shared" si="180"/>
        <v>243</v>
      </c>
      <c r="M341" s="332">
        <f t="shared" si="181"/>
        <v>1</v>
      </c>
      <c r="N341" s="432">
        <f t="shared" si="182"/>
        <v>7</v>
      </c>
      <c r="O341" s="451">
        <f t="shared" si="183"/>
        <v>21</v>
      </c>
      <c r="P341" s="433">
        <f t="shared" si="184"/>
        <v>1</v>
      </c>
      <c r="Q341" s="460">
        <f>WEEKNUM(tblResultadosNBA[[#This Row],[Fecha]],2)</f>
        <v>49</v>
      </c>
      <c r="R341" s="460" t="str">
        <f>TEXT(tblResultadosNBA[[#This Row],[Fecha]],"mmm")</f>
        <v>dic</v>
      </c>
    </row>
    <row r="342" spans="1:18">
      <c r="A342" s="476">
        <v>45997</v>
      </c>
      <c r="B342" s="422" t="s">
        <v>155</v>
      </c>
      <c r="C342" s="341" t="str">
        <f t="shared" ref="C342:C348" si="185">LEFT(B342,FIND("@",B342)-2)</f>
        <v>New Orleans Pelicans</v>
      </c>
      <c r="D342" s="341">
        <v>127</v>
      </c>
      <c r="E342" s="342">
        <v>101</v>
      </c>
      <c r="F342" s="333">
        <f t="shared" ref="F342:F348" si="186">IF(E342&gt;D342, 1, 0)</f>
        <v>0</v>
      </c>
      <c r="G342" s="341" t="str">
        <f t="shared" ref="G342:G348" si="187">MID(B342,FIND("@",B342)+2,LEN(B342)-FIND("@",B342)-1)</f>
        <v>Brooklyn Nets</v>
      </c>
      <c r="H342" s="341">
        <v>123</v>
      </c>
      <c r="I342" s="342">
        <v>119</v>
      </c>
      <c r="J342" s="333">
        <f t="shared" ref="J342:J348" si="188">IF(I342&gt;H342, 1, 0)</f>
        <v>0</v>
      </c>
      <c r="K342" s="341">
        <f t="shared" ref="K342:K348" si="189">+D342+H342</f>
        <v>250</v>
      </c>
      <c r="L342" s="342">
        <f t="shared" ref="L342:L348" si="190">E342+I342</f>
        <v>220</v>
      </c>
      <c r="M342" s="333">
        <f t="shared" ref="M342:M348" si="191">IF(L342&gt;K342, 1, 0)</f>
        <v>0</v>
      </c>
      <c r="N342" s="343">
        <f t="shared" ref="N342:N348" si="192">(+H342-D342)</f>
        <v>-4</v>
      </c>
      <c r="O342" s="449">
        <f t="shared" ref="O342:O348" si="193">I342-E342</f>
        <v>18</v>
      </c>
      <c r="P342" s="289">
        <f t="shared" ref="P342:P348" si="194">IF(OR(AND(N342&gt;0,O342&gt;0),AND(N342&lt;0,O342&lt;0)),1,0)</f>
        <v>0</v>
      </c>
      <c r="Q342" s="460">
        <f>WEEKNUM(tblResultadosNBA[[#This Row],[Fecha]],2)</f>
        <v>49</v>
      </c>
      <c r="R342" s="460" t="str">
        <f>TEXT(tblResultadosNBA[[#This Row],[Fecha]],"mmm")</f>
        <v>dic</v>
      </c>
    </row>
    <row r="343" spans="1:18">
      <c r="A343" s="456">
        <v>45997</v>
      </c>
      <c r="B343" s="302" t="s">
        <v>102</v>
      </c>
      <c r="C343" s="177" t="str">
        <f t="shared" si="185"/>
        <v>Atlanta Hawks</v>
      </c>
      <c r="D343" s="177">
        <v>124</v>
      </c>
      <c r="E343" s="336">
        <v>131</v>
      </c>
      <c r="F343" s="327">
        <f t="shared" si="186"/>
        <v>1</v>
      </c>
      <c r="G343" s="177" t="str">
        <f t="shared" si="187"/>
        <v>Washington Wizards</v>
      </c>
      <c r="H343" s="177">
        <v>132</v>
      </c>
      <c r="I343" s="336">
        <v>116</v>
      </c>
      <c r="J343" s="327">
        <f t="shared" si="188"/>
        <v>0</v>
      </c>
      <c r="K343" s="177">
        <f t="shared" si="189"/>
        <v>256</v>
      </c>
      <c r="L343" s="336">
        <f t="shared" si="190"/>
        <v>247</v>
      </c>
      <c r="M343" s="327">
        <f t="shared" si="191"/>
        <v>0</v>
      </c>
      <c r="N343" s="337">
        <f t="shared" si="192"/>
        <v>8</v>
      </c>
      <c r="O343" s="395">
        <f t="shared" si="193"/>
        <v>-15</v>
      </c>
      <c r="P343" s="289">
        <f t="shared" si="194"/>
        <v>0</v>
      </c>
      <c r="Q343" s="460">
        <f>WEEKNUM(tblResultadosNBA[[#This Row],[Fecha]],2)</f>
        <v>49</v>
      </c>
      <c r="R343" s="460" t="str">
        <f>TEXT(tblResultadosNBA[[#This Row],[Fecha]],"mmm")</f>
        <v>dic</v>
      </c>
    </row>
    <row r="344" spans="1:18">
      <c r="A344" s="456">
        <v>45997</v>
      </c>
      <c r="B344" s="302" t="s">
        <v>156</v>
      </c>
      <c r="C344" s="177" t="str">
        <f t="shared" si="185"/>
        <v>Golden State Warriors</v>
      </c>
      <c r="D344" s="177">
        <v>112</v>
      </c>
      <c r="E344" s="336">
        <v>99</v>
      </c>
      <c r="F344" s="327">
        <f t="shared" si="186"/>
        <v>0</v>
      </c>
      <c r="G344" s="177" t="str">
        <f t="shared" si="187"/>
        <v>Cleveland Cavaliers</v>
      </c>
      <c r="H344" s="177">
        <v>121</v>
      </c>
      <c r="I344" s="336">
        <v>94</v>
      </c>
      <c r="J344" s="327">
        <f t="shared" si="188"/>
        <v>0</v>
      </c>
      <c r="K344" s="177">
        <f t="shared" si="189"/>
        <v>233</v>
      </c>
      <c r="L344" s="336">
        <f t="shared" si="190"/>
        <v>193</v>
      </c>
      <c r="M344" s="327">
        <f t="shared" si="191"/>
        <v>0</v>
      </c>
      <c r="N344" s="337">
        <f t="shared" si="192"/>
        <v>9</v>
      </c>
      <c r="O344" s="395">
        <f t="shared" si="193"/>
        <v>-5</v>
      </c>
      <c r="P344" s="289">
        <f t="shared" si="194"/>
        <v>0</v>
      </c>
      <c r="Q344" s="460">
        <f>WEEKNUM(tblResultadosNBA[[#This Row],[Fecha]],2)</f>
        <v>49</v>
      </c>
      <c r="R344" s="460" t="str">
        <f>TEXT(tblResultadosNBA[[#This Row],[Fecha]],"mmm")</f>
        <v>dic</v>
      </c>
    </row>
    <row r="345" spans="1:18">
      <c r="A345" s="456">
        <v>45997</v>
      </c>
      <c r="B345" s="302" t="s">
        <v>157</v>
      </c>
      <c r="C345" s="177" t="str">
        <f t="shared" si="185"/>
        <v>Milwaukee Bucks</v>
      </c>
      <c r="D345" s="177">
        <v>118</v>
      </c>
      <c r="E345" s="336">
        <v>112</v>
      </c>
      <c r="F345" s="327">
        <f t="shared" si="186"/>
        <v>0</v>
      </c>
      <c r="G345" s="177" t="str">
        <f t="shared" si="187"/>
        <v>Detroit Pistons</v>
      </c>
      <c r="H345" s="177">
        <v>121</v>
      </c>
      <c r="I345" s="336">
        <v>124</v>
      </c>
      <c r="J345" s="327">
        <f t="shared" si="188"/>
        <v>1</v>
      </c>
      <c r="K345" s="177">
        <f t="shared" si="189"/>
        <v>239</v>
      </c>
      <c r="L345" s="336">
        <f t="shared" si="190"/>
        <v>236</v>
      </c>
      <c r="M345" s="327">
        <f t="shared" si="191"/>
        <v>0</v>
      </c>
      <c r="N345" s="337">
        <f t="shared" si="192"/>
        <v>3</v>
      </c>
      <c r="O345" s="395">
        <f t="shared" si="193"/>
        <v>12</v>
      </c>
      <c r="P345" s="289">
        <f t="shared" si="194"/>
        <v>1</v>
      </c>
      <c r="Q345" s="460">
        <f>WEEKNUM(tblResultadosNBA[[#This Row],[Fecha]],2)</f>
        <v>49</v>
      </c>
      <c r="R345" s="460" t="str">
        <f>TEXT(tblResultadosNBA[[#This Row],[Fecha]],"mmm")</f>
        <v>dic</v>
      </c>
    </row>
    <row r="346" spans="1:18">
      <c r="A346" s="456">
        <v>45997</v>
      </c>
      <c r="B346" s="302" t="s">
        <v>788</v>
      </c>
      <c r="C346" s="177" t="str">
        <f t="shared" si="185"/>
        <v>Sacramento Kings</v>
      </c>
      <c r="D346" s="177">
        <v>105</v>
      </c>
      <c r="E346" s="336">
        <v>127</v>
      </c>
      <c r="F346" s="327">
        <f t="shared" si="186"/>
        <v>1</v>
      </c>
      <c r="G346" s="177" t="str">
        <f t="shared" si="187"/>
        <v>Miami Heat</v>
      </c>
      <c r="H346" s="177">
        <v>117</v>
      </c>
      <c r="I346" s="336">
        <v>111</v>
      </c>
      <c r="J346" s="327">
        <f t="shared" si="188"/>
        <v>0</v>
      </c>
      <c r="K346" s="177">
        <f t="shared" si="189"/>
        <v>222</v>
      </c>
      <c r="L346" s="336">
        <f t="shared" si="190"/>
        <v>238</v>
      </c>
      <c r="M346" s="327">
        <f t="shared" si="191"/>
        <v>1</v>
      </c>
      <c r="N346" s="337">
        <f t="shared" si="192"/>
        <v>12</v>
      </c>
      <c r="O346" s="395">
        <f t="shared" si="193"/>
        <v>-16</v>
      </c>
      <c r="P346" s="289">
        <f t="shared" si="194"/>
        <v>0</v>
      </c>
      <c r="Q346" s="460">
        <f>WEEKNUM(tblResultadosNBA[[#This Row],[Fecha]],2)</f>
        <v>49</v>
      </c>
      <c r="R346" s="460" t="str">
        <f>TEXT(tblResultadosNBA[[#This Row],[Fecha]],"mmm")</f>
        <v>dic</v>
      </c>
    </row>
    <row r="347" spans="1:18">
      <c r="A347" s="456">
        <v>45997</v>
      </c>
      <c r="B347" s="302" t="s">
        <v>158</v>
      </c>
      <c r="C347" s="177" t="str">
        <f t="shared" si="185"/>
        <v>LA Clippers</v>
      </c>
      <c r="D347" s="177">
        <v>115</v>
      </c>
      <c r="E347" s="336">
        <v>106</v>
      </c>
      <c r="F347" s="327">
        <f t="shared" si="186"/>
        <v>0</v>
      </c>
      <c r="G347" s="177" t="str">
        <f t="shared" si="187"/>
        <v>Minnesota Timberwolves</v>
      </c>
      <c r="H347" s="177">
        <v>119</v>
      </c>
      <c r="I347" s="336">
        <v>109</v>
      </c>
      <c r="J347" s="327">
        <f t="shared" si="188"/>
        <v>0</v>
      </c>
      <c r="K347" s="177">
        <f t="shared" si="189"/>
        <v>234</v>
      </c>
      <c r="L347" s="336">
        <f t="shared" si="190"/>
        <v>215</v>
      </c>
      <c r="M347" s="327">
        <f t="shared" si="191"/>
        <v>0</v>
      </c>
      <c r="N347" s="337">
        <f t="shared" si="192"/>
        <v>4</v>
      </c>
      <c r="O347" s="395">
        <f t="shared" si="193"/>
        <v>3</v>
      </c>
      <c r="P347" s="289">
        <f t="shared" si="194"/>
        <v>1</v>
      </c>
      <c r="Q347" s="460">
        <f>WEEKNUM(tblResultadosNBA[[#This Row],[Fecha]],2)</f>
        <v>49</v>
      </c>
      <c r="R347" s="460" t="str">
        <f>TEXT(tblResultadosNBA[[#This Row],[Fecha]],"mmm")</f>
        <v>dic</v>
      </c>
    </row>
    <row r="348" spans="1:18">
      <c r="A348" s="445">
        <v>45997</v>
      </c>
      <c r="B348" s="331" t="s">
        <v>159</v>
      </c>
      <c r="C348" s="286" t="str">
        <f t="shared" si="185"/>
        <v>Houston Rockets</v>
      </c>
      <c r="D348" s="286">
        <v>112</v>
      </c>
      <c r="E348" s="431">
        <v>109</v>
      </c>
      <c r="F348" s="332">
        <f t="shared" si="186"/>
        <v>0</v>
      </c>
      <c r="G348" s="286" t="str">
        <f t="shared" si="187"/>
        <v>Dallas Mavericks</v>
      </c>
      <c r="H348" s="286">
        <v>115</v>
      </c>
      <c r="I348" s="431">
        <v>122</v>
      </c>
      <c r="J348" s="332">
        <f t="shared" si="188"/>
        <v>1</v>
      </c>
      <c r="K348" s="286">
        <f t="shared" si="189"/>
        <v>227</v>
      </c>
      <c r="L348" s="431">
        <f t="shared" si="190"/>
        <v>231</v>
      </c>
      <c r="M348" s="332">
        <f t="shared" si="191"/>
        <v>1</v>
      </c>
      <c r="N348" s="432">
        <f t="shared" si="192"/>
        <v>3</v>
      </c>
      <c r="O348" s="451">
        <f t="shared" si="193"/>
        <v>13</v>
      </c>
      <c r="P348" s="433">
        <f t="shared" si="194"/>
        <v>1</v>
      </c>
      <c r="Q348" s="460">
        <f>WEEKNUM(tblResultadosNBA[[#This Row],[Fecha]],2)</f>
        <v>49</v>
      </c>
      <c r="R348" s="460" t="str">
        <f>TEXT(tblResultadosNBA[[#This Row],[Fecha]],"mmm")</f>
        <v>dic</v>
      </c>
    </row>
    <row r="349" spans="1:18">
      <c r="A349" s="476">
        <v>45998</v>
      </c>
      <c r="B349" s="422" t="s">
        <v>160</v>
      </c>
      <c r="C349" s="341" t="str">
        <f t="shared" ref="C349:C355" si="195">LEFT(B349,FIND("@",B349)-2)</f>
        <v>Orlando Magic</v>
      </c>
      <c r="D349" s="341">
        <v>137</v>
      </c>
      <c r="E349" s="342">
        <v>100</v>
      </c>
      <c r="F349" s="333">
        <f t="shared" ref="F349:F355" si="196">IF(E349&gt;D349, 1, 0)</f>
        <v>0</v>
      </c>
      <c r="G349" s="341" t="str">
        <f t="shared" ref="G349:G355" si="197">MID(B349,FIND("@",B349)+2,LEN(B349)-FIND("@",B349)-1)</f>
        <v>New York Knicks</v>
      </c>
      <c r="H349" s="341">
        <v>133</v>
      </c>
      <c r="I349" s="342">
        <v>106</v>
      </c>
      <c r="J349" s="333">
        <f t="shared" ref="J349:J355" si="198">IF(I349&gt;H349, 1, 0)</f>
        <v>0</v>
      </c>
      <c r="K349" s="341">
        <f t="shared" ref="K349:K355" si="199">+D349+H349</f>
        <v>270</v>
      </c>
      <c r="L349" s="342">
        <f t="shared" ref="L349:L355" si="200">E349+I349</f>
        <v>206</v>
      </c>
      <c r="M349" s="333">
        <f t="shared" ref="M349:M355" si="201">IF(L349&gt;K349, 1, 0)</f>
        <v>0</v>
      </c>
      <c r="N349" s="343">
        <f t="shared" ref="N349:N355" si="202">(+H349-D349)</f>
        <v>-4</v>
      </c>
      <c r="O349" s="449">
        <f t="shared" ref="O349:O355" si="203">I349-E349</f>
        <v>6</v>
      </c>
      <c r="P349" s="289">
        <f t="shared" ref="P349:P355" si="204">IF(OR(AND(N349&gt;0,O349&gt;0),AND(N349&lt;0,O349&lt;0)),1,0)</f>
        <v>0</v>
      </c>
      <c r="Q349" s="460">
        <f>WEEKNUM(tblResultadosNBA[[#This Row],[Fecha]],2)</f>
        <v>49</v>
      </c>
      <c r="R349" s="460" t="str">
        <f>TEXT(tblResultadosNBA[[#This Row],[Fecha]],"mmm")</f>
        <v>dic</v>
      </c>
    </row>
    <row r="350" spans="1:18">
      <c r="A350" s="456">
        <v>45998</v>
      </c>
      <c r="B350" s="302" t="s">
        <v>161</v>
      </c>
      <c r="C350" s="177" t="str">
        <f t="shared" si="195"/>
        <v>Boston Celtics</v>
      </c>
      <c r="D350" s="177">
        <v>111</v>
      </c>
      <c r="E350" s="336">
        <v>121</v>
      </c>
      <c r="F350" s="327">
        <f t="shared" si="196"/>
        <v>1</v>
      </c>
      <c r="G350" s="177" t="str">
        <f t="shared" si="197"/>
        <v>Toronto Raptors</v>
      </c>
      <c r="H350" s="177">
        <v>116</v>
      </c>
      <c r="I350" s="336">
        <v>113</v>
      </c>
      <c r="J350" s="327">
        <f t="shared" si="198"/>
        <v>0</v>
      </c>
      <c r="K350" s="177">
        <f t="shared" si="199"/>
        <v>227</v>
      </c>
      <c r="L350" s="336">
        <f t="shared" si="200"/>
        <v>234</v>
      </c>
      <c r="M350" s="327">
        <f t="shared" si="201"/>
        <v>1</v>
      </c>
      <c r="N350" s="337">
        <f t="shared" si="202"/>
        <v>5</v>
      </c>
      <c r="O350" s="395">
        <f t="shared" si="203"/>
        <v>-8</v>
      </c>
      <c r="P350" s="289">
        <f t="shared" si="204"/>
        <v>0</v>
      </c>
      <c r="Q350" s="460">
        <f>WEEKNUM(tblResultadosNBA[[#This Row],[Fecha]],2)</f>
        <v>49</v>
      </c>
      <c r="R350" s="460" t="str">
        <f>TEXT(tblResultadosNBA[[#This Row],[Fecha]],"mmm")</f>
        <v>dic</v>
      </c>
    </row>
    <row r="351" spans="1:18">
      <c r="A351" s="456">
        <v>45998</v>
      </c>
      <c r="B351" s="302" t="s">
        <v>789</v>
      </c>
      <c r="C351" s="177" t="str">
        <f t="shared" si="195"/>
        <v>Denver Nuggets</v>
      </c>
      <c r="D351" s="177">
        <v>116</v>
      </c>
      <c r="E351" s="336">
        <v>115</v>
      </c>
      <c r="F351" s="327">
        <f t="shared" si="196"/>
        <v>0</v>
      </c>
      <c r="G351" s="177" t="str">
        <f t="shared" si="197"/>
        <v>Charlotte Hornets</v>
      </c>
      <c r="H351" s="177">
        <v>110</v>
      </c>
      <c r="I351" s="336">
        <v>106</v>
      </c>
      <c r="J351" s="327">
        <f t="shared" si="198"/>
        <v>0</v>
      </c>
      <c r="K351" s="177">
        <f t="shared" si="199"/>
        <v>226</v>
      </c>
      <c r="L351" s="336">
        <f t="shared" si="200"/>
        <v>221</v>
      </c>
      <c r="M351" s="327">
        <f t="shared" si="201"/>
        <v>0</v>
      </c>
      <c r="N351" s="337">
        <f t="shared" si="202"/>
        <v>-6</v>
      </c>
      <c r="O351" s="395">
        <f t="shared" si="203"/>
        <v>-9</v>
      </c>
      <c r="P351" s="289">
        <f t="shared" si="204"/>
        <v>1</v>
      </c>
      <c r="Q351" s="460">
        <f>WEEKNUM(tblResultadosNBA[[#This Row],[Fecha]],2)</f>
        <v>49</v>
      </c>
      <c r="R351" s="460" t="str">
        <f>TEXT(tblResultadosNBA[[#This Row],[Fecha]],"mmm")</f>
        <v>dic</v>
      </c>
    </row>
    <row r="352" spans="1:18">
      <c r="A352" s="456">
        <v>45998</v>
      </c>
      <c r="B352" s="302" t="s">
        <v>162</v>
      </c>
      <c r="C352" s="177" t="str">
        <f t="shared" si="195"/>
        <v>Portland Trail Blazers</v>
      </c>
      <c r="D352" s="177">
        <v>116</v>
      </c>
      <c r="E352" s="336">
        <v>96</v>
      </c>
      <c r="F352" s="327">
        <f t="shared" si="196"/>
        <v>0</v>
      </c>
      <c r="G352" s="177" t="str">
        <f t="shared" si="197"/>
        <v>Memphis Grizzlies</v>
      </c>
      <c r="H352" s="177">
        <v>124</v>
      </c>
      <c r="I352" s="336">
        <v>119</v>
      </c>
      <c r="J352" s="327">
        <f t="shared" si="198"/>
        <v>0</v>
      </c>
      <c r="K352" s="177">
        <f t="shared" si="199"/>
        <v>240</v>
      </c>
      <c r="L352" s="336">
        <f t="shared" si="200"/>
        <v>215</v>
      </c>
      <c r="M352" s="327">
        <f t="shared" si="201"/>
        <v>0</v>
      </c>
      <c r="N352" s="337">
        <f t="shared" si="202"/>
        <v>8</v>
      </c>
      <c r="O352" s="395">
        <f t="shared" si="203"/>
        <v>23</v>
      </c>
      <c r="P352" s="289">
        <f t="shared" si="204"/>
        <v>1</v>
      </c>
      <c r="Q352" s="460">
        <f>WEEKNUM(tblResultadosNBA[[#This Row],[Fecha]],2)</f>
        <v>49</v>
      </c>
      <c r="R352" s="460" t="str">
        <f>TEXT(tblResultadosNBA[[#This Row],[Fecha]],"mmm")</f>
        <v>dic</v>
      </c>
    </row>
    <row r="353" spans="1:18">
      <c r="A353" s="456">
        <v>45998</v>
      </c>
      <c r="B353" s="302" t="s">
        <v>163</v>
      </c>
      <c r="C353" s="177" t="str">
        <f t="shared" si="195"/>
        <v>Golden State Warriors</v>
      </c>
      <c r="D353" s="177">
        <v>110</v>
      </c>
      <c r="E353" s="336">
        <v>123</v>
      </c>
      <c r="F353" s="327">
        <f t="shared" si="196"/>
        <v>1</v>
      </c>
      <c r="G353" s="177" t="str">
        <f t="shared" si="197"/>
        <v>Chicago Bulls</v>
      </c>
      <c r="H353" s="177">
        <v>120</v>
      </c>
      <c r="I353" s="336">
        <v>91</v>
      </c>
      <c r="J353" s="327">
        <f t="shared" si="198"/>
        <v>0</v>
      </c>
      <c r="K353" s="177">
        <f t="shared" si="199"/>
        <v>230</v>
      </c>
      <c r="L353" s="336">
        <f t="shared" si="200"/>
        <v>214</v>
      </c>
      <c r="M353" s="327">
        <f t="shared" si="201"/>
        <v>0</v>
      </c>
      <c r="N353" s="337">
        <f t="shared" si="202"/>
        <v>10</v>
      </c>
      <c r="O353" s="395">
        <f t="shared" si="203"/>
        <v>-32</v>
      </c>
      <c r="P353" s="289">
        <f t="shared" si="204"/>
        <v>0</v>
      </c>
      <c r="Q353" s="460">
        <f>WEEKNUM(tblResultadosNBA[[#This Row],[Fecha]],2)</f>
        <v>49</v>
      </c>
      <c r="R353" s="460" t="str">
        <f>TEXT(tblResultadosNBA[[#This Row],[Fecha]],"mmm")</f>
        <v>dic</v>
      </c>
    </row>
    <row r="354" spans="1:18">
      <c r="A354" s="456">
        <v>45998</v>
      </c>
      <c r="B354" s="302" t="s">
        <v>790</v>
      </c>
      <c r="C354" s="177" t="str">
        <f t="shared" si="195"/>
        <v>Los Angeles Lakers</v>
      </c>
      <c r="D354" s="177">
        <v>111</v>
      </c>
      <c r="E354" s="336">
        <v>112</v>
      </c>
      <c r="F354" s="327">
        <f t="shared" si="196"/>
        <v>1</v>
      </c>
      <c r="G354" s="177" t="str">
        <f t="shared" si="197"/>
        <v>Philadelphia 76ers</v>
      </c>
      <c r="H354" s="177">
        <v>115</v>
      </c>
      <c r="I354" s="336">
        <v>108</v>
      </c>
      <c r="J354" s="327">
        <f t="shared" si="198"/>
        <v>0</v>
      </c>
      <c r="K354" s="177">
        <f t="shared" si="199"/>
        <v>226</v>
      </c>
      <c r="L354" s="336">
        <f t="shared" si="200"/>
        <v>220</v>
      </c>
      <c r="M354" s="327">
        <f t="shared" si="201"/>
        <v>0</v>
      </c>
      <c r="N354" s="337">
        <f t="shared" si="202"/>
        <v>4</v>
      </c>
      <c r="O354" s="395">
        <f t="shared" si="203"/>
        <v>-4</v>
      </c>
      <c r="P354" s="289">
        <f t="shared" si="204"/>
        <v>0</v>
      </c>
      <c r="Q354" s="460">
        <f>WEEKNUM(tblResultadosNBA[[#This Row],[Fecha]],2)</f>
        <v>49</v>
      </c>
      <c r="R354" s="460" t="str">
        <f>TEXT(tblResultadosNBA[[#This Row],[Fecha]],"mmm")</f>
        <v>dic</v>
      </c>
    </row>
    <row r="355" spans="1:18">
      <c r="A355" s="445">
        <v>45998</v>
      </c>
      <c r="B355" s="331" t="s">
        <v>164</v>
      </c>
      <c r="C355" s="286" t="str">
        <f t="shared" si="195"/>
        <v>Oklahoma City Thunder</v>
      </c>
      <c r="D355" s="286">
        <v>121</v>
      </c>
      <c r="E355" s="431">
        <v>131</v>
      </c>
      <c r="F355" s="332">
        <f t="shared" si="196"/>
        <v>1</v>
      </c>
      <c r="G355" s="286" t="str">
        <f t="shared" si="197"/>
        <v>Utah Jazz</v>
      </c>
      <c r="H355" s="286">
        <v>124</v>
      </c>
      <c r="I355" s="431">
        <v>101</v>
      </c>
      <c r="J355" s="332">
        <f t="shared" si="198"/>
        <v>0</v>
      </c>
      <c r="K355" s="286">
        <f t="shared" si="199"/>
        <v>245</v>
      </c>
      <c r="L355" s="431">
        <f t="shared" si="200"/>
        <v>232</v>
      </c>
      <c r="M355" s="332">
        <f t="shared" si="201"/>
        <v>0</v>
      </c>
      <c r="N355" s="432">
        <f t="shared" si="202"/>
        <v>3</v>
      </c>
      <c r="O355" s="451">
        <f t="shared" si="203"/>
        <v>-30</v>
      </c>
      <c r="P355" s="433">
        <f t="shared" si="204"/>
        <v>0</v>
      </c>
      <c r="Q355" s="460">
        <f>WEEKNUM(tblResultadosNBA[[#This Row],[Fecha]],2)</f>
        <v>49</v>
      </c>
      <c r="R355" s="460" t="str">
        <f>TEXT(tblResultadosNBA[[#This Row],[Fecha]],"mmm")</f>
        <v>dic</v>
      </c>
    </row>
    <row r="356" spans="1:18">
      <c r="A356" s="476">
        <v>45999</v>
      </c>
      <c r="B356" s="422" t="s">
        <v>165</v>
      </c>
      <c r="C356" s="341" t="str">
        <f t="shared" ref="C356:C360" si="205">LEFT(B356,FIND("@",B356)-2)</f>
        <v>Sacramento Kings</v>
      </c>
      <c r="D356" s="341">
        <v>129</v>
      </c>
      <c r="E356" s="342">
        <v>105</v>
      </c>
      <c r="F356" s="333">
        <f t="shared" ref="F356:F358" si="206">IF(E356&gt;D356, 1, 0)</f>
        <v>0</v>
      </c>
      <c r="G356" s="341" t="str">
        <f t="shared" ref="G356:G358" si="207">MID(B356,FIND("@",B356)+2,LEN(B356)-FIND("@",B356)-1)</f>
        <v>Indiana Pacers</v>
      </c>
      <c r="H356" s="341">
        <v>121</v>
      </c>
      <c r="I356" s="342">
        <v>116</v>
      </c>
      <c r="J356" s="333">
        <f t="shared" ref="J356:J358" si="208">IF(I356&gt;H356, 1, 0)</f>
        <v>0</v>
      </c>
      <c r="K356" s="341">
        <f t="shared" ref="K356:K358" si="209">+D356+H356</f>
        <v>250</v>
      </c>
      <c r="L356" s="342">
        <f t="shared" ref="L356:L358" si="210">E356+I356</f>
        <v>221</v>
      </c>
      <c r="M356" s="333">
        <f t="shared" ref="M356:M358" si="211">IF(L356&gt;K356, 1, 0)</f>
        <v>0</v>
      </c>
      <c r="N356" s="343">
        <f t="shared" ref="N356:N358" si="212">(+H356-D356)</f>
        <v>-8</v>
      </c>
      <c r="O356" s="449">
        <f t="shared" ref="O356:O358" si="213">I356-E356</f>
        <v>11</v>
      </c>
      <c r="P356" s="289">
        <f t="shared" ref="P356:P358" si="214">IF(OR(AND(N356&gt;0,O356&gt;0),AND(N356&lt;0,O356&lt;0)),1,0)</f>
        <v>0</v>
      </c>
      <c r="Q356" s="460">
        <f>WEEKNUM(tblResultadosNBA[[#This Row],[Fecha]],2)</f>
        <v>50</v>
      </c>
      <c r="R356" s="460" t="str">
        <f>TEXT(tblResultadosNBA[[#This Row],[Fecha]],"mmm")</f>
        <v>dic</v>
      </c>
    </row>
    <row r="357" spans="1:18">
      <c r="A357" s="456">
        <v>45999</v>
      </c>
      <c r="B357" s="302" t="s">
        <v>166</v>
      </c>
      <c r="C357" s="177" t="str">
        <f t="shared" si="205"/>
        <v>Phoenix Suns</v>
      </c>
      <c r="D357" s="177">
        <v>117</v>
      </c>
      <c r="E357" s="336">
        <v>108</v>
      </c>
      <c r="F357" s="327">
        <f t="shared" si="206"/>
        <v>0</v>
      </c>
      <c r="G357" s="177" t="str">
        <f t="shared" si="207"/>
        <v>Minnesota Timberwolves</v>
      </c>
      <c r="H357" s="177">
        <v>122</v>
      </c>
      <c r="I357" s="336">
        <v>105</v>
      </c>
      <c r="J357" s="327">
        <f t="shared" si="208"/>
        <v>0</v>
      </c>
      <c r="K357" s="177">
        <f t="shared" si="209"/>
        <v>239</v>
      </c>
      <c r="L357" s="336">
        <f t="shared" si="210"/>
        <v>213</v>
      </c>
      <c r="M357" s="327">
        <f t="shared" si="211"/>
        <v>0</v>
      </c>
      <c r="N357" s="337">
        <f t="shared" si="212"/>
        <v>5</v>
      </c>
      <c r="O357" s="395">
        <f t="shared" si="213"/>
        <v>-3</v>
      </c>
      <c r="P357" s="289">
        <f t="shared" si="214"/>
        <v>0</v>
      </c>
      <c r="Q357" s="460">
        <f>WEEKNUM(tblResultadosNBA[[#This Row],[Fecha]],2)</f>
        <v>50</v>
      </c>
      <c r="R357" s="460" t="str">
        <f>TEXT(tblResultadosNBA[[#This Row],[Fecha]],"mmm")</f>
        <v>dic</v>
      </c>
    </row>
    <row r="358" spans="1:18">
      <c r="A358" s="445">
        <v>45999</v>
      </c>
      <c r="B358" s="331" t="s">
        <v>167</v>
      </c>
      <c r="C358" s="286" t="str">
        <f t="shared" si="205"/>
        <v>San Antonio Spurs</v>
      </c>
      <c r="D358" s="286">
        <v>124</v>
      </c>
      <c r="E358" s="431">
        <v>135</v>
      </c>
      <c r="F358" s="332">
        <f t="shared" si="206"/>
        <v>1</v>
      </c>
      <c r="G358" s="286" t="str">
        <f t="shared" si="207"/>
        <v>New Orleans Pelicans</v>
      </c>
      <c r="H358" s="286">
        <v>128</v>
      </c>
      <c r="I358" s="431">
        <v>132</v>
      </c>
      <c r="J358" s="332">
        <f t="shared" si="208"/>
        <v>1</v>
      </c>
      <c r="K358" s="286">
        <f t="shared" si="209"/>
        <v>252</v>
      </c>
      <c r="L358" s="431">
        <f t="shared" si="210"/>
        <v>267</v>
      </c>
      <c r="M358" s="332">
        <f t="shared" si="211"/>
        <v>1</v>
      </c>
      <c r="N358" s="432">
        <f t="shared" si="212"/>
        <v>4</v>
      </c>
      <c r="O358" s="451">
        <f t="shared" si="213"/>
        <v>-3</v>
      </c>
      <c r="P358" s="433">
        <f t="shared" si="214"/>
        <v>0</v>
      </c>
      <c r="Q358" s="460">
        <f>WEEKNUM(tblResultadosNBA[[#This Row],[Fecha]],2)</f>
        <v>50</v>
      </c>
      <c r="R358" s="460" t="str">
        <f>TEXT(tblResultadosNBA[[#This Row],[Fecha]],"mmm")</f>
        <v>dic</v>
      </c>
    </row>
    <row r="359" spans="1:18">
      <c r="A359" s="476">
        <v>46000</v>
      </c>
      <c r="B359" s="422" t="s">
        <v>168</v>
      </c>
      <c r="C359" s="341" t="str">
        <f t="shared" si="205"/>
        <v>Miami Heat</v>
      </c>
      <c r="D359" s="341">
        <v>124</v>
      </c>
      <c r="E359" s="342">
        <v>108</v>
      </c>
      <c r="F359" s="333">
        <f t="shared" ref="F359:F360" si="215">IF(E359&gt;D359, 1, 0)</f>
        <v>0</v>
      </c>
      <c r="G359" s="341" t="str">
        <f t="shared" ref="G359:G360" si="216">MID(B359,FIND("@",B359)+2,LEN(B359)-FIND("@",B359)-1)</f>
        <v>Orlando Magic</v>
      </c>
      <c r="H359" s="341">
        <v>116</v>
      </c>
      <c r="I359" s="342">
        <v>117</v>
      </c>
      <c r="J359" s="333">
        <f t="shared" ref="J359:J360" si="217">IF(I359&gt;H359, 1, 0)</f>
        <v>1</v>
      </c>
      <c r="K359" s="341">
        <f t="shared" ref="K359:K360" si="218">+D359+H359</f>
        <v>240</v>
      </c>
      <c r="L359" s="342">
        <f t="shared" ref="L359:L360" si="219">E359+I359</f>
        <v>225</v>
      </c>
      <c r="M359" s="333">
        <f t="shared" ref="M359:M360" si="220">IF(L359&gt;K359, 1, 0)</f>
        <v>0</v>
      </c>
      <c r="N359" s="343">
        <f t="shared" ref="N359:N360" si="221">(+H359-D359)</f>
        <v>-8</v>
      </c>
      <c r="O359" s="449">
        <f t="shared" ref="O359:O360" si="222">I359-E359</f>
        <v>9</v>
      </c>
      <c r="P359" s="289">
        <f t="shared" ref="P359:P360" si="223">IF(OR(AND(N359&gt;0,O359&gt;0),AND(N359&lt;0,O359&lt;0)),1,0)</f>
        <v>0</v>
      </c>
      <c r="Q359" s="460">
        <f>WEEKNUM(tblResultadosNBA[[#This Row],[Fecha]],2)</f>
        <v>50</v>
      </c>
      <c r="R359" s="460" t="str">
        <f>TEXT(tblResultadosNBA[[#This Row],[Fecha]],"mmm")</f>
        <v>dic</v>
      </c>
    </row>
    <row r="360" spans="1:18">
      <c r="A360" s="446">
        <v>46000</v>
      </c>
      <c r="B360" s="331" t="s">
        <v>169</v>
      </c>
      <c r="C360" s="286" t="str">
        <f t="shared" si="205"/>
        <v>New York Knicks</v>
      </c>
      <c r="D360" s="286">
        <v>115</v>
      </c>
      <c r="E360" s="431">
        <v>117</v>
      </c>
      <c r="F360" s="332">
        <f t="shared" si="215"/>
        <v>1</v>
      </c>
      <c r="G360" s="286" t="str">
        <f t="shared" si="216"/>
        <v>Toronto Raptors</v>
      </c>
      <c r="H360" s="286">
        <v>130</v>
      </c>
      <c r="I360" s="431">
        <v>101</v>
      </c>
      <c r="J360" s="332">
        <f t="shared" si="217"/>
        <v>0</v>
      </c>
      <c r="K360" s="286">
        <f t="shared" si="218"/>
        <v>245</v>
      </c>
      <c r="L360" s="431">
        <f t="shared" si="219"/>
        <v>218</v>
      </c>
      <c r="M360" s="332">
        <f t="shared" si="220"/>
        <v>0</v>
      </c>
      <c r="N360" s="432">
        <f t="shared" si="221"/>
        <v>15</v>
      </c>
      <c r="O360" s="451">
        <f t="shared" si="222"/>
        <v>-16</v>
      </c>
      <c r="P360" s="433">
        <f t="shared" si="223"/>
        <v>0</v>
      </c>
      <c r="Q360" s="460">
        <f>WEEKNUM(tblResultadosNBA[[#This Row],[Fecha]],2)</f>
        <v>50</v>
      </c>
      <c r="R360" s="460" t="str">
        <f>TEXT(tblResultadosNBA[[#This Row],[Fecha]],"mmm")</f>
        <v>dic</v>
      </c>
    </row>
    <row r="361" spans="1:18">
      <c r="A361" s="476">
        <v>46001</v>
      </c>
      <c r="B361" s="422" t="s">
        <v>586</v>
      </c>
      <c r="C361" s="341" t="str">
        <f t="shared" ref="C361:C362" si="224">LEFT(B361,FIND("@",B361)-2)</f>
        <v>Phoenix Suns</v>
      </c>
      <c r="D361" s="341">
        <v>125</v>
      </c>
      <c r="E361" s="342">
        <v>89</v>
      </c>
      <c r="F361" s="333">
        <f t="shared" ref="F361:F362" si="225">IF(E361&gt;D361, 1, 0)</f>
        <v>0</v>
      </c>
      <c r="G361" s="341" t="str">
        <f t="shared" ref="G361:G362" si="226">MID(B361,FIND("@",B361)+2,LEN(B361)-FIND("@",B361)-1)</f>
        <v>Oklahoma City Thunder</v>
      </c>
      <c r="H361" s="341">
        <v>121</v>
      </c>
      <c r="I361" s="342">
        <v>138</v>
      </c>
      <c r="J361" s="333">
        <f t="shared" ref="J361:J362" si="227">IF(I361&gt;H361, 1, 0)</f>
        <v>1</v>
      </c>
      <c r="K361" s="341">
        <f t="shared" ref="K361:K362" si="228">+D361+H361</f>
        <v>246</v>
      </c>
      <c r="L361" s="342">
        <f t="shared" ref="L361:L362" si="229">E361+I361</f>
        <v>227</v>
      </c>
      <c r="M361" s="333">
        <f t="shared" ref="M361:M362" si="230">IF(L361&gt;K361, 1, 0)</f>
        <v>0</v>
      </c>
      <c r="N361" s="343">
        <f t="shared" ref="N361:N362" si="231">(+H361-D361)</f>
        <v>-4</v>
      </c>
      <c r="O361" s="449">
        <f t="shared" ref="O361:O362" si="232">I361-E361</f>
        <v>49</v>
      </c>
      <c r="P361" s="289">
        <f t="shared" ref="P361:P362" si="233">IF(OR(AND(N361&gt;0,O361&gt;0),AND(N361&lt;0,O361&lt;0)),1,0)</f>
        <v>0</v>
      </c>
      <c r="Q361" s="460">
        <f>WEEKNUM(tblResultadosNBA[[#This Row],[Fecha]],2)</f>
        <v>50</v>
      </c>
      <c r="R361" s="460" t="str">
        <f>TEXT(tblResultadosNBA[[#This Row],[Fecha]],"mmm")</f>
        <v>dic</v>
      </c>
    </row>
    <row r="362" spans="1:18">
      <c r="A362" s="446">
        <v>46001</v>
      </c>
      <c r="B362" s="331" t="s">
        <v>736</v>
      </c>
      <c r="C362" s="286" t="str">
        <f t="shared" si="224"/>
        <v>San Antonio Spurs</v>
      </c>
      <c r="D362" s="286">
        <v>111</v>
      </c>
      <c r="E362" s="431">
        <v>132</v>
      </c>
      <c r="F362" s="332">
        <f t="shared" si="225"/>
        <v>1</v>
      </c>
      <c r="G362" s="286" t="str">
        <f t="shared" si="226"/>
        <v>Los Angeles Lakers</v>
      </c>
      <c r="H362" s="286">
        <v>131</v>
      </c>
      <c r="I362" s="431">
        <v>119</v>
      </c>
      <c r="J362" s="332">
        <f t="shared" si="227"/>
        <v>0</v>
      </c>
      <c r="K362" s="286">
        <f t="shared" si="228"/>
        <v>242</v>
      </c>
      <c r="L362" s="431">
        <f t="shared" si="229"/>
        <v>251</v>
      </c>
      <c r="M362" s="332">
        <f t="shared" si="230"/>
        <v>1</v>
      </c>
      <c r="N362" s="432">
        <f t="shared" si="231"/>
        <v>20</v>
      </c>
      <c r="O362" s="451">
        <f t="shared" si="232"/>
        <v>-13</v>
      </c>
      <c r="P362" s="433">
        <f t="shared" si="233"/>
        <v>0</v>
      </c>
      <c r="Q362" s="460">
        <f>WEEKNUM(tblResultadosNBA[[#This Row],[Fecha]],2)</f>
        <v>50</v>
      </c>
      <c r="R362" s="460" t="str">
        <f>TEXT(tblResultadosNBA[[#This Row],[Fecha]],"mmm")</f>
        <v>dic</v>
      </c>
    </row>
    <row r="363" spans="1:18">
      <c r="A363" s="476">
        <v>46002</v>
      </c>
      <c r="B363" s="422" t="s">
        <v>170</v>
      </c>
      <c r="C363" s="341" t="str">
        <f t="shared" ref="C363:C366" si="234">LEFT(B363,FIND("@",B363)-2)</f>
        <v>LA Clippers</v>
      </c>
      <c r="D363" s="341">
        <v>124</v>
      </c>
      <c r="E363" s="342">
        <v>113</v>
      </c>
      <c r="F363" s="333">
        <f t="shared" ref="F363:F366" si="235">IF(E363&gt;D363, 1, 0)</f>
        <v>0</v>
      </c>
      <c r="G363" s="341" t="str">
        <f t="shared" ref="G363:G366" si="236">MID(B363,FIND("@",B363)+2,LEN(B363)-FIND("@",B363)-1)</f>
        <v>Houston Rockets</v>
      </c>
      <c r="H363" s="341">
        <v>120</v>
      </c>
      <c r="I363" s="342">
        <v>115</v>
      </c>
      <c r="J363" s="333">
        <f t="shared" ref="J363:J366" si="237">IF(I363&gt;H363, 1, 0)</f>
        <v>0</v>
      </c>
      <c r="K363" s="341">
        <f t="shared" ref="K363:K366" si="238">+D363+H363</f>
        <v>244</v>
      </c>
      <c r="L363" s="342">
        <f t="shared" ref="L363:L366" si="239">E363+I363</f>
        <v>228</v>
      </c>
      <c r="M363" s="333">
        <f t="shared" ref="M363:M366" si="240">IF(L363&gt;K363, 1, 0)</f>
        <v>0</v>
      </c>
      <c r="N363" s="343">
        <f t="shared" ref="N363:N366" si="241">(+H363-D363)</f>
        <v>-4</v>
      </c>
      <c r="O363" s="449">
        <f t="shared" ref="O363:O366" si="242">I363-E363</f>
        <v>2</v>
      </c>
      <c r="P363" s="289">
        <f t="shared" ref="P363:P366" si="243">IF(OR(AND(N363&gt;0,O363&gt;0),AND(N363&lt;0,O363&lt;0)),1,0)</f>
        <v>0</v>
      </c>
      <c r="Q363" s="460">
        <f>WEEKNUM(tblResultadosNBA[[#This Row],[Fecha]],2)</f>
        <v>50</v>
      </c>
      <c r="R363" s="460" t="str">
        <f>TEXT(tblResultadosNBA[[#This Row],[Fecha]],"mmm")</f>
        <v>dic</v>
      </c>
    </row>
    <row r="364" spans="1:18">
      <c r="A364" s="476">
        <v>46002</v>
      </c>
      <c r="B364" s="302" t="s">
        <v>171</v>
      </c>
      <c r="C364" s="177" t="str">
        <f t="shared" si="234"/>
        <v>Boston Celtics</v>
      </c>
      <c r="D364" s="177">
        <v>110</v>
      </c>
      <c r="E364" s="336">
        <v>101</v>
      </c>
      <c r="F364" s="327">
        <f t="shared" si="235"/>
        <v>0</v>
      </c>
      <c r="G364" s="177" t="str">
        <f t="shared" si="236"/>
        <v>Milwaukee Bucks</v>
      </c>
      <c r="H364" s="177">
        <v>115</v>
      </c>
      <c r="I364" s="336">
        <v>116</v>
      </c>
      <c r="J364" s="327">
        <f t="shared" si="237"/>
        <v>1</v>
      </c>
      <c r="K364" s="177">
        <f t="shared" si="238"/>
        <v>225</v>
      </c>
      <c r="L364" s="336">
        <f t="shared" si="239"/>
        <v>217</v>
      </c>
      <c r="M364" s="327">
        <f t="shared" si="240"/>
        <v>0</v>
      </c>
      <c r="N364" s="337">
        <f t="shared" si="241"/>
        <v>5</v>
      </c>
      <c r="O364" s="395">
        <f t="shared" si="242"/>
        <v>15</v>
      </c>
      <c r="P364" s="289">
        <f t="shared" si="243"/>
        <v>1</v>
      </c>
      <c r="Q364" s="460">
        <f>WEEKNUM(tblResultadosNBA[[#This Row],[Fecha]],2)</f>
        <v>50</v>
      </c>
      <c r="R364" s="460" t="str">
        <f>TEXT(tblResultadosNBA[[#This Row],[Fecha]],"mmm")</f>
        <v>dic</v>
      </c>
    </row>
    <row r="365" spans="1:18">
      <c r="A365" s="476">
        <v>46002</v>
      </c>
      <c r="B365" s="302" t="s">
        <v>42</v>
      </c>
      <c r="C365" s="177" t="str">
        <f t="shared" si="234"/>
        <v>Portland Trail Blazers</v>
      </c>
      <c r="D365" s="177">
        <v>110</v>
      </c>
      <c r="E365" s="336">
        <v>120</v>
      </c>
      <c r="F365" s="327">
        <f t="shared" si="235"/>
        <v>1</v>
      </c>
      <c r="G365" s="177" t="str">
        <f t="shared" si="236"/>
        <v>New Orleans Pelicans</v>
      </c>
      <c r="H365" s="177">
        <v>140</v>
      </c>
      <c r="I365" s="336">
        <v>143</v>
      </c>
      <c r="J365" s="327">
        <f t="shared" si="237"/>
        <v>1</v>
      </c>
      <c r="K365" s="177">
        <f t="shared" si="238"/>
        <v>250</v>
      </c>
      <c r="L365" s="336">
        <f t="shared" si="239"/>
        <v>263</v>
      </c>
      <c r="M365" s="327">
        <f t="shared" si="240"/>
        <v>1</v>
      </c>
      <c r="N365" s="337">
        <f t="shared" si="241"/>
        <v>30</v>
      </c>
      <c r="O365" s="395">
        <f t="shared" si="242"/>
        <v>23</v>
      </c>
      <c r="P365" s="289">
        <f t="shared" si="243"/>
        <v>1</v>
      </c>
      <c r="Q365" s="460">
        <f>WEEKNUM(tblResultadosNBA[[#This Row],[Fecha]],2)</f>
        <v>50</v>
      </c>
      <c r="R365" s="460" t="str">
        <f>TEXT(tblResultadosNBA[[#This Row],[Fecha]],"mmm")</f>
        <v>dic</v>
      </c>
    </row>
    <row r="366" spans="1:18">
      <c r="A366" s="446">
        <v>46002</v>
      </c>
      <c r="B366" s="331" t="s">
        <v>172</v>
      </c>
      <c r="C366" s="286" t="str">
        <f t="shared" si="234"/>
        <v>Denver Nuggets</v>
      </c>
      <c r="D366" s="286">
        <v>125</v>
      </c>
      <c r="E366" s="431">
        <v>136</v>
      </c>
      <c r="F366" s="332">
        <f t="shared" si="235"/>
        <v>1</v>
      </c>
      <c r="G366" s="286" t="str">
        <f t="shared" si="236"/>
        <v>Sacramento Kings</v>
      </c>
      <c r="H366" s="286">
        <v>120</v>
      </c>
      <c r="I366" s="431">
        <v>105</v>
      </c>
      <c r="J366" s="332">
        <f t="shared" si="237"/>
        <v>0</v>
      </c>
      <c r="K366" s="286">
        <f t="shared" si="238"/>
        <v>245</v>
      </c>
      <c r="L366" s="431">
        <f t="shared" si="239"/>
        <v>241</v>
      </c>
      <c r="M366" s="332">
        <f t="shared" si="240"/>
        <v>0</v>
      </c>
      <c r="N366" s="432">
        <f t="shared" si="241"/>
        <v>-5</v>
      </c>
      <c r="O366" s="451">
        <f t="shared" si="242"/>
        <v>-31</v>
      </c>
      <c r="P366" s="433">
        <f t="shared" si="243"/>
        <v>1</v>
      </c>
      <c r="Q366" s="460">
        <f>WEEKNUM(tblResultadosNBA[[#This Row],[Fecha]],2)</f>
        <v>50</v>
      </c>
      <c r="R366" s="460" t="str">
        <f>TEXT(tblResultadosNBA[[#This Row],[Fecha]],"mmm")</f>
        <v>dic</v>
      </c>
    </row>
    <row r="367" spans="1:18">
      <c r="A367" s="476">
        <v>46003</v>
      </c>
      <c r="B367" s="422" t="s">
        <v>173</v>
      </c>
      <c r="C367" s="341" t="str">
        <f>LEFT(B367,FIND("@",B367)-2)</f>
        <v>Chicago Bulls</v>
      </c>
      <c r="D367" s="341">
        <v>129</v>
      </c>
      <c r="E367" s="342">
        <v>129</v>
      </c>
      <c r="F367" s="333">
        <f>IF(E367&gt;D367, 1, 0)</f>
        <v>0</v>
      </c>
      <c r="G367" s="341" t="str">
        <f>MID(B367,FIND("@",B367)+2,LEN(B367)-FIND("@",B367)-1)</f>
        <v>Charlotte Hornets</v>
      </c>
      <c r="H367" s="341">
        <v>119</v>
      </c>
      <c r="I367" s="342">
        <v>126</v>
      </c>
      <c r="J367" s="333">
        <f>IF(I367&gt;H367, 1, 0)</f>
        <v>1</v>
      </c>
      <c r="K367" s="341">
        <f>+D367+H367</f>
        <v>248</v>
      </c>
      <c r="L367" s="342">
        <f>E367+I367</f>
        <v>255</v>
      </c>
      <c r="M367" s="333">
        <f>IF(L367&gt;K367, 1, 0)</f>
        <v>1</v>
      </c>
      <c r="N367" s="343">
        <f>(+H367-D367)</f>
        <v>-10</v>
      </c>
      <c r="O367" s="449">
        <f>I367-E367</f>
        <v>-3</v>
      </c>
      <c r="P367" s="289">
        <f>IF(OR(AND(N367&gt;0,O367&gt;0),AND(N367&lt;0,O367&lt;0)),1,0)</f>
        <v>1</v>
      </c>
      <c r="Q367" s="460">
        <f>WEEKNUM(tblResultadosNBA[[#This Row],[Fecha]],2)</f>
        <v>50</v>
      </c>
      <c r="R367" s="460" t="str">
        <f>TEXT(tblResultadosNBA[[#This Row],[Fecha]],"mmm")</f>
        <v>dic</v>
      </c>
    </row>
    <row r="368" spans="1:18">
      <c r="A368" s="419">
        <v>46003</v>
      </c>
      <c r="B368" s="302" t="s">
        <v>126</v>
      </c>
      <c r="C368" s="177" t="str">
        <f t="shared" ref="C368:C373" si="244">LEFT(B368,FIND("@",B368)-2)</f>
        <v>Atlanta Hawks</v>
      </c>
      <c r="D368" s="177">
        <v>117</v>
      </c>
      <c r="E368" s="336">
        <v>115</v>
      </c>
      <c r="F368" s="327">
        <f t="shared" ref="F368:F373" si="245">IF(E368&gt;D368, 1, 0)</f>
        <v>0</v>
      </c>
      <c r="G368" s="177" t="str">
        <f t="shared" ref="G368:G373" si="246">MID(B368,FIND("@",B368)+2,LEN(B368)-FIND("@",B368)-1)</f>
        <v>Detroit Pistons</v>
      </c>
      <c r="H368" s="177">
        <v>120</v>
      </c>
      <c r="I368" s="336">
        <v>142</v>
      </c>
      <c r="J368" s="327">
        <f t="shared" ref="J368:J373" si="247">IF(I368&gt;H368, 1, 0)</f>
        <v>1</v>
      </c>
      <c r="K368" s="177">
        <f t="shared" ref="K368:K373" si="248">+D368+H368</f>
        <v>237</v>
      </c>
      <c r="L368" s="336">
        <f t="shared" ref="L368:L373" si="249">E368+I368</f>
        <v>257</v>
      </c>
      <c r="M368" s="327">
        <f t="shared" ref="M368:M373" si="250">IF(L368&gt;K368, 1, 0)</f>
        <v>1</v>
      </c>
      <c r="N368" s="337">
        <f t="shared" ref="N368:N373" si="251">(+H368-D368)</f>
        <v>3</v>
      </c>
      <c r="O368" s="395">
        <f t="shared" ref="O368:O373" si="252">I368-E368</f>
        <v>27</v>
      </c>
      <c r="P368" s="289">
        <f t="shared" ref="P368:P373" si="253">IF(OR(AND(N368&gt;0,O368&gt;0),AND(N368&lt;0,O368&lt;0)),1,0)</f>
        <v>1</v>
      </c>
      <c r="Q368" s="460">
        <f>WEEKNUM(tblResultadosNBA[[#This Row],[Fecha]],2)</f>
        <v>50</v>
      </c>
      <c r="R368" s="460" t="str">
        <f>TEXT(tblResultadosNBA[[#This Row],[Fecha]],"mmm")</f>
        <v>dic</v>
      </c>
    </row>
    <row r="369" spans="1:18">
      <c r="A369" s="419">
        <v>46003</v>
      </c>
      <c r="B369" s="302" t="s">
        <v>791</v>
      </c>
      <c r="C369" s="177" t="str">
        <f t="shared" si="244"/>
        <v>Indiana Pacers</v>
      </c>
      <c r="D369" s="177">
        <v>107</v>
      </c>
      <c r="E369" s="336">
        <v>105</v>
      </c>
      <c r="F369" s="327">
        <f t="shared" si="245"/>
        <v>0</v>
      </c>
      <c r="G369" s="177" t="str">
        <f t="shared" si="246"/>
        <v>Philadelphia 76ers</v>
      </c>
      <c r="H369" s="177">
        <v>117</v>
      </c>
      <c r="I369" s="336">
        <v>115</v>
      </c>
      <c r="J369" s="327">
        <f t="shared" si="247"/>
        <v>0</v>
      </c>
      <c r="K369" s="177">
        <f t="shared" si="248"/>
        <v>224</v>
      </c>
      <c r="L369" s="336">
        <f t="shared" si="249"/>
        <v>220</v>
      </c>
      <c r="M369" s="327">
        <f t="shared" si="250"/>
        <v>0</v>
      </c>
      <c r="N369" s="337">
        <f t="shared" si="251"/>
        <v>10</v>
      </c>
      <c r="O369" s="395">
        <f t="shared" si="252"/>
        <v>10</v>
      </c>
      <c r="P369" s="289">
        <f t="shared" si="253"/>
        <v>1</v>
      </c>
      <c r="Q369" s="460">
        <f>WEEKNUM(tblResultadosNBA[[#This Row],[Fecha]],2)</f>
        <v>50</v>
      </c>
      <c r="R369" s="460" t="str">
        <f>TEXT(tblResultadosNBA[[#This Row],[Fecha]],"mmm")</f>
        <v>dic</v>
      </c>
    </row>
    <row r="370" spans="1:18">
      <c r="A370" s="419">
        <v>46003</v>
      </c>
      <c r="B370" s="302" t="s">
        <v>174</v>
      </c>
      <c r="C370" s="177" t="str">
        <f t="shared" si="244"/>
        <v>Cleveland Cavaliers</v>
      </c>
      <c r="D370" s="177">
        <v>126</v>
      </c>
      <c r="E370" s="336">
        <v>130</v>
      </c>
      <c r="F370" s="327">
        <f t="shared" si="245"/>
        <v>1</v>
      </c>
      <c r="G370" s="177" t="str">
        <f t="shared" si="246"/>
        <v>Washington Wizards</v>
      </c>
      <c r="H370" s="177">
        <v>133</v>
      </c>
      <c r="I370" s="336">
        <v>126</v>
      </c>
      <c r="J370" s="327">
        <f t="shared" si="247"/>
        <v>0</v>
      </c>
      <c r="K370" s="177">
        <f t="shared" si="248"/>
        <v>259</v>
      </c>
      <c r="L370" s="336">
        <f t="shared" si="249"/>
        <v>256</v>
      </c>
      <c r="M370" s="327">
        <f t="shared" si="250"/>
        <v>0</v>
      </c>
      <c r="N370" s="337">
        <f t="shared" si="251"/>
        <v>7</v>
      </c>
      <c r="O370" s="395">
        <f t="shared" si="252"/>
        <v>-4</v>
      </c>
      <c r="P370" s="289">
        <f t="shared" si="253"/>
        <v>0</v>
      </c>
      <c r="Q370" s="460">
        <f>WEEKNUM(tblResultadosNBA[[#This Row],[Fecha]],2)</f>
        <v>50</v>
      </c>
      <c r="R370" s="460" t="str">
        <f>TEXT(tblResultadosNBA[[#This Row],[Fecha]],"mmm")</f>
        <v>dic</v>
      </c>
    </row>
    <row r="371" spans="1:18">
      <c r="A371" s="419">
        <v>46003</v>
      </c>
      <c r="B371" s="302" t="s">
        <v>792</v>
      </c>
      <c r="C371" s="177" t="str">
        <f t="shared" si="244"/>
        <v>Utah Jazz</v>
      </c>
      <c r="D371" s="177">
        <v>111</v>
      </c>
      <c r="E371" s="336">
        <v>130</v>
      </c>
      <c r="F371" s="327">
        <f t="shared" si="245"/>
        <v>1</v>
      </c>
      <c r="G371" s="177" t="str">
        <f t="shared" si="246"/>
        <v>Memphis Grizzlies</v>
      </c>
      <c r="H371" s="177">
        <v>121</v>
      </c>
      <c r="I371" s="336">
        <v>126</v>
      </c>
      <c r="J371" s="327">
        <f t="shared" si="247"/>
        <v>1</v>
      </c>
      <c r="K371" s="177">
        <f t="shared" si="248"/>
        <v>232</v>
      </c>
      <c r="L371" s="336">
        <f t="shared" si="249"/>
        <v>256</v>
      </c>
      <c r="M371" s="327">
        <f t="shared" si="250"/>
        <v>1</v>
      </c>
      <c r="N371" s="337">
        <f t="shared" si="251"/>
        <v>10</v>
      </c>
      <c r="O371" s="395">
        <f t="shared" si="252"/>
        <v>-4</v>
      </c>
      <c r="P371" s="289">
        <f t="shared" si="253"/>
        <v>0</v>
      </c>
      <c r="Q371" s="460">
        <f>WEEKNUM(tblResultadosNBA[[#This Row],[Fecha]],2)</f>
        <v>50</v>
      </c>
      <c r="R371" s="460" t="str">
        <f>TEXT(tblResultadosNBA[[#This Row],[Fecha]],"mmm")</f>
        <v>dic</v>
      </c>
    </row>
    <row r="372" spans="1:18">
      <c r="A372" s="419">
        <v>46003</v>
      </c>
      <c r="B372" s="302" t="s">
        <v>175</v>
      </c>
      <c r="C372" s="177" t="str">
        <f t="shared" si="244"/>
        <v>Brooklyn Nets</v>
      </c>
      <c r="D372" s="177">
        <v>109</v>
      </c>
      <c r="E372" s="336">
        <v>111</v>
      </c>
      <c r="F372" s="327">
        <f t="shared" si="245"/>
        <v>1</v>
      </c>
      <c r="G372" s="177" t="str">
        <f t="shared" si="246"/>
        <v>Dallas Mavericks</v>
      </c>
      <c r="H372" s="177">
        <v>115</v>
      </c>
      <c r="I372" s="336">
        <v>119</v>
      </c>
      <c r="J372" s="327">
        <f t="shared" si="247"/>
        <v>1</v>
      </c>
      <c r="K372" s="177">
        <f t="shared" si="248"/>
        <v>224</v>
      </c>
      <c r="L372" s="336">
        <f t="shared" si="249"/>
        <v>230</v>
      </c>
      <c r="M372" s="327">
        <f t="shared" si="250"/>
        <v>1</v>
      </c>
      <c r="N372" s="337">
        <f t="shared" si="251"/>
        <v>6</v>
      </c>
      <c r="O372" s="395">
        <f t="shared" si="252"/>
        <v>8</v>
      </c>
      <c r="P372" s="289">
        <f t="shared" si="253"/>
        <v>1</v>
      </c>
      <c r="Q372" s="460">
        <f>WEEKNUM(tblResultadosNBA[[#This Row],[Fecha]],2)</f>
        <v>50</v>
      </c>
      <c r="R372" s="460" t="str">
        <f>TEXT(tblResultadosNBA[[#This Row],[Fecha]],"mmm")</f>
        <v>dic</v>
      </c>
    </row>
    <row r="373" spans="1:18">
      <c r="A373" s="445">
        <v>46003</v>
      </c>
      <c r="B373" s="331" t="s">
        <v>176</v>
      </c>
      <c r="C373" s="286" t="str">
        <f t="shared" si="244"/>
        <v>Minnesota Timberwolves</v>
      </c>
      <c r="D373" s="286">
        <v>122</v>
      </c>
      <c r="E373" s="431">
        <v>127</v>
      </c>
      <c r="F373" s="332">
        <f t="shared" si="245"/>
        <v>1</v>
      </c>
      <c r="G373" s="286" t="str">
        <f t="shared" si="246"/>
        <v>Golden State Warriors</v>
      </c>
      <c r="H373" s="286">
        <v>132</v>
      </c>
      <c r="I373" s="431">
        <v>120</v>
      </c>
      <c r="J373" s="332">
        <f t="shared" si="247"/>
        <v>0</v>
      </c>
      <c r="K373" s="286">
        <f t="shared" si="248"/>
        <v>254</v>
      </c>
      <c r="L373" s="431">
        <f t="shared" si="249"/>
        <v>247</v>
      </c>
      <c r="M373" s="332">
        <f t="shared" si="250"/>
        <v>0</v>
      </c>
      <c r="N373" s="432">
        <f t="shared" si="251"/>
        <v>10</v>
      </c>
      <c r="O373" s="451">
        <f t="shared" si="252"/>
        <v>-7</v>
      </c>
      <c r="P373" s="433">
        <f t="shared" si="253"/>
        <v>0</v>
      </c>
      <c r="Q373" s="460">
        <f>WEEKNUM(tblResultadosNBA[[#This Row],[Fecha]],2)</f>
        <v>50</v>
      </c>
      <c r="R373" s="460" t="str">
        <f>TEXT(tblResultadosNBA[[#This Row],[Fecha]],"mmm")</f>
        <v>dic</v>
      </c>
    </row>
    <row r="374" spans="1:18">
      <c r="A374" s="439">
        <v>46004</v>
      </c>
      <c r="B374" s="422" t="s">
        <v>773</v>
      </c>
      <c r="C374" s="341" t="str">
        <f t="shared" ref="C374:C375" si="254">LEFT(B374,FIND("@",B374)-2)</f>
        <v>New York Knicks</v>
      </c>
      <c r="D374" s="341">
        <v>103</v>
      </c>
      <c r="E374" s="342">
        <v>132</v>
      </c>
      <c r="F374" s="333">
        <f t="shared" ref="F374:F375" si="255">IF(E374&gt;D374, 1, 0)</f>
        <v>1</v>
      </c>
      <c r="G374" s="341" t="str">
        <f t="shared" ref="G374:G375" si="256">MID(B374,FIND("@",B374)+2,LEN(B374)-FIND("@",B374)-1)</f>
        <v>Orlando Magic</v>
      </c>
      <c r="H374" s="341">
        <v>101</v>
      </c>
      <c r="I374" s="342">
        <v>120</v>
      </c>
      <c r="J374" s="333">
        <f t="shared" ref="J374:J375" si="257">IF(I374&gt;H374, 1, 0)</f>
        <v>1</v>
      </c>
      <c r="K374" s="341">
        <f t="shared" ref="K374:K375" si="258">+D374+H374</f>
        <v>204</v>
      </c>
      <c r="L374" s="342">
        <f t="shared" ref="L374:L375" si="259">E374+I374</f>
        <v>252</v>
      </c>
      <c r="M374" s="333">
        <f t="shared" ref="M374:M375" si="260">IF(L374&gt;K374, 1, 0)</f>
        <v>1</v>
      </c>
      <c r="N374" s="343">
        <f t="shared" ref="N374:N375" si="261">(+H374-D374)</f>
        <v>-2</v>
      </c>
      <c r="O374" s="449">
        <f t="shared" ref="O374:O375" si="262">I374-E374</f>
        <v>-12</v>
      </c>
      <c r="P374" s="289">
        <f t="shared" ref="P374:P375" si="263">IF(OR(AND(N374&gt;0,O374&gt;0),AND(N374&lt;0,O374&lt;0)),1,0)</f>
        <v>1</v>
      </c>
      <c r="Q374" s="460">
        <f>WEEKNUM(tblResultadosNBA[[#This Row],[Fecha]],2)</f>
        <v>50</v>
      </c>
      <c r="R374" s="460" t="str">
        <f>TEXT(tblResultadosNBA[[#This Row],[Fecha]],"mmm")</f>
        <v>dic</v>
      </c>
    </row>
    <row r="375" spans="1:18">
      <c r="A375" s="445">
        <v>46004</v>
      </c>
      <c r="B375" s="331" t="s">
        <v>224</v>
      </c>
      <c r="C375" s="286" t="str">
        <f t="shared" si="254"/>
        <v>San Antonio Spurs</v>
      </c>
      <c r="D375" s="286">
        <v>97</v>
      </c>
      <c r="E375" s="431">
        <v>111</v>
      </c>
      <c r="F375" s="332">
        <f t="shared" si="255"/>
        <v>1</v>
      </c>
      <c r="G375" s="286" t="str">
        <f t="shared" si="256"/>
        <v>Oklahoma City Thunder</v>
      </c>
      <c r="H375" s="286">
        <v>110</v>
      </c>
      <c r="I375" s="431">
        <v>109</v>
      </c>
      <c r="J375" s="332">
        <f t="shared" si="257"/>
        <v>0</v>
      </c>
      <c r="K375" s="286">
        <f t="shared" si="258"/>
        <v>207</v>
      </c>
      <c r="L375" s="431">
        <f t="shared" si="259"/>
        <v>220</v>
      </c>
      <c r="M375" s="332">
        <f t="shared" si="260"/>
        <v>1</v>
      </c>
      <c r="N375" s="432">
        <f t="shared" si="261"/>
        <v>13</v>
      </c>
      <c r="O375" s="451">
        <f t="shared" si="262"/>
        <v>-2</v>
      </c>
      <c r="P375" s="433">
        <f t="shared" si="263"/>
        <v>0</v>
      </c>
      <c r="Q375" s="460">
        <f>WEEKNUM(tblResultadosNBA[[#This Row],[Fecha]],2)</f>
        <v>50</v>
      </c>
      <c r="R375" s="460" t="str">
        <f>TEXT(tblResultadosNBA[[#This Row],[Fecha]],"mmm")</f>
        <v>dic</v>
      </c>
    </row>
    <row r="376" spans="1:18">
      <c r="A376" s="439">
        <v>46005</v>
      </c>
      <c r="B376" s="422" t="s">
        <v>177</v>
      </c>
      <c r="C376" s="341" t="str">
        <f>LEFT(B376,FIND("@",B376)-2)</f>
        <v>Washington Wizards</v>
      </c>
      <c r="D376" s="341">
        <v>128</v>
      </c>
      <c r="E376" s="342">
        <v>108</v>
      </c>
      <c r="F376" s="333">
        <f>IF(E376&gt;D376, 1, 0)</f>
        <v>0</v>
      </c>
      <c r="G376" s="341" t="str">
        <f>MID(B376,FIND("@",B376)+2,LEN(B376)-FIND("@",B376)-1)</f>
        <v>Indiana Pacers</v>
      </c>
      <c r="H376" s="341">
        <v>125</v>
      </c>
      <c r="I376" s="342">
        <v>89</v>
      </c>
      <c r="J376" s="333">
        <f>IF(I376&gt;H376, 1, 0)</f>
        <v>0</v>
      </c>
      <c r="K376" s="341">
        <f>+D376+H376</f>
        <v>253</v>
      </c>
      <c r="L376" s="342">
        <f>E376+I376</f>
        <v>197</v>
      </c>
      <c r="M376" s="333">
        <f>IF(L376&gt;K376, 1, 0)</f>
        <v>0</v>
      </c>
      <c r="N376" s="343">
        <f>(+H376-D376)</f>
        <v>-3</v>
      </c>
      <c r="O376" s="449">
        <f>I376-E376</f>
        <v>-19</v>
      </c>
      <c r="P376" s="289">
        <f>IF(OR(AND(N376&gt;0,O376&gt;0),AND(N376&lt;0,O376&lt;0)),1,0)</f>
        <v>1</v>
      </c>
      <c r="Q376" s="460">
        <f>WEEKNUM(tblResultadosNBA[[#This Row],[Fecha]],2)</f>
        <v>50</v>
      </c>
      <c r="R376" s="460" t="str">
        <f>TEXT(tblResultadosNBA[[#This Row],[Fecha]],"mmm")</f>
        <v>dic</v>
      </c>
    </row>
    <row r="377" spans="1:18">
      <c r="A377" s="419">
        <v>46005</v>
      </c>
      <c r="B377" s="302" t="s">
        <v>208</v>
      </c>
      <c r="C377" s="177" t="str">
        <f t="shared" ref="C377:C381" si="264">LEFT(B377,FIND("@",B377)-2)</f>
        <v>Charlotte Hornets</v>
      </c>
      <c r="D377" s="177">
        <v>111</v>
      </c>
      <c r="E377" s="336">
        <v>119</v>
      </c>
      <c r="F377" s="327">
        <f t="shared" ref="F377:F381" si="265">IF(E377&gt;D377, 1, 0)</f>
        <v>1</v>
      </c>
      <c r="G377" s="177" t="str">
        <f t="shared" ref="G377:G381" si="266">MID(B377,FIND("@",B377)+2,LEN(B377)-FIND("@",B377)-1)</f>
        <v>Cleveland Cavaliers</v>
      </c>
      <c r="H377" s="177">
        <v>118</v>
      </c>
      <c r="I377" s="336">
        <v>111</v>
      </c>
      <c r="J377" s="327">
        <f t="shared" ref="J377:J381" si="267">IF(I377&gt;H377, 1, 0)</f>
        <v>0</v>
      </c>
      <c r="K377" s="177">
        <f t="shared" ref="K377:K381" si="268">+D377+H377</f>
        <v>229</v>
      </c>
      <c r="L377" s="336">
        <f t="shared" ref="L377:L381" si="269">E377+I377</f>
        <v>230</v>
      </c>
      <c r="M377" s="327">
        <f t="shared" ref="M377:M381" si="270">IF(L377&gt;K377, 1, 0)</f>
        <v>1</v>
      </c>
      <c r="N377" s="337">
        <f t="shared" ref="N377:N381" si="271">(+H377-D377)</f>
        <v>7</v>
      </c>
      <c r="O377" s="395">
        <f t="shared" ref="O377:O381" si="272">I377-E377</f>
        <v>-8</v>
      </c>
      <c r="P377" s="289">
        <f t="shared" ref="P377:P381" si="273">IF(OR(AND(N377&gt;0,O377&gt;0),AND(N377&lt;0,O377&lt;0)),1,0)</f>
        <v>0</v>
      </c>
      <c r="Q377" s="460">
        <f>WEEKNUM(tblResultadosNBA[[#This Row],[Fecha]],2)</f>
        <v>50</v>
      </c>
      <c r="R377" s="460" t="str">
        <f>TEXT(tblResultadosNBA[[#This Row],[Fecha]],"mmm")</f>
        <v>dic</v>
      </c>
    </row>
    <row r="378" spans="1:18">
      <c r="A378" s="419">
        <v>46005</v>
      </c>
      <c r="B378" s="302" t="s">
        <v>178</v>
      </c>
      <c r="C378" s="177" t="str">
        <f t="shared" si="264"/>
        <v>Philadelphia 76ers</v>
      </c>
      <c r="D378" s="177">
        <v>113</v>
      </c>
      <c r="E378" s="336">
        <v>117</v>
      </c>
      <c r="F378" s="327">
        <f t="shared" si="265"/>
        <v>1</v>
      </c>
      <c r="G378" s="177" t="str">
        <f t="shared" si="266"/>
        <v>Atlanta Hawks</v>
      </c>
      <c r="H378" s="177">
        <v>116</v>
      </c>
      <c r="I378" s="336">
        <v>120</v>
      </c>
      <c r="J378" s="327">
        <f t="shared" si="267"/>
        <v>1</v>
      </c>
      <c r="K378" s="177">
        <f t="shared" si="268"/>
        <v>229</v>
      </c>
      <c r="L378" s="336">
        <f t="shared" si="269"/>
        <v>237</v>
      </c>
      <c r="M378" s="327">
        <f t="shared" si="270"/>
        <v>1</v>
      </c>
      <c r="N378" s="337">
        <f t="shared" si="271"/>
        <v>3</v>
      </c>
      <c r="O378" s="395">
        <f t="shared" si="272"/>
        <v>3</v>
      </c>
      <c r="P378" s="289">
        <f t="shared" si="273"/>
        <v>1</v>
      </c>
      <c r="Q378" s="460">
        <f>WEEKNUM(tblResultadosNBA[[#This Row],[Fecha]],2)</f>
        <v>50</v>
      </c>
      <c r="R378" s="460" t="str">
        <f>TEXT(tblResultadosNBA[[#This Row],[Fecha]],"mmm")</f>
        <v>dic</v>
      </c>
    </row>
    <row r="379" spans="1:18">
      <c r="A379" s="419">
        <v>46005</v>
      </c>
      <c r="B379" s="302" t="s">
        <v>179</v>
      </c>
      <c r="C379" s="177" t="str">
        <f t="shared" si="264"/>
        <v>Milwaukee Bucks</v>
      </c>
      <c r="D379" s="177">
        <v>119</v>
      </c>
      <c r="E379" s="336">
        <v>82</v>
      </c>
      <c r="F379" s="327">
        <f t="shared" si="265"/>
        <v>0</v>
      </c>
      <c r="G379" s="177" t="str">
        <f t="shared" si="266"/>
        <v>Brooklyn Nets</v>
      </c>
      <c r="H379" s="177">
        <v>117</v>
      </c>
      <c r="I379" s="336">
        <v>127</v>
      </c>
      <c r="J379" s="327">
        <f t="shared" si="267"/>
        <v>1</v>
      </c>
      <c r="K379" s="177">
        <f t="shared" si="268"/>
        <v>236</v>
      </c>
      <c r="L379" s="336">
        <f t="shared" si="269"/>
        <v>209</v>
      </c>
      <c r="M379" s="327">
        <f t="shared" si="270"/>
        <v>0</v>
      </c>
      <c r="N379" s="337">
        <f t="shared" si="271"/>
        <v>-2</v>
      </c>
      <c r="O379" s="395">
        <f t="shared" si="272"/>
        <v>45</v>
      </c>
      <c r="P379" s="289">
        <f t="shared" si="273"/>
        <v>0</v>
      </c>
      <c r="Q379" s="460">
        <f>WEEKNUM(tblResultadosNBA[[#This Row],[Fecha]],2)</f>
        <v>50</v>
      </c>
      <c r="R379" s="460" t="str">
        <f>TEXT(tblResultadosNBA[[#This Row],[Fecha]],"mmm")</f>
        <v>dic</v>
      </c>
    </row>
    <row r="380" spans="1:18">
      <c r="A380" s="419">
        <v>46005</v>
      </c>
      <c r="B380" s="302" t="s">
        <v>180</v>
      </c>
      <c r="C380" s="177" t="str">
        <f t="shared" si="264"/>
        <v>Sacramento Kings</v>
      </c>
      <c r="D380" s="177">
        <v>120</v>
      </c>
      <c r="E380" s="336">
        <v>103</v>
      </c>
      <c r="F380" s="327">
        <f t="shared" si="265"/>
        <v>0</v>
      </c>
      <c r="G380" s="177" t="str">
        <f t="shared" si="266"/>
        <v>Minnesota Timberwolves</v>
      </c>
      <c r="H380" s="177">
        <v>114</v>
      </c>
      <c r="I380" s="336">
        <v>117</v>
      </c>
      <c r="J380" s="327">
        <f t="shared" si="267"/>
        <v>1</v>
      </c>
      <c r="K380" s="177">
        <f t="shared" si="268"/>
        <v>234</v>
      </c>
      <c r="L380" s="336">
        <f t="shared" si="269"/>
        <v>220</v>
      </c>
      <c r="M380" s="327">
        <f t="shared" si="270"/>
        <v>0</v>
      </c>
      <c r="N380" s="337">
        <f t="shared" si="271"/>
        <v>-6</v>
      </c>
      <c r="O380" s="395">
        <f t="shared" si="272"/>
        <v>14</v>
      </c>
      <c r="P380" s="289">
        <f t="shared" si="273"/>
        <v>0</v>
      </c>
      <c r="Q380" s="460">
        <f>WEEKNUM(tblResultadosNBA[[#This Row],[Fecha]],2)</f>
        <v>50</v>
      </c>
      <c r="R380" s="460" t="str">
        <f>TEXT(tblResultadosNBA[[#This Row],[Fecha]],"mmm")</f>
        <v>dic</v>
      </c>
    </row>
    <row r="381" spans="1:18">
      <c r="A381" s="419">
        <v>46005</v>
      </c>
      <c r="B381" s="302" t="s">
        <v>181</v>
      </c>
      <c r="C381" s="177" t="str">
        <f t="shared" si="264"/>
        <v>New Orleans Pelicans</v>
      </c>
      <c r="D381" s="177">
        <v>121</v>
      </c>
      <c r="E381" s="336">
        <v>114</v>
      </c>
      <c r="F381" s="327">
        <f t="shared" si="265"/>
        <v>0</v>
      </c>
      <c r="G381" s="177" t="str">
        <f t="shared" si="266"/>
        <v>Chicago Bulls</v>
      </c>
      <c r="H381" s="177">
        <v>126</v>
      </c>
      <c r="I381" s="336">
        <v>104</v>
      </c>
      <c r="J381" s="327">
        <f t="shared" si="267"/>
        <v>0</v>
      </c>
      <c r="K381" s="177">
        <f t="shared" si="268"/>
        <v>247</v>
      </c>
      <c r="L381" s="336">
        <f t="shared" si="269"/>
        <v>218</v>
      </c>
      <c r="M381" s="327">
        <f t="shared" si="270"/>
        <v>0</v>
      </c>
      <c r="N381" s="337">
        <f t="shared" si="271"/>
        <v>5</v>
      </c>
      <c r="O381" s="395">
        <f t="shared" si="272"/>
        <v>-10</v>
      </c>
      <c r="P381" s="289">
        <f t="shared" si="273"/>
        <v>0</v>
      </c>
      <c r="Q381" s="460">
        <f>WEEKNUM(tblResultadosNBA[[#This Row],[Fecha]],2)</f>
        <v>50</v>
      </c>
      <c r="R381" s="460" t="str">
        <f>TEXT(tblResultadosNBA[[#This Row],[Fecha]],"mmm")</f>
        <v>dic</v>
      </c>
    </row>
    <row r="382" spans="1:18">
      <c r="A382" s="419">
        <v>46005</v>
      </c>
      <c r="B382" s="302" t="s">
        <v>219</v>
      </c>
      <c r="C382" s="177" t="str">
        <f t="shared" ref="C382:C383" si="274">LEFT(B382,FIND("@",B382)-2)</f>
        <v>Los Angeles Lakers</v>
      </c>
      <c r="D382" s="177">
        <v>117</v>
      </c>
      <c r="E382" s="336">
        <v>116</v>
      </c>
      <c r="F382" s="327">
        <f t="shared" ref="F382:F383" si="275">IF(E382&gt;D382, 1, 0)</f>
        <v>0</v>
      </c>
      <c r="G382" s="177" t="str">
        <f t="shared" ref="G382:G383" si="276">MID(B382,FIND("@",B382)+2,LEN(B382)-FIND("@",B382)-1)</f>
        <v>Phoenix Suns</v>
      </c>
      <c r="H382" s="177">
        <v>110</v>
      </c>
      <c r="I382" s="336">
        <v>114</v>
      </c>
      <c r="J382" s="327">
        <f t="shared" ref="J382:J383" si="277">IF(I382&gt;H382, 1, 0)</f>
        <v>1</v>
      </c>
      <c r="K382" s="177">
        <f t="shared" ref="K382:K383" si="278">+D382+H382</f>
        <v>227</v>
      </c>
      <c r="L382" s="336">
        <f t="shared" ref="L382:L383" si="279">E382+I382</f>
        <v>230</v>
      </c>
      <c r="M382" s="327">
        <f t="shared" ref="M382:M383" si="280">IF(L382&gt;K382, 1, 0)</f>
        <v>1</v>
      </c>
      <c r="N382" s="337">
        <f t="shared" ref="N382:N383" si="281">(+H382-D382)</f>
        <v>-7</v>
      </c>
      <c r="O382" s="395">
        <f t="shared" ref="O382:O383" si="282">I382-E382</f>
        <v>-2</v>
      </c>
      <c r="P382" s="289">
        <f t="shared" ref="P382:P383" si="283">IF(OR(AND(N382&gt;0,O382&gt;0),AND(N382&lt;0,O382&lt;0)),1,0)</f>
        <v>1</v>
      </c>
      <c r="Q382" s="460">
        <f>WEEKNUM(tblResultadosNBA[[#This Row],[Fecha]],2)</f>
        <v>50</v>
      </c>
      <c r="R382" s="460" t="str">
        <f>TEXT(tblResultadosNBA[[#This Row],[Fecha]],"mmm")</f>
        <v>dic</v>
      </c>
    </row>
    <row r="383" spans="1:18">
      <c r="A383" s="445">
        <v>46005</v>
      </c>
      <c r="B383" s="331" t="s">
        <v>678</v>
      </c>
      <c r="C383" s="286" t="str">
        <f t="shared" si="274"/>
        <v>Golden State Warriors</v>
      </c>
      <c r="D383" s="286">
        <v>116</v>
      </c>
      <c r="E383" s="431">
        <v>131</v>
      </c>
      <c r="F383" s="332">
        <f t="shared" si="275"/>
        <v>1</v>
      </c>
      <c r="G383" s="286" t="str">
        <f t="shared" si="276"/>
        <v>Portland Trail Blazers</v>
      </c>
      <c r="H383" s="286">
        <v>111</v>
      </c>
      <c r="I383" s="431">
        <v>136</v>
      </c>
      <c r="J383" s="332">
        <f t="shared" si="277"/>
        <v>1</v>
      </c>
      <c r="K383" s="286">
        <f t="shared" si="278"/>
        <v>227</v>
      </c>
      <c r="L383" s="431">
        <f t="shared" si="279"/>
        <v>267</v>
      </c>
      <c r="M383" s="332">
        <f t="shared" si="280"/>
        <v>1</v>
      </c>
      <c r="N383" s="432">
        <f t="shared" si="281"/>
        <v>-5</v>
      </c>
      <c r="O383" s="451">
        <f t="shared" si="282"/>
        <v>5</v>
      </c>
      <c r="P383" s="433">
        <f t="shared" si="283"/>
        <v>0</v>
      </c>
      <c r="Q383" s="460">
        <f>WEEKNUM(tblResultadosNBA[[#This Row],[Fecha]],2)</f>
        <v>50</v>
      </c>
      <c r="R383" s="460" t="str">
        <f>TEXT(tblResultadosNBA[[#This Row],[Fecha]],"mmm")</f>
        <v>dic</v>
      </c>
    </row>
    <row r="384" spans="1:18">
      <c r="A384" s="439">
        <v>46006</v>
      </c>
      <c r="B384" s="422" t="s">
        <v>105</v>
      </c>
      <c r="C384" s="341" t="str">
        <f>LEFT(B384,FIND("@",B384)-2)</f>
        <v>Detroit Pistons</v>
      </c>
      <c r="D384" s="341">
        <v>122</v>
      </c>
      <c r="E384" s="342">
        <v>112</v>
      </c>
      <c r="F384" s="333">
        <f>IF(E384&gt;D384, 1, 0)</f>
        <v>0</v>
      </c>
      <c r="G384" s="341" t="str">
        <f>MID(B384,FIND("@",B384)+2,LEN(B384)-FIND("@",B384)-1)</f>
        <v>Boston Celtics</v>
      </c>
      <c r="H384" s="341">
        <v>117</v>
      </c>
      <c r="I384" s="342">
        <v>105</v>
      </c>
      <c r="J384" s="333">
        <f>IF(I384&gt;H384, 1, 0)</f>
        <v>0</v>
      </c>
      <c r="K384" s="341">
        <f>+D384+H384</f>
        <v>239</v>
      </c>
      <c r="L384" s="342">
        <f>E384+I384</f>
        <v>217</v>
      </c>
      <c r="M384" s="333">
        <f>IF(L384&gt;K384, 1, 0)</f>
        <v>0</v>
      </c>
      <c r="N384" s="343">
        <f>(+H384-D384)</f>
        <v>-5</v>
      </c>
      <c r="O384" s="449">
        <f>I384-E384</f>
        <v>-7</v>
      </c>
      <c r="P384" s="289">
        <f>IF(OR(AND(N384&gt;0,O384&gt;0),AND(N384&lt;0,O384&lt;0)),1,0)</f>
        <v>1</v>
      </c>
      <c r="Q384" s="460">
        <f>WEEKNUM(tblResultadosNBA[[#This Row],[Fecha]],2)</f>
        <v>51</v>
      </c>
      <c r="R384" s="460" t="str">
        <f>TEXT(tblResultadosNBA[[#This Row],[Fecha]],"mmm")</f>
        <v>dic</v>
      </c>
    </row>
    <row r="385" spans="1:18">
      <c r="A385" s="419">
        <v>46006</v>
      </c>
      <c r="B385" s="302" t="s">
        <v>793</v>
      </c>
      <c r="C385" s="177" t="str">
        <f t="shared" ref="C385:C388" si="284">LEFT(B385,FIND("@",B385)-2)</f>
        <v>Toronto Raptors</v>
      </c>
      <c r="D385" s="177">
        <v>112</v>
      </c>
      <c r="E385" s="336">
        <v>106</v>
      </c>
      <c r="F385" s="327">
        <f t="shared" ref="F385:F388" si="285">IF(E385&gt;D385, 1, 0)</f>
        <v>0</v>
      </c>
      <c r="G385" s="177" t="str">
        <f t="shared" ref="G385:G388" si="286">MID(B385,FIND("@",B385)+2,LEN(B385)-FIND("@",B385)-1)</f>
        <v>Miami Heat</v>
      </c>
      <c r="H385" s="177">
        <v>119</v>
      </c>
      <c r="I385" s="336">
        <v>96</v>
      </c>
      <c r="J385" s="327">
        <f t="shared" ref="J385:J388" si="287">IF(I385&gt;H385, 1, 0)</f>
        <v>0</v>
      </c>
      <c r="K385" s="177">
        <f t="shared" ref="K385:K388" si="288">+D385+H385</f>
        <v>231</v>
      </c>
      <c r="L385" s="336">
        <f t="shared" ref="L385:L388" si="289">E385+I385</f>
        <v>202</v>
      </c>
      <c r="M385" s="327">
        <f t="shared" ref="M385:M388" si="290">IF(L385&gt;K385, 1, 0)</f>
        <v>0</v>
      </c>
      <c r="N385" s="337">
        <f t="shared" ref="N385:N388" si="291">(+H385-D385)</f>
        <v>7</v>
      </c>
      <c r="O385" s="395">
        <f t="shared" ref="O385:O388" si="292">I385-E385</f>
        <v>-10</v>
      </c>
      <c r="P385" s="289">
        <f t="shared" ref="P385:P388" si="293">IF(OR(AND(N385&gt;0,O385&gt;0),AND(N385&lt;0,O385&lt;0)),1,0)</f>
        <v>0</v>
      </c>
      <c r="Q385" s="460">
        <f>WEEKNUM(tblResultadosNBA[[#This Row],[Fecha]],2)</f>
        <v>51</v>
      </c>
      <c r="R385" s="460" t="str">
        <f>TEXT(tblResultadosNBA[[#This Row],[Fecha]],"mmm")</f>
        <v>dic</v>
      </c>
    </row>
    <row r="386" spans="1:18">
      <c r="A386" s="419">
        <v>46006</v>
      </c>
      <c r="B386" s="302" t="s">
        <v>182</v>
      </c>
      <c r="C386" s="177" t="str">
        <f t="shared" si="284"/>
        <v>Dallas Mavericks</v>
      </c>
      <c r="D386" s="177">
        <v>108</v>
      </c>
      <c r="E386" s="336">
        <v>133</v>
      </c>
      <c r="F386" s="327">
        <f t="shared" si="285"/>
        <v>1</v>
      </c>
      <c r="G386" s="177" t="str">
        <f t="shared" si="286"/>
        <v>Utah Jazz</v>
      </c>
      <c r="H386" s="177">
        <v>138</v>
      </c>
      <c r="I386" s="336">
        <v>140</v>
      </c>
      <c r="J386" s="327">
        <f t="shared" si="287"/>
        <v>1</v>
      </c>
      <c r="K386" s="177">
        <f t="shared" si="288"/>
        <v>246</v>
      </c>
      <c r="L386" s="336">
        <f t="shared" si="289"/>
        <v>273</v>
      </c>
      <c r="M386" s="327">
        <f t="shared" si="290"/>
        <v>1</v>
      </c>
      <c r="N386" s="337">
        <f t="shared" si="291"/>
        <v>30</v>
      </c>
      <c r="O386" s="395">
        <f t="shared" si="292"/>
        <v>7</v>
      </c>
      <c r="P386" s="289">
        <f t="shared" si="293"/>
        <v>1</v>
      </c>
      <c r="Q386" s="460">
        <f>WEEKNUM(tblResultadosNBA[[#This Row],[Fecha]],2)</f>
        <v>51</v>
      </c>
      <c r="R386" s="460" t="str">
        <f>TEXT(tblResultadosNBA[[#This Row],[Fecha]],"mmm")</f>
        <v>dic</v>
      </c>
    </row>
    <row r="387" spans="1:18">
      <c r="A387" s="419">
        <v>46006</v>
      </c>
      <c r="B387" s="302" t="s">
        <v>183</v>
      </c>
      <c r="C387" s="177" t="str">
        <f t="shared" si="284"/>
        <v>Houston Rockets</v>
      </c>
      <c r="D387" s="177">
        <v>118</v>
      </c>
      <c r="E387" s="336">
        <v>125</v>
      </c>
      <c r="F387" s="327">
        <f t="shared" si="285"/>
        <v>1</v>
      </c>
      <c r="G387" s="177" t="str">
        <f t="shared" si="286"/>
        <v>Denver Nuggets</v>
      </c>
      <c r="H387" s="177">
        <v>126</v>
      </c>
      <c r="I387" s="336">
        <v>128</v>
      </c>
      <c r="J387" s="327">
        <f t="shared" si="287"/>
        <v>1</v>
      </c>
      <c r="K387" s="177">
        <f t="shared" si="288"/>
        <v>244</v>
      </c>
      <c r="L387" s="336">
        <f t="shared" si="289"/>
        <v>253</v>
      </c>
      <c r="M387" s="327">
        <f t="shared" si="290"/>
        <v>1</v>
      </c>
      <c r="N387" s="337">
        <f t="shared" si="291"/>
        <v>8</v>
      </c>
      <c r="O387" s="395">
        <f t="shared" si="292"/>
        <v>3</v>
      </c>
      <c r="P387" s="289">
        <f t="shared" si="293"/>
        <v>1</v>
      </c>
      <c r="Q387" s="460">
        <f>WEEKNUM(tblResultadosNBA[[#This Row],[Fecha]],2)</f>
        <v>51</v>
      </c>
      <c r="R387" s="460" t="str">
        <f>TEXT(tblResultadosNBA[[#This Row],[Fecha]],"mmm")</f>
        <v>dic</v>
      </c>
    </row>
    <row r="388" spans="1:18">
      <c r="A388" s="445">
        <v>46006</v>
      </c>
      <c r="B388" s="331" t="s">
        <v>116</v>
      </c>
      <c r="C388" s="286" t="str">
        <f t="shared" si="284"/>
        <v>Memphis Grizzlies</v>
      </c>
      <c r="D388" s="286">
        <v>119</v>
      </c>
      <c r="E388" s="431">
        <v>121</v>
      </c>
      <c r="F388" s="332">
        <f t="shared" si="285"/>
        <v>1</v>
      </c>
      <c r="G388" s="286" t="str">
        <f t="shared" si="286"/>
        <v>LA Clippers</v>
      </c>
      <c r="H388" s="286">
        <v>113</v>
      </c>
      <c r="I388" s="431">
        <v>103</v>
      </c>
      <c r="J388" s="332">
        <f t="shared" si="287"/>
        <v>0</v>
      </c>
      <c r="K388" s="286">
        <f t="shared" si="288"/>
        <v>232</v>
      </c>
      <c r="L388" s="431">
        <f t="shared" si="289"/>
        <v>224</v>
      </c>
      <c r="M388" s="332">
        <f t="shared" si="290"/>
        <v>0</v>
      </c>
      <c r="N388" s="432">
        <f t="shared" si="291"/>
        <v>-6</v>
      </c>
      <c r="O388" s="451">
        <f t="shared" si="292"/>
        <v>-18</v>
      </c>
      <c r="P388" s="433">
        <f t="shared" si="293"/>
        <v>1</v>
      </c>
      <c r="Q388" s="460">
        <f>WEEKNUM(tblResultadosNBA[[#This Row],[Fecha]],2)</f>
        <v>51</v>
      </c>
      <c r="R388" s="460" t="str">
        <f>TEXT(tblResultadosNBA[[#This Row],[Fecha]],"mmm")</f>
        <v>dic</v>
      </c>
    </row>
    <row r="389" spans="1:18">
      <c r="A389" s="446">
        <v>46007</v>
      </c>
      <c r="B389" s="520" t="s">
        <v>412</v>
      </c>
      <c r="C389" s="521" t="str">
        <f>LEFT(B389,FIND("@",B389)-2)</f>
        <v>San Antonio Spurs</v>
      </c>
      <c r="D389" s="521">
        <v>90</v>
      </c>
      <c r="E389" s="522">
        <v>113</v>
      </c>
      <c r="F389" s="523">
        <f>IF(E389&gt;D389, 1, 0)</f>
        <v>1</v>
      </c>
      <c r="G389" s="521" t="str">
        <f>MID(B389,FIND("@",B389)+2,LEN(B389)-FIND("@",B389)-1)</f>
        <v>New York Knicks</v>
      </c>
      <c r="H389" s="521">
        <v>101</v>
      </c>
      <c r="I389" s="522">
        <v>124</v>
      </c>
      <c r="J389" s="523">
        <f>IF(I389&gt;H389, 1, 0)</f>
        <v>1</v>
      </c>
      <c r="K389" s="521">
        <f>+D389+H389</f>
        <v>191</v>
      </c>
      <c r="L389" s="522">
        <f>E389+I389</f>
        <v>237</v>
      </c>
      <c r="M389" s="523">
        <f>IF(L389&gt;K389, 1, 0)</f>
        <v>1</v>
      </c>
      <c r="N389" s="524">
        <f>(+H389-D389)</f>
        <v>11</v>
      </c>
      <c r="O389" s="525">
        <f>I389-E389</f>
        <v>11</v>
      </c>
      <c r="P389" s="433">
        <f>IF(OR(AND(N389&gt;0,O389&gt;0),AND(N389&lt;0,O389&lt;0)),1,0)</f>
        <v>1</v>
      </c>
      <c r="Q389" s="460">
        <f>WEEKNUM(tblResultadosNBA[[#This Row],[Fecha]],2)</f>
        <v>51</v>
      </c>
      <c r="R389" s="460" t="str">
        <f>TEXT(tblResultadosNBA[[#This Row],[Fecha]],"mmm")</f>
        <v>dic</v>
      </c>
    </row>
    <row r="390" spans="1:18">
      <c r="A390" s="439">
        <v>46008</v>
      </c>
      <c r="B390" s="422" t="s">
        <v>184</v>
      </c>
      <c r="C390" s="341" t="str">
        <f>LEFT(B390,FIND("@",B390)-2)</f>
        <v>Cleveland Cavaliers</v>
      </c>
      <c r="D390" s="341">
        <v>128</v>
      </c>
      <c r="E390" s="342">
        <v>111</v>
      </c>
      <c r="F390" s="333">
        <f>IF(E390&gt;D390, 1, 0)</f>
        <v>0</v>
      </c>
      <c r="G390" s="341" t="str">
        <f>MID(B390,FIND("@",B390)+2,LEN(B390)-FIND("@",B390)-1)</f>
        <v>Chicago Bulls</v>
      </c>
      <c r="H390" s="341">
        <v>119</v>
      </c>
      <c r="I390" s="342">
        <v>117</v>
      </c>
      <c r="J390" s="333">
        <f>IF(I390&gt;H390, 1, 0)</f>
        <v>0</v>
      </c>
      <c r="K390" s="341">
        <f>+D390+H390</f>
        <v>247</v>
      </c>
      <c r="L390" s="342">
        <f>E390+I390</f>
        <v>228</v>
      </c>
      <c r="M390" s="333">
        <f>IF(L390&gt;K390, 1, 0)</f>
        <v>0</v>
      </c>
      <c r="N390" s="343">
        <f>(+H390-D390)</f>
        <v>-9</v>
      </c>
      <c r="O390" s="449">
        <f>I390-E390</f>
        <v>6</v>
      </c>
      <c r="P390" s="289">
        <f>IF(OR(AND(N390&gt;0,O390&gt;0),AND(N390&lt;0,O390&lt;0)),1,0)</f>
        <v>0</v>
      </c>
      <c r="Q390" s="460">
        <f>WEEKNUM(tblResultadosNBA[[#This Row],[Fecha]],2)</f>
        <v>51</v>
      </c>
      <c r="R390" s="460" t="str">
        <f>TEXT(tblResultadosNBA[[#This Row],[Fecha]],"mmm")</f>
        <v>dic</v>
      </c>
    </row>
    <row r="391" spans="1:18">
      <c r="A391" s="446">
        <v>46008</v>
      </c>
      <c r="B391" s="331" t="s">
        <v>185</v>
      </c>
      <c r="C391" s="286" t="str">
        <f>LEFT(B391,FIND("@",B391)-2)</f>
        <v>Memphis Grizzlies</v>
      </c>
      <c r="D391" s="286">
        <v>117</v>
      </c>
      <c r="E391" s="431">
        <v>116</v>
      </c>
      <c r="F391" s="332">
        <f>IF(E391&gt;D391, 1, 0)</f>
        <v>0</v>
      </c>
      <c r="G391" s="286" t="str">
        <f>MID(B391,FIND("@",B391)+2,LEN(B391)-FIND("@",B391)-1)</f>
        <v>Minnesota Timberwolves</v>
      </c>
      <c r="H391" s="286">
        <v>122</v>
      </c>
      <c r="I391" s="431">
        <v>110</v>
      </c>
      <c r="J391" s="332">
        <f>IF(I391&gt;H391, 1, 0)</f>
        <v>0</v>
      </c>
      <c r="K391" s="286">
        <f>+D391+H391</f>
        <v>239</v>
      </c>
      <c r="L391" s="431">
        <f>E391+I391</f>
        <v>226</v>
      </c>
      <c r="M391" s="332">
        <f>IF(L391&gt;K391, 1, 0)</f>
        <v>0</v>
      </c>
      <c r="N391" s="432">
        <f>(+H391-D391)</f>
        <v>5</v>
      </c>
      <c r="O391" s="451">
        <f>I391-E391</f>
        <v>-6</v>
      </c>
      <c r="P391" s="433">
        <f>IF(OR(AND(N391&gt;0,O391&gt;0),AND(N391&lt;0,O391&lt;0)),1,0)</f>
        <v>0</v>
      </c>
      <c r="Q391" s="460">
        <f>WEEKNUM(tblResultadosNBA[[#This Row],[Fecha]],2)</f>
        <v>51</v>
      </c>
      <c r="R391" s="460" t="str">
        <f>TEXT(tblResultadosNBA[[#This Row],[Fecha]],"mmm")</f>
        <v>dic</v>
      </c>
    </row>
    <row r="392" spans="1:18">
      <c r="A392" s="439">
        <v>46009</v>
      </c>
      <c r="B392" s="422" t="s">
        <v>186</v>
      </c>
      <c r="C392" s="341" t="str">
        <f>LEFT(B392,FIND("@",B392)-2)</f>
        <v>Atlanta Hawks</v>
      </c>
      <c r="D392" s="341">
        <v>133</v>
      </c>
      <c r="E392" s="342">
        <v>126</v>
      </c>
      <c r="F392" s="333">
        <f>IF(E392&gt;D392, 1, 0)</f>
        <v>0</v>
      </c>
      <c r="G392" s="341" t="str">
        <f>MID(B392,FIND("@",B392)+2,LEN(B392)-FIND("@",B392)-1)</f>
        <v>Charlotte Hornets</v>
      </c>
      <c r="H392" s="341">
        <v>123</v>
      </c>
      <c r="I392" s="342">
        <v>133</v>
      </c>
      <c r="J392" s="333">
        <f>IF(I392&gt;H392, 1, 0)</f>
        <v>1</v>
      </c>
      <c r="K392" s="341">
        <f>+D392+H392</f>
        <v>256</v>
      </c>
      <c r="L392" s="342">
        <f>E392+I392</f>
        <v>259</v>
      </c>
      <c r="M392" s="333">
        <f>IF(L392&gt;K392, 1, 0)</f>
        <v>1</v>
      </c>
      <c r="N392" s="343">
        <f>(+H392-D392)</f>
        <v>-10</v>
      </c>
      <c r="O392" s="449">
        <f>I392-E392</f>
        <v>7</v>
      </c>
      <c r="P392" s="289">
        <f>IF(OR(AND(N392&gt;0,O392&gt;0),AND(N392&lt;0,O392&lt;0)),1,0)</f>
        <v>0</v>
      </c>
      <c r="Q392" s="460">
        <f>WEEKNUM(tblResultadosNBA[[#This Row],[Fecha]],2)</f>
        <v>51</v>
      </c>
      <c r="R392" s="460" t="str">
        <f>TEXT(tblResultadosNBA[[#This Row],[Fecha]],"mmm")</f>
        <v>dic</v>
      </c>
    </row>
    <row r="393" spans="1:18">
      <c r="A393" s="419">
        <v>46009</v>
      </c>
      <c r="B393" s="302" t="s">
        <v>187</v>
      </c>
      <c r="C393" s="177" t="str">
        <f t="shared" ref="C393:C403" si="294">LEFT(B393,FIND("@",B393)-2)</f>
        <v>New York Knicks</v>
      </c>
      <c r="D393" s="177">
        <v>116</v>
      </c>
      <c r="E393" s="336">
        <v>114</v>
      </c>
      <c r="F393" s="327">
        <f t="shared" ref="F393:F403" si="295">IF(E393&gt;D393, 1, 0)</f>
        <v>0</v>
      </c>
      <c r="G393" s="177" t="str">
        <f t="shared" ref="G393:G403" si="296">MID(B393,FIND("@",B393)+2,LEN(B393)-FIND("@",B393)-1)</f>
        <v>Indiana Pacers</v>
      </c>
      <c r="H393" s="177">
        <v>124</v>
      </c>
      <c r="I393" s="336">
        <v>113</v>
      </c>
      <c r="J393" s="327">
        <f t="shared" ref="J393:J403" si="297">IF(I393&gt;H393, 1, 0)</f>
        <v>0</v>
      </c>
      <c r="K393" s="177">
        <f t="shared" ref="K393:K403" si="298">+D393+H393</f>
        <v>240</v>
      </c>
      <c r="L393" s="336">
        <f t="shared" ref="L393:L403" si="299">E393+I393</f>
        <v>227</v>
      </c>
      <c r="M393" s="327">
        <f t="shared" ref="M393:M403" si="300">IF(L393&gt;K393, 1, 0)</f>
        <v>0</v>
      </c>
      <c r="N393" s="337">
        <f t="shared" ref="N393:N403" si="301">(+H393-D393)</f>
        <v>8</v>
      </c>
      <c r="O393" s="395">
        <f t="shared" ref="O393:O403" si="302">I393-E393</f>
        <v>-1</v>
      </c>
      <c r="P393" s="289">
        <f t="shared" ref="P393:P403" si="303">IF(OR(AND(N393&gt;0,O393&gt;0),AND(N393&lt;0,O393&lt;0)),1,0)</f>
        <v>0</v>
      </c>
      <c r="Q393" s="460">
        <f>WEEKNUM(tblResultadosNBA[[#This Row],[Fecha]],2)</f>
        <v>51</v>
      </c>
      <c r="R393" s="460" t="str">
        <f>TEXT(tblResultadosNBA[[#This Row],[Fecha]],"mmm")</f>
        <v>dic</v>
      </c>
    </row>
    <row r="394" spans="1:18">
      <c r="A394" s="419">
        <v>46009</v>
      </c>
      <c r="B394" s="302" t="s">
        <v>794</v>
      </c>
      <c r="C394" s="177" t="str">
        <f t="shared" si="294"/>
        <v>Miami Heat</v>
      </c>
      <c r="D394" s="177">
        <v>113</v>
      </c>
      <c r="E394" s="336">
        <v>106</v>
      </c>
      <c r="F394" s="327">
        <f t="shared" si="295"/>
        <v>0</v>
      </c>
      <c r="G394" s="177" t="str">
        <f t="shared" si="296"/>
        <v>Brooklyn Nets</v>
      </c>
      <c r="H394" s="177">
        <v>107</v>
      </c>
      <c r="I394" s="336">
        <v>95</v>
      </c>
      <c r="J394" s="327">
        <f t="shared" si="297"/>
        <v>0</v>
      </c>
      <c r="K394" s="177">
        <f t="shared" si="298"/>
        <v>220</v>
      </c>
      <c r="L394" s="336">
        <f t="shared" si="299"/>
        <v>201</v>
      </c>
      <c r="M394" s="327">
        <f t="shared" si="300"/>
        <v>0</v>
      </c>
      <c r="N394" s="337">
        <f t="shared" si="301"/>
        <v>-6</v>
      </c>
      <c r="O394" s="395">
        <f t="shared" si="302"/>
        <v>-11</v>
      </c>
      <c r="P394" s="289">
        <f t="shared" si="303"/>
        <v>1</v>
      </c>
      <c r="Q394" s="460">
        <f>WEEKNUM(tblResultadosNBA[[#This Row],[Fecha]],2)</f>
        <v>51</v>
      </c>
      <c r="R394" s="460" t="str">
        <f>TEXT(tblResultadosNBA[[#This Row],[Fecha]],"mmm")</f>
        <v>dic</v>
      </c>
    </row>
    <row r="395" spans="1:18">
      <c r="A395" s="419">
        <v>46009</v>
      </c>
      <c r="B395" s="302" t="s">
        <v>188</v>
      </c>
      <c r="C395" s="177" t="str">
        <f t="shared" si="294"/>
        <v>LA Clippers</v>
      </c>
      <c r="D395" s="177">
        <v>113</v>
      </c>
      <c r="E395" s="336">
        <v>101</v>
      </c>
      <c r="F395" s="327">
        <f t="shared" si="295"/>
        <v>0</v>
      </c>
      <c r="G395" s="177" t="str">
        <f t="shared" si="296"/>
        <v>Oklahoma City Thunder</v>
      </c>
      <c r="H395" s="177">
        <v>125</v>
      </c>
      <c r="I395" s="336">
        <v>122</v>
      </c>
      <c r="J395" s="327">
        <f t="shared" si="297"/>
        <v>0</v>
      </c>
      <c r="K395" s="177">
        <f t="shared" si="298"/>
        <v>238</v>
      </c>
      <c r="L395" s="336">
        <f t="shared" si="299"/>
        <v>223</v>
      </c>
      <c r="M395" s="327">
        <f t="shared" si="300"/>
        <v>0</v>
      </c>
      <c r="N395" s="337">
        <f t="shared" si="301"/>
        <v>12</v>
      </c>
      <c r="O395" s="395">
        <f t="shared" si="302"/>
        <v>21</v>
      </c>
      <c r="P395" s="289">
        <f t="shared" si="303"/>
        <v>1</v>
      </c>
      <c r="Q395" s="460">
        <f>WEEKNUM(tblResultadosNBA[[#This Row],[Fecha]],2)</f>
        <v>51</v>
      </c>
      <c r="R395" s="460" t="str">
        <f>TEXT(tblResultadosNBA[[#This Row],[Fecha]],"mmm")</f>
        <v>dic</v>
      </c>
    </row>
    <row r="396" spans="1:18">
      <c r="A396" s="419">
        <v>46009</v>
      </c>
      <c r="B396" s="302" t="s">
        <v>189</v>
      </c>
      <c r="C396" s="177" t="str">
        <f t="shared" si="294"/>
        <v>Washington Wizards</v>
      </c>
      <c r="D396" s="177">
        <v>122</v>
      </c>
      <c r="E396" s="336">
        <v>94</v>
      </c>
      <c r="F396" s="327">
        <f t="shared" si="295"/>
        <v>0</v>
      </c>
      <c r="G396" s="177" t="str">
        <f t="shared" si="296"/>
        <v>San Antonio Spurs</v>
      </c>
      <c r="H396" s="177">
        <v>128</v>
      </c>
      <c r="I396" s="336">
        <v>119</v>
      </c>
      <c r="J396" s="327">
        <f t="shared" si="297"/>
        <v>0</v>
      </c>
      <c r="K396" s="177">
        <f t="shared" si="298"/>
        <v>250</v>
      </c>
      <c r="L396" s="336">
        <f t="shared" si="299"/>
        <v>213</v>
      </c>
      <c r="M396" s="327">
        <f t="shared" si="300"/>
        <v>0</v>
      </c>
      <c r="N396" s="337">
        <f t="shared" si="301"/>
        <v>6</v>
      </c>
      <c r="O396" s="395">
        <f t="shared" si="302"/>
        <v>25</v>
      </c>
      <c r="P396" s="289">
        <f t="shared" si="303"/>
        <v>1</v>
      </c>
      <c r="Q396" s="460">
        <f>WEEKNUM(tblResultadosNBA[[#This Row],[Fecha]],2)</f>
        <v>51</v>
      </c>
      <c r="R396" s="460" t="str">
        <f>TEXT(tblResultadosNBA[[#This Row],[Fecha]],"mmm")</f>
        <v>dic</v>
      </c>
    </row>
    <row r="397" spans="1:18">
      <c r="A397" s="419">
        <v>46009</v>
      </c>
      <c r="B397" s="302" t="s">
        <v>190</v>
      </c>
      <c r="C397" s="177" t="str">
        <f t="shared" si="294"/>
        <v>Toronto Raptors</v>
      </c>
      <c r="D397" s="177">
        <v>110</v>
      </c>
      <c r="E397" s="336">
        <v>111</v>
      </c>
      <c r="F397" s="327">
        <f t="shared" si="295"/>
        <v>1</v>
      </c>
      <c r="G397" s="177" t="str">
        <f t="shared" si="296"/>
        <v>Milwaukee Bucks</v>
      </c>
      <c r="H397" s="177">
        <v>118</v>
      </c>
      <c r="I397" s="336">
        <v>105</v>
      </c>
      <c r="J397" s="327">
        <f t="shared" si="297"/>
        <v>0</v>
      </c>
      <c r="K397" s="177">
        <f t="shared" si="298"/>
        <v>228</v>
      </c>
      <c r="L397" s="336">
        <f t="shared" si="299"/>
        <v>216</v>
      </c>
      <c r="M397" s="327">
        <f t="shared" si="300"/>
        <v>0</v>
      </c>
      <c r="N397" s="337">
        <f t="shared" si="301"/>
        <v>8</v>
      </c>
      <c r="O397" s="395">
        <f t="shared" si="302"/>
        <v>-6</v>
      </c>
      <c r="P397" s="289">
        <f t="shared" si="303"/>
        <v>0</v>
      </c>
      <c r="Q397" s="460">
        <f>WEEKNUM(tblResultadosNBA[[#This Row],[Fecha]],2)</f>
        <v>51</v>
      </c>
      <c r="R397" s="460" t="str">
        <f>TEXT(tblResultadosNBA[[#This Row],[Fecha]],"mmm")</f>
        <v>dic</v>
      </c>
    </row>
    <row r="398" spans="1:18">
      <c r="A398" s="419">
        <v>46009</v>
      </c>
      <c r="B398" s="302" t="s">
        <v>191</v>
      </c>
      <c r="C398" s="177" t="str">
        <f t="shared" si="294"/>
        <v>Houston Rockets</v>
      </c>
      <c r="D398" s="177">
        <v>119</v>
      </c>
      <c r="E398" s="336">
        <v>128</v>
      </c>
      <c r="F398" s="327">
        <f t="shared" si="295"/>
        <v>1</v>
      </c>
      <c r="G398" s="177" t="str">
        <f t="shared" si="296"/>
        <v>New Orleans Pelicans</v>
      </c>
      <c r="H398" s="177">
        <v>129</v>
      </c>
      <c r="I398" s="336">
        <v>133</v>
      </c>
      <c r="J398" s="327">
        <f t="shared" si="297"/>
        <v>1</v>
      </c>
      <c r="K398" s="177">
        <f t="shared" si="298"/>
        <v>248</v>
      </c>
      <c r="L398" s="336">
        <f t="shared" si="299"/>
        <v>261</v>
      </c>
      <c r="M398" s="327">
        <f t="shared" si="300"/>
        <v>1</v>
      </c>
      <c r="N398" s="337">
        <f t="shared" si="301"/>
        <v>10</v>
      </c>
      <c r="O398" s="395">
        <f t="shared" si="302"/>
        <v>5</v>
      </c>
      <c r="P398" s="289">
        <f t="shared" si="303"/>
        <v>1</v>
      </c>
      <c r="Q398" s="460">
        <f>WEEKNUM(tblResultadosNBA[[#This Row],[Fecha]],2)</f>
        <v>51</v>
      </c>
      <c r="R398" s="460" t="str">
        <f>TEXT(tblResultadosNBA[[#This Row],[Fecha]],"mmm")</f>
        <v>dic</v>
      </c>
    </row>
    <row r="399" spans="1:18">
      <c r="A399" s="419">
        <v>46009</v>
      </c>
      <c r="B399" s="302" t="s">
        <v>795</v>
      </c>
      <c r="C399" s="177" t="str">
        <f t="shared" si="294"/>
        <v>Detroit Pistons</v>
      </c>
      <c r="D399" s="177">
        <v>111</v>
      </c>
      <c r="E399" s="336">
        <v>114</v>
      </c>
      <c r="F399" s="327">
        <f t="shared" si="295"/>
        <v>1</v>
      </c>
      <c r="G399" s="177" t="str">
        <f t="shared" si="296"/>
        <v>Dallas Mavericks</v>
      </c>
      <c r="H399" s="177">
        <v>116</v>
      </c>
      <c r="I399" s="336">
        <v>116</v>
      </c>
      <c r="J399" s="327">
        <f t="shared" si="297"/>
        <v>0</v>
      </c>
      <c r="K399" s="177">
        <f t="shared" si="298"/>
        <v>227</v>
      </c>
      <c r="L399" s="336">
        <f t="shared" si="299"/>
        <v>230</v>
      </c>
      <c r="M399" s="327">
        <f t="shared" si="300"/>
        <v>1</v>
      </c>
      <c r="N399" s="337">
        <f t="shared" si="301"/>
        <v>5</v>
      </c>
      <c r="O399" s="395">
        <f t="shared" si="302"/>
        <v>2</v>
      </c>
      <c r="P399" s="289">
        <f t="shared" si="303"/>
        <v>1</v>
      </c>
      <c r="Q399" s="460">
        <f>WEEKNUM(tblResultadosNBA[[#This Row],[Fecha]],2)</f>
        <v>51</v>
      </c>
      <c r="R399" s="460" t="str">
        <f>TEXT(tblResultadosNBA[[#This Row],[Fecha]],"mmm")</f>
        <v>dic</v>
      </c>
    </row>
    <row r="400" spans="1:18">
      <c r="A400" s="419">
        <v>46009</v>
      </c>
      <c r="B400" s="302" t="s">
        <v>192</v>
      </c>
      <c r="C400" s="177" t="str">
        <f t="shared" si="294"/>
        <v>Orlando Magic</v>
      </c>
      <c r="D400" s="177">
        <v>129</v>
      </c>
      <c r="E400" s="336">
        <v>115</v>
      </c>
      <c r="F400" s="327">
        <f t="shared" si="295"/>
        <v>0</v>
      </c>
      <c r="G400" s="177" t="str">
        <f t="shared" si="296"/>
        <v>Denver Nuggets</v>
      </c>
      <c r="H400" s="177">
        <v>129</v>
      </c>
      <c r="I400" s="336">
        <v>126</v>
      </c>
      <c r="J400" s="327">
        <f t="shared" si="297"/>
        <v>0</v>
      </c>
      <c r="K400" s="177">
        <f t="shared" si="298"/>
        <v>258</v>
      </c>
      <c r="L400" s="336">
        <f t="shared" si="299"/>
        <v>241</v>
      </c>
      <c r="M400" s="327">
        <f t="shared" si="300"/>
        <v>0</v>
      </c>
      <c r="N400" s="337">
        <f t="shared" si="301"/>
        <v>0</v>
      </c>
      <c r="O400" s="395">
        <f t="shared" si="302"/>
        <v>11</v>
      </c>
      <c r="P400" s="289">
        <f t="shared" si="303"/>
        <v>0</v>
      </c>
      <c r="Q400" s="460">
        <f>WEEKNUM(tblResultadosNBA[[#This Row],[Fecha]],2)</f>
        <v>51</v>
      </c>
      <c r="R400" s="460" t="str">
        <f>TEXT(tblResultadosNBA[[#This Row],[Fecha]],"mmm")</f>
        <v>dic</v>
      </c>
    </row>
    <row r="401" spans="1:18">
      <c r="A401" s="419">
        <v>46009</v>
      </c>
      <c r="B401" s="302" t="s">
        <v>193</v>
      </c>
      <c r="C401" s="177" t="str">
        <f t="shared" si="294"/>
        <v>Golden State Warriors</v>
      </c>
      <c r="D401" s="177">
        <v>115</v>
      </c>
      <c r="E401" s="336">
        <v>98</v>
      </c>
      <c r="F401" s="327">
        <f t="shared" si="295"/>
        <v>0</v>
      </c>
      <c r="G401" s="177" t="str">
        <f t="shared" si="296"/>
        <v>Phoenix Suns</v>
      </c>
      <c r="H401" s="177">
        <v>134</v>
      </c>
      <c r="I401" s="336">
        <v>99</v>
      </c>
      <c r="J401" s="327">
        <f t="shared" si="297"/>
        <v>0</v>
      </c>
      <c r="K401" s="177">
        <f t="shared" si="298"/>
        <v>249</v>
      </c>
      <c r="L401" s="336">
        <f t="shared" si="299"/>
        <v>197</v>
      </c>
      <c r="M401" s="327">
        <f t="shared" si="300"/>
        <v>0</v>
      </c>
      <c r="N401" s="337">
        <f t="shared" si="301"/>
        <v>19</v>
      </c>
      <c r="O401" s="395">
        <f t="shared" si="302"/>
        <v>1</v>
      </c>
      <c r="P401" s="289">
        <f t="shared" si="303"/>
        <v>1</v>
      </c>
      <c r="Q401" s="460">
        <f>WEEKNUM(tblResultadosNBA[[#This Row],[Fecha]],2)</f>
        <v>51</v>
      </c>
      <c r="R401" s="460" t="str">
        <f>TEXT(tblResultadosNBA[[#This Row],[Fecha]],"mmm")</f>
        <v>dic</v>
      </c>
    </row>
    <row r="402" spans="1:18">
      <c r="A402" s="419">
        <v>46009</v>
      </c>
      <c r="B402" s="302" t="s">
        <v>194</v>
      </c>
      <c r="C402" s="177" t="str">
        <f t="shared" si="294"/>
        <v>Los Angeles Lakers</v>
      </c>
      <c r="D402" s="177">
        <v>124</v>
      </c>
      <c r="E402" s="336">
        <v>143</v>
      </c>
      <c r="F402" s="327">
        <f t="shared" si="295"/>
        <v>1</v>
      </c>
      <c r="G402" s="177" t="str">
        <f t="shared" si="296"/>
        <v>Utah Jazz</v>
      </c>
      <c r="H402" s="177">
        <v>136</v>
      </c>
      <c r="I402" s="336">
        <v>135</v>
      </c>
      <c r="J402" s="327">
        <f t="shared" si="297"/>
        <v>0</v>
      </c>
      <c r="K402" s="177">
        <f t="shared" si="298"/>
        <v>260</v>
      </c>
      <c r="L402" s="336">
        <f t="shared" si="299"/>
        <v>278</v>
      </c>
      <c r="M402" s="327">
        <f t="shared" si="300"/>
        <v>1</v>
      </c>
      <c r="N402" s="337">
        <f t="shared" si="301"/>
        <v>12</v>
      </c>
      <c r="O402" s="395">
        <f t="shared" si="302"/>
        <v>-8</v>
      </c>
      <c r="P402" s="289">
        <f t="shared" si="303"/>
        <v>0</v>
      </c>
      <c r="Q402" s="460">
        <f>WEEKNUM(tblResultadosNBA[[#This Row],[Fecha]],2)</f>
        <v>51</v>
      </c>
      <c r="R402" s="460" t="str">
        <f>TEXT(tblResultadosNBA[[#This Row],[Fecha]],"mmm")</f>
        <v>dic</v>
      </c>
    </row>
    <row r="403" spans="1:18">
      <c r="A403" s="445">
        <v>46009</v>
      </c>
      <c r="B403" s="331" t="s">
        <v>587</v>
      </c>
      <c r="C403" s="286" t="str">
        <f t="shared" si="294"/>
        <v>Sacramento Kings</v>
      </c>
      <c r="D403" s="286">
        <v>113</v>
      </c>
      <c r="E403" s="431">
        <v>133</v>
      </c>
      <c r="F403" s="332">
        <f t="shared" si="295"/>
        <v>1</v>
      </c>
      <c r="G403" s="286" t="str">
        <f t="shared" si="296"/>
        <v>Portland Trail Blazers</v>
      </c>
      <c r="H403" s="286">
        <v>119</v>
      </c>
      <c r="I403" s="431">
        <v>134</v>
      </c>
      <c r="J403" s="332">
        <f t="shared" si="297"/>
        <v>1</v>
      </c>
      <c r="K403" s="286">
        <f t="shared" si="298"/>
        <v>232</v>
      </c>
      <c r="L403" s="431">
        <f t="shared" si="299"/>
        <v>267</v>
      </c>
      <c r="M403" s="332">
        <f t="shared" si="300"/>
        <v>1</v>
      </c>
      <c r="N403" s="432">
        <f t="shared" si="301"/>
        <v>6</v>
      </c>
      <c r="O403" s="451">
        <f t="shared" si="302"/>
        <v>1</v>
      </c>
      <c r="P403" s="433">
        <f t="shared" si="303"/>
        <v>1</v>
      </c>
      <c r="Q403" s="460">
        <f>WEEKNUM(tblResultadosNBA[[#This Row],[Fecha]],2)</f>
        <v>51</v>
      </c>
      <c r="R403" s="460" t="str">
        <f>TEXT(tblResultadosNBA[[#This Row],[Fecha]],"mmm")</f>
        <v>dic</v>
      </c>
    </row>
    <row r="404" spans="1:18">
      <c r="A404" s="439">
        <v>46010</v>
      </c>
      <c r="B404" s="422" t="s">
        <v>195</v>
      </c>
      <c r="C404" s="341" t="str">
        <f>LEFT(B404,FIND("@",B404)-2)</f>
        <v>Miami Heat</v>
      </c>
      <c r="D404" s="341">
        <v>124</v>
      </c>
      <c r="E404" s="342">
        <v>116</v>
      </c>
      <c r="F404" s="333">
        <f>IF(E404&gt;D404, 1, 0)</f>
        <v>0</v>
      </c>
      <c r="G404" s="341" t="str">
        <f>MID(B404,FIND("@",B404)+2,LEN(B404)-FIND("@",B404)-1)</f>
        <v>Boston Celtics</v>
      </c>
      <c r="H404" s="341">
        <v>118</v>
      </c>
      <c r="I404" s="342">
        <v>129</v>
      </c>
      <c r="J404" s="333">
        <f>IF(I404&gt;H404, 1, 0)</f>
        <v>1</v>
      </c>
      <c r="K404" s="341">
        <f>+D404+H404</f>
        <v>242</v>
      </c>
      <c r="L404" s="342">
        <f>E404+I404</f>
        <v>245</v>
      </c>
      <c r="M404" s="333">
        <f>IF(L404&gt;K404, 1, 0)</f>
        <v>1</v>
      </c>
      <c r="N404" s="343">
        <f>(+H404-D404)</f>
        <v>-6</v>
      </c>
      <c r="O404" s="449">
        <f>I404-E404</f>
        <v>13</v>
      </c>
      <c r="P404" s="289">
        <f>IF(OR(AND(N404&gt;0,O404&gt;0),AND(N404&lt;0,O404&lt;0)),1,0)</f>
        <v>0</v>
      </c>
      <c r="Q404" s="460">
        <f>WEEKNUM(tblResultadosNBA[[#This Row],[Fecha]],2)</f>
        <v>51</v>
      </c>
      <c r="R404" s="460" t="str">
        <f>TEXT(tblResultadosNBA[[#This Row],[Fecha]],"mmm")</f>
        <v>dic</v>
      </c>
    </row>
    <row r="405" spans="1:18">
      <c r="A405" s="419">
        <v>46010</v>
      </c>
      <c r="B405" s="302" t="s">
        <v>196</v>
      </c>
      <c r="C405" s="177" t="str">
        <f t="shared" ref="C405:C407" si="304">LEFT(B405,FIND("@",B405)-2)</f>
        <v>Philadelphia 76ers</v>
      </c>
      <c r="D405" s="177">
        <v>125</v>
      </c>
      <c r="E405" s="336">
        <v>116</v>
      </c>
      <c r="F405" s="327">
        <f t="shared" ref="F405:F407" si="305">IF(E405&gt;D405, 1, 0)</f>
        <v>0</v>
      </c>
      <c r="G405" s="177" t="str">
        <f t="shared" ref="G405:G407" si="306">MID(B405,FIND("@",B405)+2,LEN(B405)-FIND("@",B405)-1)</f>
        <v>New York Knicks</v>
      </c>
      <c r="H405" s="177">
        <v>130</v>
      </c>
      <c r="I405" s="336">
        <v>107</v>
      </c>
      <c r="J405" s="327">
        <f t="shared" ref="J405:J407" si="307">IF(I405&gt;H405, 1, 0)</f>
        <v>0</v>
      </c>
      <c r="K405" s="177">
        <f t="shared" ref="K405:K407" si="308">+D405+H405</f>
        <v>255</v>
      </c>
      <c r="L405" s="336">
        <f t="shared" ref="L405:L407" si="309">E405+I405</f>
        <v>223</v>
      </c>
      <c r="M405" s="327">
        <f t="shared" ref="M405:M407" si="310">IF(L405&gt;K405, 1, 0)</f>
        <v>0</v>
      </c>
      <c r="N405" s="337">
        <f t="shared" ref="N405:N407" si="311">(+H405-D405)</f>
        <v>5</v>
      </c>
      <c r="O405" s="395">
        <f t="shared" ref="O405:O407" si="312">I405-E405</f>
        <v>-9</v>
      </c>
      <c r="P405" s="289">
        <f t="shared" ref="P405:P407" si="313">IF(OR(AND(N405&gt;0,O405&gt;0),AND(N405&lt;0,O405&lt;0)),1,0)</f>
        <v>0</v>
      </c>
      <c r="Q405" s="460">
        <f>WEEKNUM(tblResultadosNBA[[#This Row],[Fecha]],2)</f>
        <v>51</v>
      </c>
      <c r="R405" s="460" t="str">
        <f>TEXT(tblResultadosNBA[[#This Row],[Fecha]],"mmm")</f>
        <v>dic</v>
      </c>
    </row>
    <row r="406" spans="1:18">
      <c r="A406" s="419">
        <v>46010</v>
      </c>
      <c r="B406" s="302" t="s">
        <v>796</v>
      </c>
      <c r="C406" s="177" t="str">
        <f t="shared" si="304"/>
        <v>San Antonio Spurs</v>
      </c>
      <c r="D406" s="177">
        <v>116</v>
      </c>
      <c r="E406" s="336">
        <v>126</v>
      </c>
      <c r="F406" s="327">
        <f t="shared" si="305"/>
        <v>1</v>
      </c>
      <c r="G406" s="177" t="str">
        <f t="shared" si="306"/>
        <v>Atlanta Hawks</v>
      </c>
      <c r="H406" s="177">
        <v>122</v>
      </c>
      <c r="I406" s="336">
        <v>98</v>
      </c>
      <c r="J406" s="327">
        <f t="shared" si="307"/>
        <v>0</v>
      </c>
      <c r="K406" s="177">
        <f t="shared" si="308"/>
        <v>238</v>
      </c>
      <c r="L406" s="336">
        <f t="shared" si="309"/>
        <v>224</v>
      </c>
      <c r="M406" s="327">
        <f t="shared" si="310"/>
        <v>0</v>
      </c>
      <c r="N406" s="337">
        <f t="shared" si="311"/>
        <v>6</v>
      </c>
      <c r="O406" s="395">
        <f t="shared" si="312"/>
        <v>-28</v>
      </c>
      <c r="P406" s="289">
        <f t="shared" si="313"/>
        <v>0</v>
      </c>
      <c r="Q406" s="460">
        <f>WEEKNUM(tblResultadosNBA[[#This Row],[Fecha]],2)</f>
        <v>51</v>
      </c>
      <c r="R406" s="460" t="str">
        <f>TEXT(tblResultadosNBA[[#This Row],[Fecha]],"mmm")</f>
        <v>dic</v>
      </c>
    </row>
    <row r="407" spans="1:18">
      <c r="A407" s="419">
        <v>46010</v>
      </c>
      <c r="B407" s="302" t="s">
        <v>197</v>
      </c>
      <c r="C407" s="177" t="str">
        <f t="shared" si="304"/>
        <v>Chicago Bulls</v>
      </c>
      <c r="D407" s="177">
        <v>115</v>
      </c>
      <c r="E407" s="336">
        <v>136</v>
      </c>
      <c r="F407" s="327">
        <f t="shared" si="305"/>
        <v>1</v>
      </c>
      <c r="G407" s="177" t="str">
        <f t="shared" si="306"/>
        <v>Cleveland Cavaliers</v>
      </c>
      <c r="H407" s="177">
        <v>126</v>
      </c>
      <c r="I407" s="336">
        <v>125</v>
      </c>
      <c r="J407" s="327">
        <f t="shared" si="307"/>
        <v>0</v>
      </c>
      <c r="K407" s="177">
        <f t="shared" si="308"/>
        <v>241</v>
      </c>
      <c r="L407" s="336">
        <f t="shared" si="309"/>
        <v>261</v>
      </c>
      <c r="M407" s="327">
        <f t="shared" si="310"/>
        <v>1</v>
      </c>
      <c r="N407" s="337">
        <f t="shared" si="311"/>
        <v>11</v>
      </c>
      <c r="O407" s="395">
        <f t="shared" si="312"/>
        <v>-11</v>
      </c>
      <c r="P407" s="289">
        <f t="shared" si="313"/>
        <v>0</v>
      </c>
      <c r="Q407" s="460">
        <f>WEEKNUM(tblResultadosNBA[[#This Row],[Fecha]],2)</f>
        <v>51</v>
      </c>
      <c r="R407" s="460" t="str">
        <f>TEXT(tblResultadosNBA[[#This Row],[Fecha]],"mmm")</f>
        <v>dic</v>
      </c>
    </row>
    <row r="408" spans="1:18">
      <c r="A408" s="445">
        <v>46010</v>
      </c>
      <c r="B408" s="331" t="s">
        <v>318</v>
      </c>
      <c r="C408" s="286" t="str">
        <f>LEFT(B408,FIND("@",B408)-2)</f>
        <v>Oklahoma City Thunder</v>
      </c>
      <c r="D408" s="286">
        <v>110</v>
      </c>
      <c r="E408" s="431">
        <v>107</v>
      </c>
      <c r="F408" s="332">
        <f>IF(E408&gt;D408, 1, 0)</f>
        <v>0</v>
      </c>
      <c r="G408" s="286" t="str">
        <f>MID(B408,FIND("@",B408)+2,LEN(B408)-FIND("@",B408)-1)</f>
        <v>Minnesota Timberwolves</v>
      </c>
      <c r="H408" s="286">
        <v>114</v>
      </c>
      <c r="I408" s="431">
        <v>112</v>
      </c>
      <c r="J408" s="332">
        <f>IF(I408&gt;H408, 1, 0)</f>
        <v>0</v>
      </c>
      <c r="K408" s="286">
        <f>+D408+H408</f>
        <v>224</v>
      </c>
      <c r="L408" s="431">
        <f>E408+I408</f>
        <v>219</v>
      </c>
      <c r="M408" s="332">
        <f>IF(L408&gt;K408, 1, 0)</f>
        <v>0</v>
      </c>
      <c r="N408" s="432">
        <f>(+H408-D408)</f>
        <v>4</v>
      </c>
      <c r="O408" s="451">
        <f>I408-E408</f>
        <v>5</v>
      </c>
      <c r="P408" s="433">
        <f>IF(OR(AND(N408&gt;0,O408&gt;0),AND(N408&lt;0,O408&lt;0)),1,0)</f>
        <v>1</v>
      </c>
      <c r="Q408" s="460">
        <f>WEEKNUM(tblResultadosNBA[[#This Row],[Fecha]],2)</f>
        <v>51</v>
      </c>
      <c r="R408" s="460" t="str">
        <f>TEXT(tblResultadosNBA[[#This Row],[Fecha]],"mmm")</f>
        <v>dic</v>
      </c>
    </row>
    <row r="409" spans="1:18">
      <c r="A409" s="439">
        <v>46011</v>
      </c>
      <c r="B409" s="422" t="s">
        <v>183</v>
      </c>
      <c r="C409" s="341" t="str">
        <f>LEFT(B409,FIND("@",B409)-2)</f>
        <v>Houston Rockets</v>
      </c>
      <c r="D409" s="341">
        <v>127</v>
      </c>
      <c r="E409" s="342">
        <v>115</v>
      </c>
      <c r="F409" s="333">
        <f>IF(E409&gt;D409, 1, 0)</f>
        <v>0</v>
      </c>
      <c r="G409" s="341" t="str">
        <f>MID(B409,FIND("@",B409)+2,LEN(B409)-FIND("@",B409)-1)</f>
        <v>Denver Nuggets</v>
      </c>
      <c r="H409" s="341">
        <v>123</v>
      </c>
      <c r="I409" s="342">
        <v>101</v>
      </c>
      <c r="J409" s="333">
        <f>IF(I409&gt;H409, 1, 0)</f>
        <v>0</v>
      </c>
      <c r="K409" s="341">
        <f>+D409+H409</f>
        <v>250</v>
      </c>
      <c r="L409" s="342">
        <f>E409+I409</f>
        <v>216</v>
      </c>
      <c r="M409" s="333">
        <f>IF(L409&gt;K409, 1, 0)</f>
        <v>0</v>
      </c>
      <c r="N409" s="343">
        <f>(+H409-D409)</f>
        <v>-4</v>
      </c>
      <c r="O409" s="449">
        <f>I409-E409</f>
        <v>-14</v>
      </c>
      <c r="P409" s="289">
        <f>IF(OR(AND(N409&gt;0,O409&gt;0),AND(N409&lt;0,O409&lt;0)),1,0)</f>
        <v>1</v>
      </c>
      <c r="Q409" s="460">
        <f>WEEKNUM(tblResultadosNBA[[#This Row],[Fecha]],2)</f>
        <v>51</v>
      </c>
      <c r="R409" s="460" t="str">
        <f>TEXT(tblResultadosNBA[[#This Row],[Fecha]],"mmm")</f>
        <v>dic</v>
      </c>
    </row>
    <row r="410" spans="1:18">
      <c r="A410" s="419">
        <v>46011</v>
      </c>
      <c r="B410" s="302" t="s">
        <v>198</v>
      </c>
      <c r="C410" s="177" t="str">
        <f t="shared" ref="C410:C418" si="314">LEFT(B410,FIND("@",B410)-2)</f>
        <v>Dallas Mavericks</v>
      </c>
      <c r="D410" s="177">
        <v>111</v>
      </c>
      <c r="E410" s="336">
        <v>114</v>
      </c>
      <c r="F410" s="327">
        <f t="shared" ref="F410:F418" si="315">IF(E410&gt;D410, 1, 0)</f>
        <v>1</v>
      </c>
      <c r="G410" s="177" t="str">
        <f t="shared" ref="G410:G418" si="316">MID(B410,FIND("@",B410)+2,LEN(B410)-FIND("@",B410)-1)</f>
        <v>Philadelphia 76ers</v>
      </c>
      <c r="H410" s="177">
        <v>118</v>
      </c>
      <c r="I410" s="336">
        <v>121</v>
      </c>
      <c r="J410" s="327">
        <f t="shared" ref="J410:J418" si="317">IF(I410&gt;H410, 1, 0)</f>
        <v>1</v>
      </c>
      <c r="K410" s="177">
        <f t="shared" ref="K410:K418" si="318">+D410+H410</f>
        <v>229</v>
      </c>
      <c r="L410" s="336">
        <f t="shared" ref="L410:L418" si="319">E410+I410</f>
        <v>235</v>
      </c>
      <c r="M410" s="327">
        <f t="shared" ref="M410:M418" si="320">IF(L410&gt;K410, 1, 0)</f>
        <v>1</v>
      </c>
      <c r="N410" s="337">
        <f t="shared" ref="N410:N418" si="321">(+H410-D410)</f>
        <v>7</v>
      </c>
      <c r="O410" s="395">
        <f t="shared" ref="O410:O418" si="322">I410-E410</f>
        <v>7</v>
      </c>
      <c r="P410" s="289">
        <f t="shared" ref="P410:P418" si="323">IF(OR(AND(N410&gt;0,O410&gt;0),AND(N410&lt;0,O410&lt;0)),1,0)</f>
        <v>1</v>
      </c>
      <c r="Q410" s="460">
        <f>WEEKNUM(tblResultadosNBA[[#This Row],[Fecha]],2)</f>
        <v>51</v>
      </c>
      <c r="R410" s="460" t="str">
        <f>TEXT(tblResultadosNBA[[#This Row],[Fecha]],"mmm")</f>
        <v>dic</v>
      </c>
    </row>
    <row r="411" spans="1:18">
      <c r="A411" s="419">
        <v>46011</v>
      </c>
      <c r="B411" s="302" t="s">
        <v>161</v>
      </c>
      <c r="C411" s="177" t="str">
        <f t="shared" si="314"/>
        <v>Boston Celtics</v>
      </c>
      <c r="D411" s="177">
        <v>108</v>
      </c>
      <c r="E411" s="336">
        <v>112</v>
      </c>
      <c r="F411" s="327">
        <f t="shared" si="315"/>
        <v>1</v>
      </c>
      <c r="G411" s="177" t="str">
        <f t="shared" si="316"/>
        <v>Toronto Raptors</v>
      </c>
      <c r="H411" s="177">
        <v>106</v>
      </c>
      <c r="I411" s="336">
        <v>96</v>
      </c>
      <c r="J411" s="327">
        <f t="shared" si="317"/>
        <v>0</v>
      </c>
      <c r="K411" s="177">
        <f t="shared" si="318"/>
        <v>214</v>
      </c>
      <c r="L411" s="336">
        <f t="shared" si="319"/>
        <v>208</v>
      </c>
      <c r="M411" s="327">
        <f t="shared" si="320"/>
        <v>0</v>
      </c>
      <c r="N411" s="337">
        <f t="shared" si="321"/>
        <v>-2</v>
      </c>
      <c r="O411" s="395">
        <f t="shared" si="322"/>
        <v>-16</v>
      </c>
      <c r="P411" s="289">
        <f t="shared" si="323"/>
        <v>1</v>
      </c>
      <c r="Q411" s="460">
        <f>WEEKNUM(tblResultadosNBA[[#This Row],[Fecha]],2)</f>
        <v>51</v>
      </c>
      <c r="R411" s="460" t="str">
        <f>TEXT(tblResultadosNBA[[#This Row],[Fecha]],"mmm")</f>
        <v>dic</v>
      </c>
    </row>
    <row r="412" spans="1:18">
      <c r="A412" s="419">
        <v>46011</v>
      </c>
      <c r="B412" s="302" t="s">
        <v>199</v>
      </c>
      <c r="C412" s="177" t="str">
        <f t="shared" si="314"/>
        <v>Indiana Pacers</v>
      </c>
      <c r="D412" s="177">
        <v>118</v>
      </c>
      <c r="E412" s="336">
        <v>109</v>
      </c>
      <c r="F412" s="327">
        <f t="shared" si="315"/>
        <v>0</v>
      </c>
      <c r="G412" s="177" t="str">
        <f t="shared" si="316"/>
        <v>New Orleans Pelicans</v>
      </c>
      <c r="H412" s="177">
        <v>135</v>
      </c>
      <c r="I412" s="336">
        <v>128</v>
      </c>
      <c r="J412" s="327">
        <f t="shared" si="317"/>
        <v>0</v>
      </c>
      <c r="K412" s="177">
        <f t="shared" si="318"/>
        <v>253</v>
      </c>
      <c r="L412" s="336">
        <f t="shared" si="319"/>
        <v>237</v>
      </c>
      <c r="M412" s="327">
        <f t="shared" si="320"/>
        <v>0</v>
      </c>
      <c r="N412" s="337">
        <f t="shared" si="321"/>
        <v>17</v>
      </c>
      <c r="O412" s="395">
        <f t="shared" si="322"/>
        <v>19</v>
      </c>
      <c r="P412" s="289">
        <f t="shared" si="323"/>
        <v>1</v>
      </c>
      <c r="Q412" s="460">
        <f>WEEKNUM(tblResultadosNBA[[#This Row],[Fecha]],2)</f>
        <v>51</v>
      </c>
      <c r="R412" s="460" t="str">
        <f>TEXT(tblResultadosNBA[[#This Row],[Fecha]],"mmm")</f>
        <v>dic</v>
      </c>
    </row>
    <row r="413" spans="1:18">
      <c r="A413" s="419">
        <v>46011</v>
      </c>
      <c r="B413" s="302" t="s">
        <v>797</v>
      </c>
      <c r="C413" s="177" t="str">
        <f t="shared" si="314"/>
        <v>Charlotte Hornets</v>
      </c>
      <c r="D413" s="177">
        <v>117</v>
      </c>
      <c r="E413" s="336">
        <v>86</v>
      </c>
      <c r="F413" s="327">
        <f t="shared" si="315"/>
        <v>0</v>
      </c>
      <c r="G413" s="177" t="str">
        <f t="shared" si="316"/>
        <v>Detroit Pistons</v>
      </c>
      <c r="H413" s="177">
        <v>113</v>
      </c>
      <c r="I413" s="336">
        <v>112</v>
      </c>
      <c r="J413" s="327">
        <f t="shared" si="317"/>
        <v>0</v>
      </c>
      <c r="K413" s="177">
        <f t="shared" si="318"/>
        <v>230</v>
      </c>
      <c r="L413" s="336">
        <f t="shared" si="319"/>
        <v>198</v>
      </c>
      <c r="M413" s="327">
        <f t="shared" si="320"/>
        <v>0</v>
      </c>
      <c r="N413" s="337">
        <f t="shared" si="321"/>
        <v>-4</v>
      </c>
      <c r="O413" s="395">
        <f t="shared" si="322"/>
        <v>26</v>
      </c>
      <c r="P413" s="289">
        <f t="shared" si="323"/>
        <v>0</v>
      </c>
      <c r="Q413" s="460">
        <f>WEEKNUM(tblResultadosNBA[[#This Row],[Fecha]],2)</f>
        <v>51</v>
      </c>
      <c r="R413" s="460" t="str">
        <f>TEXT(tblResultadosNBA[[#This Row],[Fecha]],"mmm")</f>
        <v>dic</v>
      </c>
    </row>
    <row r="414" spans="1:18">
      <c r="A414" s="419">
        <v>46011</v>
      </c>
      <c r="B414" s="302" t="s">
        <v>200</v>
      </c>
      <c r="C414" s="177" t="str">
        <f t="shared" si="314"/>
        <v>Washington Wizards</v>
      </c>
      <c r="D414" s="177">
        <v>114</v>
      </c>
      <c r="E414" s="336">
        <v>130</v>
      </c>
      <c r="F414" s="327">
        <f t="shared" si="315"/>
        <v>1</v>
      </c>
      <c r="G414" s="177" t="str">
        <f t="shared" si="316"/>
        <v>Memphis Grizzlies</v>
      </c>
      <c r="H414" s="177">
        <v>126</v>
      </c>
      <c r="I414" s="336">
        <v>122</v>
      </c>
      <c r="J414" s="327">
        <f t="shared" si="317"/>
        <v>0</v>
      </c>
      <c r="K414" s="177">
        <f t="shared" si="318"/>
        <v>240</v>
      </c>
      <c r="L414" s="336">
        <f t="shared" si="319"/>
        <v>252</v>
      </c>
      <c r="M414" s="327">
        <f t="shared" si="320"/>
        <v>1</v>
      </c>
      <c r="N414" s="337">
        <f t="shared" si="321"/>
        <v>12</v>
      </c>
      <c r="O414" s="395">
        <f t="shared" si="322"/>
        <v>-8</v>
      </c>
      <c r="P414" s="289">
        <f t="shared" si="323"/>
        <v>0</v>
      </c>
      <c r="Q414" s="460">
        <f>WEEKNUM(tblResultadosNBA[[#This Row],[Fecha]],2)</f>
        <v>51</v>
      </c>
      <c r="R414" s="460" t="str">
        <f>TEXT(tblResultadosNBA[[#This Row],[Fecha]],"mmm")</f>
        <v>dic</v>
      </c>
    </row>
    <row r="415" spans="1:18">
      <c r="A415" s="419">
        <v>46011</v>
      </c>
      <c r="B415" s="302" t="s">
        <v>201</v>
      </c>
      <c r="C415" s="177" t="str">
        <f t="shared" si="314"/>
        <v>Phoenix Suns</v>
      </c>
      <c r="D415" s="177">
        <v>121</v>
      </c>
      <c r="E415" s="336">
        <v>116</v>
      </c>
      <c r="F415" s="327">
        <f t="shared" si="315"/>
        <v>0</v>
      </c>
      <c r="G415" s="177" t="str">
        <f t="shared" si="316"/>
        <v>Golden State Warriors</v>
      </c>
      <c r="H415" s="177">
        <v>123</v>
      </c>
      <c r="I415" s="336">
        <v>119</v>
      </c>
      <c r="J415" s="327">
        <f t="shared" si="317"/>
        <v>0</v>
      </c>
      <c r="K415" s="177">
        <f t="shared" si="318"/>
        <v>244</v>
      </c>
      <c r="L415" s="336">
        <f t="shared" si="319"/>
        <v>235</v>
      </c>
      <c r="M415" s="327">
        <f t="shared" si="320"/>
        <v>0</v>
      </c>
      <c r="N415" s="337">
        <f t="shared" si="321"/>
        <v>2</v>
      </c>
      <c r="O415" s="395">
        <f t="shared" si="322"/>
        <v>3</v>
      </c>
      <c r="P415" s="289">
        <f t="shared" si="323"/>
        <v>1</v>
      </c>
      <c r="Q415" s="460">
        <f>WEEKNUM(tblResultadosNBA[[#This Row],[Fecha]],2)</f>
        <v>51</v>
      </c>
      <c r="R415" s="460" t="str">
        <f>TEXT(tblResultadosNBA[[#This Row],[Fecha]],"mmm")</f>
        <v>dic</v>
      </c>
    </row>
    <row r="416" spans="1:18">
      <c r="A416" s="419">
        <v>46011</v>
      </c>
      <c r="B416" s="302" t="s">
        <v>202</v>
      </c>
      <c r="C416" s="177" t="str">
        <f t="shared" si="314"/>
        <v>Orlando Magic</v>
      </c>
      <c r="D416" s="177">
        <v>117</v>
      </c>
      <c r="E416" s="336">
        <v>128</v>
      </c>
      <c r="F416" s="327">
        <f t="shared" si="315"/>
        <v>1</v>
      </c>
      <c r="G416" s="177" t="str">
        <f t="shared" si="316"/>
        <v>Utah Jazz</v>
      </c>
      <c r="H416" s="177">
        <v>124</v>
      </c>
      <c r="I416" s="336">
        <v>127</v>
      </c>
      <c r="J416" s="327">
        <f t="shared" si="317"/>
        <v>1</v>
      </c>
      <c r="K416" s="177">
        <f t="shared" si="318"/>
        <v>241</v>
      </c>
      <c r="L416" s="336">
        <f t="shared" si="319"/>
        <v>255</v>
      </c>
      <c r="M416" s="327">
        <f t="shared" si="320"/>
        <v>1</v>
      </c>
      <c r="N416" s="337">
        <f t="shared" si="321"/>
        <v>7</v>
      </c>
      <c r="O416" s="395">
        <f t="shared" si="322"/>
        <v>-1</v>
      </c>
      <c r="P416" s="289">
        <f t="shared" si="323"/>
        <v>0</v>
      </c>
      <c r="Q416" s="460">
        <f>WEEKNUM(tblResultadosNBA[[#This Row],[Fecha]],2)</f>
        <v>51</v>
      </c>
      <c r="R416" s="460" t="str">
        <f>TEXT(tblResultadosNBA[[#This Row],[Fecha]],"mmm")</f>
        <v>dic</v>
      </c>
    </row>
    <row r="417" spans="1:18">
      <c r="A417" s="419">
        <v>46011</v>
      </c>
      <c r="B417" s="302" t="s">
        <v>281</v>
      </c>
      <c r="C417" s="177" t="str">
        <f t="shared" si="314"/>
        <v>Portland Trail Blazers</v>
      </c>
      <c r="D417" s="177">
        <v>114</v>
      </c>
      <c r="E417" s="336">
        <v>98</v>
      </c>
      <c r="F417" s="327">
        <f t="shared" si="315"/>
        <v>0</v>
      </c>
      <c r="G417" s="177" t="str">
        <f t="shared" si="316"/>
        <v>Sacramento Kings</v>
      </c>
      <c r="H417" s="177">
        <v>116</v>
      </c>
      <c r="I417" s="336">
        <v>93</v>
      </c>
      <c r="J417" s="327">
        <f t="shared" si="317"/>
        <v>0</v>
      </c>
      <c r="K417" s="177">
        <f t="shared" si="318"/>
        <v>230</v>
      </c>
      <c r="L417" s="336">
        <f t="shared" si="319"/>
        <v>191</v>
      </c>
      <c r="M417" s="327">
        <f t="shared" si="320"/>
        <v>0</v>
      </c>
      <c r="N417" s="337">
        <f t="shared" si="321"/>
        <v>2</v>
      </c>
      <c r="O417" s="395">
        <f t="shared" si="322"/>
        <v>-5</v>
      </c>
      <c r="P417" s="289">
        <f t="shared" si="323"/>
        <v>0</v>
      </c>
      <c r="Q417" s="460">
        <f>WEEKNUM(tblResultadosNBA[[#This Row],[Fecha]],2)</f>
        <v>51</v>
      </c>
      <c r="R417" s="460" t="str">
        <f>TEXT(tblResultadosNBA[[#This Row],[Fecha]],"mmm")</f>
        <v>dic</v>
      </c>
    </row>
    <row r="418" spans="1:18">
      <c r="A418" s="445">
        <v>46011</v>
      </c>
      <c r="B418" s="331" t="s">
        <v>203</v>
      </c>
      <c r="C418" s="286" t="str">
        <f t="shared" si="314"/>
        <v>Los Angeles Lakers</v>
      </c>
      <c r="D418" s="286">
        <v>113</v>
      </c>
      <c r="E418" s="431">
        <v>88</v>
      </c>
      <c r="F418" s="332">
        <f t="shared" si="315"/>
        <v>0</v>
      </c>
      <c r="G418" s="286" t="str">
        <f t="shared" si="316"/>
        <v>LA Clippers</v>
      </c>
      <c r="H418" s="286">
        <v>117</v>
      </c>
      <c r="I418" s="431">
        <v>103</v>
      </c>
      <c r="J418" s="332">
        <f t="shared" si="317"/>
        <v>0</v>
      </c>
      <c r="K418" s="286">
        <f t="shared" si="318"/>
        <v>230</v>
      </c>
      <c r="L418" s="431">
        <f t="shared" si="319"/>
        <v>191</v>
      </c>
      <c r="M418" s="332">
        <f t="shared" si="320"/>
        <v>0</v>
      </c>
      <c r="N418" s="432">
        <f t="shared" si="321"/>
        <v>4</v>
      </c>
      <c r="O418" s="451">
        <f t="shared" si="322"/>
        <v>15</v>
      </c>
      <c r="P418" s="433">
        <f t="shared" si="323"/>
        <v>1</v>
      </c>
      <c r="Q418" s="460">
        <f>WEEKNUM(tblResultadosNBA[[#This Row],[Fecha]],2)</f>
        <v>51</v>
      </c>
      <c r="R418" s="460" t="str">
        <f>TEXT(tblResultadosNBA[[#This Row],[Fecha]],"mmm")</f>
        <v>dic</v>
      </c>
    </row>
    <row r="419" spans="1:18">
      <c r="A419" s="439">
        <v>46012</v>
      </c>
      <c r="B419" s="422" t="s">
        <v>204</v>
      </c>
      <c r="C419" s="341" t="str">
        <f>LEFT(B419,FIND("@",B419)-2)</f>
        <v>Chicago Bulls</v>
      </c>
      <c r="D419" s="341">
        <v>128</v>
      </c>
      <c r="E419" s="342">
        <v>152</v>
      </c>
      <c r="F419" s="333">
        <f>IF(E419&gt;D419, 1, 0)</f>
        <v>1</v>
      </c>
      <c r="G419" s="341" t="str">
        <f>MID(B419,FIND("@",B419)+2,LEN(B419)-FIND("@",B419)-1)</f>
        <v>Atlanta Hawks</v>
      </c>
      <c r="H419" s="341">
        <v>125</v>
      </c>
      <c r="I419" s="342">
        <v>150</v>
      </c>
      <c r="J419" s="333">
        <f>IF(I419&gt;H419, 1, 0)</f>
        <v>1</v>
      </c>
      <c r="K419" s="341">
        <f>+D419+H419</f>
        <v>253</v>
      </c>
      <c r="L419" s="342">
        <f>E419+I419</f>
        <v>302</v>
      </c>
      <c r="M419" s="333">
        <f>IF(L419&gt;K419, 1, 0)</f>
        <v>1</v>
      </c>
      <c r="N419" s="343">
        <f>(+H419-D419)</f>
        <v>-3</v>
      </c>
      <c r="O419" s="449">
        <f>I419-E419</f>
        <v>-2</v>
      </c>
      <c r="P419" s="289">
        <f>IF(OR(AND(N419&gt;0,O419&gt;0),AND(N419&lt;0,O419&lt;0)),1,0)</f>
        <v>1</v>
      </c>
      <c r="Q419" s="460">
        <f>WEEKNUM(tblResultadosNBA[[#This Row],[Fecha]],2)</f>
        <v>51</v>
      </c>
      <c r="R419" s="460" t="str">
        <f>TEXT(tblResultadosNBA[[#This Row],[Fecha]],"mmm")</f>
        <v>dic</v>
      </c>
    </row>
    <row r="420" spans="1:18">
      <c r="A420" s="419">
        <v>46012</v>
      </c>
      <c r="B420" s="302" t="s">
        <v>31</v>
      </c>
      <c r="C420" s="177" t="str">
        <f t="shared" ref="C420:C424" si="324">LEFT(B420,FIND("@",B420)-2)</f>
        <v>Toronto Raptors</v>
      </c>
      <c r="D420" s="177">
        <v>115</v>
      </c>
      <c r="E420" s="336">
        <v>81</v>
      </c>
      <c r="F420" s="327">
        <f t="shared" ref="F420:F424" si="325">IF(E420&gt;D420, 1, 0)</f>
        <v>0</v>
      </c>
      <c r="G420" s="177" t="str">
        <f t="shared" ref="G420:G424" si="326">MID(B420,FIND("@",B420)+2,LEN(B420)-FIND("@",B420)-1)</f>
        <v>Brooklyn Nets</v>
      </c>
      <c r="H420" s="177">
        <v>112</v>
      </c>
      <c r="I420" s="336">
        <v>96</v>
      </c>
      <c r="J420" s="327">
        <f t="shared" ref="J420:J424" si="327">IF(I420&gt;H420, 1, 0)</f>
        <v>0</v>
      </c>
      <c r="K420" s="177">
        <f t="shared" ref="K420:K424" si="328">+D420+H420</f>
        <v>227</v>
      </c>
      <c r="L420" s="336">
        <f t="shared" ref="L420:L424" si="329">E420+I420</f>
        <v>177</v>
      </c>
      <c r="M420" s="327">
        <f t="shared" ref="M420:M424" si="330">IF(L420&gt;K420, 1, 0)</f>
        <v>0</v>
      </c>
      <c r="N420" s="337">
        <f t="shared" ref="N420:N424" si="331">(+H420-D420)</f>
        <v>-3</v>
      </c>
      <c r="O420" s="395">
        <f t="shared" ref="O420:O424" si="332">I420-E420</f>
        <v>15</v>
      </c>
      <c r="P420" s="289">
        <f t="shared" ref="P420:P424" si="333">IF(OR(AND(N420&gt;0,O420&gt;0),AND(N420&lt;0,O420&lt;0)),1,0)</f>
        <v>0</v>
      </c>
      <c r="Q420" s="460">
        <f>WEEKNUM(tblResultadosNBA[[#This Row],[Fecha]],2)</f>
        <v>51</v>
      </c>
      <c r="R420" s="460" t="str">
        <f>TEXT(tblResultadosNBA[[#This Row],[Fecha]],"mmm")</f>
        <v>dic</v>
      </c>
    </row>
    <row r="421" spans="1:18">
      <c r="A421" s="419">
        <v>46012</v>
      </c>
      <c r="B421" s="302" t="s">
        <v>54</v>
      </c>
      <c r="C421" s="177" t="str">
        <f t="shared" si="324"/>
        <v>Miami Heat</v>
      </c>
      <c r="D421" s="177">
        <v>111</v>
      </c>
      <c r="E421" s="336">
        <v>125</v>
      </c>
      <c r="F421" s="327">
        <f t="shared" si="325"/>
        <v>1</v>
      </c>
      <c r="G421" s="177" t="str">
        <f t="shared" si="326"/>
        <v>New York Knicks</v>
      </c>
      <c r="H421" s="177">
        <v>122</v>
      </c>
      <c r="I421" s="336">
        <v>132</v>
      </c>
      <c r="J421" s="327">
        <f t="shared" si="327"/>
        <v>1</v>
      </c>
      <c r="K421" s="177">
        <f t="shared" si="328"/>
        <v>233</v>
      </c>
      <c r="L421" s="336">
        <f t="shared" si="329"/>
        <v>257</v>
      </c>
      <c r="M421" s="327">
        <f t="shared" si="330"/>
        <v>1</v>
      </c>
      <c r="N421" s="337">
        <f t="shared" si="331"/>
        <v>11</v>
      </c>
      <c r="O421" s="395">
        <f t="shared" si="332"/>
        <v>7</v>
      </c>
      <c r="P421" s="289">
        <f t="shared" si="333"/>
        <v>1</v>
      </c>
      <c r="Q421" s="460">
        <f>WEEKNUM(tblResultadosNBA[[#This Row],[Fecha]],2)</f>
        <v>51</v>
      </c>
      <c r="R421" s="460" t="str">
        <f>TEXT(tblResultadosNBA[[#This Row],[Fecha]],"mmm")</f>
        <v>dic</v>
      </c>
    </row>
    <row r="422" spans="1:18">
      <c r="A422" s="419">
        <v>46012</v>
      </c>
      <c r="B422" s="302" t="s">
        <v>205</v>
      </c>
      <c r="C422" s="177" t="str">
        <f t="shared" si="324"/>
        <v>San Antonio Spurs</v>
      </c>
      <c r="D422" s="177">
        <v>131</v>
      </c>
      <c r="E422" s="336">
        <v>124</v>
      </c>
      <c r="F422" s="327">
        <f t="shared" si="325"/>
        <v>0</v>
      </c>
      <c r="G422" s="177" t="str">
        <f t="shared" si="326"/>
        <v>Washington Wizards</v>
      </c>
      <c r="H422" s="177">
        <v>136</v>
      </c>
      <c r="I422" s="336">
        <v>113</v>
      </c>
      <c r="J422" s="327">
        <f t="shared" si="327"/>
        <v>0</v>
      </c>
      <c r="K422" s="177">
        <f t="shared" si="328"/>
        <v>267</v>
      </c>
      <c r="L422" s="336">
        <f t="shared" si="329"/>
        <v>237</v>
      </c>
      <c r="M422" s="327">
        <f t="shared" si="330"/>
        <v>0</v>
      </c>
      <c r="N422" s="337">
        <f t="shared" si="331"/>
        <v>5</v>
      </c>
      <c r="O422" s="395">
        <f t="shared" si="332"/>
        <v>-11</v>
      </c>
      <c r="P422" s="289">
        <f t="shared" si="333"/>
        <v>0</v>
      </c>
      <c r="Q422" s="460">
        <f>WEEKNUM(tblResultadosNBA[[#This Row],[Fecha]],2)</f>
        <v>51</v>
      </c>
      <c r="R422" s="460" t="str">
        <f>TEXT(tblResultadosNBA[[#This Row],[Fecha]],"mmm")</f>
        <v>dic</v>
      </c>
    </row>
    <row r="423" spans="1:18">
      <c r="A423" s="419">
        <v>46012</v>
      </c>
      <c r="B423" s="302" t="s">
        <v>206</v>
      </c>
      <c r="C423" s="177" t="str">
        <f t="shared" si="324"/>
        <v>Milwaukee Bucks</v>
      </c>
      <c r="D423" s="177">
        <v>122</v>
      </c>
      <c r="E423" s="336">
        <v>100</v>
      </c>
      <c r="F423" s="327">
        <f t="shared" si="325"/>
        <v>0</v>
      </c>
      <c r="G423" s="177" t="str">
        <f t="shared" si="326"/>
        <v>Minnesota Timberwolves</v>
      </c>
      <c r="H423" s="177">
        <v>115</v>
      </c>
      <c r="I423" s="336">
        <v>103</v>
      </c>
      <c r="J423" s="327">
        <f t="shared" si="327"/>
        <v>0</v>
      </c>
      <c r="K423" s="177">
        <f t="shared" si="328"/>
        <v>237</v>
      </c>
      <c r="L423" s="336">
        <f t="shared" si="329"/>
        <v>203</v>
      </c>
      <c r="M423" s="327">
        <f t="shared" si="330"/>
        <v>0</v>
      </c>
      <c r="N423" s="337">
        <f t="shared" si="331"/>
        <v>-7</v>
      </c>
      <c r="O423" s="395">
        <f t="shared" si="332"/>
        <v>3</v>
      </c>
      <c r="P423" s="289">
        <f t="shared" si="333"/>
        <v>0</v>
      </c>
      <c r="Q423" s="460">
        <f>WEEKNUM(tblResultadosNBA[[#This Row],[Fecha]],2)</f>
        <v>51</v>
      </c>
      <c r="R423" s="460" t="str">
        <f>TEXT(tblResultadosNBA[[#This Row],[Fecha]],"mmm")</f>
        <v>dic</v>
      </c>
    </row>
    <row r="424" spans="1:18">
      <c r="A424" s="445">
        <v>46012</v>
      </c>
      <c r="B424" s="331" t="s">
        <v>207</v>
      </c>
      <c r="C424" s="286" t="str">
        <f t="shared" si="324"/>
        <v>Houston Rockets</v>
      </c>
      <c r="D424" s="286">
        <v>118</v>
      </c>
      <c r="E424" s="431">
        <v>124</v>
      </c>
      <c r="F424" s="332">
        <f t="shared" si="325"/>
        <v>1</v>
      </c>
      <c r="G424" s="286" t="str">
        <f t="shared" si="326"/>
        <v>Sacramento Kings</v>
      </c>
      <c r="H424" s="286">
        <v>114</v>
      </c>
      <c r="I424" s="431">
        <v>125</v>
      </c>
      <c r="J424" s="332">
        <f t="shared" si="327"/>
        <v>1</v>
      </c>
      <c r="K424" s="286">
        <f t="shared" si="328"/>
        <v>232</v>
      </c>
      <c r="L424" s="431">
        <f t="shared" si="329"/>
        <v>249</v>
      </c>
      <c r="M424" s="332">
        <f t="shared" si="330"/>
        <v>1</v>
      </c>
      <c r="N424" s="432">
        <f t="shared" si="331"/>
        <v>-4</v>
      </c>
      <c r="O424" s="451">
        <f t="shared" si="332"/>
        <v>1</v>
      </c>
      <c r="P424" s="433">
        <f t="shared" si="333"/>
        <v>0</v>
      </c>
      <c r="Q424" s="460">
        <f>WEEKNUM(tblResultadosNBA[[#This Row],[Fecha]],2)</f>
        <v>51</v>
      </c>
      <c r="R424" s="460" t="str">
        <f>TEXT(tblResultadosNBA[[#This Row],[Fecha]],"mmm")</f>
        <v>dic</v>
      </c>
    </row>
    <row r="425" spans="1:18">
      <c r="A425" s="439">
        <v>46013</v>
      </c>
      <c r="B425" s="422" t="s">
        <v>208</v>
      </c>
      <c r="C425" s="341" t="str">
        <f>LEFT(B425,FIND("@",B425)-2)</f>
        <v>Charlotte Hornets</v>
      </c>
      <c r="D425" s="341">
        <v>125</v>
      </c>
      <c r="E425" s="342">
        <v>132</v>
      </c>
      <c r="F425" s="333">
        <f>IF(E425&gt;D425, 1, 0)</f>
        <v>1</v>
      </c>
      <c r="G425" s="341" t="str">
        <f>MID(B425,FIND("@",B425)+2,LEN(B425)-FIND("@",B425)-1)</f>
        <v>Cleveland Cavaliers</v>
      </c>
      <c r="H425" s="341">
        <v>121</v>
      </c>
      <c r="I425" s="342">
        <v>139</v>
      </c>
      <c r="J425" s="333">
        <f>IF(I425&gt;H425, 1, 0)</f>
        <v>1</v>
      </c>
      <c r="K425" s="341">
        <f>+D425+H425</f>
        <v>246</v>
      </c>
      <c r="L425" s="342">
        <f>E425+I425</f>
        <v>271</v>
      </c>
      <c r="M425" s="333">
        <f>IF(L425&gt;K425, 1, 0)</f>
        <v>1</v>
      </c>
      <c r="N425" s="343">
        <f>(+H425-D425)</f>
        <v>-4</v>
      </c>
      <c r="O425" s="449">
        <f>I425-E425</f>
        <v>7</v>
      </c>
      <c r="P425" s="289">
        <f>IF(OR(AND(N425&gt;0,O425&gt;0),AND(N425&lt;0,O425&lt;0)),1,0)</f>
        <v>0</v>
      </c>
      <c r="Q425" s="460">
        <f>WEEKNUM(tblResultadosNBA[[#This Row],[Fecha]],2)</f>
        <v>52</v>
      </c>
      <c r="R425" s="460" t="str">
        <f>TEXT(tblResultadosNBA[[#This Row],[Fecha]],"mmm")</f>
        <v>dic</v>
      </c>
    </row>
    <row r="426" spans="1:18">
      <c r="A426" s="419">
        <v>46013</v>
      </c>
      <c r="B426" s="302" t="s">
        <v>209</v>
      </c>
      <c r="C426" s="177" t="str">
        <f t="shared" ref="C426:C431" si="334">LEFT(B426,FIND("@",B426)-2)</f>
        <v>Indiana Pacers</v>
      </c>
      <c r="D426" s="177">
        <v>110</v>
      </c>
      <c r="E426" s="336">
        <v>95</v>
      </c>
      <c r="F426" s="327">
        <f t="shared" ref="F426:F431" si="335">IF(E426&gt;D426, 1, 0)</f>
        <v>0</v>
      </c>
      <c r="G426" s="177" t="str">
        <f t="shared" ref="G426:G431" si="336">MID(B426,FIND("@",B426)+2,LEN(B426)-FIND("@",B426)-1)</f>
        <v>Boston Celtics</v>
      </c>
      <c r="H426" s="177">
        <v>122</v>
      </c>
      <c r="I426" s="336">
        <v>103</v>
      </c>
      <c r="J426" s="327">
        <f t="shared" ref="J426:J431" si="337">IF(I426&gt;H426, 1, 0)</f>
        <v>0</v>
      </c>
      <c r="K426" s="177">
        <f t="shared" ref="K426:K431" si="338">+D426+H426</f>
        <v>232</v>
      </c>
      <c r="L426" s="336">
        <f t="shared" ref="L426:L431" si="339">E426+I426</f>
        <v>198</v>
      </c>
      <c r="M426" s="327">
        <f t="shared" ref="M426:M431" si="340">IF(L426&gt;K426, 1, 0)</f>
        <v>0</v>
      </c>
      <c r="N426" s="337">
        <f t="shared" ref="N426:N431" si="341">(+H426-D426)</f>
        <v>12</v>
      </c>
      <c r="O426" s="395">
        <f t="shared" ref="O426:O431" si="342">I426-E426</f>
        <v>8</v>
      </c>
      <c r="P426" s="289">
        <f t="shared" ref="P426:P431" si="343">IF(OR(AND(N426&gt;0,O426&gt;0),AND(N426&lt;0,O426&lt;0)),1,0)</f>
        <v>1</v>
      </c>
      <c r="Q426" s="460">
        <f>WEEKNUM(tblResultadosNBA[[#This Row],[Fecha]],2)</f>
        <v>52</v>
      </c>
      <c r="R426" s="460" t="str">
        <f>TEXT(tblResultadosNBA[[#This Row],[Fecha]],"mmm")</f>
        <v>dic</v>
      </c>
    </row>
    <row r="427" spans="1:18">
      <c r="A427" s="419">
        <v>46013</v>
      </c>
      <c r="B427" s="302" t="s">
        <v>210</v>
      </c>
      <c r="C427" s="177" t="str">
        <f t="shared" si="334"/>
        <v>Dallas Mavericks</v>
      </c>
      <c r="D427" s="177">
        <v>115</v>
      </c>
      <c r="E427" s="336">
        <v>113</v>
      </c>
      <c r="F427" s="327">
        <f t="shared" si="335"/>
        <v>0</v>
      </c>
      <c r="G427" s="177" t="str">
        <f t="shared" si="336"/>
        <v>New Orleans Pelicans</v>
      </c>
      <c r="H427" s="177">
        <v>126</v>
      </c>
      <c r="I427" s="336">
        <v>119</v>
      </c>
      <c r="J427" s="327">
        <f t="shared" si="337"/>
        <v>0</v>
      </c>
      <c r="K427" s="177">
        <f t="shared" si="338"/>
        <v>241</v>
      </c>
      <c r="L427" s="336">
        <f t="shared" si="339"/>
        <v>232</v>
      </c>
      <c r="M427" s="327">
        <f t="shared" si="340"/>
        <v>0</v>
      </c>
      <c r="N427" s="337">
        <f t="shared" si="341"/>
        <v>11</v>
      </c>
      <c r="O427" s="395">
        <f t="shared" si="342"/>
        <v>6</v>
      </c>
      <c r="P427" s="289">
        <f t="shared" si="343"/>
        <v>1</v>
      </c>
      <c r="Q427" s="460">
        <f>WEEKNUM(tblResultadosNBA[[#This Row],[Fecha]],2)</f>
        <v>52</v>
      </c>
      <c r="R427" s="460" t="str">
        <f>TEXT(tblResultadosNBA[[#This Row],[Fecha]],"mmm")</f>
        <v>dic</v>
      </c>
    </row>
    <row r="428" spans="1:18">
      <c r="A428" s="419">
        <v>46013</v>
      </c>
      <c r="B428" s="302" t="s">
        <v>517</v>
      </c>
      <c r="C428" s="177" t="str">
        <f t="shared" si="334"/>
        <v>Utah Jazz</v>
      </c>
      <c r="D428" s="177">
        <v>114</v>
      </c>
      <c r="E428" s="336">
        <v>112</v>
      </c>
      <c r="F428" s="327">
        <f t="shared" si="335"/>
        <v>0</v>
      </c>
      <c r="G428" s="177" t="str">
        <f t="shared" si="336"/>
        <v>Denver Nuggets</v>
      </c>
      <c r="H428" s="177">
        <v>133</v>
      </c>
      <c r="I428" s="336">
        <v>135</v>
      </c>
      <c r="J428" s="327">
        <f t="shared" si="337"/>
        <v>1</v>
      </c>
      <c r="K428" s="177">
        <f t="shared" si="338"/>
        <v>247</v>
      </c>
      <c r="L428" s="336">
        <f t="shared" si="339"/>
        <v>247</v>
      </c>
      <c r="M428" s="327">
        <f t="shared" si="340"/>
        <v>0</v>
      </c>
      <c r="N428" s="337">
        <f t="shared" si="341"/>
        <v>19</v>
      </c>
      <c r="O428" s="395">
        <f t="shared" si="342"/>
        <v>23</v>
      </c>
      <c r="P428" s="289">
        <f t="shared" si="343"/>
        <v>1</v>
      </c>
      <c r="Q428" s="460">
        <f>WEEKNUM(tblResultadosNBA[[#This Row],[Fecha]],2)</f>
        <v>52</v>
      </c>
      <c r="R428" s="460" t="str">
        <f>TEXT(tblResultadosNBA[[#This Row],[Fecha]],"mmm")</f>
        <v>dic</v>
      </c>
    </row>
    <row r="429" spans="1:18">
      <c r="A429" s="419">
        <v>46013</v>
      </c>
      <c r="B429" s="302" t="s">
        <v>798</v>
      </c>
      <c r="C429" s="177" t="str">
        <f t="shared" si="334"/>
        <v>Memphis Grizzlies</v>
      </c>
      <c r="D429" s="177">
        <v>105</v>
      </c>
      <c r="E429" s="336">
        <v>103</v>
      </c>
      <c r="F429" s="327">
        <f t="shared" si="335"/>
        <v>0</v>
      </c>
      <c r="G429" s="177" t="str">
        <f t="shared" si="336"/>
        <v>Oklahoma City Thunder</v>
      </c>
      <c r="H429" s="177">
        <v>119</v>
      </c>
      <c r="I429" s="336">
        <v>119</v>
      </c>
      <c r="J429" s="327">
        <f t="shared" si="337"/>
        <v>0</v>
      </c>
      <c r="K429" s="177">
        <f t="shared" si="338"/>
        <v>224</v>
      </c>
      <c r="L429" s="336">
        <f t="shared" si="339"/>
        <v>222</v>
      </c>
      <c r="M429" s="327">
        <f t="shared" si="340"/>
        <v>0</v>
      </c>
      <c r="N429" s="337">
        <f t="shared" si="341"/>
        <v>14</v>
      </c>
      <c r="O429" s="395">
        <f t="shared" si="342"/>
        <v>16</v>
      </c>
      <c r="P429" s="289">
        <f t="shared" si="343"/>
        <v>1</v>
      </c>
      <c r="Q429" s="460">
        <f>WEEKNUM(tblResultadosNBA[[#This Row],[Fecha]],2)</f>
        <v>52</v>
      </c>
      <c r="R429" s="460" t="str">
        <f>TEXT(tblResultadosNBA[[#This Row],[Fecha]],"mmm")</f>
        <v>dic</v>
      </c>
    </row>
    <row r="430" spans="1:18">
      <c r="A430" s="419">
        <v>46013</v>
      </c>
      <c r="B430" s="302" t="s">
        <v>211</v>
      </c>
      <c r="C430" s="177" t="str">
        <f t="shared" si="334"/>
        <v>Orlando Magic</v>
      </c>
      <c r="D430" s="177">
        <v>122</v>
      </c>
      <c r="E430" s="336">
        <v>97</v>
      </c>
      <c r="F430" s="327">
        <f t="shared" si="335"/>
        <v>0</v>
      </c>
      <c r="G430" s="177" t="str">
        <f t="shared" si="336"/>
        <v>Golden State Warriors</v>
      </c>
      <c r="H430" s="177">
        <v>127</v>
      </c>
      <c r="I430" s="336">
        <v>120</v>
      </c>
      <c r="J430" s="327">
        <f t="shared" si="337"/>
        <v>0</v>
      </c>
      <c r="K430" s="177">
        <f t="shared" si="338"/>
        <v>249</v>
      </c>
      <c r="L430" s="336">
        <f t="shared" si="339"/>
        <v>217</v>
      </c>
      <c r="M430" s="327">
        <f t="shared" si="340"/>
        <v>0</v>
      </c>
      <c r="N430" s="337">
        <f t="shared" si="341"/>
        <v>5</v>
      </c>
      <c r="O430" s="395">
        <f t="shared" si="342"/>
        <v>23</v>
      </c>
      <c r="P430" s="289">
        <f t="shared" si="343"/>
        <v>1</v>
      </c>
      <c r="Q430" s="460">
        <f>WEEKNUM(tblResultadosNBA[[#This Row],[Fecha]],2)</f>
        <v>52</v>
      </c>
      <c r="R430" s="460" t="str">
        <f>TEXT(tblResultadosNBA[[#This Row],[Fecha]],"mmm")</f>
        <v>dic</v>
      </c>
    </row>
    <row r="431" spans="1:18">
      <c r="A431" s="445">
        <v>46013</v>
      </c>
      <c r="B431" s="331" t="s">
        <v>212</v>
      </c>
      <c r="C431" s="286" t="str">
        <f t="shared" si="334"/>
        <v>Detroit Pistons</v>
      </c>
      <c r="D431" s="286">
        <v>118</v>
      </c>
      <c r="E431" s="431">
        <v>110</v>
      </c>
      <c r="F431" s="332">
        <f t="shared" si="335"/>
        <v>0</v>
      </c>
      <c r="G431" s="286" t="str">
        <f t="shared" si="336"/>
        <v>Portland Trail Blazers</v>
      </c>
      <c r="H431" s="286">
        <v>116</v>
      </c>
      <c r="I431" s="431">
        <v>102</v>
      </c>
      <c r="J431" s="332">
        <f t="shared" si="337"/>
        <v>0</v>
      </c>
      <c r="K431" s="286">
        <f t="shared" si="338"/>
        <v>234</v>
      </c>
      <c r="L431" s="431">
        <f t="shared" si="339"/>
        <v>212</v>
      </c>
      <c r="M431" s="332">
        <f t="shared" si="340"/>
        <v>0</v>
      </c>
      <c r="N431" s="432">
        <f t="shared" si="341"/>
        <v>-2</v>
      </c>
      <c r="O431" s="451">
        <f t="shared" si="342"/>
        <v>-8</v>
      </c>
      <c r="P431" s="433">
        <f t="shared" si="343"/>
        <v>1</v>
      </c>
      <c r="Q431" s="460">
        <f>WEEKNUM(tblResultadosNBA[[#This Row],[Fecha]],2)</f>
        <v>52</v>
      </c>
      <c r="R431" s="460" t="str">
        <f>TEXT(tblResultadosNBA[[#This Row],[Fecha]],"mmm")</f>
        <v>dic</v>
      </c>
    </row>
    <row r="432" spans="1:18">
      <c r="A432" s="439">
        <v>46014</v>
      </c>
      <c r="B432" s="422" t="s">
        <v>213</v>
      </c>
      <c r="C432" s="341" t="str">
        <f>LEFT(B432,FIND("@",B432)-2)</f>
        <v>Washington Wizards</v>
      </c>
      <c r="D432" s="341">
        <v>133</v>
      </c>
      <c r="E432" s="342">
        <v>109</v>
      </c>
      <c r="F432" s="333">
        <f>IF(E432&gt;D432, 1, 0)</f>
        <v>0</v>
      </c>
      <c r="G432" s="341" t="str">
        <f>MID(B432,FIND("@",B432)+2,LEN(B432)-FIND("@",B432)-1)</f>
        <v>Charlotte Hornets</v>
      </c>
      <c r="H432" s="341">
        <v>124</v>
      </c>
      <c r="I432" s="342">
        <v>126</v>
      </c>
      <c r="J432" s="333">
        <f>IF(I432&gt;H432, 1, 0)</f>
        <v>1</v>
      </c>
      <c r="K432" s="341">
        <f>+D432+H432</f>
        <v>257</v>
      </c>
      <c r="L432" s="342">
        <f>E432+I432</f>
        <v>235</v>
      </c>
      <c r="M432" s="333">
        <f>IF(L432&gt;K432, 1, 0)</f>
        <v>0</v>
      </c>
      <c r="N432" s="343">
        <f>(+H432-D432)</f>
        <v>-9</v>
      </c>
      <c r="O432" s="449">
        <f>I432-E432</f>
        <v>17</v>
      </c>
      <c r="P432" s="289">
        <f>IF(OR(AND(N432&gt;0,O432&gt;0),AND(N432&lt;0,O432&lt;0)),1,0)</f>
        <v>0</v>
      </c>
      <c r="Q432" s="460">
        <f>WEEKNUM(tblResultadosNBA[[#This Row],[Fecha]],2)</f>
        <v>52</v>
      </c>
      <c r="R432" s="460" t="str">
        <f>TEXT(tblResultadosNBA[[#This Row],[Fecha]],"mmm")</f>
        <v>dic</v>
      </c>
    </row>
    <row r="433" spans="1:21">
      <c r="A433" s="419">
        <v>46014</v>
      </c>
      <c r="B433" s="302" t="s">
        <v>214</v>
      </c>
      <c r="C433" s="177" t="str">
        <f t="shared" ref="C433:C445" si="344">LEFT(B433,FIND("@",B433)-2)</f>
        <v>Brooklyn Nets</v>
      </c>
      <c r="D433" s="177">
        <v>111</v>
      </c>
      <c r="E433" s="336">
        <v>114</v>
      </c>
      <c r="F433" s="327">
        <f t="shared" ref="F433:F445" si="345">IF(E433&gt;D433, 1, 0)</f>
        <v>1</v>
      </c>
      <c r="G433" s="177" t="str">
        <f t="shared" ref="G433:G445" si="346">MID(B433,FIND("@",B433)+2,LEN(B433)-FIND("@",B433)-1)</f>
        <v>Philadelphia 76ers</v>
      </c>
      <c r="H433" s="177">
        <v>120</v>
      </c>
      <c r="I433" s="336">
        <v>106</v>
      </c>
      <c r="J433" s="327">
        <f t="shared" ref="J433:J445" si="347">IF(I433&gt;H433, 1, 0)</f>
        <v>0</v>
      </c>
      <c r="K433" s="177">
        <f t="shared" ref="K433:K445" si="348">+D433+H433</f>
        <v>231</v>
      </c>
      <c r="L433" s="336">
        <f t="shared" ref="L433:L445" si="349">E433+I433</f>
        <v>220</v>
      </c>
      <c r="M433" s="327">
        <f t="shared" ref="M433:M445" si="350">IF(L433&gt;K433, 1, 0)</f>
        <v>0</v>
      </c>
      <c r="N433" s="337">
        <f t="shared" ref="N433:N445" si="351">(+H433-D433)</f>
        <v>9</v>
      </c>
      <c r="O433" s="395">
        <f t="shared" ref="O433:O445" si="352">I433-E433</f>
        <v>-8</v>
      </c>
      <c r="P433" s="289">
        <f t="shared" ref="P433:P445" si="353">IF(OR(AND(N433&gt;0,O433&gt;0),AND(N433&lt;0,O433&lt;0)),1,0)</f>
        <v>0</v>
      </c>
      <c r="Q433" s="460">
        <f>WEEKNUM(tblResultadosNBA[[#This Row],[Fecha]],2)</f>
        <v>52</v>
      </c>
      <c r="R433" s="460" t="str">
        <f>TEXT(tblResultadosNBA[[#This Row],[Fecha]],"mmm")</f>
        <v>dic</v>
      </c>
    </row>
    <row r="434" spans="1:21">
      <c r="A434" s="419">
        <v>46014</v>
      </c>
      <c r="B434" s="302" t="s">
        <v>204</v>
      </c>
      <c r="C434" s="177" t="str">
        <f t="shared" si="344"/>
        <v>Chicago Bulls</v>
      </c>
      <c r="D434" s="177">
        <v>113</v>
      </c>
      <c r="E434" s="336">
        <v>126</v>
      </c>
      <c r="F434" s="327">
        <f t="shared" si="345"/>
        <v>1</v>
      </c>
      <c r="G434" s="177" t="str">
        <f t="shared" si="346"/>
        <v>Atlanta Hawks</v>
      </c>
      <c r="H434" s="177">
        <v>119</v>
      </c>
      <c r="I434" s="336">
        <v>123</v>
      </c>
      <c r="J434" s="327">
        <f t="shared" si="347"/>
        <v>1</v>
      </c>
      <c r="K434" s="177">
        <f t="shared" si="348"/>
        <v>232</v>
      </c>
      <c r="L434" s="336">
        <f t="shared" si="349"/>
        <v>249</v>
      </c>
      <c r="M434" s="327">
        <f t="shared" si="350"/>
        <v>1</v>
      </c>
      <c r="N434" s="337">
        <f t="shared" si="351"/>
        <v>6</v>
      </c>
      <c r="O434" s="395">
        <f t="shared" si="352"/>
        <v>-3</v>
      </c>
      <c r="P434" s="289">
        <f t="shared" si="353"/>
        <v>0</v>
      </c>
      <c r="Q434" s="460">
        <f>WEEKNUM(tblResultadosNBA[[#This Row],[Fecha]],2)</f>
        <v>52</v>
      </c>
      <c r="R434" s="460" t="str">
        <f>TEXT(tblResultadosNBA[[#This Row],[Fecha]],"mmm")</f>
        <v>dic</v>
      </c>
    </row>
    <row r="435" spans="1:21">
      <c r="A435" s="419">
        <v>46014</v>
      </c>
      <c r="B435" s="302" t="s">
        <v>215</v>
      </c>
      <c r="C435" s="177" t="str">
        <f t="shared" ref="C435:C436" si="354">LEFT(B435,FIND("@",B435)-2)</f>
        <v>New Orleans Pelicans</v>
      </c>
      <c r="D435" s="177">
        <v>117</v>
      </c>
      <c r="E435" s="336">
        <v>118</v>
      </c>
      <c r="F435" s="327">
        <f t="shared" ref="F435:F436" si="355">IF(E435&gt;D435, 1, 0)</f>
        <v>1</v>
      </c>
      <c r="G435" s="177" t="str">
        <f t="shared" ref="G435:G436" si="356">MID(B435,FIND("@",B435)+2,LEN(B435)-FIND("@",B435)-1)</f>
        <v>Cleveland Cavaliers</v>
      </c>
      <c r="H435" s="177">
        <v>128</v>
      </c>
      <c r="I435" s="336">
        <v>141</v>
      </c>
      <c r="J435" s="327">
        <f t="shared" ref="J435:J436" si="357">IF(I435&gt;H435, 1, 0)</f>
        <v>1</v>
      </c>
      <c r="K435" s="177">
        <f t="shared" ref="K435:K436" si="358">+D435+H435</f>
        <v>245</v>
      </c>
      <c r="L435" s="336">
        <f t="shared" ref="L435:L436" si="359">E435+I435</f>
        <v>259</v>
      </c>
      <c r="M435" s="327">
        <f t="shared" ref="M435:M436" si="360">IF(L435&gt;K435, 1, 0)</f>
        <v>1</v>
      </c>
      <c r="N435" s="337">
        <f t="shared" ref="N435:N436" si="361">(+H435-D435)</f>
        <v>11</v>
      </c>
      <c r="O435" s="395">
        <f t="shared" ref="O435:O436" si="362">I435-E435</f>
        <v>23</v>
      </c>
      <c r="P435" s="289">
        <f t="shared" ref="P435:P436" si="363">IF(OR(AND(N435&gt;0,O435&gt;0),AND(N435&lt;0,O435&lt;0)),1,0)</f>
        <v>1</v>
      </c>
      <c r="Q435" s="460">
        <f>WEEKNUM(tblResultadosNBA[[#This Row],[Fecha]],2)</f>
        <v>52</v>
      </c>
      <c r="R435" s="460" t="str">
        <f>TEXT(tblResultadosNBA[[#This Row],[Fecha]],"mmm")</f>
        <v>dic</v>
      </c>
    </row>
    <row r="436" spans="1:21">
      <c r="A436" s="419">
        <v>46014</v>
      </c>
      <c r="B436" s="302" t="s">
        <v>216</v>
      </c>
      <c r="C436" s="177" t="str">
        <f t="shared" si="354"/>
        <v>Milwaukee Bucks</v>
      </c>
      <c r="D436" s="177">
        <v>111</v>
      </c>
      <c r="E436" s="336">
        <v>111</v>
      </c>
      <c r="F436" s="327">
        <f t="shared" si="355"/>
        <v>0</v>
      </c>
      <c r="G436" s="177" t="str">
        <f t="shared" si="356"/>
        <v>Indiana Pacers</v>
      </c>
      <c r="H436" s="177">
        <v>108</v>
      </c>
      <c r="I436" s="336">
        <v>94</v>
      </c>
      <c r="J436" s="327">
        <f t="shared" si="357"/>
        <v>0</v>
      </c>
      <c r="K436" s="177">
        <f t="shared" si="358"/>
        <v>219</v>
      </c>
      <c r="L436" s="336">
        <f t="shared" si="359"/>
        <v>205</v>
      </c>
      <c r="M436" s="327">
        <f t="shared" si="360"/>
        <v>0</v>
      </c>
      <c r="N436" s="337">
        <f t="shared" si="361"/>
        <v>-3</v>
      </c>
      <c r="O436" s="395">
        <f t="shared" si="362"/>
        <v>-17</v>
      </c>
      <c r="P436" s="289">
        <f t="shared" si="363"/>
        <v>1</v>
      </c>
      <c r="Q436" s="460">
        <f>WEEKNUM(tblResultadosNBA[[#This Row],[Fecha]],2)</f>
        <v>52</v>
      </c>
      <c r="R436" s="460" t="str">
        <f>TEXT(tblResultadosNBA[[#This Row],[Fecha]],"mmm")</f>
        <v>dic</v>
      </c>
    </row>
    <row r="437" spans="1:21">
      <c r="A437" s="419">
        <v>46014</v>
      </c>
      <c r="B437" s="302" t="s">
        <v>793</v>
      </c>
      <c r="C437" s="177" t="str">
        <f t="shared" si="344"/>
        <v>Toronto Raptors</v>
      </c>
      <c r="D437" s="177">
        <v>110</v>
      </c>
      <c r="E437" s="336">
        <v>112</v>
      </c>
      <c r="F437" s="327">
        <f t="shared" si="345"/>
        <v>1</v>
      </c>
      <c r="G437" s="177" t="str">
        <f t="shared" si="346"/>
        <v>Miami Heat</v>
      </c>
      <c r="H437" s="177">
        <v>115</v>
      </c>
      <c r="I437" s="336">
        <v>91</v>
      </c>
      <c r="J437" s="327">
        <f t="shared" si="347"/>
        <v>0</v>
      </c>
      <c r="K437" s="177">
        <f t="shared" si="348"/>
        <v>225</v>
      </c>
      <c r="L437" s="336">
        <f t="shared" si="349"/>
        <v>203</v>
      </c>
      <c r="M437" s="327">
        <f t="shared" si="350"/>
        <v>0</v>
      </c>
      <c r="N437" s="337">
        <f t="shared" si="351"/>
        <v>5</v>
      </c>
      <c r="O437" s="395">
        <f t="shared" si="352"/>
        <v>-21</v>
      </c>
      <c r="P437" s="289">
        <f t="shared" si="353"/>
        <v>0</v>
      </c>
      <c r="Q437" s="460">
        <f>WEEKNUM(tblResultadosNBA[[#This Row],[Fecha]],2)</f>
        <v>52</v>
      </c>
      <c r="R437" s="460" t="str">
        <f>TEXT(tblResultadosNBA[[#This Row],[Fecha]],"mmm")</f>
        <v>dic</v>
      </c>
    </row>
    <row r="438" spans="1:21">
      <c r="A438" s="419">
        <v>46014</v>
      </c>
      <c r="B438" s="302" t="s">
        <v>277</v>
      </c>
      <c r="C438" s="177" t="str">
        <f t="shared" si="344"/>
        <v>Denver Nuggets</v>
      </c>
      <c r="D438" s="177">
        <v>119</v>
      </c>
      <c r="E438" s="336">
        <v>130</v>
      </c>
      <c r="F438" s="327">
        <f t="shared" si="345"/>
        <v>1</v>
      </c>
      <c r="G438" s="177" t="str">
        <f t="shared" si="346"/>
        <v>Dallas Mavericks</v>
      </c>
      <c r="H438" s="177">
        <v>108</v>
      </c>
      <c r="I438" s="336">
        <v>131</v>
      </c>
      <c r="J438" s="327">
        <f t="shared" si="347"/>
        <v>1</v>
      </c>
      <c r="K438" s="177">
        <f t="shared" si="348"/>
        <v>227</v>
      </c>
      <c r="L438" s="336">
        <f t="shared" si="349"/>
        <v>261</v>
      </c>
      <c r="M438" s="327">
        <f t="shared" si="350"/>
        <v>1</v>
      </c>
      <c r="N438" s="337">
        <f t="shared" si="351"/>
        <v>-11</v>
      </c>
      <c r="O438" s="395">
        <f t="shared" si="352"/>
        <v>1</v>
      </c>
      <c r="P438" s="289">
        <f t="shared" si="353"/>
        <v>0</v>
      </c>
      <c r="Q438" s="460">
        <f>WEEKNUM(tblResultadosNBA[[#This Row],[Fecha]],2)</f>
        <v>52</v>
      </c>
      <c r="R438" s="460" t="str">
        <f>TEXT(tblResultadosNBA[[#This Row],[Fecha]],"mmm")</f>
        <v>dic</v>
      </c>
    </row>
    <row r="439" spans="1:21">
      <c r="A439" s="419">
        <v>46014</v>
      </c>
      <c r="B439" s="302" t="s">
        <v>217</v>
      </c>
      <c r="C439" s="177" t="str">
        <f t="shared" si="344"/>
        <v>New York Knicks</v>
      </c>
      <c r="D439" s="177">
        <v>109</v>
      </c>
      <c r="E439" s="336">
        <v>104</v>
      </c>
      <c r="F439" s="327">
        <f t="shared" si="345"/>
        <v>0</v>
      </c>
      <c r="G439" s="177" t="str">
        <f t="shared" si="346"/>
        <v>Minnesota Timberwolves</v>
      </c>
      <c r="H439" s="177">
        <v>125</v>
      </c>
      <c r="I439" s="336">
        <v>115</v>
      </c>
      <c r="J439" s="327">
        <f t="shared" si="347"/>
        <v>0</v>
      </c>
      <c r="K439" s="177">
        <f t="shared" si="348"/>
        <v>234</v>
      </c>
      <c r="L439" s="336">
        <f t="shared" si="349"/>
        <v>219</v>
      </c>
      <c r="M439" s="327">
        <f t="shared" si="350"/>
        <v>0</v>
      </c>
      <c r="N439" s="337">
        <f t="shared" si="351"/>
        <v>16</v>
      </c>
      <c r="O439" s="395">
        <f t="shared" si="352"/>
        <v>11</v>
      </c>
      <c r="P439" s="289">
        <f t="shared" si="353"/>
        <v>1</v>
      </c>
      <c r="Q439" s="460">
        <f>WEEKNUM(tblResultadosNBA[[#This Row],[Fecha]],2)</f>
        <v>52</v>
      </c>
      <c r="R439" s="460" t="str">
        <f>TEXT(tblResultadosNBA[[#This Row],[Fecha]],"mmm")</f>
        <v>dic</v>
      </c>
    </row>
    <row r="440" spans="1:21">
      <c r="A440" s="419">
        <v>46014</v>
      </c>
      <c r="B440" s="302" t="s">
        <v>218</v>
      </c>
      <c r="C440" s="177" t="str">
        <f t="shared" si="344"/>
        <v>Oklahoma City Thunder</v>
      </c>
      <c r="D440" s="177">
        <v>119</v>
      </c>
      <c r="E440" s="336">
        <v>110</v>
      </c>
      <c r="F440" s="327">
        <f t="shared" si="345"/>
        <v>0</v>
      </c>
      <c r="G440" s="177" t="str">
        <f t="shared" si="346"/>
        <v>San Antonio Spurs</v>
      </c>
      <c r="H440" s="177">
        <v>125</v>
      </c>
      <c r="I440" s="336">
        <v>130</v>
      </c>
      <c r="J440" s="327">
        <f t="shared" si="347"/>
        <v>1</v>
      </c>
      <c r="K440" s="177">
        <f t="shared" si="348"/>
        <v>244</v>
      </c>
      <c r="L440" s="336">
        <f t="shared" si="349"/>
        <v>240</v>
      </c>
      <c r="M440" s="327">
        <f t="shared" si="350"/>
        <v>0</v>
      </c>
      <c r="N440" s="337">
        <f t="shared" si="351"/>
        <v>6</v>
      </c>
      <c r="O440" s="395">
        <f t="shared" si="352"/>
        <v>20</v>
      </c>
      <c r="P440" s="289">
        <f t="shared" si="353"/>
        <v>1</v>
      </c>
      <c r="Q440" s="460">
        <f>WEEKNUM(tblResultadosNBA[[#This Row],[Fecha]],2)</f>
        <v>52</v>
      </c>
      <c r="R440" s="460" t="str">
        <f>TEXT(tblResultadosNBA[[#This Row],[Fecha]],"mmm")</f>
        <v>dic</v>
      </c>
    </row>
    <row r="441" spans="1:21">
      <c r="A441" s="419">
        <v>46014</v>
      </c>
      <c r="B441" s="302" t="s">
        <v>219</v>
      </c>
      <c r="C441" s="177" t="str">
        <f t="shared" si="344"/>
        <v>Los Angeles Lakers</v>
      </c>
      <c r="D441" s="177">
        <v>114</v>
      </c>
      <c r="E441" s="336">
        <v>108</v>
      </c>
      <c r="F441" s="327">
        <f t="shared" si="345"/>
        <v>0</v>
      </c>
      <c r="G441" s="177" t="str">
        <f t="shared" si="346"/>
        <v>Phoenix Suns</v>
      </c>
      <c r="H441" s="177">
        <v>117</v>
      </c>
      <c r="I441" s="336">
        <v>132</v>
      </c>
      <c r="J441" s="327">
        <f t="shared" si="347"/>
        <v>1</v>
      </c>
      <c r="K441" s="177">
        <f t="shared" si="348"/>
        <v>231</v>
      </c>
      <c r="L441" s="336">
        <f t="shared" si="349"/>
        <v>240</v>
      </c>
      <c r="M441" s="327">
        <f t="shared" si="350"/>
        <v>1</v>
      </c>
      <c r="N441" s="337">
        <f t="shared" si="351"/>
        <v>3</v>
      </c>
      <c r="O441" s="395">
        <f t="shared" si="352"/>
        <v>24</v>
      </c>
      <c r="P441" s="289">
        <f t="shared" si="353"/>
        <v>1</v>
      </c>
      <c r="Q441" s="460">
        <f>WEEKNUM(tblResultadosNBA[[#This Row],[Fecha]],2)</f>
        <v>52</v>
      </c>
      <c r="R441" s="460" t="str">
        <f>TEXT(tblResultadosNBA[[#This Row],[Fecha]],"mmm")</f>
        <v>dic</v>
      </c>
    </row>
    <row r="442" spans="1:21">
      <c r="A442" s="419">
        <v>46014</v>
      </c>
      <c r="B442" s="302" t="s">
        <v>220</v>
      </c>
      <c r="C442" s="177" t="str">
        <f t="shared" si="344"/>
        <v>Memphis Grizzlies</v>
      </c>
      <c r="D442" s="177">
        <v>123</v>
      </c>
      <c r="E442" s="336">
        <v>137</v>
      </c>
      <c r="F442" s="327">
        <f t="shared" si="345"/>
        <v>1</v>
      </c>
      <c r="G442" s="177" t="str">
        <f t="shared" si="346"/>
        <v>Utah Jazz</v>
      </c>
      <c r="H442" s="177">
        <v>136</v>
      </c>
      <c r="I442" s="336">
        <v>128</v>
      </c>
      <c r="J442" s="327">
        <f t="shared" si="347"/>
        <v>0</v>
      </c>
      <c r="K442" s="177">
        <f t="shared" si="348"/>
        <v>259</v>
      </c>
      <c r="L442" s="336">
        <f t="shared" si="349"/>
        <v>265</v>
      </c>
      <c r="M442" s="327">
        <f t="shared" si="350"/>
        <v>1</v>
      </c>
      <c r="N442" s="337">
        <f t="shared" si="351"/>
        <v>13</v>
      </c>
      <c r="O442" s="395">
        <f t="shared" si="352"/>
        <v>-9</v>
      </c>
      <c r="P442" s="289">
        <f t="shared" si="353"/>
        <v>0</v>
      </c>
      <c r="Q442" s="460">
        <f>WEEKNUM(tblResultadosNBA[[#This Row],[Fecha]],2)</f>
        <v>52</v>
      </c>
      <c r="R442" s="460" t="str">
        <f>TEXT(tblResultadosNBA[[#This Row],[Fecha]],"mmm")</f>
        <v>dic</v>
      </c>
    </row>
    <row r="443" spans="1:21">
      <c r="A443" s="419">
        <v>46014</v>
      </c>
      <c r="B443" s="302" t="s">
        <v>799</v>
      </c>
      <c r="C443" s="177" t="str">
        <f t="shared" si="344"/>
        <v>Orlando Magic</v>
      </c>
      <c r="D443" s="177">
        <v>111</v>
      </c>
      <c r="E443" s="336">
        <v>110</v>
      </c>
      <c r="F443" s="327">
        <f t="shared" si="345"/>
        <v>0</v>
      </c>
      <c r="G443" s="177" t="str">
        <f t="shared" si="346"/>
        <v>Portland Trail Blazers</v>
      </c>
      <c r="H443" s="177">
        <v>116</v>
      </c>
      <c r="I443" s="336">
        <v>106</v>
      </c>
      <c r="J443" s="327">
        <f t="shared" si="347"/>
        <v>0</v>
      </c>
      <c r="K443" s="177">
        <f t="shared" si="348"/>
        <v>227</v>
      </c>
      <c r="L443" s="336">
        <f t="shared" si="349"/>
        <v>216</v>
      </c>
      <c r="M443" s="327">
        <f t="shared" si="350"/>
        <v>0</v>
      </c>
      <c r="N443" s="337">
        <f t="shared" si="351"/>
        <v>5</v>
      </c>
      <c r="O443" s="395">
        <f t="shared" si="352"/>
        <v>-4</v>
      </c>
      <c r="P443" s="289">
        <f t="shared" si="353"/>
        <v>0</v>
      </c>
      <c r="Q443" s="460">
        <f>WEEKNUM(tblResultadosNBA[[#This Row],[Fecha]],2)</f>
        <v>52</v>
      </c>
      <c r="R443" s="460" t="str">
        <f>TEXT(tblResultadosNBA[[#This Row],[Fecha]],"mmm")</f>
        <v>dic</v>
      </c>
    </row>
    <row r="444" spans="1:21">
      <c r="A444" s="419">
        <v>46014</v>
      </c>
      <c r="B444" s="302" t="s">
        <v>221</v>
      </c>
      <c r="C444" s="177" t="str">
        <f t="shared" si="344"/>
        <v>Detroit Pistons</v>
      </c>
      <c r="D444" s="177">
        <v>123</v>
      </c>
      <c r="E444" s="336">
        <v>136</v>
      </c>
      <c r="F444" s="327">
        <f t="shared" si="345"/>
        <v>1</v>
      </c>
      <c r="G444" s="177" t="str">
        <f t="shared" si="346"/>
        <v>Sacramento Kings</v>
      </c>
      <c r="H444" s="177">
        <v>118</v>
      </c>
      <c r="I444" s="336">
        <v>127</v>
      </c>
      <c r="J444" s="327">
        <f t="shared" si="347"/>
        <v>1</v>
      </c>
      <c r="K444" s="177">
        <f t="shared" si="348"/>
        <v>241</v>
      </c>
      <c r="L444" s="336">
        <f t="shared" si="349"/>
        <v>263</v>
      </c>
      <c r="M444" s="327">
        <f t="shared" si="350"/>
        <v>1</v>
      </c>
      <c r="N444" s="337">
        <f t="shared" si="351"/>
        <v>-5</v>
      </c>
      <c r="O444" s="395">
        <f t="shared" si="352"/>
        <v>-9</v>
      </c>
      <c r="P444" s="289">
        <f t="shared" si="353"/>
        <v>1</v>
      </c>
      <c r="Q444" s="460">
        <f>WEEKNUM(tblResultadosNBA[[#This Row],[Fecha]],2)</f>
        <v>52</v>
      </c>
      <c r="R444" s="460" t="str">
        <f>TEXT(tblResultadosNBA[[#This Row],[Fecha]],"mmm")</f>
        <v>dic</v>
      </c>
    </row>
    <row r="445" spans="1:21">
      <c r="A445" s="445">
        <v>46014</v>
      </c>
      <c r="B445" s="331" t="s">
        <v>222</v>
      </c>
      <c r="C445" s="286" t="str">
        <f t="shared" si="344"/>
        <v>Houston Rockets</v>
      </c>
      <c r="D445" s="286">
        <v>114</v>
      </c>
      <c r="E445" s="431">
        <v>108</v>
      </c>
      <c r="F445" s="332">
        <f t="shared" si="345"/>
        <v>0</v>
      </c>
      <c r="G445" s="286" t="str">
        <f t="shared" si="346"/>
        <v>LA Clippers</v>
      </c>
      <c r="H445" s="286">
        <v>126</v>
      </c>
      <c r="I445" s="431">
        <v>128</v>
      </c>
      <c r="J445" s="332">
        <f t="shared" si="347"/>
        <v>1</v>
      </c>
      <c r="K445" s="286">
        <f t="shared" si="348"/>
        <v>240</v>
      </c>
      <c r="L445" s="431">
        <f t="shared" si="349"/>
        <v>236</v>
      </c>
      <c r="M445" s="332">
        <f t="shared" si="350"/>
        <v>0</v>
      </c>
      <c r="N445" s="432">
        <f t="shared" si="351"/>
        <v>12</v>
      </c>
      <c r="O445" s="451">
        <f t="shared" si="352"/>
        <v>20</v>
      </c>
      <c r="P445" s="433">
        <f t="shared" si="353"/>
        <v>1</v>
      </c>
      <c r="Q445" s="460">
        <f>WEEKNUM(tblResultadosNBA[[#This Row],[Fecha]],2)</f>
        <v>52</v>
      </c>
      <c r="R445" s="460" t="str">
        <f>TEXT(tblResultadosNBA[[#This Row],[Fecha]],"mmm")</f>
        <v>dic</v>
      </c>
    </row>
    <row r="446" spans="1:21">
      <c r="A446" s="439">
        <v>46016</v>
      </c>
      <c r="B446" s="422" t="s">
        <v>223</v>
      </c>
      <c r="C446" s="341" t="str">
        <f t="shared" ref="C446:C447" si="364">LEFT(B446,FIND("@",B446)-2)</f>
        <v>Cleveland Cavaliers</v>
      </c>
      <c r="D446" s="341">
        <v>137</v>
      </c>
      <c r="E446" s="342">
        <v>124</v>
      </c>
      <c r="F446" s="333">
        <f t="shared" ref="F446:F447" si="365">IF(E446&gt;D446, 1, 0)</f>
        <v>0</v>
      </c>
      <c r="G446" s="341" t="str">
        <f t="shared" ref="G446:G447" si="366">MID(B446,FIND("@",B446)+2,LEN(B446)-FIND("@",B446)-1)</f>
        <v>New York Knicks</v>
      </c>
      <c r="H446" s="341">
        <v>131</v>
      </c>
      <c r="I446" s="342">
        <v>126</v>
      </c>
      <c r="J446" s="333">
        <f t="shared" ref="J446:J447" si="367">IF(I446&gt;H446, 1, 0)</f>
        <v>0</v>
      </c>
      <c r="K446" s="341">
        <f t="shared" ref="K446:K447" si="368">+D446+H446</f>
        <v>268</v>
      </c>
      <c r="L446" s="342">
        <f t="shared" ref="L446:L447" si="369">E446+I446</f>
        <v>250</v>
      </c>
      <c r="M446" s="333">
        <f t="shared" ref="M446:M447" si="370">IF(L446&gt;K446, 1, 0)</f>
        <v>0</v>
      </c>
      <c r="N446" s="343">
        <f t="shared" ref="N446:N447" si="371">(+H446-D446)</f>
        <v>-6</v>
      </c>
      <c r="O446" s="449">
        <f t="shared" ref="O446:O447" si="372">I446-E446</f>
        <v>2</v>
      </c>
      <c r="P446" s="289">
        <f t="shared" ref="P446:P447" si="373">IF(OR(AND(N446&gt;0,O446&gt;0),AND(N446&lt;0,O446&lt;0)),1,0)</f>
        <v>0</v>
      </c>
      <c r="Q446" s="460">
        <f>WEEKNUM(tblResultadosNBA[[#This Row],[Fecha]],2)</f>
        <v>52</v>
      </c>
      <c r="R446" s="460" t="str">
        <f>TEXT(tblResultadosNBA[[#This Row],[Fecha]],"mmm")</f>
        <v>dic</v>
      </c>
      <c r="U446" s="18"/>
    </row>
    <row r="447" spans="1:21">
      <c r="A447" s="419">
        <v>46016</v>
      </c>
      <c r="B447" s="302" t="s">
        <v>224</v>
      </c>
      <c r="C447" s="177" t="str">
        <f t="shared" si="364"/>
        <v>San Antonio Spurs</v>
      </c>
      <c r="D447" s="177">
        <v>113</v>
      </c>
      <c r="E447" s="336">
        <v>117</v>
      </c>
      <c r="F447" s="327">
        <f t="shared" si="365"/>
        <v>1</v>
      </c>
      <c r="G447" s="177" t="str">
        <f t="shared" si="366"/>
        <v>Oklahoma City Thunder</v>
      </c>
      <c r="H447" s="177">
        <v>131</v>
      </c>
      <c r="I447" s="336">
        <v>102</v>
      </c>
      <c r="J447" s="327">
        <f t="shared" si="367"/>
        <v>0</v>
      </c>
      <c r="K447" s="177">
        <f t="shared" si="368"/>
        <v>244</v>
      </c>
      <c r="L447" s="336">
        <f t="shared" si="369"/>
        <v>219</v>
      </c>
      <c r="M447" s="327">
        <f t="shared" si="370"/>
        <v>0</v>
      </c>
      <c r="N447" s="337">
        <f t="shared" si="371"/>
        <v>18</v>
      </c>
      <c r="O447" s="395">
        <f t="shared" si="372"/>
        <v>-15</v>
      </c>
      <c r="P447" s="289">
        <f t="shared" si="373"/>
        <v>0</v>
      </c>
      <c r="Q447" s="460">
        <f>WEEKNUM(tblResultadosNBA[[#This Row],[Fecha]],2)</f>
        <v>52</v>
      </c>
      <c r="R447" s="460" t="str">
        <f>TEXT(tblResultadosNBA[[#This Row],[Fecha]],"mmm")</f>
        <v>dic</v>
      </c>
    </row>
    <row r="448" spans="1:21">
      <c r="A448" s="419">
        <v>46016</v>
      </c>
      <c r="B448" s="302" t="s">
        <v>225</v>
      </c>
      <c r="C448" s="177" t="str">
        <f t="shared" ref="C448:C450" si="374">LEFT(B448,FIND("@",B448)-2)</f>
        <v>Dallas Mavericks</v>
      </c>
      <c r="D448" s="177">
        <v>117</v>
      </c>
      <c r="E448" s="336">
        <v>116</v>
      </c>
      <c r="F448" s="327">
        <f t="shared" ref="F448:F450" si="375">IF(E448&gt;D448, 1, 0)</f>
        <v>0</v>
      </c>
      <c r="G448" s="177" t="str">
        <f t="shared" ref="G448:G450" si="376">MID(B448,FIND("@",B448)+2,LEN(B448)-FIND("@",B448)-1)</f>
        <v>Golden State Warriors</v>
      </c>
      <c r="H448" s="177">
        <v>126</v>
      </c>
      <c r="I448" s="336">
        <v>126</v>
      </c>
      <c r="J448" s="327">
        <f t="shared" ref="J448:J450" si="377">IF(I448&gt;H448, 1, 0)</f>
        <v>0</v>
      </c>
      <c r="K448" s="177">
        <f t="shared" ref="K448:K450" si="378">+D448+H448</f>
        <v>243</v>
      </c>
      <c r="L448" s="336">
        <f t="shared" ref="L448:L450" si="379">E448+I448</f>
        <v>242</v>
      </c>
      <c r="M448" s="327">
        <f t="shared" ref="M448:M450" si="380">IF(L448&gt;K448, 1, 0)</f>
        <v>0</v>
      </c>
      <c r="N448" s="337">
        <f t="shared" ref="N448:N450" si="381">(+H448-D448)</f>
        <v>9</v>
      </c>
      <c r="O448" s="395">
        <f t="shared" ref="O448:O450" si="382">I448-E448</f>
        <v>10</v>
      </c>
      <c r="P448" s="289">
        <f t="shared" ref="P448:P450" si="383">IF(OR(AND(N448&gt;0,O448&gt;0),AND(N448&lt;0,O448&lt;0)),1,0)</f>
        <v>1</v>
      </c>
      <c r="Q448" s="460">
        <f>WEEKNUM(tblResultadosNBA[[#This Row],[Fecha]],2)</f>
        <v>52</v>
      </c>
      <c r="R448" s="460" t="str">
        <f>TEXT(tblResultadosNBA[[#This Row],[Fecha]],"mmm")</f>
        <v>dic</v>
      </c>
    </row>
    <row r="449" spans="1:18">
      <c r="A449" s="419">
        <v>46016</v>
      </c>
      <c r="B449" s="302" t="s">
        <v>226</v>
      </c>
      <c r="C449" s="177" t="str">
        <f t="shared" si="374"/>
        <v>Houston Rockets</v>
      </c>
      <c r="D449" s="177">
        <v>116</v>
      </c>
      <c r="E449" s="336">
        <v>119</v>
      </c>
      <c r="F449" s="327">
        <f t="shared" si="375"/>
        <v>1</v>
      </c>
      <c r="G449" s="177" t="str">
        <f t="shared" si="376"/>
        <v>Los Angeles Lakers</v>
      </c>
      <c r="H449" s="177">
        <v>127</v>
      </c>
      <c r="I449" s="336">
        <v>96</v>
      </c>
      <c r="J449" s="327">
        <f t="shared" si="377"/>
        <v>0</v>
      </c>
      <c r="K449" s="177">
        <f t="shared" si="378"/>
        <v>243</v>
      </c>
      <c r="L449" s="336">
        <f t="shared" si="379"/>
        <v>215</v>
      </c>
      <c r="M449" s="327">
        <f t="shared" si="380"/>
        <v>0</v>
      </c>
      <c r="N449" s="337">
        <f t="shared" si="381"/>
        <v>11</v>
      </c>
      <c r="O449" s="395">
        <f t="shared" si="382"/>
        <v>-23</v>
      </c>
      <c r="P449" s="289">
        <f t="shared" si="383"/>
        <v>0</v>
      </c>
      <c r="Q449" s="460">
        <f>WEEKNUM(tblResultadosNBA[[#This Row],[Fecha]],2)</f>
        <v>52</v>
      </c>
      <c r="R449" s="460" t="str">
        <f>TEXT(tblResultadosNBA[[#This Row],[Fecha]],"mmm")</f>
        <v>dic</v>
      </c>
    </row>
    <row r="450" spans="1:18">
      <c r="A450" s="445">
        <v>46016</v>
      </c>
      <c r="B450" s="331" t="s">
        <v>413</v>
      </c>
      <c r="C450" s="286" t="str">
        <f t="shared" si="374"/>
        <v>Minnesota Timberwolves</v>
      </c>
      <c r="D450" s="286">
        <v>112</v>
      </c>
      <c r="E450" s="431">
        <v>138</v>
      </c>
      <c r="F450" s="332">
        <f t="shared" si="375"/>
        <v>1</v>
      </c>
      <c r="G450" s="286" t="str">
        <f t="shared" si="376"/>
        <v>Denver Nuggets</v>
      </c>
      <c r="H450" s="286">
        <v>120</v>
      </c>
      <c r="I450" s="431">
        <v>142</v>
      </c>
      <c r="J450" s="332">
        <f t="shared" si="377"/>
        <v>1</v>
      </c>
      <c r="K450" s="286">
        <f t="shared" si="378"/>
        <v>232</v>
      </c>
      <c r="L450" s="431">
        <f t="shared" si="379"/>
        <v>280</v>
      </c>
      <c r="M450" s="332">
        <f t="shared" si="380"/>
        <v>1</v>
      </c>
      <c r="N450" s="432">
        <f t="shared" si="381"/>
        <v>8</v>
      </c>
      <c r="O450" s="451">
        <f t="shared" si="382"/>
        <v>4</v>
      </c>
      <c r="P450" s="433">
        <f t="shared" si="383"/>
        <v>1</v>
      </c>
      <c r="Q450" s="460">
        <f>WEEKNUM(tblResultadosNBA[[#This Row],[Fecha]],2)</f>
        <v>52</v>
      </c>
      <c r="R450" s="460" t="str">
        <f>TEXT(tblResultadosNBA[[#This Row],[Fecha]],"mmm")</f>
        <v>dic</v>
      </c>
    </row>
    <row r="451" spans="1:18">
      <c r="A451" s="439">
        <v>46017</v>
      </c>
      <c r="B451" s="422" t="s">
        <v>227</v>
      </c>
      <c r="C451" s="341" t="str">
        <f>LEFT(B451,FIND("@",B451)-2)</f>
        <v>Miami Heat</v>
      </c>
      <c r="D451" s="341">
        <v>129</v>
      </c>
      <c r="E451" s="342">
        <v>126</v>
      </c>
      <c r="F451" s="333">
        <f>IF(E451&gt;D451, 1, 0)</f>
        <v>0</v>
      </c>
      <c r="G451" s="341" t="str">
        <f>MID(B451,FIND("@",B451)+2,LEN(B451)-FIND("@",B451)-1)</f>
        <v>Atlanta Hawks</v>
      </c>
      <c r="H451" s="341">
        <v>121</v>
      </c>
      <c r="I451" s="342">
        <v>111</v>
      </c>
      <c r="J451" s="333">
        <f>IF(I451&gt;H451, 1, 0)</f>
        <v>0</v>
      </c>
      <c r="K451" s="341">
        <f>+D451+H451</f>
        <v>250</v>
      </c>
      <c r="L451" s="342">
        <f>E451+I451</f>
        <v>237</v>
      </c>
      <c r="M451" s="333">
        <f>IF(L451&gt;K451, 1, 0)</f>
        <v>0</v>
      </c>
      <c r="N451" s="343">
        <f>(+H451-D451)</f>
        <v>-8</v>
      </c>
      <c r="O451" s="449">
        <f>I451-E451</f>
        <v>-15</v>
      </c>
      <c r="P451" s="289">
        <f>IF(OR(AND(N451&gt;0,O451&gt;0),AND(N451&lt;0,O451&lt;0)),1,0)</f>
        <v>1</v>
      </c>
      <c r="Q451" s="460">
        <f>WEEKNUM(tblResultadosNBA[[#This Row],[Fecha]],2)</f>
        <v>52</v>
      </c>
      <c r="R451" s="460" t="str">
        <f>TEXT(tblResultadosNBA[[#This Row],[Fecha]],"mmm")</f>
        <v>dic</v>
      </c>
    </row>
    <row r="452" spans="1:18">
      <c r="A452" s="439">
        <v>46017</v>
      </c>
      <c r="B452" s="302" t="s">
        <v>589</v>
      </c>
      <c r="C452" s="177" t="str">
        <f t="shared" ref="C452:C459" si="384">LEFT(B452,FIND("@",B452)-2)</f>
        <v>Charlotte Hornets</v>
      </c>
      <c r="D452" s="177">
        <v>108</v>
      </c>
      <c r="E452" s="336">
        <v>120</v>
      </c>
      <c r="F452" s="327">
        <f t="shared" ref="F452:F459" si="385">IF(E452&gt;D452, 1, 0)</f>
        <v>1</v>
      </c>
      <c r="G452" s="177" t="str">
        <f t="shared" ref="G452:G459" si="386">MID(B452,FIND("@",B452)+2,LEN(B452)-FIND("@",B452)-1)</f>
        <v>Orlando Magic</v>
      </c>
      <c r="H452" s="177">
        <v>116</v>
      </c>
      <c r="I452" s="336">
        <v>105</v>
      </c>
      <c r="J452" s="327">
        <f t="shared" ref="J452:J459" si="387">IF(I452&gt;H452, 1, 0)</f>
        <v>0</v>
      </c>
      <c r="K452" s="177">
        <f t="shared" ref="K452:K459" si="388">+D452+H452</f>
        <v>224</v>
      </c>
      <c r="L452" s="336">
        <f t="shared" ref="L452:L459" si="389">E452+I452</f>
        <v>225</v>
      </c>
      <c r="M452" s="327">
        <f t="shared" ref="M452:M459" si="390">IF(L452&gt;K452, 1, 0)</f>
        <v>1</v>
      </c>
      <c r="N452" s="337">
        <f t="shared" ref="N452:N459" si="391">(+H452-D452)</f>
        <v>8</v>
      </c>
      <c r="O452" s="395">
        <f t="shared" ref="O452:O459" si="392">I452-E452</f>
        <v>-15</v>
      </c>
      <c r="P452" s="289">
        <f t="shared" ref="P452:P459" si="393">IF(OR(AND(N452&gt;0,O452&gt;0),AND(N452&lt;0,O452&lt;0)),1,0)</f>
        <v>0</v>
      </c>
      <c r="Q452" s="460">
        <f>WEEKNUM(tblResultadosNBA[[#This Row],[Fecha]],2)</f>
        <v>52</v>
      </c>
      <c r="R452" s="460" t="str">
        <f>TEXT(tblResultadosNBA[[#This Row],[Fecha]],"mmm")</f>
        <v>dic</v>
      </c>
    </row>
    <row r="453" spans="1:18">
      <c r="A453" s="439">
        <v>46017</v>
      </c>
      <c r="B453" s="302" t="s">
        <v>228</v>
      </c>
      <c r="C453" s="177" t="str">
        <f t="shared" si="384"/>
        <v>Toronto Raptors</v>
      </c>
      <c r="D453" s="177">
        <v>116</v>
      </c>
      <c r="E453" s="336">
        <v>117</v>
      </c>
      <c r="F453" s="327">
        <f t="shared" si="385"/>
        <v>1</v>
      </c>
      <c r="G453" s="177" t="str">
        <f t="shared" si="386"/>
        <v>Washington Wizards</v>
      </c>
      <c r="H453" s="177">
        <v>126</v>
      </c>
      <c r="I453" s="336">
        <v>138</v>
      </c>
      <c r="J453" s="327">
        <f t="shared" si="387"/>
        <v>1</v>
      </c>
      <c r="K453" s="177">
        <f t="shared" si="388"/>
        <v>242</v>
      </c>
      <c r="L453" s="336">
        <f t="shared" si="389"/>
        <v>255</v>
      </c>
      <c r="M453" s="327">
        <f t="shared" si="390"/>
        <v>1</v>
      </c>
      <c r="N453" s="337">
        <f t="shared" si="391"/>
        <v>10</v>
      </c>
      <c r="O453" s="395">
        <f t="shared" si="392"/>
        <v>21</v>
      </c>
      <c r="P453" s="289">
        <f t="shared" si="393"/>
        <v>1</v>
      </c>
      <c r="Q453" s="460">
        <f>WEEKNUM(tblResultadosNBA[[#This Row],[Fecha]],2)</f>
        <v>52</v>
      </c>
      <c r="R453" s="460" t="str">
        <f>TEXT(tblResultadosNBA[[#This Row],[Fecha]],"mmm")</f>
        <v>dic</v>
      </c>
    </row>
    <row r="454" spans="1:18">
      <c r="A454" s="439">
        <v>46017</v>
      </c>
      <c r="B454" s="302" t="s">
        <v>229</v>
      </c>
      <c r="C454" s="177" t="str">
        <f t="shared" si="384"/>
        <v>Boston Celtics</v>
      </c>
      <c r="D454" s="177">
        <v>118</v>
      </c>
      <c r="E454" s="336">
        <v>140</v>
      </c>
      <c r="F454" s="327">
        <f t="shared" si="385"/>
        <v>1</v>
      </c>
      <c r="G454" s="177" t="str">
        <f t="shared" si="386"/>
        <v>Indiana Pacers</v>
      </c>
      <c r="H454" s="177">
        <v>113</v>
      </c>
      <c r="I454" s="336">
        <v>122</v>
      </c>
      <c r="J454" s="327">
        <f t="shared" si="387"/>
        <v>1</v>
      </c>
      <c r="K454" s="177">
        <f t="shared" si="388"/>
        <v>231</v>
      </c>
      <c r="L454" s="336">
        <f t="shared" si="389"/>
        <v>262</v>
      </c>
      <c r="M454" s="327">
        <f t="shared" si="390"/>
        <v>1</v>
      </c>
      <c r="N454" s="337">
        <f t="shared" si="391"/>
        <v>-5</v>
      </c>
      <c r="O454" s="395">
        <f t="shared" si="392"/>
        <v>-18</v>
      </c>
      <c r="P454" s="289">
        <f t="shared" si="393"/>
        <v>1</v>
      </c>
      <c r="Q454" s="460">
        <f>WEEKNUM(tblResultadosNBA[[#This Row],[Fecha]],2)</f>
        <v>52</v>
      </c>
      <c r="R454" s="460" t="str">
        <f>TEXT(tblResultadosNBA[[#This Row],[Fecha]],"mmm")</f>
        <v>dic</v>
      </c>
    </row>
    <row r="455" spans="1:18">
      <c r="A455" s="439">
        <v>46017</v>
      </c>
      <c r="B455" s="302" t="s">
        <v>728</v>
      </c>
      <c r="C455" s="177" t="str">
        <f t="shared" si="384"/>
        <v>Philadelphia 76ers</v>
      </c>
      <c r="D455" s="177">
        <v>119</v>
      </c>
      <c r="E455" s="336">
        <v>102</v>
      </c>
      <c r="F455" s="327">
        <f t="shared" si="385"/>
        <v>0</v>
      </c>
      <c r="G455" s="177" t="str">
        <f t="shared" si="386"/>
        <v>Chicago Bulls</v>
      </c>
      <c r="H455" s="177">
        <v>112</v>
      </c>
      <c r="I455" s="336">
        <v>109</v>
      </c>
      <c r="J455" s="327">
        <f t="shared" si="387"/>
        <v>0</v>
      </c>
      <c r="K455" s="177">
        <f t="shared" si="388"/>
        <v>231</v>
      </c>
      <c r="L455" s="336">
        <f t="shared" si="389"/>
        <v>211</v>
      </c>
      <c r="M455" s="327">
        <f t="shared" si="390"/>
        <v>0</v>
      </c>
      <c r="N455" s="337">
        <f t="shared" si="391"/>
        <v>-7</v>
      </c>
      <c r="O455" s="395">
        <f t="shared" si="392"/>
        <v>7</v>
      </c>
      <c r="P455" s="289">
        <f t="shared" si="393"/>
        <v>0</v>
      </c>
      <c r="Q455" s="460">
        <f>WEEKNUM(tblResultadosNBA[[#This Row],[Fecha]],2)</f>
        <v>52</v>
      </c>
      <c r="R455" s="460" t="str">
        <f>TEXT(tblResultadosNBA[[#This Row],[Fecha]],"mmm")</f>
        <v>dic</v>
      </c>
    </row>
    <row r="456" spans="1:18">
      <c r="A456" s="439">
        <v>46017</v>
      </c>
      <c r="B456" s="302" t="s">
        <v>230</v>
      </c>
      <c r="C456" s="177" t="str">
        <f t="shared" si="384"/>
        <v>Milwaukee Bucks</v>
      </c>
      <c r="D456" s="177">
        <v>114</v>
      </c>
      <c r="E456" s="336">
        <v>104</v>
      </c>
      <c r="F456" s="327">
        <f t="shared" si="385"/>
        <v>0</v>
      </c>
      <c r="G456" s="177" t="str">
        <f t="shared" si="386"/>
        <v>Memphis Grizzlies</v>
      </c>
      <c r="H456" s="177">
        <v>120</v>
      </c>
      <c r="I456" s="336">
        <v>125</v>
      </c>
      <c r="J456" s="327">
        <f t="shared" si="387"/>
        <v>1</v>
      </c>
      <c r="K456" s="177">
        <f t="shared" si="388"/>
        <v>234</v>
      </c>
      <c r="L456" s="336">
        <f t="shared" si="389"/>
        <v>229</v>
      </c>
      <c r="M456" s="327">
        <f t="shared" si="390"/>
        <v>0</v>
      </c>
      <c r="N456" s="337">
        <f t="shared" si="391"/>
        <v>6</v>
      </c>
      <c r="O456" s="395">
        <f t="shared" si="392"/>
        <v>21</v>
      </c>
      <c r="P456" s="289">
        <f t="shared" si="393"/>
        <v>1</v>
      </c>
      <c r="Q456" s="460">
        <f>WEEKNUM(tblResultadosNBA[[#This Row],[Fecha]],2)</f>
        <v>52</v>
      </c>
      <c r="R456" s="460" t="str">
        <f>TEXT(tblResultadosNBA[[#This Row],[Fecha]],"mmm")</f>
        <v>dic</v>
      </c>
    </row>
    <row r="457" spans="1:18">
      <c r="A457" s="439">
        <v>46017</v>
      </c>
      <c r="B457" s="302" t="s">
        <v>231</v>
      </c>
      <c r="C457" s="177" t="str">
        <f t="shared" si="384"/>
        <v>Phoenix Suns</v>
      </c>
      <c r="D457" s="177">
        <v>122</v>
      </c>
      <c r="E457" s="336">
        <v>115</v>
      </c>
      <c r="F457" s="327">
        <f t="shared" si="385"/>
        <v>0</v>
      </c>
      <c r="G457" s="177" t="str">
        <f t="shared" si="386"/>
        <v>New Orleans Pelicans</v>
      </c>
      <c r="H457" s="177">
        <v>126</v>
      </c>
      <c r="I457" s="336">
        <v>108</v>
      </c>
      <c r="J457" s="327">
        <f t="shared" si="387"/>
        <v>0</v>
      </c>
      <c r="K457" s="177">
        <f t="shared" si="388"/>
        <v>248</v>
      </c>
      <c r="L457" s="336">
        <f t="shared" si="389"/>
        <v>223</v>
      </c>
      <c r="M457" s="327">
        <f t="shared" si="390"/>
        <v>0</v>
      </c>
      <c r="N457" s="337">
        <f t="shared" si="391"/>
        <v>4</v>
      </c>
      <c r="O457" s="395">
        <f t="shared" si="392"/>
        <v>-7</v>
      </c>
      <c r="P457" s="289">
        <f t="shared" si="393"/>
        <v>0</v>
      </c>
      <c r="Q457" s="460">
        <f>WEEKNUM(tblResultadosNBA[[#This Row],[Fecha]],2)</f>
        <v>52</v>
      </c>
      <c r="R457" s="460" t="str">
        <f>TEXT(tblResultadosNBA[[#This Row],[Fecha]],"mmm")</f>
        <v>dic</v>
      </c>
    </row>
    <row r="458" spans="1:18">
      <c r="A458" s="439">
        <v>46017</v>
      </c>
      <c r="B458" s="302" t="s">
        <v>800</v>
      </c>
      <c r="C458" s="177" t="str">
        <f t="shared" si="384"/>
        <v>Detroit Pistons</v>
      </c>
      <c r="D458" s="177">
        <v>116</v>
      </c>
      <c r="E458" s="336">
        <v>129</v>
      </c>
      <c r="F458" s="327">
        <f t="shared" si="385"/>
        <v>1</v>
      </c>
      <c r="G458" s="177" t="str">
        <f t="shared" si="386"/>
        <v>Utah Jazz</v>
      </c>
      <c r="H458" s="177">
        <v>124</v>
      </c>
      <c r="I458" s="336">
        <v>131</v>
      </c>
      <c r="J458" s="327">
        <f t="shared" si="387"/>
        <v>1</v>
      </c>
      <c r="K458" s="177">
        <f t="shared" si="388"/>
        <v>240</v>
      </c>
      <c r="L458" s="336">
        <f t="shared" si="389"/>
        <v>260</v>
      </c>
      <c r="M458" s="327">
        <f t="shared" si="390"/>
        <v>1</v>
      </c>
      <c r="N458" s="337">
        <f t="shared" si="391"/>
        <v>8</v>
      </c>
      <c r="O458" s="395">
        <f t="shared" si="392"/>
        <v>2</v>
      </c>
      <c r="P458" s="289">
        <f t="shared" si="393"/>
        <v>1</v>
      </c>
      <c r="Q458" s="460">
        <f>WEEKNUM(tblResultadosNBA[[#This Row],[Fecha]],2)</f>
        <v>52</v>
      </c>
      <c r="R458" s="460" t="str">
        <f>TEXT(tblResultadosNBA[[#This Row],[Fecha]],"mmm")</f>
        <v>dic</v>
      </c>
    </row>
    <row r="459" spans="1:18">
      <c r="A459" s="446">
        <v>46017</v>
      </c>
      <c r="B459" s="331" t="s">
        <v>232</v>
      </c>
      <c r="C459" s="286" t="str">
        <f t="shared" si="384"/>
        <v>LA Clippers</v>
      </c>
      <c r="D459" s="286">
        <v>119</v>
      </c>
      <c r="E459" s="431">
        <v>119</v>
      </c>
      <c r="F459" s="332">
        <f t="shared" si="385"/>
        <v>0</v>
      </c>
      <c r="G459" s="286" t="str">
        <f t="shared" si="386"/>
        <v>Portland Trail Blazers</v>
      </c>
      <c r="H459" s="286">
        <v>116</v>
      </c>
      <c r="I459" s="431">
        <v>103</v>
      </c>
      <c r="J459" s="332">
        <f t="shared" si="387"/>
        <v>0</v>
      </c>
      <c r="K459" s="286">
        <f t="shared" si="388"/>
        <v>235</v>
      </c>
      <c r="L459" s="431">
        <f t="shared" si="389"/>
        <v>222</v>
      </c>
      <c r="M459" s="332">
        <f t="shared" si="390"/>
        <v>0</v>
      </c>
      <c r="N459" s="432">
        <f t="shared" si="391"/>
        <v>-3</v>
      </c>
      <c r="O459" s="451">
        <f t="shared" si="392"/>
        <v>-16</v>
      </c>
      <c r="P459" s="433">
        <f t="shared" si="393"/>
        <v>1</v>
      </c>
      <c r="Q459" s="460">
        <f>WEEKNUM(tblResultadosNBA[[#This Row],[Fecha]],2)</f>
        <v>52</v>
      </c>
      <c r="R459" s="460" t="str">
        <f>TEXT(tblResultadosNBA[[#This Row],[Fecha]],"mmm")</f>
        <v>dic</v>
      </c>
    </row>
    <row r="460" spans="1:18">
      <c r="A460" s="439">
        <v>46018</v>
      </c>
      <c r="B460" s="422" t="s">
        <v>233</v>
      </c>
      <c r="C460" s="341" t="str">
        <f>LEFT(B460,FIND("@",B460)-2)</f>
        <v>Dallas Mavericks</v>
      </c>
      <c r="D460" s="341">
        <v>128</v>
      </c>
      <c r="E460" s="342">
        <v>107</v>
      </c>
      <c r="F460" s="333">
        <f>IF(E460&gt;D460, 1, 0)</f>
        <v>0</v>
      </c>
      <c r="G460" s="341" t="str">
        <f>MID(B460,FIND("@",B460)+2,LEN(B460)-FIND("@",B460)-1)</f>
        <v>Sacramento Kings</v>
      </c>
      <c r="H460" s="341">
        <v>119</v>
      </c>
      <c r="I460" s="342">
        <v>113</v>
      </c>
      <c r="J460" s="333">
        <f>IF(I460&gt;H460, 1, 0)</f>
        <v>0</v>
      </c>
      <c r="K460" s="341">
        <f>+D460+H460</f>
        <v>247</v>
      </c>
      <c r="L460" s="342">
        <f>E460+I460</f>
        <v>220</v>
      </c>
      <c r="M460" s="333">
        <f>IF(L460&gt;K460, 1, 0)</f>
        <v>0</v>
      </c>
      <c r="N460" s="343">
        <f>(+H460-D460)</f>
        <v>-9</v>
      </c>
      <c r="O460" s="449">
        <f>I460-E460</f>
        <v>6</v>
      </c>
      <c r="P460" s="289">
        <f>IF(OR(AND(N460&gt;0,O460&gt;0),AND(N460&lt;0,O460&lt;0)),1,0)</f>
        <v>0</v>
      </c>
      <c r="Q460" s="460">
        <f>WEEKNUM(tblResultadosNBA[[#This Row],[Fecha]],2)</f>
        <v>52</v>
      </c>
      <c r="R460" s="460" t="str">
        <f>TEXT(tblResultadosNBA[[#This Row],[Fecha]],"mmm")</f>
        <v>dic</v>
      </c>
    </row>
    <row r="461" spans="1:18">
      <c r="A461" s="439">
        <v>46018</v>
      </c>
      <c r="B461" s="302" t="s">
        <v>801</v>
      </c>
      <c r="C461" s="177" t="str">
        <f t="shared" ref="C461:C465" si="394">LEFT(B461,FIND("@",B461)-2)</f>
        <v>Denver Nuggets</v>
      </c>
      <c r="D461" s="177">
        <v>116</v>
      </c>
      <c r="E461" s="336">
        <v>126</v>
      </c>
      <c r="F461" s="327">
        <f t="shared" ref="F461:F465" si="395">IF(E461&gt;D461, 1, 0)</f>
        <v>1</v>
      </c>
      <c r="G461" s="177" t="str">
        <f t="shared" ref="G461:G465" si="396">MID(B461,FIND("@",B461)+2,LEN(B461)-FIND("@",B461)-1)</f>
        <v>Orlando Magic</v>
      </c>
      <c r="H461" s="177">
        <v>113</v>
      </c>
      <c r="I461" s="336">
        <v>127</v>
      </c>
      <c r="J461" s="327">
        <f t="shared" ref="J461:J465" si="397">IF(I461&gt;H461, 1, 0)</f>
        <v>1</v>
      </c>
      <c r="K461" s="177">
        <f t="shared" ref="K461:K465" si="398">+D461+H461</f>
        <v>229</v>
      </c>
      <c r="L461" s="336">
        <f t="shared" ref="L461:L465" si="399">E461+I461</f>
        <v>253</v>
      </c>
      <c r="M461" s="327">
        <f t="shared" ref="M461:M465" si="400">IF(L461&gt;K461, 1, 0)</f>
        <v>1</v>
      </c>
      <c r="N461" s="337">
        <f t="shared" ref="N461:N465" si="401">(+H461-D461)</f>
        <v>-3</v>
      </c>
      <c r="O461" s="395">
        <f t="shared" ref="O461:O465" si="402">I461-E461</f>
        <v>1</v>
      </c>
      <c r="P461" s="289">
        <f t="shared" ref="P461:P465" si="403">IF(OR(AND(N461&gt;0,O461&gt;0),AND(N461&lt;0,O461&lt;0)),1,0)</f>
        <v>0</v>
      </c>
      <c r="Q461" s="460">
        <f>WEEKNUM(tblResultadosNBA[[#This Row],[Fecha]],2)</f>
        <v>52</v>
      </c>
      <c r="R461" s="460" t="str">
        <f>TEXT(tblResultadosNBA[[#This Row],[Fecha]],"mmm")</f>
        <v>dic</v>
      </c>
    </row>
    <row r="462" spans="1:18">
      <c r="A462" s="439">
        <v>46018</v>
      </c>
      <c r="B462" s="302" t="s">
        <v>231</v>
      </c>
      <c r="C462" s="177" t="str">
        <f t="shared" si="394"/>
        <v>Phoenix Suns</v>
      </c>
      <c r="D462" s="177">
        <v>109</v>
      </c>
      <c r="E462" s="336">
        <v>123</v>
      </c>
      <c r="F462" s="327">
        <f t="shared" si="395"/>
        <v>1</v>
      </c>
      <c r="G462" s="177" t="str">
        <f t="shared" si="396"/>
        <v>New Orleans Pelicans</v>
      </c>
      <c r="H462" s="177">
        <v>126</v>
      </c>
      <c r="I462" s="336">
        <v>114</v>
      </c>
      <c r="J462" s="327">
        <f t="shared" si="397"/>
        <v>0</v>
      </c>
      <c r="K462" s="177">
        <f t="shared" si="398"/>
        <v>235</v>
      </c>
      <c r="L462" s="336">
        <f t="shared" si="399"/>
        <v>237</v>
      </c>
      <c r="M462" s="327">
        <f t="shared" si="400"/>
        <v>1</v>
      </c>
      <c r="N462" s="337">
        <f t="shared" si="401"/>
        <v>17</v>
      </c>
      <c r="O462" s="395">
        <f t="shared" si="402"/>
        <v>-9</v>
      </c>
      <c r="P462" s="289">
        <f t="shared" si="403"/>
        <v>0</v>
      </c>
      <c r="Q462" s="460">
        <f>WEEKNUM(tblResultadosNBA[[#This Row],[Fecha]],2)</f>
        <v>52</v>
      </c>
      <c r="R462" s="460" t="str">
        <f>TEXT(tblResultadosNBA[[#This Row],[Fecha]],"mmm")</f>
        <v>dic</v>
      </c>
    </row>
    <row r="463" spans="1:18">
      <c r="A463" s="439">
        <v>46018</v>
      </c>
      <c r="B463" s="302" t="s">
        <v>234</v>
      </c>
      <c r="C463" s="177" t="str">
        <f t="shared" si="394"/>
        <v>New York Knicks</v>
      </c>
      <c r="D463" s="177">
        <v>122</v>
      </c>
      <c r="E463" s="336">
        <v>128</v>
      </c>
      <c r="F463" s="327">
        <f t="shared" si="395"/>
        <v>1</v>
      </c>
      <c r="G463" s="177" t="str">
        <f t="shared" si="396"/>
        <v>Atlanta Hawks</v>
      </c>
      <c r="H463" s="177">
        <v>133</v>
      </c>
      <c r="I463" s="336">
        <v>125</v>
      </c>
      <c r="J463" s="327">
        <f t="shared" si="397"/>
        <v>0</v>
      </c>
      <c r="K463" s="177">
        <f t="shared" si="398"/>
        <v>255</v>
      </c>
      <c r="L463" s="336">
        <f t="shared" si="399"/>
        <v>253</v>
      </c>
      <c r="M463" s="327">
        <f t="shared" si="400"/>
        <v>0</v>
      </c>
      <c r="N463" s="337">
        <f t="shared" si="401"/>
        <v>11</v>
      </c>
      <c r="O463" s="395">
        <f t="shared" si="402"/>
        <v>-3</v>
      </c>
      <c r="P463" s="289">
        <f t="shared" si="403"/>
        <v>0</v>
      </c>
      <c r="Q463" s="460">
        <f>WEEKNUM(tblResultadosNBA[[#This Row],[Fecha]],2)</f>
        <v>52</v>
      </c>
      <c r="R463" s="460" t="str">
        <f>TEXT(tblResultadosNBA[[#This Row],[Fecha]],"mmm")</f>
        <v>dic</v>
      </c>
    </row>
    <row r="464" spans="1:18">
      <c r="A464" s="439">
        <v>46018</v>
      </c>
      <c r="B464" s="302" t="s">
        <v>802</v>
      </c>
      <c r="C464" s="177" t="str">
        <f t="shared" si="394"/>
        <v>Indiana Pacers</v>
      </c>
      <c r="D464" s="177">
        <v>116</v>
      </c>
      <c r="E464" s="336">
        <v>116</v>
      </c>
      <c r="F464" s="327">
        <f t="shared" si="395"/>
        <v>0</v>
      </c>
      <c r="G464" s="177" t="str">
        <f t="shared" si="396"/>
        <v>Miami Heat</v>
      </c>
      <c r="H464" s="177">
        <v>113</v>
      </c>
      <c r="I464" s="336">
        <v>142</v>
      </c>
      <c r="J464" s="327">
        <f t="shared" si="397"/>
        <v>1</v>
      </c>
      <c r="K464" s="177">
        <f t="shared" si="398"/>
        <v>229</v>
      </c>
      <c r="L464" s="336">
        <f t="shared" si="399"/>
        <v>258</v>
      </c>
      <c r="M464" s="327">
        <f t="shared" si="400"/>
        <v>1</v>
      </c>
      <c r="N464" s="337">
        <f t="shared" si="401"/>
        <v>-3</v>
      </c>
      <c r="O464" s="395">
        <f t="shared" si="402"/>
        <v>26</v>
      </c>
      <c r="P464" s="289">
        <f t="shared" si="403"/>
        <v>0</v>
      </c>
      <c r="Q464" s="460">
        <f>WEEKNUM(tblResultadosNBA[[#This Row],[Fecha]],2)</f>
        <v>52</v>
      </c>
      <c r="R464" s="460" t="str">
        <f>TEXT(tblResultadosNBA[[#This Row],[Fecha]],"mmm")</f>
        <v>dic</v>
      </c>
    </row>
    <row r="465" spans="1:18">
      <c r="A465" s="439">
        <v>46018</v>
      </c>
      <c r="B465" s="302" t="s">
        <v>235</v>
      </c>
      <c r="C465" s="177" t="str">
        <f t="shared" si="394"/>
        <v>Milwaukee Bucks</v>
      </c>
      <c r="D465" s="177">
        <v>116</v>
      </c>
      <c r="E465" s="336">
        <v>112</v>
      </c>
      <c r="F465" s="327">
        <f t="shared" si="395"/>
        <v>0</v>
      </c>
      <c r="G465" s="177" t="str">
        <f t="shared" si="396"/>
        <v>Chicago Bulls</v>
      </c>
      <c r="H465" s="177">
        <v>121</v>
      </c>
      <c r="I465" s="336">
        <v>103</v>
      </c>
      <c r="J465" s="327">
        <f t="shared" si="397"/>
        <v>0</v>
      </c>
      <c r="K465" s="177">
        <f t="shared" si="398"/>
        <v>237</v>
      </c>
      <c r="L465" s="336">
        <f t="shared" si="399"/>
        <v>215</v>
      </c>
      <c r="M465" s="327">
        <f t="shared" si="400"/>
        <v>0</v>
      </c>
      <c r="N465" s="337">
        <f t="shared" si="401"/>
        <v>5</v>
      </c>
      <c r="O465" s="395">
        <f t="shared" si="402"/>
        <v>-9</v>
      </c>
      <c r="P465" s="289">
        <f t="shared" si="403"/>
        <v>0</v>
      </c>
      <c r="Q465" s="460">
        <f>WEEKNUM(tblResultadosNBA[[#This Row],[Fecha]],2)</f>
        <v>52</v>
      </c>
      <c r="R465" s="460" t="str">
        <f>TEXT(tblResultadosNBA[[#This Row],[Fecha]],"mmm")</f>
        <v>dic</v>
      </c>
    </row>
    <row r="466" spans="1:18">
      <c r="A466" s="439">
        <v>46018</v>
      </c>
      <c r="B466" s="302" t="s">
        <v>803</v>
      </c>
      <c r="C466" s="177" t="str">
        <f t="shared" ref="C466:C468" si="404">LEFT(B466,FIND("@",B466)-2)</f>
        <v>Cleveland Cavaliers</v>
      </c>
      <c r="D466" s="177">
        <v>118</v>
      </c>
      <c r="E466" s="336">
        <v>100</v>
      </c>
      <c r="F466" s="327">
        <f t="shared" ref="F466:F468" si="405">IF(E466&gt;D466, 1, 0)</f>
        <v>0</v>
      </c>
      <c r="G466" s="177" t="str">
        <f t="shared" ref="G466:G468" si="406">MID(B466,FIND("@",B466)+2,LEN(B466)-FIND("@",B466)-1)</f>
        <v>Houston Rockets</v>
      </c>
      <c r="H466" s="177">
        <v>114</v>
      </c>
      <c r="I466" s="336">
        <v>117</v>
      </c>
      <c r="J466" s="327">
        <f t="shared" ref="J466:J468" si="407">IF(I466&gt;H466, 1, 0)</f>
        <v>1</v>
      </c>
      <c r="K466" s="177">
        <f t="shared" ref="K466:K468" si="408">+D466+H466</f>
        <v>232</v>
      </c>
      <c r="L466" s="336">
        <f t="shared" ref="L466:L468" si="409">E466+I466</f>
        <v>217</v>
      </c>
      <c r="M466" s="327">
        <f t="shared" ref="M466:M468" si="410">IF(L466&gt;K466, 1, 0)</f>
        <v>0</v>
      </c>
      <c r="N466" s="337">
        <f t="shared" ref="N466:N468" si="411">(+H466-D466)</f>
        <v>-4</v>
      </c>
      <c r="O466" s="395">
        <f t="shared" ref="O466:O468" si="412">I466-E466</f>
        <v>17</v>
      </c>
      <c r="P466" s="289">
        <f t="shared" ref="P466:P468" si="413">IF(OR(AND(N466&gt;0,O466&gt;0),AND(N466&lt;0,O466&lt;0)),1,0)</f>
        <v>0</v>
      </c>
      <c r="Q466" s="460">
        <f>WEEKNUM(tblResultadosNBA[[#This Row],[Fecha]],2)</f>
        <v>52</v>
      </c>
      <c r="R466" s="460" t="str">
        <f>TEXT(tblResultadosNBA[[#This Row],[Fecha]],"mmm")</f>
        <v>dic</v>
      </c>
    </row>
    <row r="467" spans="1:18">
      <c r="A467" s="439">
        <v>46018</v>
      </c>
      <c r="B467" s="302" t="s">
        <v>804</v>
      </c>
      <c r="C467" s="177" t="str">
        <f t="shared" si="404"/>
        <v>Brooklyn Nets</v>
      </c>
      <c r="D467" s="177">
        <v>104</v>
      </c>
      <c r="E467" s="336">
        <v>123</v>
      </c>
      <c r="F467" s="327">
        <f t="shared" si="405"/>
        <v>1</v>
      </c>
      <c r="G467" s="177" t="str">
        <f t="shared" si="406"/>
        <v>Minnesota Timberwolves</v>
      </c>
      <c r="H467" s="177">
        <v>118</v>
      </c>
      <c r="I467" s="336">
        <v>107</v>
      </c>
      <c r="J467" s="327">
        <f t="shared" si="407"/>
        <v>0</v>
      </c>
      <c r="K467" s="177">
        <f t="shared" si="408"/>
        <v>222</v>
      </c>
      <c r="L467" s="336">
        <f t="shared" si="409"/>
        <v>230</v>
      </c>
      <c r="M467" s="327">
        <f t="shared" si="410"/>
        <v>1</v>
      </c>
      <c r="N467" s="337">
        <f t="shared" si="411"/>
        <v>14</v>
      </c>
      <c r="O467" s="395">
        <f t="shared" si="412"/>
        <v>-16</v>
      </c>
      <c r="P467" s="450">
        <f t="shared" si="413"/>
        <v>0</v>
      </c>
      <c r="Q467" s="460">
        <f>WEEKNUM(tblResultadosNBA[[#This Row],[Fecha]],2)</f>
        <v>52</v>
      </c>
      <c r="R467" s="460" t="str">
        <f>TEXT(tblResultadosNBA[[#This Row],[Fecha]],"mmm")</f>
        <v>dic</v>
      </c>
    </row>
    <row r="468" spans="1:18">
      <c r="A468" s="527">
        <v>46018</v>
      </c>
      <c r="B468" s="520" t="s">
        <v>236</v>
      </c>
      <c r="C468" s="521" t="str">
        <f t="shared" si="404"/>
        <v>Utah Jazz</v>
      </c>
      <c r="D468" s="521">
        <v>125</v>
      </c>
      <c r="E468" s="522">
        <v>127</v>
      </c>
      <c r="F468" s="523">
        <f t="shared" si="405"/>
        <v>1</v>
      </c>
      <c r="G468" s="521" t="str">
        <f t="shared" si="406"/>
        <v>San Antonio Spurs</v>
      </c>
      <c r="H468" s="521">
        <v>129</v>
      </c>
      <c r="I468" s="522">
        <v>114</v>
      </c>
      <c r="J468" s="523">
        <f t="shared" si="407"/>
        <v>0</v>
      </c>
      <c r="K468" s="521">
        <f t="shared" si="408"/>
        <v>254</v>
      </c>
      <c r="L468" s="522">
        <f t="shared" si="409"/>
        <v>241</v>
      </c>
      <c r="M468" s="523">
        <f t="shared" si="410"/>
        <v>0</v>
      </c>
      <c r="N468" s="524">
        <f t="shared" si="411"/>
        <v>4</v>
      </c>
      <c r="O468" s="525">
        <f t="shared" si="412"/>
        <v>-13</v>
      </c>
      <c r="P468" s="401">
        <f t="shared" si="413"/>
        <v>0</v>
      </c>
      <c r="Q468" s="460">
        <f>WEEKNUM(tblResultadosNBA[[#This Row],[Fecha]],2)</f>
        <v>52</v>
      </c>
      <c r="R468" s="460" t="str">
        <f>TEXT(tblResultadosNBA[[#This Row],[Fecha]],"mmm")</f>
        <v>dic</v>
      </c>
    </row>
    <row r="469" spans="1:18">
      <c r="A469" s="439">
        <v>46019</v>
      </c>
      <c r="B469" s="422" t="s">
        <v>237</v>
      </c>
      <c r="C469" s="341" t="str">
        <f>LEFT(B469,FIND("@",B469)-2)</f>
        <v>Golden State Warriors</v>
      </c>
      <c r="D469" s="341">
        <v>127</v>
      </c>
      <c r="E469" s="342">
        <v>127</v>
      </c>
      <c r="F469" s="333">
        <f>IF(E469&gt;D469, 1, 0)</f>
        <v>0</v>
      </c>
      <c r="G469" s="341" t="str">
        <f>MID(B469,FIND("@",B469)+2,LEN(B469)-FIND("@",B469)-1)</f>
        <v>Toronto Raptors</v>
      </c>
      <c r="H469" s="341">
        <v>123</v>
      </c>
      <c r="I469" s="342">
        <v>141</v>
      </c>
      <c r="J469" s="333">
        <f>IF(I469&gt;H469, 1, 0)</f>
        <v>1</v>
      </c>
      <c r="K469" s="341">
        <f>+D469+H469</f>
        <v>250</v>
      </c>
      <c r="L469" s="342">
        <f>E469+I469</f>
        <v>268</v>
      </c>
      <c r="M469" s="333">
        <f>IF(L469&gt;K469, 1, 0)</f>
        <v>1</v>
      </c>
      <c r="N469" s="343">
        <f>(+H469-D469)</f>
        <v>-4</v>
      </c>
      <c r="O469" s="449">
        <f>I469-E469</f>
        <v>14</v>
      </c>
      <c r="P469" s="289">
        <f>IF(OR(AND(N469&gt;0,O469&gt;0),AND(N469&lt;0,O469&lt;0)),1,0)</f>
        <v>0</v>
      </c>
      <c r="Q469" s="460">
        <f>WEEKNUM(tblResultadosNBA[[#This Row],[Fecha]],2)</f>
        <v>52</v>
      </c>
      <c r="R469" s="460" t="str">
        <f>TEXT(tblResultadosNBA[[#This Row],[Fecha]],"mmm")</f>
        <v>dic</v>
      </c>
    </row>
    <row r="470" spans="1:18">
      <c r="A470" s="439">
        <v>46019</v>
      </c>
      <c r="B470" s="302" t="s">
        <v>238</v>
      </c>
      <c r="C470" s="177" t="str">
        <f t="shared" ref="C470:C474" si="414">LEFT(B470,FIND("@",B470)-2)</f>
        <v>Philadelphia 76ers</v>
      </c>
      <c r="D470" s="177">
        <v>110</v>
      </c>
      <c r="E470" s="336">
        <v>104</v>
      </c>
      <c r="F470" s="327">
        <f t="shared" ref="F470:F474" si="415">IF(E470&gt;D470, 1, 0)</f>
        <v>0</v>
      </c>
      <c r="G470" s="177" t="str">
        <f t="shared" ref="G470:G474" si="416">MID(B470,FIND("@",B470)+2,LEN(B470)-FIND("@",B470)-1)</f>
        <v>Oklahoma City Thunder</v>
      </c>
      <c r="H470" s="177">
        <v>123</v>
      </c>
      <c r="I470" s="336">
        <v>129</v>
      </c>
      <c r="J470" s="327">
        <f t="shared" ref="J470:J474" si="417">IF(I470&gt;H470, 1, 0)</f>
        <v>1</v>
      </c>
      <c r="K470" s="177">
        <f t="shared" ref="K470:K474" si="418">+D470+H470</f>
        <v>233</v>
      </c>
      <c r="L470" s="336">
        <f t="shared" ref="L470:L474" si="419">E470+I470</f>
        <v>233</v>
      </c>
      <c r="M470" s="327">
        <f t="shared" ref="M470:M474" si="420">IF(L470&gt;K470, 1, 0)</f>
        <v>0</v>
      </c>
      <c r="N470" s="337">
        <f t="shared" ref="N470:N474" si="421">(+H470-D470)</f>
        <v>13</v>
      </c>
      <c r="O470" s="395">
        <f t="shared" ref="O470:O474" si="422">I470-E470</f>
        <v>25</v>
      </c>
      <c r="P470" s="289">
        <f t="shared" ref="P470:P474" si="423">IF(OR(AND(N470&gt;0,O470&gt;0),AND(N470&lt;0,O470&lt;0)),1,0)</f>
        <v>1</v>
      </c>
      <c r="Q470" s="460">
        <f>WEEKNUM(tblResultadosNBA[[#This Row],[Fecha]],2)</f>
        <v>52</v>
      </c>
      <c r="R470" s="460" t="str">
        <f>TEXT(tblResultadosNBA[[#This Row],[Fecha]],"mmm")</f>
        <v>dic</v>
      </c>
    </row>
    <row r="471" spans="1:18">
      <c r="A471" s="439">
        <v>46019</v>
      </c>
      <c r="B471" s="302" t="s">
        <v>239</v>
      </c>
      <c r="C471" s="177" t="str">
        <f t="shared" si="414"/>
        <v>Memphis Grizzlies</v>
      </c>
      <c r="D471" s="177">
        <v>110</v>
      </c>
      <c r="E471" s="336">
        <v>112</v>
      </c>
      <c r="F471" s="327">
        <f t="shared" si="415"/>
        <v>1</v>
      </c>
      <c r="G471" s="177" t="str">
        <f t="shared" si="416"/>
        <v>Washington Wizards</v>
      </c>
      <c r="H471" s="177">
        <v>139</v>
      </c>
      <c r="I471" s="336">
        <v>116</v>
      </c>
      <c r="J471" s="327">
        <f t="shared" si="417"/>
        <v>0</v>
      </c>
      <c r="K471" s="177">
        <f t="shared" si="418"/>
        <v>249</v>
      </c>
      <c r="L471" s="336">
        <f t="shared" si="419"/>
        <v>228</v>
      </c>
      <c r="M471" s="327">
        <f t="shared" si="420"/>
        <v>0</v>
      </c>
      <c r="N471" s="337">
        <f t="shared" si="421"/>
        <v>29</v>
      </c>
      <c r="O471" s="395">
        <f t="shared" si="422"/>
        <v>4</v>
      </c>
      <c r="P471" s="289">
        <f t="shared" si="423"/>
        <v>1</v>
      </c>
      <c r="Q471" s="460">
        <f>WEEKNUM(tblResultadosNBA[[#This Row],[Fecha]],2)</f>
        <v>52</v>
      </c>
      <c r="R471" s="460" t="str">
        <f>TEXT(tblResultadosNBA[[#This Row],[Fecha]],"mmm")</f>
        <v>dic</v>
      </c>
    </row>
    <row r="472" spans="1:18">
      <c r="A472" s="439">
        <v>46019</v>
      </c>
      <c r="B472" s="302" t="s">
        <v>240</v>
      </c>
      <c r="C472" s="177" t="str">
        <f t="shared" si="414"/>
        <v>Boston Celtics</v>
      </c>
      <c r="D472" s="177">
        <v>117</v>
      </c>
      <c r="E472" s="336">
        <v>108</v>
      </c>
      <c r="F472" s="327">
        <f t="shared" si="415"/>
        <v>0</v>
      </c>
      <c r="G472" s="177" t="str">
        <f t="shared" si="416"/>
        <v>Portland Trail Blazers</v>
      </c>
      <c r="H472" s="177">
        <v>120</v>
      </c>
      <c r="I472" s="336">
        <v>114</v>
      </c>
      <c r="J472" s="327">
        <f t="shared" si="417"/>
        <v>0</v>
      </c>
      <c r="K472" s="177">
        <f t="shared" si="418"/>
        <v>237</v>
      </c>
      <c r="L472" s="336">
        <f t="shared" si="419"/>
        <v>222</v>
      </c>
      <c r="M472" s="327">
        <f t="shared" si="420"/>
        <v>0</v>
      </c>
      <c r="N472" s="337">
        <f t="shared" si="421"/>
        <v>3</v>
      </c>
      <c r="O472" s="395">
        <f t="shared" si="422"/>
        <v>6</v>
      </c>
      <c r="P472" s="289">
        <f t="shared" si="423"/>
        <v>1</v>
      </c>
      <c r="Q472" s="460">
        <f>WEEKNUM(tblResultadosNBA[[#This Row],[Fecha]],2)</f>
        <v>52</v>
      </c>
      <c r="R472" s="460" t="str">
        <f>TEXT(tblResultadosNBA[[#This Row],[Fecha]],"mmm")</f>
        <v>dic</v>
      </c>
    </row>
    <row r="473" spans="1:18">
      <c r="A473" s="439">
        <v>46019</v>
      </c>
      <c r="B473" s="302" t="s">
        <v>241</v>
      </c>
      <c r="C473" s="177" t="str">
        <f t="shared" si="414"/>
        <v>Detroit Pistons</v>
      </c>
      <c r="D473" s="177">
        <v>118</v>
      </c>
      <c r="E473" s="336">
        <v>99</v>
      </c>
      <c r="F473" s="327">
        <f t="shared" si="415"/>
        <v>0</v>
      </c>
      <c r="G473" s="177" t="str">
        <f t="shared" si="416"/>
        <v>LA Clippers</v>
      </c>
      <c r="H473" s="177">
        <v>106</v>
      </c>
      <c r="I473" s="336">
        <v>112</v>
      </c>
      <c r="J473" s="327">
        <f t="shared" si="417"/>
        <v>1</v>
      </c>
      <c r="K473" s="177">
        <f t="shared" si="418"/>
        <v>224</v>
      </c>
      <c r="L473" s="336">
        <f t="shared" si="419"/>
        <v>211</v>
      </c>
      <c r="M473" s="327">
        <f t="shared" si="420"/>
        <v>0</v>
      </c>
      <c r="N473" s="337">
        <f t="shared" si="421"/>
        <v>-12</v>
      </c>
      <c r="O473" s="395">
        <f t="shared" si="422"/>
        <v>13</v>
      </c>
      <c r="P473" s="289">
        <f t="shared" si="423"/>
        <v>0</v>
      </c>
      <c r="Q473" s="460">
        <f>WEEKNUM(tblResultadosNBA[[#This Row],[Fecha]],2)</f>
        <v>52</v>
      </c>
      <c r="R473" s="460" t="str">
        <f>TEXT(tblResultadosNBA[[#This Row],[Fecha]],"mmm")</f>
        <v>dic</v>
      </c>
    </row>
    <row r="474" spans="1:18">
      <c r="A474" s="446">
        <v>46019</v>
      </c>
      <c r="B474" s="331" t="s">
        <v>242</v>
      </c>
      <c r="C474" s="286" t="str">
        <f t="shared" si="414"/>
        <v>Sacramento Kings</v>
      </c>
      <c r="D474" s="286">
        <v>111</v>
      </c>
      <c r="E474" s="431">
        <v>101</v>
      </c>
      <c r="F474" s="332">
        <f t="shared" si="415"/>
        <v>0</v>
      </c>
      <c r="G474" s="286" t="str">
        <f t="shared" si="416"/>
        <v>Los Angeles Lakers</v>
      </c>
      <c r="H474" s="286">
        <v>124</v>
      </c>
      <c r="I474" s="431">
        <v>125</v>
      </c>
      <c r="J474" s="332">
        <f t="shared" si="417"/>
        <v>1</v>
      </c>
      <c r="K474" s="286">
        <f t="shared" si="418"/>
        <v>235</v>
      </c>
      <c r="L474" s="431">
        <f t="shared" si="419"/>
        <v>226</v>
      </c>
      <c r="M474" s="332">
        <f t="shared" si="420"/>
        <v>0</v>
      </c>
      <c r="N474" s="432">
        <f t="shared" si="421"/>
        <v>13</v>
      </c>
      <c r="O474" s="451">
        <f t="shared" si="422"/>
        <v>24</v>
      </c>
      <c r="P474" s="433">
        <f t="shared" si="423"/>
        <v>1</v>
      </c>
      <c r="Q474" s="460">
        <f>WEEKNUM(tblResultadosNBA[[#This Row],[Fecha]],2)</f>
        <v>52</v>
      </c>
      <c r="R474" s="460" t="str">
        <f>TEXT(tblResultadosNBA[[#This Row],[Fecha]],"mmm")</f>
        <v>dic</v>
      </c>
    </row>
    <row r="475" spans="1:18">
      <c r="A475" s="439">
        <v>46020</v>
      </c>
      <c r="B475" s="422" t="s">
        <v>39</v>
      </c>
      <c r="C475" s="341" t="str">
        <f>LEFT(B475,FIND("@",B475)-2)</f>
        <v>Milwaukee Bucks</v>
      </c>
      <c r="D475" s="341">
        <v>129</v>
      </c>
      <c r="E475" s="342">
        <v>123</v>
      </c>
      <c r="F475" s="333">
        <f>IF(E475&gt;D475, 1, 0)</f>
        <v>0</v>
      </c>
      <c r="G475" s="341" t="str">
        <f>MID(B475,FIND("@",B475)+2,LEN(B475)-FIND("@",B475)-1)</f>
        <v>Charlotte Hornets</v>
      </c>
      <c r="H475" s="341">
        <v>116</v>
      </c>
      <c r="I475" s="342">
        <v>113</v>
      </c>
      <c r="J475" s="333">
        <f>IF(I475&gt;H475, 1, 0)</f>
        <v>0</v>
      </c>
      <c r="K475" s="341">
        <f>+D475+H475</f>
        <v>245</v>
      </c>
      <c r="L475" s="342">
        <f>E475+I475</f>
        <v>236</v>
      </c>
      <c r="M475" s="333">
        <f>IF(L475&gt;K475, 1, 0)</f>
        <v>0</v>
      </c>
      <c r="N475" s="343">
        <f>(+H475-D475)</f>
        <v>-13</v>
      </c>
      <c r="O475" s="449">
        <f>I475-E475</f>
        <v>-10</v>
      </c>
      <c r="P475" s="289">
        <f>IF(OR(AND(N475&gt;0,O475&gt;0),AND(N475&lt;0,O475&lt;0)),1,0)</f>
        <v>1</v>
      </c>
      <c r="Q475" s="460">
        <f>WEEKNUM(tblResultadosNBA[[#This Row],[Fecha]],2)</f>
        <v>53</v>
      </c>
      <c r="R475" s="460" t="str">
        <f>TEXT(tblResultadosNBA[[#This Row],[Fecha]],"mmm")</f>
        <v>dic</v>
      </c>
    </row>
    <row r="476" spans="1:18">
      <c r="A476" s="419">
        <v>46020</v>
      </c>
      <c r="B476" s="302" t="s">
        <v>243</v>
      </c>
      <c r="C476" s="177" t="str">
        <f t="shared" ref="C476:C484" si="424">LEFT(B476,FIND("@",B476)-2)</f>
        <v>Phoenix Suns</v>
      </c>
      <c r="D476" s="177">
        <v>120</v>
      </c>
      <c r="E476" s="336">
        <v>115</v>
      </c>
      <c r="F476" s="327">
        <f t="shared" ref="F476:F484" si="425">IF(E476&gt;D476, 1, 0)</f>
        <v>0</v>
      </c>
      <c r="G476" s="177" t="str">
        <f t="shared" ref="G476:G484" si="426">MID(B476,FIND("@",B476)+2,LEN(B476)-FIND("@",B476)-1)</f>
        <v>Washington Wizards</v>
      </c>
      <c r="H476" s="177">
        <v>130</v>
      </c>
      <c r="I476" s="336">
        <v>101</v>
      </c>
      <c r="J476" s="327">
        <f t="shared" ref="J476:J484" si="427">IF(I476&gt;H476, 1, 0)</f>
        <v>0</v>
      </c>
      <c r="K476" s="177">
        <f t="shared" ref="K476:K484" si="428">+D476+H476</f>
        <v>250</v>
      </c>
      <c r="L476" s="336">
        <f t="shared" ref="L476:L484" si="429">E476+I476</f>
        <v>216</v>
      </c>
      <c r="M476" s="327">
        <f t="shared" ref="M476:M484" si="430">IF(L476&gt;K476, 1, 0)</f>
        <v>0</v>
      </c>
      <c r="N476" s="337">
        <f t="shared" ref="N476:N484" si="431">(+H476-D476)</f>
        <v>10</v>
      </c>
      <c r="O476" s="395">
        <f t="shared" ref="O476:O484" si="432">I476-E476</f>
        <v>-14</v>
      </c>
      <c r="P476" s="289">
        <f t="shared" ref="P476:P484" si="433">IF(OR(AND(N476&gt;0,O476&gt;0),AND(N476&lt;0,O476&lt;0)),1,0)</f>
        <v>0</v>
      </c>
      <c r="Q476" s="460">
        <f>WEEKNUM(tblResultadosNBA[[#This Row],[Fecha]],2)</f>
        <v>53</v>
      </c>
      <c r="R476" s="460" t="str">
        <f>TEXT(tblResultadosNBA[[#This Row],[Fecha]],"mmm")</f>
        <v>dic</v>
      </c>
    </row>
    <row r="477" spans="1:18">
      <c r="A477" s="419">
        <v>46020</v>
      </c>
      <c r="B477" s="302" t="s">
        <v>244</v>
      </c>
      <c r="C477" s="177" t="str">
        <f t="shared" si="424"/>
        <v>Golden State Warriors</v>
      </c>
      <c r="D477" s="177">
        <v>109</v>
      </c>
      <c r="E477" s="336">
        <v>120</v>
      </c>
      <c r="F477" s="327">
        <f t="shared" si="425"/>
        <v>1</v>
      </c>
      <c r="G477" s="177" t="str">
        <f t="shared" si="426"/>
        <v>Brooklyn Nets</v>
      </c>
      <c r="H477" s="177">
        <v>117</v>
      </c>
      <c r="I477" s="336">
        <v>107</v>
      </c>
      <c r="J477" s="327">
        <f t="shared" si="427"/>
        <v>0</v>
      </c>
      <c r="K477" s="177">
        <f t="shared" si="428"/>
        <v>226</v>
      </c>
      <c r="L477" s="336">
        <f t="shared" si="429"/>
        <v>227</v>
      </c>
      <c r="M477" s="327">
        <f t="shared" si="430"/>
        <v>1</v>
      </c>
      <c r="N477" s="337">
        <f t="shared" si="431"/>
        <v>8</v>
      </c>
      <c r="O477" s="395">
        <f t="shared" si="432"/>
        <v>-13</v>
      </c>
      <c r="P477" s="289">
        <f t="shared" si="433"/>
        <v>0</v>
      </c>
      <c r="Q477" s="460">
        <f>WEEKNUM(tblResultadosNBA[[#This Row],[Fecha]],2)</f>
        <v>53</v>
      </c>
      <c r="R477" s="460" t="str">
        <f>TEXT(tblResultadosNBA[[#This Row],[Fecha]],"mmm")</f>
        <v>dic</v>
      </c>
    </row>
    <row r="478" spans="1:18">
      <c r="A478" s="419">
        <v>46020</v>
      </c>
      <c r="B478" s="302" t="s">
        <v>805</v>
      </c>
      <c r="C478" s="177" t="str">
        <f t="shared" si="424"/>
        <v>Denver Nuggets</v>
      </c>
      <c r="D478" s="177">
        <v>115</v>
      </c>
      <c r="E478" s="336">
        <v>123</v>
      </c>
      <c r="F478" s="327">
        <f t="shared" si="425"/>
        <v>1</v>
      </c>
      <c r="G478" s="177" t="str">
        <f t="shared" si="426"/>
        <v>Miami Heat</v>
      </c>
      <c r="H478" s="177">
        <v>123</v>
      </c>
      <c r="I478" s="336">
        <v>147</v>
      </c>
      <c r="J478" s="327">
        <f t="shared" si="427"/>
        <v>1</v>
      </c>
      <c r="K478" s="177">
        <f t="shared" si="428"/>
        <v>238</v>
      </c>
      <c r="L478" s="336">
        <f t="shared" si="429"/>
        <v>270</v>
      </c>
      <c r="M478" s="327">
        <f t="shared" si="430"/>
        <v>1</v>
      </c>
      <c r="N478" s="337">
        <f t="shared" si="431"/>
        <v>8</v>
      </c>
      <c r="O478" s="395">
        <f t="shared" si="432"/>
        <v>24</v>
      </c>
      <c r="P478" s="289">
        <f t="shared" si="433"/>
        <v>1</v>
      </c>
      <c r="Q478" s="460">
        <f>WEEKNUM(tblResultadosNBA[[#This Row],[Fecha]],2)</f>
        <v>53</v>
      </c>
      <c r="R478" s="460" t="str">
        <f>TEXT(tblResultadosNBA[[#This Row],[Fecha]],"mmm")</f>
        <v>dic</v>
      </c>
    </row>
    <row r="479" spans="1:18">
      <c r="A479" s="419">
        <v>46020</v>
      </c>
      <c r="B479" s="302" t="s">
        <v>525</v>
      </c>
      <c r="C479" s="177" t="str">
        <f t="shared" si="424"/>
        <v>Orlando Magic</v>
      </c>
      <c r="D479" s="177">
        <v>102</v>
      </c>
      <c r="E479" s="336">
        <v>106</v>
      </c>
      <c r="F479" s="327">
        <f t="shared" si="425"/>
        <v>1</v>
      </c>
      <c r="G479" s="177" t="str">
        <f t="shared" si="426"/>
        <v>Toronto Raptors</v>
      </c>
      <c r="H479" s="177">
        <v>112</v>
      </c>
      <c r="I479" s="336">
        <v>107</v>
      </c>
      <c r="J479" s="327">
        <f t="shared" si="427"/>
        <v>0</v>
      </c>
      <c r="K479" s="177">
        <f t="shared" si="428"/>
        <v>214</v>
      </c>
      <c r="L479" s="336">
        <f t="shared" si="429"/>
        <v>213</v>
      </c>
      <c r="M479" s="327">
        <f t="shared" si="430"/>
        <v>0</v>
      </c>
      <c r="N479" s="337">
        <f t="shared" si="431"/>
        <v>10</v>
      </c>
      <c r="O479" s="395">
        <f t="shared" si="432"/>
        <v>1</v>
      </c>
      <c r="P479" s="289">
        <f t="shared" si="433"/>
        <v>1</v>
      </c>
      <c r="Q479" s="460">
        <f>WEEKNUM(tblResultadosNBA[[#This Row],[Fecha]],2)</f>
        <v>53</v>
      </c>
      <c r="R479" s="460" t="str">
        <f>TEXT(tblResultadosNBA[[#This Row],[Fecha]],"mmm")</f>
        <v>dic</v>
      </c>
    </row>
    <row r="480" spans="1:18">
      <c r="A480" s="419">
        <v>46020</v>
      </c>
      <c r="B480" s="302" t="s">
        <v>806</v>
      </c>
      <c r="C480" s="177" t="str">
        <f t="shared" si="424"/>
        <v>Minnesota Timberwolves</v>
      </c>
      <c r="D480" s="177">
        <v>115</v>
      </c>
      <c r="E480" s="336">
        <v>136</v>
      </c>
      <c r="F480" s="327">
        <f t="shared" si="425"/>
        <v>1</v>
      </c>
      <c r="G480" s="177" t="str">
        <f t="shared" si="426"/>
        <v>Chicago Bulls</v>
      </c>
      <c r="H480" s="177">
        <v>120</v>
      </c>
      <c r="I480" s="336">
        <v>101</v>
      </c>
      <c r="J480" s="327">
        <f t="shared" si="427"/>
        <v>0</v>
      </c>
      <c r="K480" s="177">
        <f t="shared" si="428"/>
        <v>235</v>
      </c>
      <c r="L480" s="336">
        <f t="shared" si="429"/>
        <v>237</v>
      </c>
      <c r="M480" s="327">
        <f t="shared" si="430"/>
        <v>1</v>
      </c>
      <c r="N480" s="337">
        <f t="shared" si="431"/>
        <v>5</v>
      </c>
      <c r="O480" s="395">
        <f t="shared" si="432"/>
        <v>-35</v>
      </c>
      <c r="P480" s="289">
        <f t="shared" si="433"/>
        <v>0</v>
      </c>
      <c r="Q480" s="460">
        <f>WEEKNUM(tblResultadosNBA[[#This Row],[Fecha]],2)</f>
        <v>53</v>
      </c>
      <c r="R480" s="460" t="str">
        <f>TEXT(tblResultadosNBA[[#This Row],[Fecha]],"mmm")</f>
        <v>dic</v>
      </c>
    </row>
    <row r="481" spans="1:21">
      <c r="A481" s="419">
        <v>46020</v>
      </c>
      <c r="B481" s="302" t="s">
        <v>245</v>
      </c>
      <c r="C481" s="177" t="str">
        <f t="shared" si="424"/>
        <v>Indiana Pacers</v>
      </c>
      <c r="D481" s="177">
        <v>113</v>
      </c>
      <c r="E481" s="336">
        <v>119</v>
      </c>
      <c r="F481" s="327">
        <f t="shared" si="425"/>
        <v>1</v>
      </c>
      <c r="G481" s="177" t="str">
        <f t="shared" si="426"/>
        <v>Houston Rockets</v>
      </c>
      <c r="H481" s="177">
        <v>120</v>
      </c>
      <c r="I481" s="336">
        <v>126</v>
      </c>
      <c r="J481" s="327">
        <f t="shared" si="427"/>
        <v>1</v>
      </c>
      <c r="K481" s="177">
        <f t="shared" si="428"/>
        <v>233</v>
      </c>
      <c r="L481" s="336">
        <f t="shared" si="429"/>
        <v>245</v>
      </c>
      <c r="M481" s="327">
        <f t="shared" si="430"/>
        <v>1</v>
      </c>
      <c r="N481" s="337">
        <f t="shared" si="431"/>
        <v>7</v>
      </c>
      <c r="O481" s="395">
        <f t="shared" si="432"/>
        <v>7</v>
      </c>
      <c r="P481" s="289">
        <f t="shared" si="433"/>
        <v>1</v>
      </c>
      <c r="Q481" s="460">
        <f>WEEKNUM(tblResultadosNBA[[#This Row],[Fecha]],2)</f>
        <v>53</v>
      </c>
      <c r="R481" s="460" t="str">
        <f>TEXT(tblResultadosNBA[[#This Row],[Fecha]],"mmm")</f>
        <v>dic</v>
      </c>
    </row>
    <row r="482" spans="1:21">
      <c r="A482" s="419">
        <v>46020</v>
      </c>
      <c r="B482" s="302" t="s">
        <v>246</v>
      </c>
      <c r="C482" s="177" t="str">
        <f t="shared" si="424"/>
        <v>New York Knicks</v>
      </c>
      <c r="D482" s="177">
        <v>121</v>
      </c>
      <c r="E482" s="336">
        <v>130</v>
      </c>
      <c r="F482" s="327">
        <f t="shared" si="425"/>
        <v>1</v>
      </c>
      <c r="G482" s="177" t="str">
        <f t="shared" si="426"/>
        <v>New Orleans Pelicans</v>
      </c>
      <c r="H482" s="177">
        <v>133</v>
      </c>
      <c r="I482" s="336">
        <v>125</v>
      </c>
      <c r="J482" s="327">
        <f t="shared" si="427"/>
        <v>0</v>
      </c>
      <c r="K482" s="177">
        <f t="shared" si="428"/>
        <v>254</v>
      </c>
      <c r="L482" s="336">
        <f t="shared" si="429"/>
        <v>255</v>
      </c>
      <c r="M482" s="327">
        <f t="shared" si="430"/>
        <v>1</v>
      </c>
      <c r="N482" s="337">
        <f t="shared" si="431"/>
        <v>12</v>
      </c>
      <c r="O482" s="395">
        <f t="shared" si="432"/>
        <v>-5</v>
      </c>
      <c r="P482" s="289">
        <f t="shared" si="433"/>
        <v>0</v>
      </c>
      <c r="Q482" s="460">
        <f>WEEKNUM(tblResultadosNBA[[#This Row],[Fecha]],2)</f>
        <v>53</v>
      </c>
      <c r="R482" s="460" t="str">
        <f>TEXT(tblResultadosNBA[[#This Row],[Fecha]],"mmm")</f>
        <v>dic</v>
      </c>
    </row>
    <row r="483" spans="1:21">
      <c r="A483" s="419">
        <v>46020</v>
      </c>
      <c r="B483" s="302" t="s">
        <v>247</v>
      </c>
      <c r="C483" s="177" t="str">
        <f t="shared" si="424"/>
        <v>Atlanta Hawks</v>
      </c>
      <c r="D483" s="177">
        <v>129</v>
      </c>
      <c r="E483" s="336">
        <v>129</v>
      </c>
      <c r="F483" s="327">
        <f t="shared" si="425"/>
        <v>0</v>
      </c>
      <c r="G483" s="177" t="str">
        <f t="shared" si="426"/>
        <v>Oklahoma City Thunder</v>
      </c>
      <c r="H483" s="177">
        <v>131</v>
      </c>
      <c r="I483" s="336">
        <v>140</v>
      </c>
      <c r="J483" s="327">
        <f t="shared" si="427"/>
        <v>1</v>
      </c>
      <c r="K483" s="177">
        <f t="shared" si="428"/>
        <v>260</v>
      </c>
      <c r="L483" s="336">
        <f t="shared" si="429"/>
        <v>269</v>
      </c>
      <c r="M483" s="327">
        <f t="shared" si="430"/>
        <v>1</v>
      </c>
      <c r="N483" s="337">
        <f t="shared" si="431"/>
        <v>2</v>
      </c>
      <c r="O483" s="395">
        <f t="shared" si="432"/>
        <v>11</v>
      </c>
      <c r="P483" s="289">
        <f t="shared" si="433"/>
        <v>1</v>
      </c>
      <c r="Q483" s="460">
        <f>WEEKNUM(tblResultadosNBA[[#This Row],[Fecha]],2)</f>
        <v>53</v>
      </c>
      <c r="R483" s="460" t="str">
        <f>TEXT(tblResultadosNBA[[#This Row],[Fecha]],"mmm")</f>
        <v>dic</v>
      </c>
    </row>
    <row r="484" spans="1:21">
      <c r="A484" s="419">
        <v>46020</v>
      </c>
      <c r="B484" s="302" t="s">
        <v>248</v>
      </c>
      <c r="C484" s="177" t="str">
        <f t="shared" si="424"/>
        <v>Cleveland Cavaliers</v>
      </c>
      <c r="D484" s="177">
        <v>124</v>
      </c>
      <c r="E484" s="336">
        <v>113</v>
      </c>
      <c r="F484" s="327">
        <f t="shared" si="425"/>
        <v>0</v>
      </c>
      <c r="G484" s="177" t="str">
        <f t="shared" si="426"/>
        <v>San Antonio Spurs</v>
      </c>
      <c r="H484" s="177">
        <v>136</v>
      </c>
      <c r="I484" s="336">
        <v>101</v>
      </c>
      <c r="J484" s="327">
        <f t="shared" si="427"/>
        <v>0</v>
      </c>
      <c r="K484" s="177">
        <f t="shared" si="428"/>
        <v>260</v>
      </c>
      <c r="L484" s="336">
        <f t="shared" si="429"/>
        <v>214</v>
      </c>
      <c r="M484" s="327">
        <f t="shared" si="430"/>
        <v>0</v>
      </c>
      <c r="N484" s="337">
        <f t="shared" si="431"/>
        <v>12</v>
      </c>
      <c r="O484" s="395">
        <f t="shared" si="432"/>
        <v>-12</v>
      </c>
      <c r="P484" s="289">
        <f t="shared" si="433"/>
        <v>0</v>
      </c>
      <c r="Q484" s="460">
        <f>WEEKNUM(tblResultadosNBA[[#This Row],[Fecha]],2)</f>
        <v>53</v>
      </c>
      <c r="R484" s="460" t="str">
        <f>TEXT(tblResultadosNBA[[#This Row],[Fecha]],"mmm")</f>
        <v>dic</v>
      </c>
    </row>
    <row r="485" spans="1:21">
      <c r="A485" s="445">
        <v>46020</v>
      </c>
      <c r="B485" s="331" t="s">
        <v>249</v>
      </c>
      <c r="C485" s="286" t="str">
        <f>LEFT(B485,FIND("@",B485)-2)</f>
        <v>Dallas Mavericks</v>
      </c>
      <c r="D485" s="286">
        <v>119</v>
      </c>
      <c r="E485" s="431">
        <v>122</v>
      </c>
      <c r="F485" s="332">
        <f>IF(E485&gt;D485, 1, 0)</f>
        <v>1</v>
      </c>
      <c r="G485" s="286" t="str">
        <f>MID(B485,FIND("@",B485)+2,LEN(B485)-FIND("@",B485)-1)</f>
        <v>Portland Trail Blazers</v>
      </c>
      <c r="H485" s="286">
        <v>123</v>
      </c>
      <c r="I485" s="431">
        <v>125</v>
      </c>
      <c r="J485" s="332">
        <f>IF(I485&gt;H485, 1, 0)</f>
        <v>1</v>
      </c>
      <c r="K485" s="286">
        <f>+D485+H485</f>
        <v>242</v>
      </c>
      <c r="L485" s="431">
        <f>E485+I485</f>
        <v>247</v>
      </c>
      <c r="M485" s="332">
        <f>IF(L485&gt;K485, 1, 0)</f>
        <v>1</v>
      </c>
      <c r="N485" s="432">
        <f>(+H485-D485)</f>
        <v>4</v>
      </c>
      <c r="O485" s="451">
        <f>I485-E485</f>
        <v>3</v>
      </c>
      <c r="P485" s="433">
        <f>IF(OR(AND(N485&gt;0,O485&gt;0),AND(N485&lt;0,O485&lt;0)),1,0)</f>
        <v>1</v>
      </c>
      <c r="Q485" s="460">
        <f>WEEKNUM(tblResultadosNBA[[#This Row],[Fecha]],2)</f>
        <v>53</v>
      </c>
      <c r="R485" s="460" t="str">
        <f>TEXT(tblResultadosNBA[[#This Row],[Fecha]],"mmm")</f>
        <v>dic</v>
      </c>
    </row>
    <row r="486" spans="1:21">
      <c r="A486" s="439">
        <v>46021</v>
      </c>
      <c r="B486" s="422" t="s">
        <v>250</v>
      </c>
      <c r="C486" s="341" t="str">
        <f>LEFT(B486,FIND("@",B486)-2)</f>
        <v>Philadelphia 76ers</v>
      </c>
      <c r="D486" s="341">
        <v>128</v>
      </c>
      <c r="E486" s="342">
        <v>139</v>
      </c>
      <c r="F486" s="333">
        <f>IF(E486&gt;D486, 1, 0)</f>
        <v>1</v>
      </c>
      <c r="G486" s="341" t="str">
        <f>MID(B486,FIND("@",B486)+2,LEN(B486)-FIND("@",B486)-1)</f>
        <v>Memphis Grizzlies</v>
      </c>
      <c r="H486" s="341">
        <v>119</v>
      </c>
      <c r="I486" s="342">
        <v>136</v>
      </c>
      <c r="J486" s="333">
        <f>IF(I486&gt;H486, 1, 0)</f>
        <v>1</v>
      </c>
      <c r="K486" s="341">
        <f>+D486+H486</f>
        <v>247</v>
      </c>
      <c r="L486" s="342">
        <f>E486+I486</f>
        <v>275</v>
      </c>
      <c r="M486" s="333">
        <f>IF(L486&gt;K486, 1, 0)</f>
        <v>1</v>
      </c>
      <c r="N486" s="343">
        <f>(+H486-D486)</f>
        <v>-9</v>
      </c>
      <c r="O486" s="449">
        <f>I486-E486</f>
        <v>-3</v>
      </c>
      <c r="P486" s="289">
        <f>IF(OR(AND(N486&gt;0,O486&gt;0),AND(N486&lt;0,O486&lt;0)),1,0)</f>
        <v>1</v>
      </c>
      <c r="Q486" s="460">
        <f>WEEKNUM(tblResultadosNBA[[#This Row],[Fecha]],2)</f>
        <v>53</v>
      </c>
      <c r="R486" s="460" t="str">
        <f>TEXT(tblResultadosNBA[[#This Row],[Fecha]],"mmm")</f>
        <v>dic</v>
      </c>
      <c r="S486">
        <f>tblResultadosNBA[[#This Row],[Real]]-tblResultadosNBA[[#This Row],[Pro]]</f>
        <v>11</v>
      </c>
      <c r="T486">
        <f>tblResultadosNBA[[#This Row],[Real3]]-tblResultadosNBA[[#This Row],[Pro2]]</f>
        <v>17</v>
      </c>
      <c r="U486">
        <f>tblResultadosNBA[[#This Row],[Tot R]]-tblResultadosNBA[[#This Row],[Tot]]</f>
        <v>28</v>
      </c>
    </row>
    <row r="487" spans="1:21">
      <c r="A487" s="419">
        <v>46021</v>
      </c>
      <c r="B487" s="302" t="s">
        <v>807</v>
      </c>
      <c r="C487" s="177" t="str">
        <f t="shared" ref="C487:C489" si="434">LEFT(B487,FIND("@",B487)-2)</f>
        <v>Boston Celtics</v>
      </c>
      <c r="D487" s="177">
        <v>122</v>
      </c>
      <c r="E487" s="336">
        <v>125</v>
      </c>
      <c r="F487" s="327">
        <f t="shared" ref="F487:F489" si="435">IF(E487&gt;D487, 1, 0)</f>
        <v>1</v>
      </c>
      <c r="G487" s="177" t="str">
        <f t="shared" ref="G487:G489" si="436">MID(B487,FIND("@",B487)+2,LEN(B487)-FIND("@",B487)-1)</f>
        <v>Utah Jazz</v>
      </c>
      <c r="H487" s="177">
        <v>121</v>
      </c>
      <c r="I487" s="336">
        <v>119</v>
      </c>
      <c r="J487" s="327">
        <f t="shared" ref="J487:J489" si="437">IF(I487&gt;H487, 1, 0)</f>
        <v>0</v>
      </c>
      <c r="K487" s="177">
        <f t="shared" ref="K487:K489" si="438">+D487+H487</f>
        <v>243</v>
      </c>
      <c r="L487" s="336">
        <f t="shared" ref="L487:L489" si="439">E487+I487</f>
        <v>244</v>
      </c>
      <c r="M487" s="327">
        <f t="shared" ref="M487:M489" si="440">IF(L487&gt;K487, 1, 0)</f>
        <v>1</v>
      </c>
      <c r="N487" s="337">
        <f t="shared" ref="N487:N489" si="441">(+H487-D487)</f>
        <v>-1</v>
      </c>
      <c r="O487" s="395">
        <f t="shared" ref="O487:O489" si="442">I487-E487</f>
        <v>-6</v>
      </c>
      <c r="P487" s="289">
        <f t="shared" ref="P487:P489" si="443">IF(OR(AND(N487&gt;0,O487&gt;0),AND(N487&lt;0,O487&lt;0)),1,0)</f>
        <v>1</v>
      </c>
      <c r="Q487" s="460">
        <f>WEEKNUM(tblResultadosNBA[[#This Row],[Fecha]],2)</f>
        <v>53</v>
      </c>
      <c r="R487" s="460" t="str">
        <f>TEXT(tblResultadosNBA[[#This Row],[Fecha]],"mmm")</f>
        <v>dic</v>
      </c>
    </row>
    <row r="488" spans="1:21">
      <c r="A488" s="419">
        <v>46021</v>
      </c>
      <c r="B488" s="302" t="s">
        <v>808</v>
      </c>
      <c r="C488" s="177" t="str">
        <f t="shared" si="434"/>
        <v>Detroit Pistons</v>
      </c>
      <c r="D488" s="177">
        <v>107</v>
      </c>
      <c r="E488" s="336">
        <v>128</v>
      </c>
      <c r="F488" s="327">
        <f t="shared" si="435"/>
        <v>1</v>
      </c>
      <c r="G488" s="177" t="str">
        <f t="shared" si="436"/>
        <v>Los Angeles Lakers</v>
      </c>
      <c r="H488" s="177">
        <v>119</v>
      </c>
      <c r="I488" s="336">
        <v>106</v>
      </c>
      <c r="J488" s="327">
        <f t="shared" si="437"/>
        <v>0</v>
      </c>
      <c r="K488" s="177">
        <f t="shared" si="438"/>
        <v>226</v>
      </c>
      <c r="L488" s="336">
        <f t="shared" si="439"/>
        <v>234</v>
      </c>
      <c r="M488" s="327">
        <f t="shared" si="440"/>
        <v>1</v>
      </c>
      <c r="N488" s="337">
        <f t="shared" si="441"/>
        <v>12</v>
      </c>
      <c r="O488" s="395">
        <f t="shared" si="442"/>
        <v>-22</v>
      </c>
      <c r="P488" s="289">
        <f t="shared" si="443"/>
        <v>0</v>
      </c>
      <c r="Q488" s="460">
        <f>WEEKNUM(tblResultadosNBA[[#This Row],[Fecha]],2)</f>
        <v>53</v>
      </c>
      <c r="R488" s="460" t="str">
        <f>TEXT(tblResultadosNBA[[#This Row],[Fecha]],"mmm")</f>
        <v>dic</v>
      </c>
    </row>
    <row r="489" spans="1:21">
      <c r="A489" s="445">
        <v>46021</v>
      </c>
      <c r="B489" s="331" t="s">
        <v>251</v>
      </c>
      <c r="C489" s="286" t="str">
        <f t="shared" si="434"/>
        <v>Sacramento Kings</v>
      </c>
      <c r="D489" s="286">
        <v>116</v>
      </c>
      <c r="E489" s="431">
        <v>90</v>
      </c>
      <c r="F489" s="332">
        <f t="shared" si="435"/>
        <v>0</v>
      </c>
      <c r="G489" s="286" t="str">
        <f t="shared" si="436"/>
        <v>LA Clippers</v>
      </c>
      <c r="H489" s="286">
        <v>126</v>
      </c>
      <c r="I489" s="431">
        <v>131</v>
      </c>
      <c r="J489" s="332">
        <f t="shared" si="437"/>
        <v>1</v>
      </c>
      <c r="K489" s="286">
        <f t="shared" si="438"/>
        <v>242</v>
      </c>
      <c r="L489" s="431">
        <f t="shared" si="439"/>
        <v>221</v>
      </c>
      <c r="M489" s="332">
        <f t="shared" si="440"/>
        <v>0</v>
      </c>
      <c r="N489" s="432">
        <f t="shared" si="441"/>
        <v>10</v>
      </c>
      <c r="O489" s="451">
        <f t="shared" si="442"/>
        <v>41</v>
      </c>
      <c r="P489" s="433">
        <f t="shared" si="443"/>
        <v>1</v>
      </c>
      <c r="Q489" s="460">
        <f>WEEKNUM(tblResultadosNBA[[#This Row],[Fecha]],2)</f>
        <v>53</v>
      </c>
      <c r="R489" s="460" t="str">
        <f>TEXT(tblResultadosNBA[[#This Row],[Fecha]],"mmm")</f>
        <v>dic</v>
      </c>
    </row>
    <row r="490" spans="1:21">
      <c r="A490" s="439">
        <v>46022</v>
      </c>
      <c r="B490" s="422" t="s">
        <v>252</v>
      </c>
      <c r="C490" s="341" t="str">
        <f>LEFT(B490,FIND("@",B490)-2)</f>
        <v>Golden State Warriors</v>
      </c>
      <c r="D490" s="341">
        <v>133</v>
      </c>
      <c r="E490" s="342">
        <v>132</v>
      </c>
      <c r="F490" s="333">
        <f>IF(E490&gt;D490, 1, 0)</f>
        <v>0</v>
      </c>
      <c r="G490" s="341" t="str">
        <f>MID(B490,FIND("@",B490)+2,LEN(B490)-FIND("@",B490)-1)</f>
        <v>Charlotte Hornets</v>
      </c>
      <c r="H490" s="341">
        <v>126</v>
      </c>
      <c r="I490" s="342">
        <v>125</v>
      </c>
      <c r="J490" s="333">
        <f>IF(I490&gt;H490, 1, 0)</f>
        <v>0</v>
      </c>
      <c r="K490" s="341">
        <f>+D490+H490</f>
        <v>259</v>
      </c>
      <c r="L490" s="342">
        <f>E490+I490</f>
        <v>257</v>
      </c>
      <c r="M490" s="333">
        <f>IF(L490&gt;K490, 1, 0)</f>
        <v>0</v>
      </c>
      <c r="N490" s="343">
        <f>(+H490-D490)</f>
        <v>-7</v>
      </c>
      <c r="O490" s="449">
        <f>I490-E490</f>
        <v>-7</v>
      </c>
      <c r="P490" s="289">
        <f>IF(OR(AND(N490&gt;0,O490&gt;0),AND(N490&lt;0,O490&lt;0)),1,0)</f>
        <v>1</v>
      </c>
      <c r="Q490" s="460">
        <f>WEEKNUM(tblResultadosNBA[[#This Row],[Fecha]],2)</f>
        <v>53</v>
      </c>
      <c r="R490" s="460" t="str">
        <f>TEXT(tblResultadosNBA[[#This Row],[Fecha]],"mmm")</f>
        <v>dic</v>
      </c>
    </row>
    <row r="491" spans="1:21">
      <c r="A491" s="419">
        <v>46022</v>
      </c>
      <c r="B491" s="302" t="s">
        <v>809</v>
      </c>
      <c r="C491" s="177" t="str">
        <f t="shared" ref="C491:C498" si="444">LEFT(B491,FIND("@",B491)-2)</f>
        <v>Minnesota Timberwolves</v>
      </c>
      <c r="D491" s="177">
        <v>122</v>
      </c>
      <c r="E491" s="336">
        <v>102</v>
      </c>
      <c r="F491" s="327">
        <f t="shared" ref="F491:F498" si="445">IF(E491&gt;D491, 1, 0)</f>
        <v>0</v>
      </c>
      <c r="G491" s="177" t="str">
        <f t="shared" ref="G491:G498" si="446">MID(B491,FIND("@",B491)+2,LEN(B491)-FIND("@",B491)-1)</f>
        <v>Atlanta Hawks</v>
      </c>
      <c r="H491" s="177">
        <v>119</v>
      </c>
      <c r="I491" s="336">
        <v>126</v>
      </c>
      <c r="J491" s="327">
        <f t="shared" ref="J491:J498" si="447">IF(I491&gt;H491, 1, 0)</f>
        <v>1</v>
      </c>
      <c r="K491" s="177">
        <f t="shared" ref="K491:K498" si="448">+D491+H491</f>
        <v>241</v>
      </c>
      <c r="L491" s="336">
        <f t="shared" ref="L491:L498" si="449">E491+I491</f>
        <v>228</v>
      </c>
      <c r="M491" s="327">
        <f t="shared" ref="M491:M498" si="450">IF(L491&gt;K491, 1, 0)</f>
        <v>0</v>
      </c>
      <c r="N491" s="337">
        <f t="shared" ref="N491:N498" si="451">(+H491-D491)</f>
        <v>-3</v>
      </c>
      <c r="O491" s="395">
        <f t="shared" ref="O491:O498" si="452">I491-E491</f>
        <v>24</v>
      </c>
      <c r="P491" s="289">
        <f t="shared" ref="P491:P498" si="453">IF(OR(AND(N491&gt;0,O491&gt;0),AND(N491&lt;0,O491&lt;0)),1,0)</f>
        <v>0</v>
      </c>
      <c r="Q491" s="460">
        <f>WEEKNUM(tblResultadosNBA[[#This Row],[Fecha]],2)</f>
        <v>53</v>
      </c>
      <c r="R491" s="460" t="str">
        <f>TEXT(tblResultadosNBA[[#This Row],[Fecha]],"mmm")</f>
        <v>dic</v>
      </c>
    </row>
    <row r="492" spans="1:21">
      <c r="A492" s="419">
        <v>46022</v>
      </c>
      <c r="B492" s="302" t="s">
        <v>810</v>
      </c>
      <c r="C492" s="177" t="str">
        <f t="shared" si="444"/>
        <v>Orlando Magic</v>
      </c>
      <c r="D492" s="177">
        <v>106</v>
      </c>
      <c r="E492" s="336">
        <v>112</v>
      </c>
      <c r="F492" s="327">
        <f t="shared" si="445"/>
        <v>1</v>
      </c>
      <c r="G492" s="177" t="str">
        <f t="shared" si="446"/>
        <v>Indiana Pacers</v>
      </c>
      <c r="H492" s="177">
        <v>111</v>
      </c>
      <c r="I492" s="336">
        <v>110</v>
      </c>
      <c r="J492" s="327">
        <f t="shared" si="447"/>
        <v>0</v>
      </c>
      <c r="K492" s="177">
        <f t="shared" si="448"/>
        <v>217</v>
      </c>
      <c r="L492" s="336">
        <f t="shared" si="449"/>
        <v>222</v>
      </c>
      <c r="M492" s="327">
        <f t="shared" si="450"/>
        <v>1</v>
      </c>
      <c r="N492" s="337">
        <f t="shared" si="451"/>
        <v>5</v>
      </c>
      <c r="O492" s="395">
        <f t="shared" si="452"/>
        <v>-2</v>
      </c>
      <c r="P492" s="289">
        <f t="shared" si="453"/>
        <v>0</v>
      </c>
      <c r="Q492" s="460">
        <f>WEEKNUM(tblResultadosNBA[[#This Row],[Fecha]],2)</f>
        <v>53</v>
      </c>
      <c r="R492" s="460" t="str">
        <f>TEXT(tblResultadosNBA[[#This Row],[Fecha]],"mmm")</f>
        <v>dic</v>
      </c>
    </row>
    <row r="493" spans="1:21">
      <c r="A493" s="419">
        <v>46022</v>
      </c>
      <c r="B493" s="302" t="s">
        <v>253</v>
      </c>
      <c r="C493" s="177" t="str">
        <f t="shared" si="444"/>
        <v>Phoenix Suns</v>
      </c>
      <c r="D493" s="177">
        <v>118</v>
      </c>
      <c r="E493" s="336">
        <v>113</v>
      </c>
      <c r="F493" s="327">
        <f t="shared" si="445"/>
        <v>0</v>
      </c>
      <c r="G493" s="177" t="str">
        <f t="shared" si="446"/>
        <v>Cleveland Cavaliers</v>
      </c>
      <c r="H493" s="177">
        <v>121</v>
      </c>
      <c r="I493" s="336">
        <v>129</v>
      </c>
      <c r="J493" s="327">
        <f t="shared" si="447"/>
        <v>1</v>
      </c>
      <c r="K493" s="177">
        <f t="shared" si="448"/>
        <v>239</v>
      </c>
      <c r="L493" s="336">
        <f t="shared" si="449"/>
        <v>242</v>
      </c>
      <c r="M493" s="327">
        <f t="shared" si="450"/>
        <v>1</v>
      </c>
      <c r="N493" s="337">
        <f t="shared" si="451"/>
        <v>3</v>
      </c>
      <c r="O493" s="395">
        <f t="shared" si="452"/>
        <v>16</v>
      </c>
      <c r="P493" s="289">
        <f t="shared" si="453"/>
        <v>1</v>
      </c>
      <c r="Q493" s="460">
        <f>WEEKNUM(tblResultadosNBA[[#This Row],[Fecha]],2)</f>
        <v>53</v>
      </c>
      <c r="R493" s="460" t="str">
        <f>TEXT(tblResultadosNBA[[#This Row],[Fecha]],"mmm")</f>
        <v>dic</v>
      </c>
    </row>
    <row r="494" spans="1:21">
      <c r="A494" s="419">
        <v>46022</v>
      </c>
      <c r="B494" s="302" t="s">
        <v>181</v>
      </c>
      <c r="C494" s="177" t="str">
        <f t="shared" si="444"/>
        <v>New Orleans Pelicans</v>
      </c>
      <c r="D494" s="177">
        <v>121</v>
      </c>
      <c r="E494" s="336">
        <v>118</v>
      </c>
      <c r="F494" s="327">
        <f t="shared" si="445"/>
        <v>0</v>
      </c>
      <c r="G494" s="177" t="str">
        <f t="shared" si="446"/>
        <v>Chicago Bulls</v>
      </c>
      <c r="H494" s="177">
        <v>115</v>
      </c>
      <c r="I494" s="336">
        <v>134</v>
      </c>
      <c r="J494" s="327">
        <f t="shared" si="447"/>
        <v>1</v>
      </c>
      <c r="K494" s="177">
        <f t="shared" si="448"/>
        <v>236</v>
      </c>
      <c r="L494" s="336">
        <f t="shared" si="449"/>
        <v>252</v>
      </c>
      <c r="M494" s="327">
        <f t="shared" si="450"/>
        <v>1</v>
      </c>
      <c r="N494" s="337">
        <f t="shared" si="451"/>
        <v>-6</v>
      </c>
      <c r="O494" s="395">
        <f t="shared" si="452"/>
        <v>16</v>
      </c>
      <c r="P494" s="289">
        <f t="shared" si="453"/>
        <v>0</v>
      </c>
      <c r="Q494" s="460">
        <f>WEEKNUM(tblResultadosNBA[[#This Row],[Fecha]],2)</f>
        <v>53</v>
      </c>
      <c r="R494" s="460" t="str">
        <f>TEXT(tblResultadosNBA[[#This Row],[Fecha]],"mmm")</f>
        <v>dic</v>
      </c>
    </row>
    <row r="495" spans="1:21">
      <c r="A495" s="419">
        <v>46022</v>
      </c>
      <c r="B495" s="302" t="s">
        <v>254</v>
      </c>
      <c r="C495" s="177" t="str">
        <f t="shared" si="444"/>
        <v>New York Knicks</v>
      </c>
      <c r="D495" s="177">
        <v>125</v>
      </c>
      <c r="E495" s="336">
        <v>132</v>
      </c>
      <c r="F495" s="327">
        <f t="shared" si="445"/>
        <v>1</v>
      </c>
      <c r="G495" s="177" t="str">
        <f t="shared" si="446"/>
        <v>San Antonio Spurs</v>
      </c>
      <c r="H495" s="177">
        <v>133</v>
      </c>
      <c r="I495" s="336">
        <v>134</v>
      </c>
      <c r="J495" s="327">
        <f t="shared" si="447"/>
        <v>1</v>
      </c>
      <c r="K495" s="177">
        <f t="shared" si="448"/>
        <v>258</v>
      </c>
      <c r="L495" s="336">
        <f t="shared" si="449"/>
        <v>266</v>
      </c>
      <c r="M495" s="327">
        <f t="shared" si="450"/>
        <v>1</v>
      </c>
      <c r="N495" s="337">
        <f t="shared" si="451"/>
        <v>8</v>
      </c>
      <c r="O495" s="395">
        <f t="shared" si="452"/>
        <v>2</v>
      </c>
      <c r="P495" s="289">
        <f t="shared" si="453"/>
        <v>1</v>
      </c>
      <c r="Q495" s="460">
        <f>WEEKNUM(tblResultadosNBA[[#This Row],[Fecha]],2)</f>
        <v>53</v>
      </c>
      <c r="R495" s="460" t="str">
        <f>TEXT(tblResultadosNBA[[#This Row],[Fecha]],"mmm")</f>
        <v>dic</v>
      </c>
    </row>
    <row r="496" spans="1:21">
      <c r="A496" s="419">
        <v>46022</v>
      </c>
      <c r="B496" s="302" t="s">
        <v>811</v>
      </c>
      <c r="C496" s="177" t="str">
        <f t="shared" si="444"/>
        <v>Denver Nuggets</v>
      </c>
      <c r="D496" s="177">
        <v>116</v>
      </c>
      <c r="E496" s="336">
        <v>106</v>
      </c>
      <c r="F496" s="327">
        <f t="shared" si="445"/>
        <v>0</v>
      </c>
      <c r="G496" s="177" t="str">
        <f t="shared" si="446"/>
        <v>Toronto Raptors</v>
      </c>
      <c r="H496" s="177">
        <v>107</v>
      </c>
      <c r="I496" s="336">
        <v>103</v>
      </c>
      <c r="J496" s="327">
        <f t="shared" si="447"/>
        <v>0</v>
      </c>
      <c r="K496" s="177">
        <f t="shared" si="448"/>
        <v>223</v>
      </c>
      <c r="L496" s="336">
        <f t="shared" si="449"/>
        <v>209</v>
      </c>
      <c r="M496" s="327">
        <f t="shared" si="450"/>
        <v>0</v>
      </c>
      <c r="N496" s="337">
        <f t="shared" si="451"/>
        <v>-9</v>
      </c>
      <c r="O496" s="395">
        <f t="shared" si="452"/>
        <v>-3</v>
      </c>
      <c r="P496" s="289">
        <f t="shared" si="453"/>
        <v>1</v>
      </c>
      <c r="Q496" s="460">
        <f>WEEKNUM(tblResultadosNBA[[#This Row],[Fecha]],2)</f>
        <v>53</v>
      </c>
      <c r="R496" s="460" t="str">
        <f>TEXT(tblResultadosNBA[[#This Row],[Fecha]],"mmm")</f>
        <v>dic</v>
      </c>
    </row>
    <row r="497" spans="1:18">
      <c r="A497" s="419">
        <v>46022</v>
      </c>
      <c r="B497" s="302" t="s">
        <v>255</v>
      </c>
      <c r="C497" s="177" t="str">
        <f t="shared" si="444"/>
        <v>Washington Wizards</v>
      </c>
      <c r="D497" s="177">
        <v>108</v>
      </c>
      <c r="E497" s="336">
        <v>114</v>
      </c>
      <c r="F497" s="327">
        <f t="shared" si="445"/>
        <v>1</v>
      </c>
      <c r="G497" s="177" t="str">
        <f t="shared" si="446"/>
        <v>Milwaukee Bucks</v>
      </c>
      <c r="H497" s="177">
        <v>125</v>
      </c>
      <c r="I497" s="336">
        <v>113</v>
      </c>
      <c r="J497" s="327">
        <f t="shared" si="447"/>
        <v>0</v>
      </c>
      <c r="K497" s="177">
        <f t="shared" si="448"/>
        <v>233</v>
      </c>
      <c r="L497" s="336">
        <f t="shared" si="449"/>
        <v>227</v>
      </c>
      <c r="M497" s="327">
        <f t="shared" si="450"/>
        <v>0</v>
      </c>
      <c r="N497" s="337">
        <f t="shared" si="451"/>
        <v>17</v>
      </c>
      <c r="O497" s="395">
        <f t="shared" si="452"/>
        <v>-1</v>
      </c>
      <c r="P497" s="289">
        <f t="shared" si="453"/>
        <v>0</v>
      </c>
      <c r="Q497" s="460">
        <f>WEEKNUM(tblResultadosNBA[[#This Row],[Fecha]],2)</f>
        <v>53</v>
      </c>
      <c r="R497" s="460" t="str">
        <f>TEXT(tblResultadosNBA[[#This Row],[Fecha]],"mmm")</f>
        <v>dic</v>
      </c>
    </row>
    <row r="498" spans="1:18">
      <c r="A498" s="445">
        <v>46022</v>
      </c>
      <c r="B498" s="331" t="s">
        <v>95</v>
      </c>
      <c r="C498" s="286" t="str">
        <f t="shared" si="444"/>
        <v>Portland Trail Blazers</v>
      </c>
      <c r="D498" s="286">
        <v>108</v>
      </c>
      <c r="E498" s="431">
        <v>95</v>
      </c>
      <c r="F498" s="332">
        <f t="shared" si="445"/>
        <v>0</v>
      </c>
      <c r="G498" s="286" t="str">
        <f t="shared" si="446"/>
        <v>Oklahoma City Thunder</v>
      </c>
      <c r="H498" s="286">
        <v>125</v>
      </c>
      <c r="I498" s="431">
        <v>124</v>
      </c>
      <c r="J498" s="332">
        <f t="shared" si="447"/>
        <v>0</v>
      </c>
      <c r="K498" s="286">
        <f t="shared" si="448"/>
        <v>233</v>
      </c>
      <c r="L498" s="431">
        <f t="shared" si="449"/>
        <v>219</v>
      </c>
      <c r="M498" s="332">
        <f t="shared" si="450"/>
        <v>0</v>
      </c>
      <c r="N498" s="432">
        <f t="shared" si="451"/>
        <v>17</v>
      </c>
      <c r="O498" s="451">
        <f t="shared" si="452"/>
        <v>29</v>
      </c>
      <c r="P498" s="433">
        <f t="shared" si="453"/>
        <v>1</v>
      </c>
      <c r="Q498" s="460">
        <f>WEEKNUM(tblResultadosNBA[[#This Row],[Fecha]],2)</f>
        <v>53</v>
      </c>
      <c r="R498" s="460" t="str">
        <f>TEXT(tblResultadosNBA[[#This Row],[Fecha]],"mmm")</f>
        <v>dic</v>
      </c>
    </row>
    <row r="499" spans="1:18">
      <c r="A499" s="439">
        <v>46023</v>
      </c>
      <c r="B499" s="422" t="s">
        <v>812</v>
      </c>
      <c r="C499" s="341" t="str">
        <f>LEFT(B499,FIND("@",B499)-2)</f>
        <v>Houston Rockets</v>
      </c>
      <c r="D499" s="341">
        <v>128</v>
      </c>
      <c r="E499" s="342">
        <v>120</v>
      </c>
      <c r="F499" s="333">
        <f>IF(E499&gt;D499, 1, 0)</f>
        <v>0</v>
      </c>
      <c r="G499" s="341" t="str">
        <f>MID(B499,FIND("@",B499)+2,LEN(B499)-FIND("@",B499)-1)</f>
        <v>Brooklyn Nets</v>
      </c>
      <c r="H499" s="341">
        <v>114</v>
      </c>
      <c r="I499" s="342">
        <v>96</v>
      </c>
      <c r="J499" s="333">
        <f>IF(I499&gt;H499, 1, 0)</f>
        <v>0</v>
      </c>
      <c r="K499" s="341">
        <f>+D499+H499</f>
        <v>242</v>
      </c>
      <c r="L499" s="342">
        <f>E499+I499</f>
        <v>216</v>
      </c>
      <c r="M499" s="333">
        <f>IF(L499&gt;K499, 1, 0)</f>
        <v>0</v>
      </c>
      <c r="N499" s="343">
        <f>(+H499-D499)</f>
        <v>-14</v>
      </c>
      <c r="O499" s="449">
        <f>I499-E499</f>
        <v>-24</v>
      </c>
      <c r="P499" s="289">
        <f>IF(OR(AND(N499&gt;0,O499&gt;0),AND(N499&lt;0,O499&lt;0)),1,0)</f>
        <v>1</v>
      </c>
      <c r="Q499" s="460">
        <f>WEEKNUM(tblResultadosNBA[[#This Row],[Fecha]],2)</f>
        <v>1</v>
      </c>
      <c r="R499" s="460" t="str">
        <f>TEXT(tblResultadosNBA[[#This Row],[Fecha]],"mmm")</f>
        <v>ene</v>
      </c>
    </row>
    <row r="500" spans="1:18">
      <c r="A500" s="439">
        <v>46023</v>
      </c>
      <c r="B500" s="302" t="s">
        <v>813</v>
      </c>
      <c r="C500" s="177" t="str">
        <f t="shared" ref="C500:C503" si="454">LEFT(B500,FIND("@",B500)-2)</f>
        <v>Miami Heat</v>
      </c>
      <c r="D500" s="177">
        <v>114</v>
      </c>
      <c r="E500" s="336">
        <v>118</v>
      </c>
      <c r="F500" s="327">
        <f t="shared" ref="F500:F503" si="455">IF(E500&gt;D500, 1, 0)</f>
        <v>1</v>
      </c>
      <c r="G500" s="177" t="str">
        <f t="shared" ref="G500:G503" si="456">MID(B500,FIND("@",B500)+2,LEN(B500)-FIND("@",B500)-1)</f>
        <v>Detroit Pistons</v>
      </c>
      <c r="H500" s="177">
        <v>117</v>
      </c>
      <c r="I500" s="336">
        <v>112</v>
      </c>
      <c r="J500" s="327">
        <f t="shared" ref="J500:J503" si="457">IF(I500&gt;H500, 1, 0)</f>
        <v>0</v>
      </c>
      <c r="K500" s="177">
        <f t="shared" ref="K500:K503" si="458">+D500+H500</f>
        <v>231</v>
      </c>
      <c r="L500" s="336">
        <f t="shared" ref="L500:L503" si="459">E500+I500</f>
        <v>230</v>
      </c>
      <c r="M500" s="327">
        <f t="shared" ref="M500:M503" si="460">IF(L500&gt;K500, 1, 0)</f>
        <v>0</v>
      </c>
      <c r="N500" s="337">
        <f t="shared" ref="N500:N503" si="461">(+H500-D500)</f>
        <v>3</v>
      </c>
      <c r="O500" s="395">
        <f t="shared" ref="O500:O503" si="462">I500-E500</f>
        <v>-6</v>
      </c>
      <c r="P500" s="289">
        <f t="shared" ref="P500:P503" si="463">IF(OR(AND(N500&gt;0,O500&gt;0),AND(N500&lt;0,O500&lt;0)),1,0)</f>
        <v>0</v>
      </c>
      <c r="Q500" s="460">
        <f>WEEKNUM(tblResultadosNBA[[#This Row],[Fecha]],2)</f>
        <v>1</v>
      </c>
      <c r="R500" s="460" t="str">
        <f>TEXT(tblResultadosNBA[[#This Row],[Fecha]],"mmm")</f>
        <v>ene</v>
      </c>
    </row>
    <row r="501" spans="1:18">
      <c r="A501" s="439">
        <v>46023</v>
      </c>
      <c r="B501" s="302" t="s">
        <v>814</v>
      </c>
      <c r="C501" s="177" t="str">
        <f t="shared" si="454"/>
        <v>Philadelphia 76ers</v>
      </c>
      <c r="D501" s="177">
        <v>110</v>
      </c>
      <c r="E501" s="336">
        <v>123</v>
      </c>
      <c r="F501" s="327">
        <f t="shared" si="455"/>
        <v>1</v>
      </c>
      <c r="G501" s="177" t="str">
        <f t="shared" si="456"/>
        <v>Dallas Mavericks</v>
      </c>
      <c r="H501" s="177">
        <v>110</v>
      </c>
      <c r="I501" s="336">
        <v>108</v>
      </c>
      <c r="J501" s="327">
        <f t="shared" si="457"/>
        <v>0</v>
      </c>
      <c r="K501" s="177">
        <f t="shared" si="458"/>
        <v>220</v>
      </c>
      <c r="L501" s="336">
        <f t="shared" si="459"/>
        <v>231</v>
      </c>
      <c r="M501" s="327">
        <f t="shared" si="460"/>
        <v>1</v>
      </c>
      <c r="N501" s="337">
        <f t="shared" si="461"/>
        <v>0</v>
      </c>
      <c r="O501" s="395">
        <f t="shared" si="462"/>
        <v>-15</v>
      </c>
      <c r="P501" s="289">
        <f t="shared" si="463"/>
        <v>0</v>
      </c>
      <c r="Q501" s="460">
        <f>WEEKNUM(tblResultadosNBA[[#This Row],[Fecha]],2)</f>
        <v>1</v>
      </c>
      <c r="R501" s="460" t="str">
        <f>TEXT(tblResultadosNBA[[#This Row],[Fecha]],"mmm")</f>
        <v>ene</v>
      </c>
    </row>
    <row r="502" spans="1:18">
      <c r="A502" s="439">
        <v>46023</v>
      </c>
      <c r="B502" s="302" t="s">
        <v>257</v>
      </c>
      <c r="C502" s="177" t="str">
        <f t="shared" si="454"/>
        <v>Boston Celtics</v>
      </c>
      <c r="D502" s="177">
        <v>121</v>
      </c>
      <c r="E502" s="336">
        <v>120</v>
      </c>
      <c r="F502" s="327">
        <f t="shared" si="455"/>
        <v>0</v>
      </c>
      <c r="G502" s="177" t="str">
        <f t="shared" si="456"/>
        <v>Sacramento Kings</v>
      </c>
      <c r="H502" s="177">
        <v>116</v>
      </c>
      <c r="I502" s="336">
        <v>106</v>
      </c>
      <c r="J502" s="327">
        <f t="shared" si="457"/>
        <v>0</v>
      </c>
      <c r="K502" s="177">
        <f t="shared" si="458"/>
        <v>237</v>
      </c>
      <c r="L502" s="336">
        <f t="shared" si="459"/>
        <v>226</v>
      </c>
      <c r="M502" s="327">
        <f t="shared" si="460"/>
        <v>0</v>
      </c>
      <c r="N502" s="337">
        <f t="shared" si="461"/>
        <v>-5</v>
      </c>
      <c r="O502" s="395">
        <f t="shared" si="462"/>
        <v>-14</v>
      </c>
      <c r="P502" s="289">
        <f t="shared" si="463"/>
        <v>1</v>
      </c>
      <c r="Q502" s="460">
        <f>WEEKNUM(tblResultadosNBA[[#This Row],[Fecha]],2)</f>
        <v>1</v>
      </c>
      <c r="R502" s="460" t="str">
        <f>TEXT(tblResultadosNBA[[#This Row],[Fecha]],"mmm")</f>
        <v>ene</v>
      </c>
    </row>
    <row r="503" spans="1:18">
      <c r="A503" s="446">
        <v>46023</v>
      </c>
      <c r="B503" s="331" t="s">
        <v>256</v>
      </c>
      <c r="C503" s="286" t="str">
        <f t="shared" si="454"/>
        <v>Utah Jazz</v>
      </c>
      <c r="D503" s="286">
        <v>118</v>
      </c>
      <c r="E503" s="431">
        <v>101</v>
      </c>
      <c r="F503" s="332">
        <f t="shared" si="455"/>
        <v>0</v>
      </c>
      <c r="G503" s="286" t="str">
        <f t="shared" si="456"/>
        <v>LA Clippers</v>
      </c>
      <c r="H503" s="286">
        <v>121</v>
      </c>
      <c r="I503" s="431">
        <v>118</v>
      </c>
      <c r="J503" s="332">
        <f t="shared" si="457"/>
        <v>0</v>
      </c>
      <c r="K503" s="286">
        <f t="shared" si="458"/>
        <v>239</v>
      </c>
      <c r="L503" s="431">
        <f t="shared" si="459"/>
        <v>219</v>
      </c>
      <c r="M503" s="332">
        <f t="shared" si="460"/>
        <v>0</v>
      </c>
      <c r="N503" s="432">
        <f t="shared" si="461"/>
        <v>3</v>
      </c>
      <c r="O503" s="451">
        <f t="shared" si="462"/>
        <v>17</v>
      </c>
      <c r="P503" s="433">
        <f t="shared" si="463"/>
        <v>1</v>
      </c>
      <c r="Q503" s="460">
        <f>WEEKNUM(tblResultadosNBA[[#This Row],[Fecha]],2)</f>
        <v>1</v>
      </c>
      <c r="R503" s="460" t="str">
        <f>TEXT(tblResultadosNBA[[#This Row],[Fecha]],"mmm")</f>
        <v>ene</v>
      </c>
    </row>
    <row r="504" spans="1:18">
      <c r="A504" s="439">
        <v>46024</v>
      </c>
      <c r="B504" s="422" t="s">
        <v>258</v>
      </c>
      <c r="C504" s="341" t="str">
        <f>LEFT(B504,FIND("@",B504)-2)</f>
        <v>San Antonio Spurs</v>
      </c>
      <c r="D504" s="341">
        <v>128</v>
      </c>
      <c r="E504" s="342">
        <v>123</v>
      </c>
      <c r="F504" s="333">
        <f>IF(E504&gt;D504, 1, 0)</f>
        <v>0</v>
      </c>
      <c r="G504" s="341" t="str">
        <f>MID(B504,FIND("@",B504)+2,LEN(B504)-FIND("@",B504)-1)</f>
        <v>Indiana Pacers</v>
      </c>
      <c r="H504" s="341">
        <v>125</v>
      </c>
      <c r="I504" s="342">
        <v>113</v>
      </c>
      <c r="J504" s="333">
        <f>IF(I504&gt;H504, 1, 0)</f>
        <v>0</v>
      </c>
      <c r="K504" s="341">
        <f>+D504+H504</f>
        <v>253</v>
      </c>
      <c r="L504" s="342">
        <f>E504+I504</f>
        <v>236</v>
      </c>
      <c r="M504" s="333">
        <f>IF(L504&gt;K504, 1, 0)</f>
        <v>0</v>
      </c>
      <c r="N504" s="343">
        <f>(+H504-D504)</f>
        <v>-3</v>
      </c>
      <c r="O504" s="449">
        <f>I504-E504</f>
        <v>-10</v>
      </c>
      <c r="P504" s="289">
        <f>IF(OR(AND(N504&gt;0,O504&gt;0),AND(N504&lt;0,O504&lt;0)),1,0)</f>
        <v>1</v>
      </c>
      <c r="Q504" s="460">
        <f>WEEKNUM(tblResultadosNBA[[#This Row],[Fecha]],2)</f>
        <v>1</v>
      </c>
      <c r="R504" s="460" t="str">
        <f>TEXT(tblResultadosNBA[[#This Row],[Fecha]],"mmm")</f>
        <v>ene</v>
      </c>
    </row>
    <row r="505" spans="1:18">
      <c r="A505" s="439">
        <v>46024</v>
      </c>
      <c r="B505" s="302" t="s">
        <v>259</v>
      </c>
      <c r="C505" s="177" t="str">
        <f t="shared" ref="C505:C513" si="464">LEFT(B505,FIND("@",B505)-2)</f>
        <v>Brooklyn Nets</v>
      </c>
      <c r="D505" s="177">
        <v>119</v>
      </c>
      <c r="E505" s="336">
        <v>99</v>
      </c>
      <c r="F505" s="327">
        <f t="shared" ref="F505:F513" si="465">IF(E505&gt;D505, 1, 0)</f>
        <v>0</v>
      </c>
      <c r="G505" s="177" t="str">
        <f t="shared" ref="G505:G513" si="466">MID(B505,FIND("@",B505)+2,LEN(B505)-FIND("@",B505)-1)</f>
        <v>Washington Wizards</v>
      </c>
      <c r="H505" s="177">
        <v>133</v>
      </c>
      <c r="I505" s="336">
        <v>119</v>
      </c>
      <c r="J505" s="327">
        <f t="shared" ref="J505:J513" si="467">IF(I505&gt;H505, 1, 0)</f>
        <v>0</v>
      </c>
      <c r="K505" s="177">
        <f t="shared" ref="K505:K513" si="468">+D505+H505</f>
        <v>252</v>
      </c>
      <c r="L505" s="336">
        <f t="shared" ref="L505:L513" si="469">E505+I505</f>
        <v>218</v>
      </c>
      <c r="M505" s="327">
        <f t="shared" ref="M505:M513" si="470">IF(L505&gt;K505, 1, 0)</f>
        <v>0</v>
      </c>
      <c r="N505" s="337">
        <f t="shared" ref="N505:N513" si="471">(+H505-D505)</f>
        <v>14</v>
      </c>
      <c r="O505" s="395">
        <f t="shared" ref="O505:O513" si="472">I505-E505</f>
        <v>20</v>
      </c>
      <c r="P505" s="289">
        <f t="shared" ref="P505:P513" si="473">IF(OR(AND(N505&gt;0,O505&gt;0),AND(N505&lt;0,O505&lt;0)),1,0)</f>
        <v>1</v>
      </c>
      <c r="Q505" s="460">
        <f>WEEKNUM(tblResultadosNBA[[#This Row],[Fecha]],2)</f>
        <v>1</v>
      </c>
      <c r="R505" s="460" t="str">
        <f>TEXT(tblResultadosNBA[[#This Row],[Fecha]],"mmm")</f>
        <v>ene</v>
      </c>
    </row>
    <row r="506" spans="1:18">
      <c r="A506" s="439">
        <v>46024</v>
      </c>
      <c r="B506" s="302" t="s">
        <v>815</v>
      </c>
      <c r="C506" s="177" t="str">
        <f t="shared" si="464"/>
        <v>Denver Nuggets</v>
      </c>
      <c r="D506" s="177">
        <v>114</v>
      </c>
      <c r="E506" s="336">
        <v>108</v>
      </c>
      <c r="F506" s="327">
        <f t="shared" si="465"/>
        <v>0</v>
      </c>
      <c r="G506" s="177" t="str">
        <f t="shared" si="466"/>
        <v>Cleveland Cavaliers</v>
      </c>
      <c r="H506" s="177">
        <v>112</v>
      </c>
      <c r="I506" s="336">
        <v>113</v>
      </c>
      <c r="J506" s="327">
        <f t="shared" si="467"/>
        <v>1</v>
      </c>
      <c r="K506" s="177">
        <f t="shared" si="468"/>
        <v>226</v>
      </c>
      <c r="L506" s="336">
        <f t="shared" si="469"/>
        <v>221</v>
      </c>
      <c r="M506" s="327">
        <f t="shared" si="470"/>
        <v>0</v>
      </c>
      <c r="N506" s="337">
        <f t="shared" si="471"/>
        <v>-2</v>
      </c>
      <c r="O506" s="395">
        <f t="shared" si="472"/>
        <v>5</v>
      </c>
      <c r="P506" s="289">
        <f t="shared" si="473"/>
        <v>0</v>
      </c>
      <c r="Q506" s="460">
        <f>WEEKNUM(tblResultadosNBA[[#This Row],[Fecha]],2)</f>
        <v>1</v>
      </c>
      <c r="R506" s="460" t="str">
        <f>TEXT(tblResultadosNBA[[#This Row],[Fecha]],"mmm")</f>
        <v>ene</v>
      </c>
    </row>
    <row r="507" spans="1:18">
      <c r="A507" s="439">
        <v>46024</v>
      </c>
      <c r="B507" s="302" t="s">
        <v>260</v>
      </c>
      <c r="C507" s="177" t="str">
        <f t="shared" si="464"/>
        <v>Atlanta Hawks</v>
      </c>
      <c r="D507" s="177">
        <v>127</v>
      </c>
      <c r="E507" s="336">
        <v>111</v>
      </c>
      <c r="F507" s="327">
        <f t="shared" si="465"/>
        <v>0</v>
      </c>
      <c r="G507" s="177" t="str">
        <f t="shared" si="466"/>
        <v>New York Knicks</v>
      </c>
      <c r="H507" s="177">
        <v>136</v>
      </c>
      <c r="I507" s="336">
        <v>99</v>
      </c>
      <c r="J507" s="327">
        <f t="shared" si="467"/>
        <v>0</v>
      </c>
      <c r="K507" s="177">
        <f t="shared" si="468"/>
        <v>263</v>
      </c>
      <c r="L507" s="336">
        <f t="shared" si="469"/>
        <v>210</v>
      </c>
      <c r="M507" s="327">
        <f t="shared" si="470"/>
        <v>0</v>
      </c>
      <c r="N507" s="337">
        <f t="shared" si="471"/>
        <v>9</v>
      </c>
      <c r="O507" s="395">
        <f t="shared" si="472"/>
        <v>-12</v>
      </c>
      <c r="P507" s="289">
        <f t="shared" si="473"/>
        <v>0</v>
      </c>
      <c r="Q507" s="460">
        <f>WEEKNUM(tblResultadosNBA[[#This Row],[Fecha]],2)</f>
        <v>1</v>
      </c>
      <c r="R507" s="460" t="str">
        <f>TEXT(tblResultadosNBA[[#This Row],[Fecha]],"mmm")</f>
        <v>ene</v>
      </c>
    </row>
    <row r="508" spans="1:18">
      <c r="A508" s="439">
        <v>46024</v>
      </c>
      <c r="B508" s="302" t="s">
        <v>581</v>
      </c>
      <c r="C508" s="177" t="str">
        <f t="shared" si="464"/>
        <v>Orlando Magic</v>
      </c>
      <c r="D508" s="177">
        <v>119</v>
      </c>
      <c r="E508" s="336">
        <v>114</v>
      </c>
      <c r="F508" s="327">
        <f t="shared" si="465"/>
        <v>0</v>
      </c>
      <c r="G508" s="177" t="str">
        <f t="shared" si="466"/>
        <v>Chicago Bulls</v>
      </c>
      <c r="H508" s="177">
        <v>105</v>
      </c>
      <c r="I508" s="336">
        <v>121</v>
      </c>
      <c r="J508" s="327">
        <f t="shared" si="467"/>
        <v>1</v>
      </c>
      <c r="K508" s="177">
        <f t="shared" si="468"/>
        <v>224</v>
      </c>
      <c r="L508" s="336">
        <f t="shared" si="469"/>
        <v>235</v>
      </c>
      <c r="M508" s="327">
        <f t="shared" si="470"/>
        <v>1</v>
      </c>
      <c r="N508" s="337">
        <f t="shared" si="471"/>
        <v>-14</v>
      </c>
      <c r="O508" s="395">
        <f t="shared" si="472"/>
        <v>7</v>
      </c>
      <c r="P508" s="289">
        <f t="shared" si="473"/>
        <v>0</v>
      </c>
      <c r="Q508" s="460">
        <f>WEEKNUM(tblResultadosNBA[[#This Row],[Fecha]],2)</f>
        <v>1</v>
      </c>
      <c r="R508" s="460" t="str">
        <f>TEXT(tblResultadosNBA[[#This Row],[Fecha]],"mmm")</f>
        <v>ene</v>
      </c>
    </row>
    <row r="509" spans="1:18">
      <c r="A509" s="439">
        <v>46024</v>
      </c>
      <c r="B509" s="302" t="s">
        <v>760</v>
      </c>
      <c r="C509" s="177" t="str">
        <f t="shared" si="464"/>
        <v>Charlotte Hornets</v>
      </c>
      <c r="D509" s="177">
        <v>107</v>
      </c>
      <c r="E509" s="336">
        <v>121</v>
      </c>
      <c r="F509" s="327">
        <f t="shared" si="465"/>
        <v>1</v>
      </c>
      <c r="G509" s="177" t="str">
        <f t="shared" si="466"/>
        <v>Milwaukee Bucks</v>
      </c>
      <c r="H509" s="177">
        <v>120</v>
      </c>
      <c r="I509" s="336">
        <v>122</v>
      </c>
      <c r="J509" s="327">
        <f t="shared" si="467"/>
        <v>1</v>
      </c>
      <c r="K509" s="177">
        <f t="shared" si="468"/>
        <v>227</v>
      </c>
      <c r="L509" s="336">
        <f t="shared" si="469"/>
        <v>243</v>
      </c>
      <c r="M509" s="327">
        <f t="shared" si="470"/>
        <v>1</v>
      </c>
      <c r="N509" s="337">
        <f t="shared" si="471"/>
        <v>13</v>
      </c>
      <c r="O509" s="395">
        <f t="shared" si="472"/>
        <v>1</v>
      </c>
      <c r="P509" s="289">
        <f t="shared" si="473"/>
        <v>1</v>
      </c>
      <c r="Q509" s="460">
        <f>WEEKNUM(tblResultadosNBA[[#This Row],[Fecha]],2)</f>
        <v>1</v>
      </c>
      <c r="R509" s="460" t="str">
        <f>TEXT(tblResultadosNBA[[#This Row],[Fecha]],"mmm")</f>
        <v>ene</v>
      </c>
    </row>
    <row r="510" spans="1:18">
      <c r="A510" s="439">
        <v>46024</v>
      </c>
      <c r="B510" s="302" t="s">
        <v>42</v>
      </c>
      <c r="C510" s="177" t="str">
        <f t="shared" si="464"/>
        <v>Portland Trail Blazers</v>
      </c>
      <c r="D510" s="177">
        <v>121</v>
      </c>
      <c r="E510" s="336">
        <v>122</v>
      </c>
      <c r="F510" s="327">
        <f t="shared" si="465"/>
        <v>1</v>
      </c>
      <c r="G510" s="177" t="str">
        <f t="shared" si="466"/>
        <v>New Orleans Pelicans</v>
      </c>
      <c r="H510" s="177">
        <v>125</v>
      </c>
      <c r="I510" s="336">
        <v>109</v>
      </c>
      <c r="J510" s="327">
        <f t="shared" si="467"/>
        <v>0</v>
      </c>
      <c r="K510" s="177">
        <f t="shared" si="468"/>
        <v>246</v>
      </c>
      <c r="L510" s="336">
        <f t="shared" si="469"/>
        <v>231</v>
      </c>
      <c r="M510" s="327">
        <f t="shared" si="470"/>
        <v>0</v>
      </c>
      <c r="N510" s="337">
        <f t="shared" si="471"/>
        <v>4</v>
      </c>
      <c r="O510" s="395">
        <f t="shared" si="472"/>
        <v>-13</v>
      </c>
      <c r="P510" s="289">
        <f t="shared" si="473"/>
        <v>0</v>
      </c>
      <c r="Q510" s="460">
        <f>WEEKNUM(tblResultadosNBA[[#This Row],[Fecha]],2)</f>
        <v>1</v>
      </c>
      <c r="R510" s="460" t="str">
        <f>TEXT(tblResultadosNBA[[#This Row],[Fecha]],"mmm")</f>
        <v>ene</v>
      </c>
    </row>
    <row r="511" spans="1:18">
      <c r="A511" s="439">
        <v>46024</v>
      </c>
      <c r="B511" s="302" t="s">
        <v>668</v>
      </c>
      <c r="C511" s="177" t="str">
        <f t="shared" si="464"/>
        <v>Sacramento Kings</v>
      </c>
      <c r="D511" s="177">
        <v>106</v>
      </c>
      <c r="E511" s="336">
        <v>102</v>
      </c>
      <c r="F511" s="327">
        <f t="shared" si="465"/>
        <v>0</v>
      </c>
      <c r="G511" s="177" t="str">
        <f t="shared" si="466"/>
        <v>Phoenix Suns</v>
      </c>
      <c r="H511" s="177">
        <v>116</v>
      </c>
      <c r="I511" s="336">
        <v>129</v>
      </c>
      <c r="J511" s="327">
        <f t="shared" si="467"/>
        <v>1</v>
      </c>
      <c r="K511" s="177">
        <f t="shared" si="468"/>
        <v>222</v>
      </c>
      <c r="L511" s="336">
        <f t="shared" si="469"/>
        <v>231</v>
      </c>
      <c r="M511" s="327">
        <f t="shared" si="470"/>
        <v>1</v>
      </c>
      <c r="N511" s="337">
        <f t="shared" si="471"/>
        <v>10</v>
      </c>
      <c r="O511" s="395">
        <f t="shared" si="472"/>
        <v>27</v>
      </c>
      <c r="P511" s="289">
        <f t="shared" si="473"/>
        <v>1</v>
      </c>
      <c r="Q511" s="460">
        <f>WEEKNUM(tblResultadosNBA[[#This Row],[Fecha]],2)</f>
        <v>1</v>
      </c>
      <c r="R511" s="460" t="str">
        <f>TEXT(tblResultadosNBA[[#This Row],[Fecha]],"mmm")</f>
        <v>ene</v>
      </c>
    </row>
    <row r="512" spans="1:18">
      <c r="A512" s="439">
        <v>46024</v>
      </c>
      <c r="B512" s="302" t="s">
        <v>136</v>
      </c>
      <c r="C512" s="177" t="str">
        <f t="shared" si="464"/>
        <v>Oklahoma City Thunder</v>
      </c>
      <c r="D512" s="177">
        <v>120</v>
      </c>
      <c r="E512" s="336">
        <v>131</v>
      </c>
      <c r="F512" s="327">
        <f t="shared" si="465"/>
        <v>1</v>
      </c>
      <c r="G512" s="177" t="str">
        <f t="shared" si="466"/>
        <v>Golden State Warriors</v>
      </c>
      <c r="H512" s="177">
        <v>123</v>
      </c>
      <c r="I512" s="336">
        <v>94</v>
      </c>
      <c r="J512" s="327">
        <f t="shared" si="467"/>
        <v>0</v>
      </c>
      <c r="K512" s="177">
        <f t="shared" si="468"/>
        <v>243</v>
      </c>
      <c r="L512" s="336">
        <f t="shared" si="469"/>
        <v>225</v>
      </c>
      <c r="M512" s="327">
        <f t="shared" si="470"/>
        <v>0</v>
      </c>
      <c r="N512" s="337">
        <f t="shared" si="471"/>
        <v>3</v>
      </c>
      <c r="O512" s="395">
        <f t="shared" si="472"/>
        <v>-37</v>
      </c>
      <c r="P512" s="289">
        <f t="shared" si="473"/>
        <v>0</v>
      </c>
      <c r="Q512" s="460">
        <f>WEEKNUM(tblResultadosNBA[[#This Row],[Fecha]],2)</f>
        <v>1</v>
      </c>
      <c r="R512" s="460" t="str">
        <f>TEXT(tblResultadosNBA[[#This Row],[Fecha]],"mmm")</f>
        <v>ene</v>
      </c>
    </row>
    <row r="513" spans="1:18">
      <c r="A513" s="446">
        <v>46024</v>
      </c>
      <c r="B513" s="331" t="s">
        <v>816</v>
      </c>
      <c r="C513" s="286" t="str">
        <f t="shared" si="464"/>
        <v>Memphis Grizzlies</v>
      </c>
      <c r="D513" s="286">
        <v>114</v>
      </c>
      <c r="E513" s="431">
        <v>121</v>
      </c>
      <c r="F513" s="332">
        <f t="shared" si="465"/>
        <v>1</v>
      </c>
      <c r="G513" s="286" t="str">
        <f t="shared" si="466"/>
        <v>Los Angeles Lakers</v>
      </c>
      <c r="H513" s="286">
        <v>121</v>
      </c>
      <c r="I513" s="431">
        <v>128</v>
      </c>
      <c r="J513" s="332">
        <f t="shared" si="467"/>
        <v>1</v>
      </c>
      <c r="K513" s="286">
        <f t="shared" si="468"/>
        <v>235</v>
      </c>
      <c r="L513" s="431">
        <f t="shared" si="469"/>
        <v>249</v>
      </c>
      <c r="M513" s="332">
        <f t="shared" si="470"/>
        <v>1</v>
      </c>
      <c r="N513" s="432">
        <f t="shared" si="471"/>
        <v>7</v>
      </c>
      <c r="O513" s="451">
        <f t="shared" si="472"/>
        <v>7</v>
      </c>
      <c r="P513" s="433">
        <f t="shared" si="473"/>
        <v>1</v>
      </c>
      <c r="Q513" s="460">
        <f>WEEKNUM(tblResultadosNBA[[#This Row],[Fecha]],2)</f>
        <v>1</v>
      </c>
      <c r="R513" s="460" t="str">
        <f>TEXT(tblResultadosNBA[[#This Row],[Fecha]],"mmm")</f>
        <v>ene</v>
      </c>
    </row>
    <row r="514" spans="1:18">
      <c r="A514" s="439">
        <v>46025</v>
      </c>
      <c r="B514" s="422" t="s">
        <v>261</v>
      </c>
      <c r="C514" s="341" t="str">
        <f>LEFT(B514,FIND("@",B514)-2)</f>
        <v>Minnesota Timberwolves</v>
      </c>
      <c r="D514" s="341">
        <v>125</v>
      </c>
      <c r="E514" s="342">
        <v>125</v>
      </c>
      <c r="F514" s="333">
        <f>IF(E514&gt;D514, 1, 0)</f>
        <v>0</v>
      </c>
      <c r="G514" s="341" t="str">
        <f>MID(B514,FIND("@",B514)+2,LEN(B514)-FIND("@",B514)-1)</f>
        <v>Miami Heat</v>
      </c>
      <c r="H514" s="341">
        <v>121</v>
      </c>
      <c r="I514" s="342">
        <v>115</v>
      </c>
      <c r="J514" s="333">
        <f>IF(I514&gt;H514, 1, 0)</f>
        <v>0</v>
      </c>
      <c r="K514" s="341">
        <f>+D514+H514</f>
        <v>246</v>
      </c>
      <c r="L514" s="342">
        <f>E514+I514</f>
        <v>240</v>
      </c>
      <c r="M514" s="333">
        <f>IF(L514&gt;K514, 1, 0)</f>
        <v>0</v>
      </c>
      <c r="N514" s="343">
        <f>(+H514-D514)</f>
        <v>-4</v>
      </c>
      <c r="O514" s="449">
        <f>I514-E514</f>
        <v>-10</v>
      </c>
      <c r="P514" s="289">
        <f>IF(OR(AND(N514&gt;0,O514&gt;0),AND(N514&lt;0,O514&lt;0)),1,0)</f>
        <v>1</v>
      </c>
      <c r="Q514" s="460">
        <f>WEEKNUM(tblResultadosNBA[[#This Row],[Fecha]],2)</f>
        <v>1</v>
      </c>
      <c r="R514" s="460" t="str">
        <f>TEXT(tblResultadosNBA[[#This Row],[Fecha]],"mmm")</f>
        <v>ene</v>
      </c>
    </row>
    <row r="515" spans="1:18">
      <c r="A515" s="439">
        <v>46025</v>
      </c>
      <c r="B515" s="302" t="s">
        <v>196</v>
      </c>
      <c r="C515" s="177" t="str">
        <f t="shared" ref="C515:C521" si="474">LEFT(B515,FIND("@",B515)-2)</f>
        <v>Philadelphia 76ers</v>
      </c>
      <c r="D515" s="177">
        <v>121</v>
      </c>
      <c r="E515" s="336">
        <v>130</v>
      </c>
      <c r="F515" s="327">
        <f t="shared" ref="F515:F521" si="475">IF(E515&gt;D515, 1, 0)</f>
        <v>1</v>
      </c>
      <c r="G515" s="177" t="str">
        <f t="shared" ref="G515:G521" si="476">MID(B515,FIND("@",B515)+2,LEN(B515)-FIND("@",B515)-1)</f>
        <v>New York Knicks</v>
      </c>
      <c r="H515" s="177">
        <v>130</v>
      </c>
      <c r="I515" s="336">
        <v>119</v>
      </c>
      <c r="J515" s="327">
        <f t="shared" ref="J515:J521" si="477">IF(I515&gt;H515, 1, 0)</f>
        <v>0</v>
      </c>
      <c r="K515" s="177">
        <f t="shared" ref="K515:K521" si="478">+D515+H515</f>
        <v>251</v>
      </c>
      <c r="L515" s="336">
        <f t="shared" ref="L515:L521" si="479">E515+I515</f>
        <v>249</v>
      </c>
      <c r="M515" s="327">
        <f t="shared" ref="M515:M521" si="480">IF(L515&gt;K515, 1, 0)</f>
        <v>0</v>
      </c>
      <c r="N515" s="337">
        <f t="shared" ref="N515:N521" si="481">(+H515-D515)</f>
        <v>9</v>
      </c>
      <c r="O515" s="395">
        <f t="shared" ref="O515:O521" si="482">I515-E515</f>
        <v>-11</v>
      </c>
      <c r="P515" s="289">
        <f t="shared" ref="P515:P521" si="483">IF(OR(AND(N515&gt;0,O515&gt;0),AND(N515&lt;0,O515&lt;0)),1,0)</f>
        <v>0</v>
      </c>
      <c r="Q515" s="460">
        <f>WEEKNUM(tblResultadosNBA[[#This Row],[Fecha]],2)</f>
        <v>1</v>
      </c>
      <c r="R515" s="460" t="str">
        <f>TEXT(tblResultadosNBA[[#This Row],[Fecha]],"mmm")</f>
        <v>ene</v>
      </c>
    </row>
    <row r="516" spans="1:18">
      <c r="A516" s="439">
        <v>46025</v>
      </c>
      <c r="B516" s="302" t="s">
        <v>817</v>
      </c>
      <c r="C516" s="177" t="str">
        <f t="shared" si="474"/>
        <v>Atlanta Hawks</v>
      </c>
      <c r="D516" s="177">
        <v>110</v>
      </c>
      <c r="E516" s="336">
        <v>117</v>
      </c>
      <c r="F516" s="327">
        <f t="shared" si="475"/>
        <v>1</v>
      </c>
      <c r="G516" s="177" t="str">
        <f t="shared" si="476"/>
        <v>Toronto Raptors</v>
      </c>
      <c r="H516" s="177">
        <v>115</v>
      </c>
      <c r="I516" s="336">
        <v>134</v>
      </c>
      <c r="J516" s="327">
        <f t="shared" si="477"/>
        <v>1</v>
      </c>
      <c r="K516" s="177">
        <f t="shared" si="478"/>
        <v>225</v>
      </c>
      <c r="L516" s="336">
        <f t="shared" si="479"/>
        <v>251</v>
      </c>
      <c r="M516" s="327">
        <f t="shared" si="480"/>
        <v>1</v>
      </c>
      <c r="N516" s="337">
        <f t="shared" si="481"/>
        <v>5</v>
      </c>
      <c r="O516" s="395">
        <f t="shared" si="482"/>
        <v>17</v>
      </c>
      <c r="P516" s="289">
        <f t="shared" si="483"/>
        <v>1</v>
      </c>
      <c r="Q516" s="460">
        <f>WEEKNUM(tblResultadosNBA[[#This Row],[Fecha]],2)</f>
        <v>1</v>
      </c>
      <c r="R516" s="460" t="str">
        <f>TEXT(tblResultadosNBA[[#This Row],[Fecha]],"mmm")</f>
        <v>ene</v>
      </c>
    </row>
    <row r="517" spans="1:18">
      <c r="A517" s="439">
        <v>46025</v>
      </c>
      <c r="B517" s="302" t="s">
        <v>394</v>
      </c>
      <c r="C517" s="177" t="str">
        <f t="shared" si="474"/>
        <v>Charlotte Hornets</v>
      </c>
      <c r="D517" s="177">
        <v>113</v>
      </c>
      <c r="E517" s="336">
        <v>112</v>
      </c>
      <c r="F517" s="327">
        <f t="shared" si="475"/>
        <v>0</v>
      </c>
      <c r="G517" s="177" t="str">
        <f t="shared" si="476"/>
        <v>Chicago Bulls</v>
      </c>
      <c r="H517" s="177">
        <v>120</v>
      </c>
      <c r="I517" s="336">
        <v>99</v>
      </c>
      <c r="J517" s="327">
        <f t="shared" si="477"/>
        <v>0</v>
      </c>
      <c r="K517" s="177">
        <f t="shared" si="478"/>
        <v>233</v>
      </c>
      <c r="L517" s="336">
        <f t="shared" si="479"/>
        <v>211</v>
      </c>
      <c r="M517" s="327">
        <f t="shared" si="480"/>
        <v>0</v>
      </c>
      <c r="N517" s="337">
        <f t="shared" si="481"/>
        <v>7</v>
      </c>
      <c r="O517" s="395">
        <f t="shared" si="482"/>
        <v>-13</v>
      </c>
      <c r="P517" s="289">
        <f t="shared" si="483"/>
        <v>0</v>
      </c>
      <c r="Q517" s="460">
        <f>WEEKNUM(tblResultadosNBA[[#This Row],[Fecha]],2)</f>
        <v>1</v>
      </c>
      <c r="R517" s="460" t="str">
        <f>TEXT(tblResultadosNBA[[#This Row],[Fecha]],"mmm")</f>
        <v>ene</v>
      </c>
    </row>
    <row r="518" spans="1:18">
      <c r="A518" s="439">
        <v>46025</v>
      </c>
      <c r="B518" s="302" t="s">
        <v>262</v>
      </c>
      <c r="C518" s="177" t="str">
        <f t="shared" si="474"/>
        <v>Portland Trail Blazers</v>
      </c>
      <c r="D518" s="177">
        <v>113</v>
      </c>
      <c r="E518" s="336">
        <v>115</v>
      </c>
      <c r="F518" s="327">
        <f t="shared" si="475"/>
        <v>1</v>
      </c>
      <c r="G518" s="177" t="str">
        <f t="shared" si="476"/>
        <v>San Antonio Spurs</v>
      </c>
      <c r="H518" s="177">
        <v>128</v>
      </c>
      <c r="I518" s="336">
        <v>110</v>
      </c>
      <c r="J518" s="327">
        <f t="shared" si="477"/>
        <v>0</v>
      </c>
      <c r="K518" s="177">
        <f t="shared" si="478"/>
        <v>241</v>
      </c>
      <c r="L518" s="336">
        <f t="shared" si="479"/>
        <v>225</v>
      </c>
      <c r="M518" s="327">
        <f t="shared" si="480"/>
        <v>0</v>
      </c>
      <c r="N518" s="337">
        <f t="shared" si="481"/>
        <v>15</v>
      </c>
      <c r="O518" s="395">
        <f t="shared" si="482"/>
        <v>-5</v>
      </c>
      <c r="P518" s="289">
        <f t="shared" si="483"/>
        <v>0</v>
      </c>
      <c r="Q518" s="460">
        <f>WEEKNUM(tblResultadosNBA[[#This Row],[Fecha]],2)</f>
        <v>1</v>
      </c>
      <c r="R518" s="460" t="str">
        <f>TEXT(tblResultadosNBA[[#This Row],[Fecha]],"mmm")</f>
        <v>ene</v>
      </c>
    </row>
    <row r="519" spans="1:18">
      <c r="A519" s="439">
        <v>46025</v>
      </c>
      <c r="B519" s="302" t="s">
        <v>159</v>
      </c>
      <c r="C519" s="177" t="str">
        <f t="shared" si="474"/>
        <v>Houston Rockets</v>
      </c>
      <c r="D519" s="177">
        <v>108</v>
      </c>
      <c r="E519" s="336">
        <v>104</v>
      </c>
      <c r="F519" s="327">
        <f t="shared" si="475"/>
        <v>0</v>
      </c>
      <c r="G519" s="177" t="str">
        <f t="shared" si="476"/>
        <v>Dallas Mavericks</v>
      </c>
      <c r="H519" s="177">
        <v>112</v>
      </c>
      <c r="I519" s="336">
        <v>110</v>
      </c>
      <c r="J519" s="327">
        <f t="shared" si="477"/>
        <v>0</v>
      </c>
      <c r="K519" s="177">
        <f t="shared" si="478"/>
        <v>220</v>
      </c>
      <c r="L519" s="336">
        <f t="shared" si="479"/>
        <v>214</v>
      </c>
      <c r="M519" s="327">
        <f t="shared" si="480"/>
        <v>0</v>
      </c>
      <c r="N519" s="337">
        <f t="shared" si="481"/>
        <v>4</v>
      </c>
      <c r="O519" s="395">
        <f t="shared" si="482"/>
        <v>6</v>
      </c>
      <c r="P519" s="289">
        <f t="shared" si="483"/>
        <v>1</v>
      </c>
      <c r="Q519" s="460">
        <f>WEEKNUM(tblResultadosNBA[[#This Row],[Fecha]],2)</f>
        <v>1</v>
      </c>
      <c r="R519" s="460" t="str">
        <f>TEXT(tblResultadosNBA[[#This Row],[Fecha]],"mmm")</f>
        <v>ene</v>
      </c>
    </row>
    <row r="520" spans="1:18">
      <c r="A520" s="439">
        <v>46025</v>
      </c>
      <c r="B520" s="302" t="s">
        <v>263</v>
      </c>
      <c r="C520" s="177" t="str">
        <f t="shared" si="474"/>
        <v>Utah Jazz</v>
      </c>
      <c r="D520" s="177">
        <v>126</v>
      </c>
      <c r="E520" s="336">
        <v>114</v>
      </c>
      <c r="F520" s="327">
        <f t="shared" si="475"/>
        <v>0</v>
      </c>
      <c r="G520" s="177" t="str">
        <f t="shared" si="476"/>
        <v>Golden State Warriors</v>
      </c>
      <c r="H520" s="177">
        <v>131</v>
      </c>
      <c r="I520" s="336">
        <v>123</v>
      </c>
      <c r="J520" s="327">
        <f t="shared" si="477"/>
        <v>0</v>
      </c>
      <c r="K520" s="177">
        <f t="shared" si="478"/>
        <v>257</v>
      </c>
      <c r="L520" s="336">
        <f t="shared" si="479"/>
        <v>237</v>
      </c>
      <c r="M520" s="327">
        <f t="shared" si="480"/>
        <v>0</v>
      </c>
      <c r="N520" s="337">
        <f t="shared" si="481"/>
        <v>5</v>
      </c>
      <c r="O520" s="395">
        <f t="shared" si="482"/>
        <v>9</v>
      </c>
      <c r="P520" s="289">
        <f t="shared" si="483"/>
        <v>1</v>
      </c>
      <c r="Q520" s="460">
        <f>WEEKNUM(tblResultadosNBA[[#This Row],[Fecha]],2)</f>
        <v>1</v>
      </c>
      <c r="R520" s="460" t="str">
        <f>TEXT(tblResultadosNBA[[#This Row],[Fecha]],"mmm")</f>
        <v>ene</v>
      </c>
    </row>
    <row r="521" spans="1:18">
      <c r="A521" s="446">
        <v>46025</v>
      </c>
      <c r="B521" s="331" t="s">
        <v>818</v>
      </c>
      <c r="C521" s="286" t="str">
        <f t="shared" si="474"/>
        <v>Boston Celtics</v>
      </c>
      <c r="D521" s="286">
        <v>108</v>
      </c>
      <c r="E521" s="431">
        <v>146</v>
      </c>
      <c r="F521" s="332">
        <f t="shared" si="475"/>
        <v>1</v>
      </c>
      <c r="G521" s="286" t="str">
        <f t="shared" si="476"/>
        <v>LA Clippers</v>
      </c>
      <c r="H521" s="286">
        <v>112</v>
      </c>
      <c r="I521" s="431">
        <v>115</v>
      </c>
      <c r="J521" s="332">
        <f t="shared" si="477"/>
        <v>1</v>
      </c>
      <c r="K521" s="286">
        <f t="shared" si="478"/>
        <v>220</v>
      </c>
      <c r="L521" s="431">
        <f t="shared" si="479"/>
        <v>261</v>
      </c>
      <c r="M521" s="332">
        <f t="shared" si="480"/>
        <v>1</v>
      </c>
      <c r="N521" s="432">
        <f t="shared" si="481"/>
        <v>4</v>
      </c>
      <c r="O521" s="451">
        <f t="shared" si="482"/>
        <v>-31</v>
      </c>
      <c r="P521" s="433">
        <f t="shared" si="483"/>
        <v>0</v>
      </c>
      <c r="Q521" s="460">
        <f>WEEKNUM(tblResultadosNBA[[#This Row],[Fecha]],2)</f>
        <v>1</v>
      </c>
      <c r="R521" s="460" t="str">
        <f>TEXT(tblResultadosNBA[[#This Row],[Fecha]],"mmm")</f>
        <v>ene</v>
      </c>
    </row>
    <row r="522" spans="1:18">
      <c r="A522" s="439">
        <v>46026</v>
      </c>
      <c r="B522" s="422" t="s">
        <v>264</v>
      </c>
      <c r="C522" s="341" t="str">
        <f>LEFT(B522,FIND("@",B522)-2)</f>
        <v>Detroit Pistons</v>
      </c>
      <c r="D522" s="341">
        <v>129</v>
      </c>
      <c r="E522" s="342">
        <v>114</v>
      </c>
      <c r="F522" s="333">
        <f>IF(E522&gt;D522, 1, 0)</f>
        <v>0</v>
      </c>
      <c r="G522" s="341" t="str">
        <f>MID(B522,FIND("@",B522)+2,LEN(B522)-FIND("@",B522)-1)</f>
        <v>Cleveland Cavaliers</v>
      </c>
      <c r="H522" s="341">
        <v>119</v>
      </c>
      <c r="I522" s="342">
        <v>110</v>
      </c>
      <c r="J522" s="333">
        <f>IF(I522&gt;H522, 1, 0)</f>
        <v>0</v>
      </c>
      <c r="K522" s="341">
        <f>+D522+H522</f>
        <v>248</v>
      </c>
      <c r="L522" s="342">
        <f>E522+I522</f>
        <v>224</v>
      </c>
      <c r="M522" s="333">
        <f>IF(L522&gt;K522, 1, 0)</f>
        <v>0</v>
      </c>
      <c r="N522" s="343">
        <f>(+H522-D522)</f>
        <v>-10</v>
      </c>
      <c r="O522" s="449">
        <f>I522-E522</f>
        <v>-4</v>
      </c>
      <c r="P522" s="289">
        <f>IF(OR(AND(N522&gt;0,O522&gt;0),AND(N522&lt;0,O522&lt;0)),1,0)</f>
        <v>1</v>
      </c>
      <c r="Q522" s="460">
        <f>WEEKNUM(tblResultadosNBA[[#This Row],[Fecha]],2)</f>
        <v>1</v>
      </c>
      <c r="R522" s="460" t="str">
        <f>TEXT(tblResultadosNBA[[#This Row],[Fecha]],"mmm")</f>
        <v>ene</v>
      </c>
    </row>
    <row r="523" spans="1:18">
      <c r="A523" s="439">
        <v>46026</v>
      </c>
      <c r="B523" s="302" t="s">
        <v>265</v>
      </c>
      <c r="C523" s="177" t="str">
        <f t="shared" ref="C523:C528" si="484">LEFT(B523,FIND("@",B523)-2)</f>
        <v>Indiana Pacers</v>
      </c>
      <c r="D523" s="177">
        <v>115</v>
      </c>
      <c r="E523" s="336">
        <v>127</v>
      </c>
      <c r="F523" s="327">
        <f t="shared" ref="F523:F528" si="485">IF(E523&gt;D523, 1, 0)</f>
        <v>1</v>
      </c>
      <c r="G523" s="177" t="str">
        <f t="shared" ref="G523:G528" si="486">MID(B523,FIND("@",B523)+2,LEN(B523)-FIND("@",B523)-1)</f>
        <v>Orlando Magic</v>
      </c>
      <c r="H523" s="177">
        <v>118</v>
      </c>
      <c r="I523" s="336">
        <v>135</v>
      </c>
      <c r="J523" s="327">
        <f t="shared" ref="J523:J528" si="487">IF(I523&gt;H523, 1, 0)</f>
        <v>1</v>
      </c>
      <c r="K523" s="177">
        <f t="shared" ref="K523:K528" si="488">+D523+H523</f>
        <v>233</v>
      </c>
      <c r="L523" s="336">
        <f t="shared" ref="L523:L528" si="489">E523+I523</f>
        <v>262</v>
      </c>
      <c r="M523" s="327">
        <f t="shared" ref="M523:M528" si="490">IF(L523&gt;K523, 1, 0)</f>
        <v>1</v>
      </c>
      <c r="N523" s="337">
        <f t="shared" ref="N523:N528" si="491">(+H523-D523)</f>
        <v>3</v>
      </c>
      <c r="O523" s="395">
        <f t="shared" ref="O523:O528" si="492">I523-E523</f>
        <v>8</v>
      </c>
      <c r="P523" s="289">
        <f t="shared" ref="P523:P528" si="493">IF(OR(AND(N523&gt;0,O523&gt;0),AND(N523&lt;0,O523&lt;0)),1,0)</f>
        <v>1</v>
      </c>
      <c r="Q523" s="460">
        <f>WEEKNUM(tblResultadosNBA[[#This Row],[Fecha]],2)</f>
        <v>1</v>
      </c>
      <c r="R523" s="460" t="str">
        <f>TEXT(tblResultadosNBA[[#This Row],[Fecha]],"mmm")</f>
        <v>ene</v>
      </c>
    </row>
    <row r="524" spans="1:18">
      <c r="A524" s="439">
        <v>46026</v>
      </c>
      <c r="B524" s="302" t="s">
        <v>266</v>
      </c>
      <c r="C524" s="177" t="str">
        <f t="shared" si="484"/>
        <v>Denver Nuggets</v>
      </c>
      <c r="D524" s="177">
        <v>115</v>
      </c>
      <c r="E524" s="336">
        <v>115</v>
      </c>
      <c r="F524" s="327">
        <f t="shared" si="485"/>
        <v>0</v>
      </c>
      <c r="G524" s="177" t="str">
        <f t="shared" si="486"/>
        <v>Brooklyn Nets</v>
      </c>
      <c r="H524" s="177">
        <v>110</v>
      </c>
      <c r="I524" s="336">
        <v>127</v>
      </c>
      <c r="J524" s="327">
        <f t="shared" si="487"/>
        <v>1</v>
      </c>
      <c r="K524" s="177">
        <f t="shared" si="488"/>
        <v>225</v>
      </c>
      <c r="L524" s="336">
        <f t="shared" si="489"/>
        <v>242</v>
      </c>
      <c r="M524" s="327">
        <f t="shared" si="490"/>
        <v>1</v>
      </c>
      <c r="N524" s="337">
        <f t="shared" si="491"/>
        <v>-5</v>
      </c>
      <c r="O524" s="395">
        <f t="shared" si="492"/>
        <v>12</v>
      </c>
      <c r="P524" s="289">
        <f t="shared" si="493"/>
        <v>0</v>
      </c>
      <c r="Q524" s="460">
        <f>WEEKNUM(tblResultadosNBA[[#This Row],[Fecha]],2)</f>
        <v>1</v>
      </c>
      <c r="R524" s="460" t="str">
        <f>TEXT(tblResultadosNBA[[#This Row],[Fecha]],"mmm")</f>
        <v>ene</v>
      </c>
    </row>
    <row r="525" spans="1:18">
      <c r="A525" s="439">
        <v>46026</v>
      </c>
      <c r="B525" s="302" t="s">
        <v>819</v>
      </c>
      <c r="C525" s="177" t="str">
        <f t="shared" si="484"/>
        <v>New Orleans Pelicans</v>
      </c>
      <c r="D525" s="177">
        <v>114</v>
      </c>
      <c r="E525" s="336">
        <v>106</v>
      </c>
      <c r="F525" s="327">
        <f t="shared" si="485"/>
        <v>0</v>
      </c>
      <c r="G525" s="177" t="str">
        <f t="shared" si="486"/>
        <v>Miami Heat</v>
      </c>
      <c r="H525" s="177">
        <v>128</v>
      </c>
      <c r="I525" s="336">
        <v>125</v>
      </c>
      <c r="J525" s="327">
        <f t="shared" si="487"/>
        <v>0</v>
      </c>
      <c r="K525" s="177">
        <f t="shared" si="488"/>
        <v>242</v>
      </c>
      <c r="L525" s="336">
        <f t="shared" si="489"/>
        <v>231</v>
      </c>
      <c r="M525" s="327">
        <f t="shared" si="490"/>
        <v>0</v>
      </c>
      <c r="N525" s="337">
        <f t="shared" si="491"/>
        <v>14</v>
      </c>
      <c r="O525" s="395">
        <f t="shared" si="492"/>
        <v>19</v>
      </c>
      <c r="P525" s="289">
        <f t="shared" si="493"/>
        <v>1</v>
      </c>
      <c r="Q525" s="460">
        <f>WEEKNUM(tblResultadosNBA[[#This Row],[Fecha]],2)</f>
        <v>1</v>
      </c>
      <c r="R525" s="460" t="str">
        <f>TEXT(tblResultadosNBA[[#This Row],[Fecha]],"mmm")</f>
        <v>ene</v>
      </c>
    </row>
    <row r="526" spans="1:18">
      <c r="A526" s="439">
        <v>46026</v>
      </c>
      <c r="B526" s="302" t="s">
        <v>267</v>
      </c>
      <c r="C526" s="177" t="str">
        <f t="shared" si="484"/>
        <v>Minnesota Timberwolves</v>
      </c>
      <c r="D526" s="177">
        <v>117</v>
      </c>
      <c r="E526" s="336">
        <v>141</v>
      </c>
      <c r="F526" s="327">
        <f t="shared" si="485"/>
        <v>1</v>
      </c>
      <c r="G526" s="177" t="str">
        <f t="shared" si="486"/>
        <v>Washington Wizards</v>
      </c>
      <c r="H526" s="177">
        <v>128</v>
      </c>
      <c r="I526" s="336">
        <v>115</v>
      </c>
      <c r="J526" s="327">
        <f t="shared" si="487"/>
        <v>0</v>
      </c>
      <c r="K526" s="177">
        <f t="shared" si="488"/>
        <v>245</v>
      </c>
      <c r="L526" s="336">
        <f t="shared" si="489"/>
        <v>256</v>
      </c>
      <c r="M526" s="327">
        <f t="shared" si="490"/>
        <v>1</v>
      </c>
      <c r="N526" s="337">
        <f t="shared" si="491"/>
        <v>11</v>
      </c>
      <c r="O526" s="395">
        <f t="shared" si="492"/>
        <v>-26</v>
      </c>
      <c r="P526" s="289">
        <f t="shared" si="493"/>
        <v>0</v>
      </c>
      <c r="Q526" s="460">
        <f>WEEKNUM(tblResultadosNBA[[#This Row],[Fecha]],2)</f>
        <v>1</v>
      </c>
      <c r="R526" s="460" t="str">
        <f>TEXT(tblResultadosNBA[[#This Row],[Fecha]],"mmm")</f>
        <v>ene</v>
      </c>
    </row>
    <row r="527" spans="1:18">
      <c r="A527" s="439">
        <v>46026</v>
      </c>
      <c r="B527" s="302" t="s">
        <v>595</v>
      </c>
      <c r="C527" s="177" t="str">
        <f t="shared" si="484"/>
        <v>Oklahoma City Thunder</v>
      </c>
      <c r="D527" s="177">
        <v>113</v>
      </c>
      <c r="E527" s="336">
        <v>105</v>
      </c>
      <c r="F527" s="327">
        <f t="shared" si="485"/>
        <v>0</v>
      </c>
      <c r="G527" s="177" t="str">
        <f t="shared" si="486"/>
        <v>Phoenix Suns</v>
      </c>
      <c r="H527" s="177">
        <v>117</v>
      </c>
      <c r="I527" s="336">
        <v>108</v>
      </c>
      <c r="J527" s="327">
        <f t="shared" si="487"/>
        <v>0</v>
      </c>
      <c r="K527" s="177">
        <f t="shared" si="488"/>
        <v>230</v>
      </c>
      <c r="L527" s="336">
        <f t="shared" si="489"/>
        <v>213</v>
      </c>
      <c r="M527" s="327">
        <f t="shared" si="490"/>
        <v>0</v>
      </c>
      <c r="N527" s="337">
        <f t="shared" si="491"/>
        <v>4</v>
      </c>
      <c r="O527" s="395">
        <f t="shared" si="492"/>
        <v>3</v>
      </c>
      <c r="P527" s="289">
        <f t="shared" si="493"/>
        <v>1</v>
      </c>
      <c r="Q527" s="460">
        <f>WEEKNUM(tblResultadosNBA[[#This Row],[Fecha]],2)</f>
        <v>1</v>
      </c>
      <c r="R527" s="460" t="str">
        <f>TEXT(tblResultadosNBA[[#This Row],[Fecha]],"mmm")</f>
        <v>ene</v>
      </c>
    </row>
    <row r="528" spans="1:18">
      <c r="A528" s="439">
        <v>46026</v>
      </c>
      <c r="B528" s="302" t="s">
        <v>268</v>
      </c>
      <c r="C528" s="177" t="str">
        <f t="shared" si="484"/>
        <v>Milwaukee Bucks</v>
      </c>
      <c r="D528" s="177">
        <v>119</v>
      </c>
      <c r="E528" s="336">
        <v>115</v>
      </c>
      <c r="F528" s="327">
        <f t="shared" si="485"/>
        <v>0</v>
      </c>
      <c r="G528" s="177" t="str">
        <f t="shared" si="486"/>
        <v>Sacramento Kings</v>
      </c>
      <c r="H528" s="177">
        <v>121</v>
      </c>
      <c r="I528" s="336">
        <v>98</v>
      </c>
      <c r="J528" s="327">
        <f t="shared" si="487"/>
        <v>0</v>
      </c>
      <c r="K528" s="177">
        <f t="shared" si="488"/>
        <v>240</v>
      </c>
      <c r="L528" s="336">
        <f t="shared" si="489"/>
        <v>213</v>
      </c>
      <c r="M528" s="327">
        <f t="shared" si="490"/>
        <v>0</v>
      </c>
      <c r="N528" s="337">
        <f t="shared" si="491"/>
        <v>2</v>
      </c>
      <c r="O528" s="395">
        <f t="shared" si="492"/>
        <v>-17</v>
      </c>
      <c r="P528" s="289">
        <f t="shared" si="493"/>
        <v>0</v>
      </c>
      <c r="Q528" s="460">
        <f>WEEKNUM(tblResultadosNBA[[#This Row],[Fecha]],2)</f>
        <v>1</v>
      </c>
      <c r="R528" s="460" t="str">
        <f>TEXT(tblResultadosNBA[[#This Row],[Fecha]],"mmm")</f>
        <v>ene</v>
      </c>
    </row>
    <row r="529" spans="1:18">
      <c r="A529" s="446">
        <v>46026</v>
      </c>
      <c r="B529" s="331" t="s">
        <v>816</v>
      </c>
      <c r="C529" s="286" t="str">
        <f>LEFT(B529,FIND("@",B529)-2)</f>
        <v>Memphis Grizzlies</v>
      </c>
      <c r="D529" s="286">
        <v>108</v>
      </c>
      <c r="E529" s="431">
        <v>114</v>
      </c>
      <c r="F529" s="332">
        <f>IF(E529&gt;D529, 1, 0)</f>
        <v>1</v>
      </c>
      <c r="G529" s="286" t="str">
        <f>MID(B529,FIND("@",B529)+2,LEN(B529)-FIND("@",B529)-1)</f>
        <v>Los Angeles Lakers</v>
      </c>
      <c r="H529" s="286">
        <v>117</v>
      </c>
      <c r="I529" s="431">
        <v>120</v>
      </c>
      <c r="J529" s="332">
        <f>IF(I529&gt;H529, 1, 0)</f>
        <v>1</v>
      </c>
      <c r="K529" s="286">
        <f>+D529+H529</f>
        <v>225</v>
      </c>
      <c r="L529" s="431">
        <f>E529+I529</f>
        <v>234</v>
      </c>
      <c r="M529" s="332">
        <f>IF(L529&gt;K529, 1, 0)</f>
        <v>1</v>
      </c>
      <c r="N529" s="432">
        <f>(+H529-D529)</f>
        <v>9</v>
      </c>
      <c r="O529" s="451">
        <f>I529-E529</f>
        <v>6</v>
      </c>
      <c r="P529" s="433">
        <f>IF(OR(AND(N529&gt;0,O529&gt;0),AND(N529&lt;0,O529&lt;0)),1,0)</f>
        <v>1</v>
      </c>
      <c r="Q529" s="460">
        <f>WEEKNUM(tblResultadosNBA[[#This Row],[Fecha]],2)</f>
        <v>1</v>
      </c>
      <c r="R529" s="460" t="str">
        <f>TEXT(tblResultadosNBA[[#This Row],[Fecha]],"mmm")</f>
        <v>ene</v>
      </c>
    </row>
    <row r="530" spans="1:18">
      <c r="A530" s="439">
        <v>46027</v>
      </c>
      <c r="B530" s="422" t="s">
        <v>269</v>
      </c>
      <c r="C530" s="341" t="str">
        <f>LEFT(B530,FIND("@",B530)-2)</f>
        <v>New York Knicks</v>
      </c>
      <c r="D530" s="341">
        <v>130</v>
      </c>
      <c r="E530" s="342">
        <v>90</v>
      </c>
      <c r="F530" s="333">
        <f>IF(E530&gt;D530, 1, 0)</f>
        <v>0</v>
      </c>
      <c r="G530" s="341" t="str">
        <f>MID(B530,FIND("@",B530)+2,LEN(B530)-FIND("@",B530)-1)</f>
        <v>Detroit Pistons</v>
      </c>
      <c r="H530" s="341">
        <v>124</v>
      </c>
      <c r="I530" s="342">
        <v>121</v>
      </c>
      <c r="J530" s="333">
        <f>IF(I530&gt;H530, 1, 0)</f>
        <v>0</v>
      </c>
      <c r="K530" s="341">
        <f>+D530+H530</f>
        <v>254</v>
      </c>
      <c r="L530" s="342">
        <f>E530+I530</f>
        <v>211</v>
      </c>
      <c r="M530" s="333">
        <f>IF(L530&gt;K530, 1, 0)</f>
        <v>0</v>
      </c>
      <c r="N530" s="343">
        <f>(+H530-D530)</f>
        <v>-6</v>
      </c>
      <c r="O530" s="449">
        <f>I530-E530</f>
        <v>31</v>
      </c>
      <c r="P530" s="289">
        <f>IF(OR(AND(N530&gt;0,O530&gt;0),AND(N530&lt;0,O530&lt;0)),1,0)</f>
        <v>0</v>
      </c>
      <c r="Q530" s="460">
        <f>WEEKNUM(tblResultadosNBA[[#This Row],[Fecha]],2)</f>
        <v>2</v>
      </c>
      <c r="R530" s="460" t="str">
        <f>TEXT(tblResultadosNBA[[#This Row],[Fecha]],"mmm")</f>
        <v>ene</v>
      </c>
    </row>
    <row r="531" spans="1:18">
      <c r="A531" s="439">
        <v>46027</v>
      </c>
      <c r="B531" s="302" t="s">
        <v>360</v>
      </c>
      <c r="C531" s="177" t="str">
        <f t="shared" ref="C531:C537" si="494">LEFT(B531,FIND("@",B531)-2)</f>
        <v>Chicago Bulls</v>
      </c>
      <c r="D531" s="177">
        <v>109</v>
      </c>
      <c r="E531" s="336">
        <v>100</v>
      </c>
      <c r="F531" s="327">
        <f t="shared" ref="F531:F537" si="495">IF(E531&gt;D531, 1, 0)</f>
        <v>0</v>
      </c>
      <c r="G531" s="177" t="str">
        <f t="shared" ref="G531:G537" si="496">MID(B531,FIND("@",B531)+2,LEN(B531)-FIND("@",B531)-1)</f>
        <v>Boston Celtics</v>
      </c>
      <c r="H531" s="177">
        <v>125</v>
      </c>
      <c r="I531" s="336">
        <v>115</v>
      </c>
      <c r="J531" s="327">
        <f t="shared" ref="J531:J537" si="497">IF(I531&gt;H531, 1, 0)</f>
        <v>0</v>
      </c>
      <c r="K531" s="177">
        <f t="shared" ref="K531:K537" si="498">+D531+H531</f>
        <v>234</v>
      </c>
      <c r="L531" s="336">
        <f t="shared" ref="L531:L537" si="499">E531+I531</f>
        <v>215</v>
      </c>
      <c r="M531" s="327">
        <f t="shared" ref="M531:M537" si="500">IF(L531&gt;K531, 1, 0)</f>
        <v>0</v>
      </c>
      <c r="N531" s="337">
        <f t="shared" ref="N531:N537" si="501">(+H531-D531)</f>
        <v>16</v>
      </c>
      <c r="O531" s="395">
        <f t="shared" ref="O531:O537" si="502">I531-E531</f>
        <v>15</v>
      </c>
      <c r="P531" s="289">
        <f t="shared" ref="P531:P537" si="503">IF(OR(AND(N531&gt;0,O531&gt;0),AND(N531&lt;0,O531&lt;0)),1,0)</f>
        <v>1</v>
      </c>
      <c r="Q531" s="460">
        <f>WEEKNUM(tblResultadosNBA[[#This Row],[Fecha]],2)</f>
        <v>2</v>
      </c>
      <c r="R531" s="460" t="str">
        <f>TEXT(tblResultadosNBA[[#This Row],[Fecha]],"mmm")</f>
        <v>ene</v>
      </c>
    </row>
    <row r="532" spans="1:18">
      <c r="A532" s="439">
        <v>46027</v>
      </c>
      <c r="B532" s="302" t="s">
        <v>817</v>
      </c>
      <c r="C532" s="177" t="str">
        <f t="shared" si="494"/>
        <v>Atlanta Hawks</v>
      </c>
      <c r="D532" s="177">
        <v>102</v>
      </c>
      <c r="E532" s="336">
        <v>100</v>
      </c>
      <c r="F532" s="327">
        <f t="shared" si="495"/>
        <v>0</v>
      </c>
      <c r="G532" s="177" t="str">
        <f t="shared" si="496"/>
        <v>Toronto Raptors</v>
      </c>
      <c r="H532" s="177">
        <v>129</v>
      </c>
      <c r="I532" s="336">
        <v>118</v>
      </c>
      <c r="J532" s="327">
        <f t="shared" si="497"/>
        <v>0</v>
      </c>
      <c r="K532" s="177">
        <f t="shared" si="498"/>
        <v>231</v>
      </c>
      <c r="L532" s="336">
        <f t="shared" si="499"/>
        <v>218</v>
      </c>
      <c r="M532" s="327">
        <f t="shared" si="500"/>
        <v>0</v>
      </c>
      <c r="N532" s="337">
        <f t="shared" si="501"/>
        <v>27</v>
      </c>
      <c r="O532" s="395">
        <f t="shared" si="502"/>
        <v>18</v>
      </c>
      <c r="P532" s="289">
        <f t="shared" si="503"/>
        <v>1</v>
      </c>
      <c r="Q532" s="460">
        <f>WEEKNUM(tblResultadosNBA[[#This Row],[Fecha]],2)</f>
        <v>2</v>
      </c>
      <c r="R532" s="460" t="str">
        <f>TEXT(tblResultadosNBA[[#This Row],[Fecha]],"mmm")</f>
        <v>ene</v>
      </c>
    </row>
    <row r="533" spans="1:18">
      <c r="A533" s="439">
        <v>46027</v>
      </c>
      <c r="B533" s="302" t="s">
        <v>153</v>
      </c>
      <c r="C533" s="177" t="str">
        <f t="shared" si="494"/>
        <v>Phoenix Suns</v>
      </c>
      <c r="D533" s="177">
        <v>118</v>
      </c>
      <c r="E533" s="336">
        <v>97</v>
      </c>
      <c r="F533" s="327">
        <f t="shared" si="495"/>
        <v>0</v>
      </c>
      <c r="G533" s="177" t="str">
        <f t="shared" si="496"/>
        <v>Houston Rockets</v>
      </c>
      <c r="H533" s="177">
        <v>124</v>
      </c>
      <c r="I533" s="336">
        <v>100</v>
      </c>
      <c r="J533" s="327">
        <f t="shared" si="497"/>
        <v>0</v>
      </c>
      <c r="K533" s="177">
        <f t="shared" si="498"/>
        <v>242</v>
      </c>
      <c r="L533" s="336">
        <f t="shared" si="499"/>
        <v>197</v>
      </c>
      <c r="M533" s="327">
        <f t="shared" si="500"/>
        <v>0</v>
      </c>
      <c r="N533" s="337">
        <f t="shared" si="501"/>
        <v>6</v>
      </c>
      <c r="O533" s="395">
        <f t="shared" si="502"/>
        <v>3</v>
      </c>
      <c r="P533" s="289">
        <f t="shared" si="503"/>
        <v>1</v>
      </c>
      <c r="Q533" s="460">
        <f>WEEKNUM(tblResultadosNBA[[#This Row],[Fecha]],2)</f>
        <v>2</v>
      </c>
      <c r="R533" s="460" t="str">
        <f>TEXT(tblResultadosNBA[[#This Row],[Fecha]],"mmm")</f>
        <v>ene</v>
      </c>
    </row>
    <row r="534" spans="1:18">
      <c r="A534" s="439">
        <v>46027</v>
      </c>
      <c r="B534" s="302" t="s">
        <v>270</v>
      </c>
      <c r="C534" s="177" t="str">
        <f t="shared" si="494"/>
        <v>Charlotte Hornets</v>
      </c>
      <c r="D534" s="177">
        <v>115</v>
      </c>
      <c r="E534" s="336">
        <v>124</v>
      </c>
      <c r="F534" s="327">
        <f t="shared" si="495"/>
        <v>1</v>
      </c>
      <c r="G534" s="177" t="str">
        <f t="shared" si="496"/>
        <v>Oklahoma City Thunder</v>
      </c>
      <c r="H534" s="177">
        <v>119</v>
      </c>
      <c r="I534" s="336">
        <v>97</v>
      </c>
      <c r="J534" s="327">
        <f t="shared" si="497"/>
        <v>0</v>
      </c>
      <c r="K534" s="177">
        <f t="shared" si="498"/>
        <v>234</v>
      </c>
      <c r="L534" s="336">
        <f t="shared" si="499"/>
        <v>221</v>
      </c>
      <c r="M534" s="327">
        <f t="shared" si="500"/>
        <v>0</v>
      </c>
      <c r="N534" s="337">
        <f t="shared" si="501"/>
        <v>4</v>
      </c>
      <c r="O534" s="395">
        <f t="shared" si="502"/>
        <v>-27</v>
      </c>
      <c r="P534" s="289">
        <f t="shared" si="503"/>
        <v>0</v>
      </c>
      <c r="Q534" s="460">
        <f>WEEKNUM(tblResultadosNBA[[#This Row],[Fecha]],2)</f>
        <v>2</v>
      </c>
      <c r="R534" s="460" t="str">
        <f>TEXT(tblResultadosNBA[[#This Row],[Fecha]],"mmm")</f>
        <v>ene</v>
      </c>
    </row>
    <row r="535" spans="1:18">
      <c r="A535" s="439">
        <v>46027</v>
      </c>
      <c r="B535" s="302" t="s">
        <v>271</v>
      </c>
      <c r="C535" s="177" t="str">
        <f t="shared" si="494"/>
        <v>Denver Nuggets</v>
      </c>
      <c r="D535" s="177">
        <v>114</v>
      </c>
      <c r="E535" s="336">
        <v>125</v>
      </c>
      <c r="F535" s="327">
        <f t="shared" si="495"/>
        <v>1</v>
      </c>
      <c r="G535" s="177" t="str">
        <f t="shared" si="496"/>
        <v>Philadelphia 76ers</v>
      </c>
      <c r="H535" s="177">
        <v>120</v>
      </c>
      <c r="I535" s="336">
        <v>124</v>
      </c>
      <c r="J535" s="327">
        <f t="shared" si="497"/>
        <v>1</v>
      </c>
      <c r="K535" s="177">
        <f t="shared" si="498"/>
        <v>234</v>
      </c>
      <c r="L535" s="336">
        <f t="shared" si="499"/>
        <v>249</v>
      </c>
      <c r="M535" s="327">
        <f t="shared" si="500"/>
        <v>1</v>
      </c>
      <c r="N535" s="337">
        <f t="shared" si="501"/>
        <v>6</v>
      </c>
      <c r="O535" s="395">
        <f t="shared" si="502"/>
        <v>-1</v>
      </c>
      <c r="P535" s="289">
        <f t="shared" si="503"/>
        <v>0</v>
      </c>
      <c r="Q535" s="460">
        <f>WEEKNUM(tblResultadosNBA[[#This Row],[Fecha]],2)</f>
        <v>2</v>
      </c>
      <c r="R535" s="460" t="str">
        <f>TEXT(tblResultadosNBA[[#This Row],[Fecha]],"mmm")</f>
        <v>ene</v>
      </c>
    </row>
    <row r="536" spans="1:18">
      <c r="A536" s="439">
        <v>46027</v>
      </c>
      <c r="B536" s="302" t="s">
        <v>272</v>
      </c>
      <c r="C536" s="177" t="str">
        <f t="shared" si="494"/>
        <v>Golden State Warriors</v>
      </c>
      <c r="D536" s="177">
        <v>113</v>
      </c>
      <c r="E536" s="336">
        <v>102</v>
      </c>
      <c r="F536" s="327">
        <f t="shared" si="495"/>
        <v>0</v>
      </c>
      <c r="G536" s="177" t="str">
        <f t="shared" si="496"/>
        <v>LA Clippers</v>
      </c>
      <c r="H536" s="177">
        <v>122</v>
      </c>
      <c r="I536" s="336">
        <v>103</v>
      </c>
      <c r="J536" s="327">
        <f t="shared" si="497"/>
        <v>0</v>
      </c>
      <c r="K536" s="177">
        <f t="shared" si="498"/>
        <v>235</v>
      </c>
      <c r="L536" s="336">
        <f t="shared" si="499"/>
        <v>205</v>
      </c>
      <c r="M536" s="327">
        <f t="shared" si="500"/>
        <v>0</v>
      </c>
      <c r="N536" s="337">
        <f t="shared" si="501"/>
        <v>9</v>
      </c>
      <c r="O536" s="395">
        <f t="shared" si="502"/>
        <v>1</v>
      </c>
      <c r="P536" s="289">
        <f t="shared" si="503"/>
        <v>1</v>
      </c>
      <c r="Q536" s="460">
        <f>WEEKNUM(tblResultadosNBA[[#This Row],[Fecha]],2)</f>
        <v>2</v>
      </c>
      <c r="R536" s="460" t="str">
        <f>TEXT(tblResultadosNBA[[#This Row],[Fecha]],"mmm")</f>
        <v>ene</v>
      </c>
    </row>
    <row r="537" spans="1:18">
      <c r="A537" s="446">
        <v>46027</v>
      </c>
      <c r="B537" s="331" t="s">
        <v>464</v>
      </c>
      <c r="C537" s="286" t="str">
        <f t="shared" si="494"/>
        <v>Utah Jazz</v>
      </c>
      <c r="D537" s="286">
        <v>115</v>
      </c>
      <c r="E537" s="431">
        <v>117</v>
      </c>
      <c r="F537" s="332">
        <f t="shared" si="495"/>
        <v>1</v>
      </c>
      <c r="G537" s="286" t="str">
        <f t="shared" si="496"/>
        <v>Portland Trail Blazers</v>
      </c>
      <c r="H537" s="286">
        <v>111</v>
      </c>
      <c r="I537" s="431">
        <v>137</v>
      </c>
      <c r="J537" s="332">
        <f t="shared" si="497"/>
        <v>1</v>
      </c>
      <c r="K537" s="286">
        <f t="shared" si="498"/>
        <v>226</v>
      </c>
      <c r="L537" s="431">
        <f t="shared" si="499"/>
        <v>254</v>
      </c>
      <c r="M537" s="332">
        <f t="shared" si="500"/>
        <v>1</v>
      </c>
      <c r="N537" s="432">
        <f t="shared" si="501"/>
        <v>-4</v>
      </c>
      <c r="O537" s="451">
        <f t="shared" si="502"/>
        <v>20</v>
      </c>
      <c r="P537" s="433">
        <f t="shared" si="503"/>
        <v>0</v>
      </c>
      <c r="Q537" s="460">
        <f>WEEKNUM(tblResultadosNBA[[#This Row],[Fecha]],2)</f>
        <v>2</v>
      </c>
      <c r="R537" s="460" t="str">
        <f>TEXT(tblResultadosNBA[[#This Row],[Fecha]],"mmm")</f>
        <v>ene</v>
      </c>
    </row>
    <row r="538" spans="1:18">
      <c r="A538" s="439">
        <v>46028</v>
      </c>
      <c r="B538" s="422" t="s">
        <v>127</v>
      </c>
      <c r="C538" s="341" t="str">
        <f>LEFT(B538,FIND("@",B538)-2)</f>
        <v>Cleveland Cavaliers</v>
      </c>
      <c r="D538" s="341">
        <v>131</v>
      </c>
      <c r="E538" s="342">
        <v>120</v>
      </c>
      <c r="F538" s="333">
        <f>IF(E538&gt;D538, 1, 0)</f>
        <v>0</v>
      </c>
      <c r="G538" s="341" t="str">
        <f>MID(B538,FIND("@",B538)+2,LEN(B538)-FIND("@",B538)-1)</f>
        <v>Indiana Pacers</v>
      </c>
      <c r="H538" s="341">
        <v>117</v>
      </c>
      <c r="I538" s="342">
        <v>116</v>
      </c>
      <c r="J538" s="333">
        <f>IF(I538&gt;H538, 1, 0)</f>
        <v>0</v>
      </c>
      <c r="K538" s="341">
        <f>+D538+H538</f>
        <v>248</v>
      </c>
      <c r="L538" s="342">
        <f>E538+I538</f>
        <v>236</v>
      </c>
      <c r="M538" s="333">
        <f>IF(L538&gt;K538, 1, 0)</f>
        <v>0</v>
      </c>
      <c r="N538" s="343">
        <f>(+H538-D538)</f>
        <v>-14</v>
      </c>
      <c r="O538" s="449">
        <f>I538-E538</f>
        <v>-4</v>
      </c>
      <c r="P538" s="289">
        <f>IF(OR(AND(N538&gt;0,O538&gt;0),AND(N538&lt;0,O538&lt;0)),1,0)</f>
        <v>1</v>
      </c>
      <c r="Q538" s="460">
        <f>WEEKNUM(tblResultadosNBA[[#This Row],[Fecha]],2)</f>
        <v>2</v>
      </c>
      <c r="R538" s="460" t="str">
        <f>TEXT(tblResultadosNBA[[#This Row],[Fecha]],"mmm")</f>
        <v>ene</v>
      </c>
    </row>
    <row r="539" spans="1:18">
      <c r="A539" s="439">
        <v>46028</v>
      </c>
      <c r="B539" s="302" t="s">
        <v>273</v>
      </c>
      <c r="C539" s="177" t="str">
        <f t="shared" ref="C539:C542" si="504">LEFT(B539,FIND("@",B539)-2)</f>
        <v>Orlando Magic</v>
      </c>
      <c r="D539" s="177">
        <v>119</v>
      </c>
      <c r="E539" s="336">
        <v>112</v>
      </c>
      <c r="F539" s="327">
        <f t="shared" ref="F539:F542" si="505">IF(E539&gt;D539, 1, 0)</f>
        <v>0</v>
      </c>
      <c r="G539" s="177" t="str">
        <f t="shared" ref="G539:G542" si="506">MID(B539,FIND("@",B539)+2,LEN(B539)-FIND("@",B539)-1)</f>
        <v>Washington Wizards</v>
      </c>
      <c r="H539" s="177">
        <v>129</v>
      </c>
      <c r="I539" s="336">
        <v>120</v>
      </c>
      <c r="J539" s="327">
        <f t="shared" ref="J539:J542" si="507">IF(I539&gt;H539, 1, 0)</f>
        <v>0</v>
      </c>
      <c r="K539" s="177">
        <f t="shared" ref="K539:K542" si="508">+D539+H539</f>
        <v>248</v>
      </c>
      <c r="L539" s="336">
        <f t="shared" ref="L539:L542" si="509">E539+I539</f>
        <v>232</v>
      </c>
      <c r="M539" s="327">
        <f t="shared" ref="M539:M542" si="510">IF(L539&gt;K539, 1, 0)</f>
        <v>0</v>
      </c>
      <c r="N539" s="337">
        <f t="shared" ref="N539:N542" si="511">(+H539-D539)</f>
        <v>10</v>
      </c>
      <c r="O539" s="395">
        <f t="shared" ref="O539:O542" si="512">I539-E539</f>
        <v>8</v>
      </c>
      <c r="P539" s="289">
        <f t="shared" ref="P539:P542" si="513">IF(OR(AND(N539&gt;0,O539&gt;0),AND(N539&lt;0,O539&lt;0)),1,0)</f>
        <v>1</v>
      </c>
      <c r="Q539" s="460">
        <f>WEEKNUM(tblResultadosNBA[[#This Row],[Fecha]],2)</f>
        <v>2</v>
      </c>
      <c r="R539" s="460" t="str">
        <f>TEXT(tblResultadosNBA[[#This Row],[Fecha]],"mmm")</f>
        <v>ene</v>
      </c>
    </row>
    <row r="540" spans="1:18">
      <c r="A540" s="439">
        <v>46028</v>
      </c>
      <c r="B540" s="302" t="s">
        <v>507</v>
      </c>
      <c r="C540" s="177" t="str">
        <f t="shared" si="504"/>
        <v>San Antonio Spurs</v>
      </c>
      <c r="D540" s="177">
        <v>112</v>
      </c>
      <c r="E540" s="336">
        <v>105</v>
      </c>
      <c r="F540" s="327">
        <f t="shared" si="505"/>
        <v>0</v>
      </c>
      <c r="G540" s="177" t="str">
        <f t="shared" si="506"/>
        <v>Memphis Grizzlies</v>
      </c>
      <c r="H540" s="177">
        <v>123</v>
      </c>
      <c r="I540" s="336">
        <v>106</v>
      </c>
      <c r="J540" s="327">
        <f t="shared" si="507"/>
        <v>0</v>
      </c>
      <c r="K540" s="177">
        <f t="shared" si="508"/>
        <v>235</v>
      </c>
      <c r="L540" s="336">
        <f t="shared" si="509"/>
        <v>211</v>
      </c>
      <c r="M540" s="327">
        <f t="shared" si="510"/>
        <v>0</v>
      </c>
      <c r="N540" s="337">
        <f t="shared" si="511"/>
        <v>11</v>
      </c>
      <c r="O540" s="395">
        <f t="shared" si="512"/>
        <v>1</v>
      </c>
      <c r="P540" s="289">
        <f t="shared" si="513"/>
        <v>1</v>
      </c>
      <c r="Q540" s="460">
        <f>WEEKNUM(tblResultadosNBA[[#This Row],[Fecha]],2)</f>
        <v>2</v>
      </c>
      <c r="R540" s="460" t="str">
        <f>TEXT(tblResultadosNBA[[#This Row],[Fecha]],"mmm")</f>
        <v>ene</v>
      </c>
    </row>
    <row r="541" spans="1:18">
      <c r="A541" s="439">
        <v>46028</v>
      </c>
      <c r="B541" s="302" t="s">
        <v>820</v>
      </c>
      <c r="C541" s="177" t="str">
        <f t="shared" si="504"/>
        <v>Miami Heat</v>
      </c>
      <c r="D541" s="177">
        <v>114</v>
      </c>
      <c r="E541" s="336">
        <v>94</v>
      </c>
      <c r="F541" s="327">
        <f t="shared" si="505"/>
        <v>0</v>
      </c>
      <c r="G541" s="177" t="str">
        <f t="shared" si="506"/>
        <v>Minnesota Timberwolves</v>
      </c>
      <c r="H541" s="177">
        <v>120</v>
      </c>
      <c r="I541" s="336">
        <v>122</v>
      </c>
      <c r="J541" s="327">
        <f t="shared" si="507"/>
        <v>1</v>
      </c>
      <c r="K541" s="177">
        <f t="shared" si="508"/>
        <v>234</v>
      </c>
      <c r="L541" s="336">
        <f t="shared" si="509"/>
        <v>216</v>
      </c>
      <c r="M541" s="327">
        <f t="shared" si="510"/>
        <v>0</v>
      </c>
      <c r="N541" s="337">
        <f t="shared" si="511"/>
        <v>6</v>
      </c>
      <c r="O541" s="395">
        <f t="shared" si="512"/>
        <v>28</v>
      </c>
      <c r="P541" s="289">
        <f t="shared" si="513"/>
        <v>1</v>
      </c>
      <c r="Q541" s="460">
        <f>WEEKNUM(tblResultadosNBA[[#This Row],[Fecha]],2)</f>
        <v>2</v>
      </c>
      <c r="R541" s="460" t="str">
        <f>TEXT(tblResultadosNBA[[#This Row],[Fecha]],"mmm")</f>
        <v>ene</v>
      </c>
    </row>
    <row r="542" spans="1:18">
      <c r="A542" s="439">
        <v>46028</v>
      </c>
      <c r="B542" s="302" t="s">
        <v>56</v>
      </c>
      <c r="C542" s="177" t="str">
        <f t="shared" si="504"/>
        <v>Los Angeles Lakers</v>
      </c>
      <c r="D542" s="177">
        <v>116</v>
      </c>
      <c r="E542" s="336">
        <v>111</v>
      </c>
      <c r="F542" s="327">
        <f t="shared" si="505"/>
        <v>0</v>
      </c>
      <c r="G542" s="177" t="str">
        <f t="shared" si="506"/>
        <v>New Orleans Pelicans</v>
      </c>
      <c r="H542" s="177">
        <v>126</v>
      </c>
      <c r="I542" s="336">
        <v>103</v>
      </c>
      <c r="J542" s="327">
        <f t="shared" si="507"/>
        <v>0</v>
      </c>
      <c r="K542" s="177">
        <f t="shared" si="508"/>
        <v>242</v>
      </c>
      <c r="L542" s="336">
        <f t="shared" si="509"/>
        <v>214</v>
      </c>
      <c r="M542" s="327">
        <f t="shared" si="510"/>
        <v>0</v>
      </c>
      <c r="N542" s="337">
        <f t="shared" si="511"/>
        <v>10</v>
      </c>
      <c r="O542" s="395">
        <f t="shared" si="512"/>
        <v>-8</v>
      </c>
      <c r="P542" s="289">
        <f t="shared" si="513"/>
        <v>0</v>
      </c>
      <c r="Q542" s="460">
        <f>WEEKNUM(tblResultadosNBA[[#This Row],[Fecha]],2)</f>
        <v>2</v>
      </c>
      <c r="R542" s="460" t="str">
        <f>TEXT(tblResultadosNBA[[#This Row],[Fecha]],"mmm")</f>
        <v>ene</v>
      </c>
    </row>
    <row r="543" spans="1:18">
      <c r="A543" s="446">
        <v>46028</v>
      </c>
      <c r="B543" s="331" t="s">
        <v>233</v>
      </c>
      <c r="C543" s="286" t="str">
        <f>LEFT(B543,FIND("@",B543)-2)</f>
        <v>Dallas Mavericks</v>
      </c>
      <c r="D543" s="286">
        <v>113</v>
      </c>
      <c r="E543" s="431">
        <v>100</v>
      </c>
      <c r="F543" s="332">
        <f>IF(E543&gt;D543, 1, 0)</f>
        <v>0</v>
      </c>
      <c r="G543" s="286" t="str">
        <f>MID(B543,FIND("@",B543)+2,LEN(B543)-FIND("@",B543)-1)</f>
        <v>Sacramento Kings</v>
      </c>
      <c r="H543" s="286">
        <v>117</v>
      </c>
      <c r="I543" s="431">
        <v>98</v>
      </c>
      <c r="J543" s="332">
        <f>IF(I543&gt;H543, 1, 0)</f>
        <v>0</v>
      </c>
      <c r="K543" s="286">
        <f>+D543+H543</f>
        <v>230</v>
      </c>
      <c r="L543" s="431">
        <f>E543+I543</f>
        <v>198</v>
      </c>
      <c r="M543" s="332">
        <f>IF(L543&gt;K543, 1, 0)</f>
        <v>0</v>
      </c>
      <c r="N543" s="432">
        <f>(+H543-D543)</f>
        <v>4</v>
      </c>
      <c r="O543" s="451">
        <f>I543-E543</f>
        <v>-2</v>
      </c>
      <c r="P543" s="433">
        <f>IF(OR(AND(N543&gt;0,O543&gt;0),AND(N543&lt;0,O543&lt;0)),1,0)</f>
        <v>0</v>
      </c>
      <c r="Q543" s="460">
        <f>WEEKNUM(tblResultadosNBA[[#This Row],[Fecha]],2)</f>
        <v>2</v>
      </c>
      <c r="R543" s="460" t="str">
        <f>TEXT(tblResultadosNBA[[#This Row],[Fecha]],"mmm")</f>
        <v>ene</v>
      </c>
    </row>
    <row r="544" spans="1:18">
      <c r="A544" s="439">
        <v>46029</v>
      </c>
      <c r="B544" s="422" t="s">
        <v>118</v>
      </c>
      <c r="C544" s="341" t="str">
        <f>LEFT(B544,FIND("@",B544)-2)</f>
        <v>Toronto Raptors</v>
      </c>
      <c r="D544" s="341">
        <v>131</v>
      </c>
      <c r="E544" s="342">
        <v>97</v>
      </c>
      <c r="F544" s="333">
        <f>IF(E544&gt;D544, 1, 0)</f>
        <v>0</v>
      </c>
      <c r="G544" s="341" t="str">
        <f>MID(B544,FIND("@",B544)+2,LEN(B544)-FIND("@",B544)-1)</f>
        <v>Charlotte Hornets</v>
      </c>
      <c r="H544" s="341">
        <v>118</v>
      </c>
      <c r="I544" s="342">
        <v>96</v>
      </c>
      <c r="J544" s="333">
        <f>IF(I544&gt;H544, 1, 0)</f>
        <v>0</v>
      </c>
      <c r="K544" s="341">
        <f>+D544+H544</f>
        <v>249</v>
      </c>
      <c r="L544" s="342">
        <f>E544+I544</f>
        <v>193</v>
      </c>
      <c r="M544" s="333">
        <f>IF(L544&gt;K544, 1, 0)</f>
        <v>0</v>
      </c>
      <c r="N544" s="343">
        <f>(+H544-D544)</f>
        <v>-13</v>
      </c>
      <c r="O544" s="449">
        <f>I544-E544</f>
        <v>-1</v>
      </c>
      <c r="P544" s="289">
        <f>IF(OR(AND(N544&gt;0,O544&gt;0),AND(N544&lt;0,O544&lt;0)),1,0)</f>
        <v>1</v>
      </c>
      <c r="Q544" s="460">
        <f>WEEKNUM(tblResultadosNBA[[#This Row],[Fecha]],2)</f>
        <v>2</v>
      </c>
      <c r="R544" s="460" t="str">
        <f>TEXT(tblResultadosNBA[[#This Row],[Fecha]],"mmm")</f>
        <v>ene</v>
      </c>
    </row>
    <row r="545" spans="1:18">
      <c r="A545" s="419">
        <v>46029</v>
      </c>
      <c r="B545" s="422" t="s">
        <v>40</v>
      </c>
      <c r="C545" s="177" t="str">
        <f t="shared" ref="C545:C552" si="514">LEFT(B545,FIND("@",B545)-2)</f>
        <v>Chicago Bulls</v>
      </c>
      <c r="D545" s="177">
        <v>117</v>
      </c>
      <c r="E545" s="336">
        <v>93</v>
      </c>
      <c r="F545" s="327">
        <f t="shared" ref="F545:F552" si="515">IF(E545&gt;D545, 1, 0)</f>
        <v>0</v>
      </c>
      <c r="G545" s="177" t="str">
        <f t="shared" ref="G545:G552" si="516">MID(B545,FIND("@",B545)+2,LEN(B545)-FIND("@",B545)-1)</f>
        <v>Detroit Pistons</v>
      </c>
      <c r="H545" s="177">
        <v>123</v>
      </c>
      <c r="I545" s="336">
        <v>108</v>
      </c>
      <c r="J545" s="327">
        <f t="shared" ref="J545:J552" si="517">IF(I545&gt;H545, 1, 0)</f>
        <v>0</v>
      </c>
      <c r="K545" s="177">
        <f t="shared" ref="K545:K552" si="518">+D545+H545</f>
        <v>240</v>
      </c>
      <c r="L545" s="336">
        <f t="shared" ref="L545:L552" si="519">E545+I545</f>
        <v>201</v>
      </c>
      <c r="M545" s="327">
        <f t="shared" ref="M545:M552" si="520">IF(L545&gt;K545, 1, 0)</f>
        <v>0</v>
      </c>
      <c r="N545" s="337">
        <f t="shared" ref="N545:N552" si="521">(+H545-D545)</f>
        <v>6</v>
      </c>
      <c r="O545" s="395">
        <f t="shared" ref="O545:O552" si="522">I545-E545</f>
        <v>15</v>
      </c>
      <c r="P545" s="289">
        <f t="shared" ref="P545:P552" si="523">IF(OR(AND(N545&gt;0,O545&gt;0),AND(N545&lt;0,O545&lt;0)),1,0)</f>
        <v>1</v>
      </c>
      <c r="Q545" s="460">
        <f>WEEKNUM(tblResultadosNBA[[#This Row],[Fecha]],2)</f>
        <v>2</v>
      </c>
      <c r="R545" s="460" t="str">
        <f>TEXT(tblResultadosNBA[[#This Row],[Fecha]],"mmm")</f>
        <v>ene</v>
      </c>
    </row>
    <row r="546" spans="1:18">
      <c r="A546" s="419">
        <v>46029</v>
      </c>
      <c r="B546" s="422" t="s">
        <v>132</v>
      </c>
      <c r="C546" s="177" t="str">
        <f t="shared" si="514"/>
        <v>Washington Wizards</v>
      </c>
      <c r="D546" s="177">
        <v>111</v>
      </c>
      <c r="E546" s="336">
        <v>110</v>
      </c>
      <c r="F546" s="327">
        <f t="shared" si="515"/>
        <v>0</v>
      </c>
      <c r="G546" s="177" t="str">
        <f t="shared" si="516"/>
        <v>Philadelphia 76ers</v>
      </c>
      <c r="H546" s="177">
        <v>124</v>
      </c>
      <c r="I546" s="336">
        <v>131</v>
      </c>
      <c r="J546" s="327">
        <f t="shared" si="517"/>
        <v>1</v>
      </c>
      <c r="K546" s="177">
        <f t="shared" si="518"/>
        <v>235</v>
      </c>
      <c r="L546" s="336">
        <f t="shared" si="519"/>
        <v>241</v>
      </c>
      <c r="M546" s="327">
        <f t="shared" si="520"/>
        <v>1</v>
      </c>
      <c r="N546" s="337">
        <f t="shared" si="521"/>
        <v>13</v>
      </c>
      <c r="O546" s="395">
        <f t="shared" si="522"/>
        <v>21</v>
      </c>
      <c r="P546" s="289">
        <f t="shared" si="523"/>
        <v>1</v>
      </c>
      <c r="Q546" s="460">
        <f>WEEKNUM(tblResultadosNBA[[#This Row],[Fecha]],2)</f>
        <v>2</v>
      </c>
      <c r="R546" s="460" t="str">
        <f>TEXT(tblResultadosNBA[[#This Row],[Fecha]],"mmm")</f>
        <v>ene</v>
      </c>
    </row>
    <row r="547" spans="1:18">
      <c r="A547" s="419">
        <v>46029</v>
      </c>
      <c r="B547" s="422" t="s">
        <v>821</v>
      </c>
      <c r="C547" s="177" t="str">
        <f t="shared" si="514"/>
        <v>Denver Nuggets</v>
      </c>
      <c r="D547" s="177">
        <v>114</v>
      </c>
      <c r="E547" s="336">
        <v>114</v>
      </c>
      <c r="F547" s="327">
        <f t="shared" si="515"/>
        <v>0</v>
      </c>
      <c r="G547" s="177" t="str">
        <f t="shared" si="516"/>
        <v>Boston Celtics</v>
      </c>
      <c r="H547" s="177">
        <v>119</v>
      </c>
      <c r="I547" s="336">
        <v>110</v>
      </c>
      <c r="J547" s="327">
        <f t="shared" si="517"/>
        <v>0</v>
      </c>
      <c r="K547" s="177">
        <f t="shared" si="518"/>
        <v>233</v>
      </c>
      <c r="L547" s="336">
        <f t="shared" si="519"/>
        <v>224</v>
      </c>
      <c r="M547" s="327">
        <f t="shared" si="520"/>
        <v>0</v>
      </c>
      <c r="N547" s="337">
        <f t="shared" si="521"/>
        <v>5</v>
      </c>
      <c r="O547" s="395">
        <f t="shared" si="522"/>
        <v>-4</v>
      </c>
      <c r="P547" s="289">
        <f t="shared" si="523"/>
        <v>0</v>
      </c>
      <c r="Q547" s="460">
        <f>WEEKNUM(tblResultadosNBA[[#This Row],[Fecha]],2)</f>
        <v>2</v>
      </c>
      <c r="R547" s="460" t="str">
        <f>TEXT(tblResultadosNBA[[#This Row],[Fecha]],"mmm")</f>
        <v>ene</v>
      </c>
    </row>
    <row r="548" spans="1:18">
      <c r="A548" s="419">
        <v>46029</v>
      </c>
      <c r="B548" s="422" t="s">
        <v>822</v>
      </c>
      <c r="C548" s="177" t="str">
        <f t="shared" si="514"/>
        <v>New Orleans Pelicans</v>
      </c>
      <c r="D548" s="177">
        <v>113</v>
      </c>
      <c r="E548" s="336">
        <v>100</v>
      </c>
      <c r="F548" s="327">
        <f t="shared" si="515"/>
        <v>0</v>
      </c>
      <c r="G548" s="177" t="str">
        <f t="shared" si="516"/>
        <v>Atlanta Hawks</v>
      </c>
      <c r="H548" s="177">
        <v>124</v>
      </c>
      <c r="I548" s="336">
        <v>117</v>
      </c>
      <c r="J548" s="327">
        <f t="shared" si="517"/>
        <v>0</v>
      </c>
      <c r="K548" s="177">
        <f t="shared" si="518"/>
        <v>237</v>
      </c>
      <c r="L548" s="336">
        <f t="shared" si="519"/>
        <v>217</v>
      </c>
      <c r="M548" s="327">
        <f t="shared" si="520"/>
        <v>0</v>
      </c>
      <c r="N548" s="337">
        <f t="shared" si="521"/>
        <v>11</v>
      </c>
      <c r="O548" s="395">
        <f t="shared" si="522"/>
        <v>17</v>
      </c>
      <c r="P548" s="289">
        <f t="shared" si="523"/>
        <v>1</v>
      </c>
      <c r="Q548" s="460">
        <f>WEEKNUM(tblResultadosNBA[[#This Row],[Fecha]],2)</f>
        <v>2</v>
      </c>
      <c r="R548" s="460" t="str">
        <f>TEXT(tblResultadosNBA[[#This Row],[Fecha]],"mmm")</f>
        <v>ene</v>
      </c>
    </row>
    <row r="549" spans="1:18">
      <c r="A549" s="419">
        <v>46029</v>
      </c>
      <c r="B549" s="422" t="s">
        <v>823</v>
      </c>
      <c r="C549" s="177" t="str">
        <f t="shared" si="514"/>
        <v>Orlando Magic</v>
      </c>
      <c r="D549" s="177">
        <v>107</v>
      </c>
      <c r="E549" s="336">
        <v>104</v>
      </c>
      <c r="F549" s="327">
        <f t="shared" si="515"/>
        <v>0</v>
      </c>
      <c r="G549" s="177" t="str">
        <f t="shared" si="516"/>
        <v>Brooklyn Nets</v>
      </c>
      <c r="H549" s="177">
        <v>111</v>
      </c>
      <c r="I549" s="336">
        <v>103</v>
      </c>
      <c r="J549" s="327">
        <f t="shared" si="517"/>
        <v>0</v>
      </c>
      <c r="K549" s="177">
        <f t="shared" si="518"/>
        <v>218</v>
      </c>
      <c r="L549" s="336">
        <f t="shared" si="519"/>
        <v>207</v>
      </c>
      <c r="M549" s="327">
        <f t="shared" si="520"/>
        <v>0</v>
      </c>
      <c r="N549" s="337">
        <f t="shared" si="521"/>
        <v>4</v>
      </c>
      <c r="O549" s="395">
        <f t="shared" si="522"/>
        <v>-1</v>
      </c>
      <c r="P549" s="289">
        <f t="shared" si="523"/>
        <v>0</v>
      </c>
      <c r="Q549" s="460">
        <f>WEEKNUM(tblResultadosNBA[[#This Row],[Fecha]],2)</f>
        <v>2</v>
      </c>
      <c r="R549" s="460" t="str">
        <f>TEXT(tblResultadosNBA[[#This Row],[Fecha]],"mmm")</f>
        <v>ene</v>
      </c>
    </row>
    <row r="550" spans="1:18">
      <c r="A550" s="419">
        <v>46029</v>
      </c>
      <c r="B550" s="422" t="s">
        <v>824</v>
      </c>
      <c r="C550" s="177" t="str">
        <f t="shared" si="514"/>
        <v>LA Clippers</v>
      </c>
      <c r="D550" s="177">
        <v>119</v>
      </c>
      <c r="E550" s="336">
        <v>111</v>
      </c>
      <c r="F550" s="327">
        <f t="shared" si="515"/>
        <v>0</v>
      </c>
      <c r="G550" s="177" t="str">
        <f t="shared" si="516"/>
        <v>New York Knicks</v>
      </c>
      <c r="H550" s="177">
        <v>127</v>
      </c>
      <c r="I550" s="336">
        <v>123</v>
      </c>
      <c r="J550" s="327">
        <f t="shared" si="517"/>
        <v>0</v>
      </c>
      <c r="K550" s="177">
        <f t="shared" si="518"/>
        <v>246</v>
      </c>
      <c r="L550" s="336">
        <f t="shared" si="519"/>
        <v>234</v>
      </c>
      <c r="M550" s="327">
        <f t="shared" si="520"/>
        <v>0</v>
      </c>
      <c r="N550" s="337">
        <f t="shared" si="521"/>
        <v>8</v>
      </c>
      <c r="O550" s="395">
        <f t="shared" si="522"/>
        <v>12</v>
      </c>
      <c r="P550" s="289">
        <f t="shared" si="523"/>
        <v>1</v>
      </c>
      <c r="Q550" s="460">
        <f>WEEKNUM(tblResultadosNBA[[#This Row],[Fecha]],2)</f>
        <v>2</v>
      </c>
      <c r="R550" s="460" t="str">
        <f>TEXT(tblResultadosNBA[[#This Row],[Fecha]],"mmm")</f>
        <v>ene</v>
      </c>
    </row>
    <row r="551" spans="1:18">
      <c r="A551" s="419">
        <v>46029</v>
      </c>
      <c r="B551" s="422" t="s">
        <v>530</v>
      </c>
      <c r="C551" s="177" t="str">
        <f t="shared" si="514"/>
        <v>Phoenix Suns</v>
      </c>
      <c r="D551" s="177">
        <v>109</v>
      </c>
      <c r="E551" s="336">
        <v>117</v>
      </c>
      <c r="F551" s="327">
        <f t="shared" si="515"/>
        <v>1</v>
      </c>
      <c r="G551" s="177" t="str">
        <f t="shared" si="516"/>
        <v>Memphis Grizzlies</v>
      </c>
      <c r="H551" s="177">
        <v>120</v>
      </c>
      <c r="I551" s="336">
        <v>101</v>
      </c>
      <c r="J551" s="327">
        <f t="shared" si="517"/>
        <v>0</v>
      </c>
      <c r="K551" s="177">
        <f t="shared" si="518"/>
        <v>229</v>
      </c>
      <c r="L551" s="336">
        <f t="shared" si="519"/>
        <v>218</v>
      </c>
      <c r="M551" s="327">
        <f t="shared" si="520"/>
        <v>0</v>
      </c>
      <c r="N551" s="337">
        <f t="shared" si="521"/>
        <v>11</v>
      </c>
      <c r="O551" s="395">
        <f t="shared" si="522"/>
        <v>-16</v>
      </c>
      <c r="P551" s="289">
        <f t="shared" si="523"/>
        <v>0</v>
      </c>
      <c r="Q551" s="460">
        <f>WEEKNUM(tblResultadosNBA[[#This Row],[Fecha]],2)</f>
        <v>2</v>
      </c>
      <c r="R551" s="460" t="str">
        <f>TEXT(tblResultadosNBA[[#This Row],[Fecha]],"mmm")</f>
        <v>ene</v>
      </c>
    </row>
    <row r="552" spans="1:18">
      <c r="A552" s="419">
        <v>46029</v>
      </c>
      <c r="B552" s="422" t="s">
        <v>563</v>
      </c>
      <c r="C552" s="177" t="str">
        <f t="shared" si="514"/>
        <v>Utah Jazz</v>
      </c>
      <c r="D552" s="177">
        <v>126</v>
      </c>
      <c r="E552" s="336">
        <v>125</v>
      </c>
      <c r="F552" s="327">
        <f t="shared" si="515"/>
        <v>0</v>
      </c>
      <c r="G552" s="177" t="str">
        <f t="shared" si="516"/>
        <v>Oklahoma City Thunder</v>
      </c>
      <c r="H552" s="177">
        <v>134</v>
      </c>
      <c r="I552" s="336">
        <v>129</v>
      </c>
      <c r="J552" s="327">
        <f t="shared" si="517"/>
        <v>0</v>
      </c>
      <c r="K552" s="177">
        <f t="shared" si="518"/>
        <v>260</v>
      </c>
      <c r="L552" s="336">
        <f t="shared" si="519"/>
        <v>254</v>
      </c>
      <c r="M552" s="327">
        <f t="shared" si="520"/>
        <v>0</v>
      </c>
      <c r="N552" s="337">
        <f t="shared" si="521"/>
        <v>8</v>
      </c>
      <c r="O552" s="395">
        <f t="shared" si="522"/>
        <v>4</v>
      </c>
      <c r="P552" s="289">
        <f t="shared" si="523"/>
        <v>1</v>
      </c>
      <c r="Q552" s="460">
        <f>WEEKNUM(tblResultadosNBA[[#This Row],[Fecha]],2)</f>
        <v>2</v>
      </c>
      <c r="R552" s="460" t="str">
        <f>TEXT(tblResultadosNBA[[#This Row],[Fecha]],"mmm")</f>
        <v>ene</v>
      </c>
    </row>
    <row r="553" spans="1:18">
      <c r="A553" s="419">
        <v>46029</v>
      </c>
      <c r="B553" s="422" t="s">
        <v>825</v>
      </c>
      <c r="C553" s="177" t="str">
        <f t="shared" ref="C553:C555" si="524">LEFT(B553,FIND("@",B553)-2)</f>
        <v>Los Angeles Lakers</v>
      </c>
      <c r="D553" s="177">
        <v>122</v>
      </c>
      <c r="E553" s="336">
        <v>91</v>
      </c>
      <c r="F553" s="327">
        <f t="shared" ref="F553:F555" si="525">IF(E553&gt;D553, 1, 0)</f>
        <v>0</v>
      </c>
      <c r="G553" s="177" t="str">
        <f t="shared" ref="G553:G555" si="526">MID(B553,FIND("@",B553)+2,LEN(B553)-FIND("@",B553)-1)</f>
        <v>San Antonio Spurs</v>
      </c>
      <c r="H553" s="177">
        <v>135</v>
      </c>
      <c r="I553" s="336">
        <v>107</v>
      </c>
      <c r="J553" s="327">
        <f t="shared" ref="J553:J555" si="527">IF(I553&gt;H553, 1, 0)</f>
        <v>0</v>
      </c>
      <c r="K553" s="177">
        <f t="shared" ref="K553:K555" si="528">+D553+H553</f>
        <v>257</v>
      </c>
      <c r="L553" s="336">
        <f t="shared" ref="L553:L555" si="529">E553+I553</f>
        <v>198</v>
      </c>
      <c r="M553" s="327">
        <f t="shared" ref="M553:M555" si="530">IF(L553&gt;K553, 1, 0)</f>
        <v>0</v>
      </c>
      <c r="N553" s="337">
        <f t="shared" ref="N553:N555" si="531">(+H553-D553)</f>
        <v>13</v>
      </c>
      <c r="O553" s="395">
        <f t="shared" ref="O553:O555" si="532">I553-E553</f>
        <v>16</v>
      </c>
      <c r="P553" s="289">
        <f t="shared" ref="P553:P555" si="533">IF(OR(AND(N553&gt;0,O553&gt;0),AND(N553&lt;0,O553&lt;0)),1,0)</f>
        <v>1</v>
      </c>
      <c r="Q553" s="460">
        <f>WEEKNUM(tblResultadosNBA[[#This Row],[Fecha]],2)</f>
        <v>2</v>
      </c>
      <c r="R553" s="460" t="str">
        <f>TEXT(tblResultadosNBA[[#This Row],[Fecha]],"mmm")</f>
        <v>ene</v>
      </c>
    </row>
    <row r="554" spans="1:18">
      <c r="A554" s="419">
        <v>46029</v>
      </c>
      <c r="B554" s="422" t="s">
        <v>826</v>
      </c>
      <c r="C554" s="177" t="str">
        <f t="shared" si="524"/>
        <v>Milwaukee Bucks</v>
      </c>
      <c r="D554" s="177">
        <v>115</v>
      </c>
      <c r="E554" s="336">
        <v>113</v>
      </c>
      <c r="F554" s="327">
        <f t="shared" si="525"/>
        <v>0</v>
      </c>
      <c r="G554" s="177" t="str">
        <f t="shared" si="526"/>
        <v>Golden State Warriors</v>
      </c>
      <c r="H554" s="177">
        <v>130</v>
      </c>
      <c r="I554" s="336">
        <v>120</v>
      </c>
      <c r="J554" s="327">
        <f t="shared" si="527"/>
        <v>0</v>
      </c>
      <c r="K554" s="177">
        <f t="shared" si="528"/>
        <v>245</v>
      </c>
      <c r="L554" s="336">
        <f t="shared" si="529"/>
        <v>233</v>
      </c>
      <c r="M554" s="327">
        <f t="shared" si="530"/>
        <v>0</v>
      </c>
      <c r="N554" s="337">
        <f t="shared" si="531"/>
        <v>15</v>
      </c>
      <c r="O554" s="395">
        <f t="shared" si="532"/>
        <v>7</v>
      </c>
      <c r="P554" s="289">
        <f t="shared" si="533"/>
        <v>1</v>
      </c>
      <c r="Q554" s="460">
        <f>WEEKNUM(tblResultadosNBA[[#This Row],[Fecha]],2)</f>
        <v>2</v>
      </c>
      <c r="R554" s="460" t="str">
        <f>TEXT(tblResultadosNBA[[#This Row],[Fecha]],"mmm")</f>
        <v>ene</v>
      </c>
    </row>
    <row r="555" spans="1:18">
      <c r="A555" s="445">
        <v>46029</v>
      </c>
      <c r="B555" s="520" t="s">
        <v>827</v>
      </c>
      <c r="C555" s="286" t="str">
        <f t="shared" si="524"/>
        <v>Houston Rockets</v>
      </c>
      <c r="D555" s="286">
        <v>124</v>
      </c>
      <c r="E555" s="431">
        <v>102</v>
      </c>
      <c r="F555" s="332">
        <f t="shared" si="525"/>
        <v>0</v>
      </c>
      <c r="G555" s="286" t="str">
        <f t="shared" si="526"/>
        <v>Portland Trail Blazers</v>
      </c>
      <c r="H555" s="286">
        <v>105</v>
      </c>
      <c r="I555" s="431">
        <v>103</v>
      </c>
      <c r="J555" s="332">
        <f t="shared" si="527"/>
        <v>0</v>
      </c>
      <c r="K555" s="286">
        <f t="shared" si="528"/>
        <v>229</v>
      </c>
      <c r="L555" s="431">
        <f t="shared" si="529"/>
        <v>205</v>
      </c>
      <c r="M555" s="332">
        <f t="shared" si="530"/>
        <v>0</v>
      </c>
      <c r="N555" s="432">
        <f t="shared" si="531"/>
        <v>-19</v>
      </c>
      <c r="O555" s="451">
        <f t="shared" si="532"/>
        <v>1</v>
      </c>
      <c r="P555" s="433">
        <f t="shared" si="533"/>
        <v>0</v>
      </c>
      <c r="Q555" s="460">
        <f>WEEKNUM(tblResultadosNBA[[#This Row],[Fecha]],2)</f>
        <v>2</v>
      </c>
      <c r="R555" s="460" t="str">
        <f>TEXT(tblResultadosNBA[[#This Row],[Fecha]],"mmm")</f>
        <v>ene</v>
      </c>
    </row>
    <row r="556" spans="1:18">
      <c r="A556" s="439">
        <v>46030</v>
      </c>
      <c r="B556" s="422" t="s">
        <v>550</v>
      </c>
      <c r="C556" s="341" t="str">
        <f>LEFT(B556,FIND("@",B556)-2)</f>
        <v>Indiana Pacers</v>
      </c>
      <c r="D556" s="341">
        <v>128</v>
      </c>
      <c r="E556" s="342">
        <v>114</v>
      </c>
      <c r="F556" s="333">
        <f>IF(E556&gt;D556, 1, 0)</f>
        <v>0</v>
      </c>
      <c r="G556" s="341" t="str">
        <f>MID(B556,FIND("@",B556)+2,LEN(B556)-FIND("@",B556)-1)</f>
        <v>Charlotte Hornets</v>
      </c>
      <c r="H556" s="341">
        <v>119</v>
      </c>
      <c r="I556" s="342">
        <v>112</v>
      </c>
      <c r="J556" s="333">
        <f>IF(I556&gt;H556, 1, 0)</f>
        <v>0</v>
      </c>
      <c r="K556" s="341">
        <f>+D556+H556</f>
        <v>247</v>
      </c>
      <c r="L556" s="342">
        <f>E556+I556</f>
        <v>226</v>
      </c>
      <c r="M556" s="333">
        <f>IF(L556&gt;K556, 1, 0)</f>
        <v>0</v>
      </c>
      <c r="N556" s="343">
        <f>(+H556-D556)</f>
        <v>-9</v>
      </c>
      <c r="O556" s="449">
        <f>I556-E556</f>
        <v>-2</v>
      </c>
      <c r="P556" s="289">
        <f>IF(OR(AND(N556&gt;0,O556&gt;0),AND(N556&lt;0,O556&lt;0)),1,0)</f>
        <v>1</v>
      </c>
      <c r="Q556" s="460">
        <f>WEEKNUM(tblResultadosNBA[[#This Row],[Fecha]],2)</f>
        <v>2</v>
      </c>
      <c r="R556" s="460" t="str">
        <f>TEXT(tblResultadosNBA[[#This Row],[Fecha]],"mmm")</f>
        <v>ene</v>
      </c>
    </row>
    <row r="557" spans="1:18">
      <c r="A557" s="439">
        <v>46030</v>
      </c>
      <c r="B557" s="422" t="s">
        <v>828</v>
      </c>
      <c r="C557" s="177" t="str">
        <f t="shared" ref="C557:C558" si="534">LEFT(B557,FIND("@",B557)-2)</f>
        <v>Cleveland Cavaliers</v>
      </c>
      <c r="D557" s="177">
        <v>112</v>
      </c>
      <c r="E557" s="336">
        <v>122</v>
      </c>
      <c r="F557" s="327">
        <f t="shared" ref="F557:F558" si="535">IF(E557&gt;D557, 1, 0)</f>
        <v>1</v>
      </c>
      <c r="G557" s="177" t="str">
        <f t="shared" ref="G557:G558" si="536">MID(B557,FIND("@",B557)+2,LEN(B557)-FIND("@",B557)-1)</f>
        <v>Minnesota Timberwolves</v>
      </c>
      <c r="H557" s="177">
        <v>114</v>
      </c>
      <c r="I557" s="336">
        <v>131</v>
      </c>
      <c r="J557" s="327">
        <f t="shared" ref="J557:J558" si="537">IF(I557&gt;H557, 1, 0)</f>
        <v>1</v>
      </c>
      <c r="K557" s="177">
        <f t="shared" ref="K557:K558" si="538">+D557+H557</f>
        <v>226</v>
      </c>
      <c r="L557" s="336">
        <f t="shared" ref="L557:L558" si="539">E557+I557</f>
        <v>253</v>
      </c>
      <c r="M557" s="327">
        <f t="shared" ref="M557:M558" si="540">IF(L557&gt;K557, 1, 0)</f>
        <v>1</v>
      </c>
      <c r="N557" s="337">
        <f t="shared" ref="N557:N558" si="541">(+H557-D557)</f>
        <v>2</v>
      </c>
      <c r="O557" s="395">
        <f t="shared" ref="O557:O558" si="542">I557-E557</f>
        <v>9</v>
      </c>
      <c r="P557" s="289">
        <f t="shared" ref="P557:P558" si="543">IF(OR(AND(N557&gt;0,O557&gt;0),AND(N557&lt;0,O557&lt;0)),1,0)</f>
        <v>1</v>
      </c>
      <c r="Q557" s="460">
        <f>WEEKNUM(tblResultadosNBA[[#This Row],[Fecha]],2)</f>
        <v>2</v>
      </c>
      <c r="R557" s="460" t="str">
        <f>TEXT(tblResultadosNBA[[#This Row],[Fecha]],"mmm")</f>
        <v>ene</v>
      </c>
    </row>
    <row r="558" spans="1:18">
      <c r="A558" s="446">
        <v>46030</v>
      </c>
      <c r="B558" s="520" t="s">
        <v>182</v>
      </c>
      <c r="C558" s="286" t="str">
        <f t="shared" si="534"/>
        <v>Dallas Mavericks</v>
      </c>
      <c r="D558" s="286">
        <v>122</v>
      </c>
      <c r="E558" s="431">
        <v>114</v>
      </c>
      <c r="F558" s="332">
        <f t="shared" si="535"/>
        <v>0</v>
      </c>
      <c r="G558" s="286" t="str">
        <f t="shared" si="536"/>
        <v>Utah Jazz</v>
      </c>
      <c r="H558" s="286">
        <v>135</v>
      </c>
      <c r="I558" s="431">
        <v>116</v>
      </c>
      <c r="J558" s="332">
        <f t="shared" si="537"/>
        <v>0</v>
      </c>
      <c r="K558" s="286">
        <f t="shared" si="538"/>
        <v>257</v>
      </c>
      <c r="L558" s="431">
        <f t="shared" si="539"/>
        <v>230</v>
      </c>
      <c r="M558" s="332">
        <f t="shared" si="540"/>
        <v>0</v>
      </c>
      <c r="N558" s="432">
        <f t="shared" si="541"/>
        <v>13</v>
      </c>
      <c r="O558" s="451">
        <f t="shared" si="542"/>
        <v>2</v>
      </c>
      <c r="P558" s="433">
        <f t="shared" si="543"/>
        <v>1</v>
      </c>
      <c r="Q558" s="460">
        <f>WEEKNUM(tblResultadosNBA[[#This Row],[Fecha]],2)</f>
        <v>2</v>
      </c>
      <c r="R558" s="460" t="str">
        <f>TEXT(tblResultadosNBA[[#This Row],[Fecha]],"mmm")</f>
        <v>ene</v>
      </c>
    </row>
    <row r="559" spans="1:18">
      <c r="A559" s="439">
        <v>46031</v>
      </c>
      <c r="B559" s="422" t="s">
        <v>558</v>
      </c>
      <c r="C559" s="341" t="str">
        <f>LEFT(B559,FIND("@",B559)-2)</f>
        <v>Toronto Raptors</v>
      </c>
      <c r="D559" s="341">
        <v>123</v>
      </c>
      <c r="E559" s="342">
        <v>117</v>
      </c>
      <c r="F559" s="333">
        <f>IF(E559&gt;D559, 1, 0)</f>
        <v>0</v>
      </c>
      <c r="G559" s="341" t="str">
        <f>MID(B559,FIND("@",B559)+2,LEN(B559)-FIND("@",B559)-1)</f>
        <v>Boston Celtics</v>
      </c>
      <c r="H559" s="341">
        <v>120</v>
      </c>
      <c r="I559" s="342">
        <v>125</v>
      </c>
      <c r="J559" s="333">
        <f>IF(I559&gt;H559, 1, 0)</f>
        <v>1</v>
      </c>
      <c r="K559" s="341">
        <f>+D559+H559</f>
        <v>243</v>
      </c>
      <c r="L559" s="342">
        <f>E559+I559</f>
        <v>242</v>
      </c>
      <c r="M559" s="333">
        <f>IF(L559&gt;K559, 1, 0)</f>
        <v>0</v>
      </c>
      <c r="N559" s="343">
        <f>(+H559-D559)</f>
        <v>-3</v>
      </c>
      <c r="O559" s="449">
        <f>I559-E559</f>
        <v>8</v>
      </c>
      <c r="P559" s="289">
        <f>IF(OR(AND(N559&gt;0,O559&gt;0),AND(N559&lt;0,O559&lt;0)),1,0)</f>
        <v>0</v>
      </c>
      <c r="Q559" s="460">
        <f>WEEKNUM(tblResultadosNBA[[#This Row],[Fecha]],2)</f>
        <v>2</v>
      </c>
      <c r="R559" s="460" t="str">
        <f>TEXT(tblResultadosNBA[[#This Row],[Fecha]],"mmm")</f>
        <v>ene</v>
      </c>
    </row>
    <row r="560" spans="1:18">
      <c r="A560" s="439">
        <v>46031</v>
      </c>
      <c r="B560" s="302" t="s">
        <v>829</v>
      </c>
      <c r="C560" s="177" t="str">
        <f t="shared" ref="C560:C568" si="544">LEFT(B560,FIND("@",B560)-2)</f>
        <v>Philadelphia 76ers</v>
      </c>
      <c r="D560" s="177">
        <v>115</v>
      </c>
      <c r="E560" s="336">
        <v>103</v>
      </c>
      <c r="F560" s="327">
        <f t="shared" ref="F560:F568" si="545">IF(E560&gt;D560, 1, 0)</f>
        <v>0</v>
      </c>
      <c r="G560" s="177" t="str">
        <f t="shared" ref="G560:G568" si="546">MID(B560,FIND("@",B560)+2,LEN(B560)-FIND("@",B560)-1)</f>
        <v>Orlando Magic</v>
      </c>
      <c r="H560" s="177">
        <v>117</v>
      </c>
      <c r="I560" s="336">
        <v>91</v>
      </c>
      <c r="J560" s="327">
        <f t="shared" ref="J560:J568" si="547">IF(I560&gt;H560, 1, 0)</f>
        <v>0</v>
      </c>
      <c r="K560" s="177">
        <f t="shared" ref="K560:K568" si="548">+D560+H560</f>
        <v>232</v>
      </c>
      <c r="L560" s="336">
        <f t="shared" ref="L560:L568" si="549">E560+I560</f>
        <v>194</v>
      </c>
      <c r="M560" s="327">
        <f t="shared" ref="M560:M568" si="550">IF(L560&gt;K560, 1, 0)</f>
        <v>0</v>
      </c>
      <c r="N560" s="337">
        <f t="shared" ref="N560:N568" si="551">(+H560-D560)</f>
        <v>2</v>
      </c>
      <c r="O560" s="395">
        <f t="shared" ref="O560:O568" si="552">I560-E560</f>
        <v>-12</v>
      </c>
      <c r="P560" s="289">
        <f t="shared" ref="P560:P568" si="553">IF(OR(AND(N560&gt;0,O560&gt;0),AND(N560&lt;0,O560&lt;0)),1,0)</f>
        <v>0</v>
      </c>
      <c r="Q560" s="460">
        <f>WEEKNUM(tblResultadosNBA[[#This Row],[Fecha]],2)</f>
        <v>2</v>
      </c>
      <c r="R560" s="460" t="str">
        <f>TEXT(tblResultadosNBA[[#This Row],[Fecha]],"mmm")</f>
        <v>ene</v>
      </c>
    </row>
    <row r="561" spans="1:18">
      <c r="A561" s="439">
        <v>46031</v>
      </c>
      <c r="B561" s="302" t="s">
        <v>830</v>
      </c>
      <c r="C561" s="177" t="str">
        <f t="shared" si="544"/>
        <v>New Orleans Pelicans</v>
      </c>
      <c r="D561" s="177">
        <v>124</v>
      </c>
      <c r="E561" s="336">
        <v>128</v>
      </c>
      <c r="F561" s="327">
        <f t="shared" si="545"/>
        <v>1</v>
      </c>
      <c r="G561" s="177" t="str">
        <f t="shared" si="546"/>
        <v>Washington Wizards</v>
      </c>
      <c r="H561" s="177">
        <v>128</v>
      </c>
      <c r="I561" s="336">
        <v>107</v>
      </c>
      <c r="J561" s="327">
        <f t="shared" si="547"/>
        <v>0</v>
      </c>
      <c r="K561" s="177">
        <f t="shared" si="548"/>
        <v>252</v>
      </c>
      <c r="L561" s="336">
        <f t="shared" si="549"/>
        <v>235</v>
      </c>
      <c r="M561" s="327">
        <f t="shared" si="550"/>
        <v>0</v>
      </c>
      <c r="N561" s="337">
        <f t="shared" si="551"/>
        <v>4</v>
      </c>
      <c r="O561" s="395">
        <f t="shared" si="552"/>
        <v>-21</v>
      </c>
      <c r="P561" s="289">
        <f t="shared" si="553"/>
        <v>0</v>
      </c>
      <c r="Q561" s="460">
        <f>WEEKNUM(tblResultadosNBA[[#This Row],[Fecha]],2)</f>
        <v>2</v>
      </c>
      <c r="R561" s="460" t="str">
        <f>TEXT(tblResultadosNBA[[#This Row],[Fecha]],"mmm")</f>
        <v>ene</v>
      </c>
    </row>
    <row r="562" spans="1:18">
      <c r="A562" s="439">
        <v>46031</v>
      </c>
      <c r="B562" s="302" t="s">
        <v>831</v>
      </c>
      <c r="C562" s="177" t="str">
        <f t="shared" si="544"/>
        <v>LA Clippers</v>
      </c>
      <c r="D562" s="177">
        <v>114</v>
      </c>
      <c r="E562" s="336">
        <v>121</v>
      </c>
      <c r="F562" s="327">
        <f t="shared" si="545"/>
        <v>1</v>
      </c>
      <c r="G562" s="177" t="str">
        <f t="shared" si="546"/>
        <v>Brooklyn Nets</v>
      </c>
      <c r="H562" s="177">
        <v>120</v>
      </c>
      <c r="I562" s="336">
        <v>105</v>
      </c>
      <c r="J562" s="327">
        <f t="shared" si="547"/>
        <v>0</v>
      </c>
      <c r="K562" s="177">
        <f t="shared" si="548"/>
        <v>234</v>
      </c>
      <c r="L562" s="336">
        <f t="shared" si="549"/>
        <v>226</v>
      </c>
      <c r="M562" s="327">
        <f t="shared" si="550"/>
        <v>0</v>
      </c>
      <c r="N562" s="337">
        <f t="shared" si="551"/>
        <v>6</v>
      </c>
      <c r="O562" s="395">
        <f t="shared" si="552"/>
        <v>-16</v>
      </c>
      <c r="P562" s="289">
        <f t="shared" si="553"/>
        <v>0</v>
      </c>
      <c r="Q562" s="460">
        <f>WEEKNUM(tblResultadosNBA[[#This Row],[Fecha]],2)</f>
        <v>2</v>
      </c>
      <c r="R562" s="460" t="str">
        <f>TEXT(tblResultadosNBA[[#This Row],[Fecha]],"mmm")</f>
        <v>ene</v>
      </c>
    </row>
    <row r="563" spans="1:18">
      <c r="A563" s="439">
        <v>46031</v>
      </c>
      <c r="B563" s="302" t="s">
        <v>752</v>
      </c>
      <c r="C563" s="177" t="str">
        <f t="shared" si="544"/>
        <v>Oklahoma City Thunder</v>
      </c>
      <c r="D563" s="177">
        <v>115</v>
      </c>
      <c r="E563" s="336">
        <v>117</v>
      </c>
      <c r="F563" s="327">
        <f t="shared" si="545"/>
        <v>1</v>
      </c>
      <c r="G563" s="177" t="str">
        <f t="shared" si="546"/>
        <v>Memphis Grizzlies</v>
      </c>
      <c r="H563" s="177">
        <v>112</v>
      </c>
      <c r="I563" s="336">
        <v>116</v>
      </c>
      <c r="J563" s="327">
        <f t="shared" si="547"/>
        <v>1</v>
      </c>
      <c r="K563" s="177">
        <f t="shared" si="548"/>
        <v>227</v>
      </c>
      <c r="L563" s="336">
        <f t="shared" si="549"/>
        <v>233</v>
      </c>
      <c r="M563" s="327">
        <f t="shared" si="550"/>
        <v>1</v>
      </c>
      <c r="N563" s="337">
        <f t="shared" si="551"/>
        <v>-3</v>
      </c>
      <c r="O563" s="395">
        <f t="shared" si="552"/>
        <v>-1</v>
      </c>
      <c r="P563" s="289">
        <f t="shared" si="553"/>
        <v>1</v>
      </c>
      <c r="Q563" s="460">
        <f>WEEKNUM(tblResultadosNBA[[#This Row],[Fecha]],2)</f>
        <v>2</v>
      </c>
      <c r="R563" s="460" t="str">
        <f>TEXT(tblResultadosNBA[[#This Row],[Fecha]],"mmm")</f>
        <v>ene</v>
      </c>
    </row>
    <row r="564" spans="1:18">
      <c r="A564" s="439">
        <v>46031</v>
      </c>
      <c r="B564" s="302" t="s">
        <v>832</v>
      </c>
      <c r="C564" s="177" t="str">
        <f t="shared" si="544"/>
        <v>Atlanta Hawks</v>
      </c>
      <c r="D564" s="177">
        <v>112</v>
      </c>
      <c r="E564" s="336">
        <v>110</v>
      </c>
      <c r="F564" s="327">
        <f t="shared" si="545"/>
        <v>0</v>
      </c>
      <c r="G564" s="177" t="str">
        <f t="shared" si="546"/>
        <v>Denver Nuggets</v>
      </c>
      <c r="H564" s="177">
        <v>122</v>
      </c>
      <c r="I564" s="336">
        <v>87</v>
      </c>
      <c r="J564" s="327">
        <f t="shared" si="547"/>
        <v>0</v>
      </c>
      <c r="K564" s="177">
        <f t="shared" si="548"/>
        <v>234</v>
      </c>
      <c r="L564" s="336">
        <f t="shared" si="549"/>
        <v>197</v>
      </c>
      <c r="M564" s="327">
        <f t="shared" si="550"/>
        <v>0</v>
      </c>
      <c r="N564" s="337">
        <f t="shared" si="551"/>
        <v>10</v>
      </c>
      <c r="O564" s="395">
        <f t="shared" si="552"/>
        <v>-23</v>
      </c>
      <c r="P564" s="289">
        <f t="shared" si="553"/>
        <v>0</v>
      </c>
      <c r="Q564" s="460">
        <f>WEEKNUM(tblResultadosNBA[[#This Row],[Fecha]],2)</f>
        <v>2</v>
      </c>
      <c r="R564" s="460" t="str">
        <f>TEXT(tblResultadosNBA[[#This Row],[Fecha]],"mmm")</f>
        <v>ene</v>
      </c>
    </row>
    <row r="565" spans="1:18">
      <c r="A565" s="439">
        <v>46031</v>
      </c>
      <c r="B565" s="302" t="s">
        <v>833</v>
      </c>
      <c r="C565" s="177" t="str">
        <f t="shared" si="544"/>
        <v>New York Knicks</v>
      </c>
      <c r="D565" s="177">
        <v>113</v>
      </c>
      <c r="E565" s="336">
        <v>107</v>
      </c>
      <c r="F565" s="327">
        <f t="shared" si="545"/>
        <v>0</v>
      </c>
      <c r="G565" s="177" t="str">
        <f t="shared" si="546"/>
        <v>Phoenix Suns</v>
      </c>
      <c r="H565" s="177">
        <v>128</v>
      </c>
      <c r="I565" s="336">
        <v>112</v>
      </c>
      <c r="J565" s="327">
        <f t="shared" si="547"/>
        <v>0</v>
      </c>
      <c r="K565" s="177">
        <f t="shared" si="548"/>
        <v>241</v>
      </c>
      <c r="L565" s="336">
        <f t="shared" si="549"/>
        <v>219</v>
      </c>
      <c r="M565" s="327">
        <f t="shared" si="550"/>
        <v>0</v>
      </c>
      <c r="N565" s="337">
        <f t="shared" si="551"/>
        <v>15</v>
      </c>
      <c r="O565" s="395">
        <f t="shared" si="552"/>
        <v>5</v>
      </c>
      <c r="P565" s="289">
        <f t="shared" si="553"/>
        <v>1</v>
      </c>
      <c r="Q565" s="460">
        <f>WEEKNUM(tblResultadosNBA[[#This Row],[Fecha]],2)</f>
        <v>2</v>
      </c>
      <c r="R565" s="460" t="str">
        <f>TEXT(tblResultadosNBA[[#This Row],[Fecha]],"mmm")</f>
        <v>ene</v>
      </c>
    </row>
    <row r="566" spans="1:18">
      <c r="A566" s="439">
        <v>46031</v>
      </c>
      <c r="B566" s="302" t="s">
        <v>571</v>
      </c>
      <c r="C566" s="177" t="str">
        <f t="shared" si="544"/>
        <v>Sacramento Kings</v>
      </c>
      <c r="D566" s="177">
        <v>113</v>
      </c>
      <c r="E566" s="336">
        <v>103</v>
      </c>
      <c r="F566" s="327">
        <f t="shared" si="545"/>
        <v>0</v>
      </c>
      <c r="G566" s="177" t="str">
        <f t="shared" si="546"/>
        <v>Golden State Warriors</v>
      </c>
      <c r="H566" s="177">
        <v>135</v>
      </c>
      <c r="I566" s="336">
        <v>137</v>
      </c>
      <c r="J566" s="327">
        <f t="shared" si="547"/>
        <v>1</v>
      </c>
      <c r="K566" s="177">
        <f t="shared" si="548"/>
        <v>248</v>
      </c>
      <c r="L566" s="336">
        <f t="shared" si="549"/>
        <v>240</v>
      </c>
      <c r="M566" s="327">
        <f t="shared" si="550"/>
        <v>0</v>
      </c>
      <c r="N566" s="337">
        <f t="shared" si="551"/>
        <v>22</v>
      </c>
      <c r="O566" s="395">
        <f t="shared" si="552"/>
        <v>34</v>
      </c>
      <c r="P566" s="289">
        <f t="shared" si="553"/>
        <v>1</v>
      </c>
      <c r="Q566" s="460">
        <f>WEEKNUM(tblResultadosNBA[[#This Row],[Fecha]],2)</f>
        <v>2</v>
      </c>
      <c r="R566" s="460" t="str">
        <f>TEXT(tblResultadosNBA[[#This Row],[Fecha]],"mmm")</f>
        <v>ene</v>
      </c>
    </row>
    <row r="567" spans="1:18">
      <c r="A567" s="439">
        <v>46031</v>
      </c>
      <c r="B567" s="302" t="s">
        <v>827</v>
      </c>
      <c r="C567" s="177" t="str">
        <f t="shared" si="544"/>
        <v>Houston Rockets</v>
      </c>
      <c r="D567" s="177">
        <v>135</v>
      </c>
      <c r="E567" s="336">
        <v>105</v>
      </c>
      <c r="F567" s="327">
        <f t="shared" si="545"/>
        <v>0</v>
      </c>
      <c r="G567" s="177" t="str">
        <f t="shared" si="546"/>
        <v>Portland Trail Blazers</v>
      </c>
      <c r="H567" s="177">
        <v>118</v>
      </c>
      <c r="I567" s="336">
        <v>111</v>
      </c>
      <c r="J567" s="327">
        <f t="shared" si="547"/>
        <v>0</v>
      </c>
      <c r="K567" s="177">
        <f t="shared" si="548"/>
        <v>253</v>
      </c>
      <c r="L567" s="336">
        <f t="shared" si="549"/>
        <v>216</v>
      </c>
      <c r="M567" s="327">
        <f t="shared" si="550"/>
        <v>0</v>
      </c>
      <c r="N567" s="337">
        <f t="shared" si="551"/>
        <v>-17</v>
      </c>
      <c r="O567" s="395">
        <f t="shared" si="552"/>
        <v>6</v>
      </c>
      <c r="P567" s="289">
        <f t="shared" si="553"/>
        <v>0</v>
      </c>
      <c r="Q567" s="460">
        <f>WEEKNUM(tblResultadosNBA[[#This Row],[Fecha]],2)</f>
        <v>2</v>
      </c>
      <c r="R567" s="460" t="str">
        <f>TEXT(tblResultadosNBA[[#This Row],[Fecha]],"mmm")</f>
        <v>ene</v>
      </c>
    </row>
    <row r="568" spans="1:18">
      <c r="A568" s="446">
        <v>46031</v>
      </c>
      <c r="B568" s="331" t="s">
        <v>834</v>
      </c>
      <c r="C568" s="286" t="str">
        <f t="shared" si="544"/>
        <v>Milwaukee Bucks</v>
      </c>
      <c r="D568" s="286">
        <v>118</v>
      </c>
      <c r="E568" s="431">
        <v>105</v>
      </c>
      <c r="F568" s="332">
        <f t="shared" si="545"/>
        <v>0</v>
      </c>
      <c r="G568" s="286" t="str">
        <f t="shared" si="546"/>
        <v>Los Angeles Lakers</v>
      </c>
      <c r="H568" s="286">
        <v>124</v>
      </c>
      <c r="I568" s="431">
        <v>101</v>
      </c>
      <c r="J568" s="332">
        <f t="shared" si="547"/>
        <v>0</v>
      </c>
      <c r="K568" s="286">
        <f t="shared" si="548"/>
        <v>242</v>
      </c>
      <c r="L568" s="431">
        <f t="shared" si="549"/>
        <v>206</v>
      </c>
      <c r="M568" s="332">
        <f t="shared" si="550"/>
        <v>0</v>
      </c>
      <c r="N568" s="432">
        <f t="shared" si="551"/>
        <v>6</v>
      </c>
      <c r="O568" s="451">
        <f t="shared" si="552"/>
        <v>-4</v>
      </c>
      <c r="P568" s="433">
        <f t="shared" si="553"/>
        <v>0</v>
      </c>
      <c r="Q568" s="460">
        <f>WEEKNUM(tblResultadosNBA[[#This Row],[Fecha]],2)</f>
        <v>2</v>
      </c>
      <c r="R568" s="460" t="str">
        <f>TEXT(tblResultadosNBA[[#This Row],[Fecha]],"mmm")</f>
        <v>ene</v>
      </c>
    </row>
    <row r="569" spans="1:18">
      <c r="A569" s="439">
        <v>46032</v>
      </c>
      <c r="B569" s="422" t="s">
        <v>835</v>
      </c>
      <c r="C569" s="341" t="str">
        <f>LEFT(B569,FIND("@",B569)-2)</f>
        <v>Minnesota Timberwolves</v>
      </c>
      <c r="D569" s="341">
        <v>129</v>
      </c>
      <c r="E569" s="342">
        <v>134</v>
      </c>
      <c r="F569" s="333">
        <f>IF(E569&gt;D569, 1, 0)</f>
        <v>1</v>
      </c>
      <c r="G569" s="341" t="str">
        <f>MID(B569,FIND("@",B569)+2,LEN(B569)-FIND("@",B569)-1)</f>
        <v>Cleveland Cavaliers</v>
      </c>
      <c r="H569" s="341">
        <v>122</v>
      </c>
      <c r="I569" s="342">
        <v>146</v>
      </c>
      <c r="J569" s="333">
        <f>IF(I569&gt;H569, 1, 0)</f>
        <v>1</v>
      </c>
      <c r="K569" s="341">
        <f>+D569+H569</f>
        <v>251</v>
      </c>
      <c r="L569" s="342">
        <f>E569+I569</f>
        <v>280</v>
      </c>
      <c r="M569" s="333">
        <f>IF(L569&gt;K569, 1, 0)</f>
        <v>1</v>
      </c>
      <c r="N569" s="343">
        <f>(+H569-D569)</f>
        <v>-7</v>
      </c>
      <c r="O569" s="449">
        <f>I569-E569</f>
        <v>12</v>
      </c>
      <c r="P569" s="289">
        <f>IF(OR(AND(N569&gt;0,O569&gt;0),AND(N569&lt;0,O569&lt;0)),1,0)</f>
        <v>0</v>
      </c>
      <c r="Q569" s="460">
        <f>WEEKNUM(tblResultadosNBA[[#This Row],[Fecha]],2)</f>
        <v>2</v>
      </c>
      <c r="R569" s="460" t="str">
        <f>TEXT(tblResultadosNBA[[#This Row],[Fecha]],"mmm")</f>
        <v>ene</v>
      </c>
    </row>
    <row r="570" spans="1:18">
      <c r="A570" s="439">
        <v>46032</v>
      </c>
      <c r="B570" s="302" t="s">
        <v>524</v>
      </c>
      <c r="C570" s="177" t="str">
        <f t="shared" ref="C570:C574" si="554">LEFT(B570,FIND("@",B570)-2)</f>
        <v>Miami Heat</v>
      </c>
      <c r="D570" s="177">
        <v>114</v>
      </c>
      <c r="E570" s="336">
        <v>99</v>
      </c>
      <c r="F570" s="327">
        <f t="shared" ref="F570:F574" si="555">IF(E570&gt;D570, 1, 0)</f>
        <v>0</v>
      </c>
      <c r="G570" s="177" t="str">
        <f t="shared" ref="G570:G574" si="556">MID(B570,FIND("@",B570)+2,LEN(B570)-FIND("@",B570)-1)</f>
        <v>Indiana Pacers</v>
      </c>
      <c r="H570" s="177">
        <v>111</v>
      </c>
      <c r="I570" s="336">
        <v>123</v>
      </c>
      <c r="J570" s="327">
        <f t="shared" ref="J570:J574" si="557">IF(I570&gt;H570, 1, 0)</f>
        <v>1</v>
      </c>
      <c r="K570" s="177">
        <f t="shared" ref="K570:K574" si="558">+D570+H570</f>
        <v>225</v>
      </c>
      <c r="L570" s="336">
        <f t="shared" ref="L570:L574" si="559">E570+I570</f>
        <v>222</v>
      </c>
      <c r="M570" s="327">
        <f t="shared" ref="M570:M574" si="560">IF(L570&gt;K570, 1, 0)</f>
        <v>0</v>
      </c>
      <c r="N570" s="337">
        <f t="shared" ref="N570:N574" si="561">(+H570-D570)</f>
        <v>-3</v>
      </c>
      <c r="O570" s="395">
        <f t="shared" ref="O570:O574" si="562">I570-E570</f>
        <v>24</v>
      </c>
      <c r="P570" s="289">
        <f t="shared" ref="P570:P574" si="563">IF(OR(AND(N570&gt;0,O570&gt;0),AND(N570&lt;0,O570&lt;0)),1,0)</f>
        <v>0</v>
      </c>
      <c r="Q570" s="460">
        <f>WEEKNUM(tblResultadosNBA[[#This Row],[Fecha]],2)</f>
        <v>2</v>
      </c>
      <c r="R570" s="460" t="str">
        <f>TEXT(tblResultadosNBA[[#This Row],[Fecha]],"mmm")</f>
        <v>ene</v>
      </c>
    </row>
    <row r="571" spans="1:18">
      <c r="A571" s="439">
        <v>46032</v>
      </c>
      <c r="B571" s="302" t="s">
        <v>836</v>
      </c>
      <c r="C571" s="177" t="str">
        <f t="shared" si="554"/>
        <v>LA Clippers</v>
      </c>
      <c r="D571" s="177">
        <v>106</v>
      </c>
      <c r="E571" s="336">
        <v>98</v>
      </c>
      <c r="F571" s="327">
        <f t="shared" si="555"/>
        <v>0</v>
      </c>
      <c r="G571" s="177" t="str">
        <f t="shared" si="556"/>
        <v>Detroit Pistons</v>
      </c>
      <c r="H571" s="177">
        <v>116</v>
      </c>
      <c r="I571" s="336">
        <v>92</v>
      </c>
      <c r="J571" s="327">
        <f t="shared" si="557"/>
        <v>0</v>
      </c>
      <c r="K571" s="177">
        <f t="shared" si="558"/>
        <v>222</v>
      </c>
      <c r="L571" s="336">
        <f t="shared" si="559"/>
        <v>190</v>
      </c>
      <c r="M571" s="327">
        <f t="shared" si="560"/>
        <v>0</v>
      </c>
      <c r="N571" s="337">
        <f t="shared" si="561"/>
        <v>10</v>
      </c>
      <c r="O571" s="395">
        <f t="shared" si="562"/>
        <v>-6</v>
      </c>
      <c r="P571" s="289">
        <f t="shared" si="563"/>
        <v>0</v>
      </c>
      <c r="Q571" s="460">
        <f>WEEKNUM(tblResultadosNBA[[#This Row],[Fecha]],2)</f>
        <v>2</v>
      </c>
      <c r="R571" s="460" t="str">
        <f>TEXT(tblResultadosNBA[[#This Row],[Fecha]],"mmm")</f>
        <v>ene</v>
      </c>
    </row>
    <row r="572" spans="1:18">
      <c r="A572" s="439">
        <v>46032</v>
      </c>
      <c r="B572" s="302" t="s">
        <v>837</v>
      </c>
      <c r="C572" s="177" t="str">
        <f t="shared" si="554"/>
        <v>San Antonio Spurs</v>
      </c>
      <c r="D572" s="177">
        <v>115</v>
      </c>
      <c r="E572" s="336">
        <v>100</v>
      </c>
      <c r="F572" s="327">
        <f t="shared" si="555"/>
        <v>0</v>
      </c>
      <c r="G572" s="177" t="str">
        <f t="shared" si="556"/>
        <v>Boston Celtics</v>
      </c>
      <c r="H572" s="177">
        <v>135</v>
      </c>
      <c r="I572" s="336">
        <v>95</v>
      </c>
      <c r="J572" s="327">
        <f t="shared" si="557"/>
        <v>0</v>
      </c>
      <c r="K572" s="177">
        <f t="shared" si="558"/>
        <v>250</v>
      </c>
      <c r="L572" s="336">
        <f t="shared" si="559"/>
        <v>195</v>
      </c>
      <c r="M572" s="327">
        <f t="shared" si="560"/>
        <v>0</v>
      </c>
      <c r="N572" s="337">
        <f t="shared" si="561"/>
        <v>20</v>
      </c>
      <c r="O572" s="395">
        <f t="shared" si="562"/>
        <v>-5</v>
      </c>
      <c r="P572" s="289">
        <f t="shared" si="563"/>
        <v>0</v>
      </c>
      <c r="Q572" s="460">
        <f>WEEKNUM(tblResultadosNBA[[#This Row],[Fecha]],2)</f>
        <v>2</v>
      </c>
      <c r="R572" s="460" t="str">
        <f>TEXT(tblResultadosNBA[[#This Row],[Fecha]],"mmm")</f>
        <v>ene</v>
      </c>
    </row>
    <row r="573" spans="1:18">
      <c r="A573" s="439">
        <v>46032</v>
      </c>
      <c r="B573" s="302" t="s">
        <v>838</v>
      </c>
      <c r="C573" s="177" t="str">
        <f t="shared" si="554"/>
        <v>Dallas Mavericks</v>
      </c>
      <c r="D573" s="177">
        <v>120</v>
      </c>
      <c r="E573" s="336">
        <v>107</v>
      </c>
      <c r="F573" s="327">
        <f t="shared" si="555"/>
        <v>0</v>
      </c>
      <c r="G573" s="177" t="str">
        <f t="shared" si="556"/>
        <v>Chicago Bulls</v>
      </c>
      <c r="H573" s="177">
        <v>109</v>
      </c>
      <c r="I573" s="336">
        <v>125</v>
      </c>
      <c r="J573" s="327">
        <f t="shared" si="557"/>
        <v>1</v>
      </c>
      <c r="K573" s="177">
        <f t="shared" si="558"/>
        <v>229</v>
      </c>
      <c r="L573" s="336">
        <f t="shared" si="559"/>
        <v>232</v>
      </c>
      <c r="M573" s="327">
        <f t="shared" si="560"/>
        <v>1</v>
      </c>
      <c r="N573" s="337">
        <f t="shared" si="561"/>
        <v>-11</v>
      </c>
      <c r="O573" s="395">
        <f t="shared" si="562"/>
        <v>18</v>
      </c>
      <c r="P573" s="289">
        <f t="shared" si="563"/>
        <v>0</v>
      </c>
      <c r="Q573" s="460">
        <f>WEEKNUM(tblResultadosNBA[[#This Row],[Fecha]],2)</f>
        <v>2</v>
      </c>
      <c r="R573" s="460" t="str">
        <f>TEXT(tblResultadosNBA[[#This Row],[Fecha]],"mmm")</f>
        <v>ene</v>
      </c>
    </row>
    <row r="574" spans="1:18">
      <c r="A574" s="446">
        <v>46032</v>
      </c>
      <c r="B574" s="331" t="s">
        <v>839</v>
      </c>
      <c r="C574" s="286" t="str">
        <f t="shared" si="554"/>
        <v>Charlotte Hornets</v>
      </c>
      <c r="D574" s="286">
        <v>118</v>
      </c>
      <c r="E574" s="431">
        <v>150</v>
      </c>
      <c r="F574" s="332">
        <f t="shared" si="555"/>
        <v>1</v>
      </c>
      <c r="G574" s="286" t="str">
        <f t="shared" si="556"/>
        <v>Utah Jazz</v>
      </c>
      <c r="H574" s="286">
        <v>131</v>
      </c>
      <c r="I574" s="431">
        <v>95</v>
      </c>
      <c r="J574" s="332">
        <f t="shared" si="557"/>
        <v>0</v>
      </c>
      <c r="K574" s="286">
        <f t="shared" si="558"/>
        <v>249</v>
      </c>
      <c r="L574" s="431">
        <f t="shared" si="559"/>
        <v>245</v>
      </c>
      <c r="M574" s="332">
        <f t="shared" si="560"/>
        <v>0</v>
      </c>
      <c r="N574" s="432">
        <f t="shared" si="561"/>
        <v>13</v>
      </c>
      <c r="O574" s="451">
        <f t="shared" si="562"/>
        <v>-55</v>
      </c>
      <c r="P574" s="433">
        <f t="shared" si="563"/>
        <v>0</v>
      </c>
      <c r="Q574" s="460">
        <f>WEEKNUM(tblResultadosNBA[[#This Row],[Fecha]],2)</f>
        <v>2</v>
      </c>
      <c r="R574" s="460" t="str">
        <f>TEXT(tblResultadosNBA[[#This Row],[Fecha]],"mmm")</f>
        <v>ene</v>
      </c>
    </row>
    <row r="575" spans="1:18">
      <c r="A575" s="439">
        <v>46033</v>
      </c>
      <c r="B575" s="422" t="s">
        <v>840</v>
      </c>
      <c r="C575" s="341" t="str">
        <f>LEFT(B575,FIND("@",B575)-2)</f>
        <v>New Orleans Pelicans</v>
      </c>
      <c r="D575" s="341">
        <v>128</v>
      </c>
      <c r="E575" s="342">
        <v>118</v>
      </c>
      <c r="F575" s="333">
        <f>IF(E575&gt;D575, 1, 0)</f>
        <v>0</v>
      </c>
      <c r="G575" s="341" t="str">
        <f>MID(B575,FIND("@",B575)+2,LEN(B575)-FIND("@",B575)-1)</f>
        <v>Orlando Magic</v>
      </c>
      <c r="H575" s="341">
        <v>123</v>
      </c>
      <c r="I575" s="342">
        <v>128</v>
      </c>
      <c r="J575" s="333">
        <f>IF(I575&gt;H575, 1, 0)</f>
        <v>1</v>
      </c>
      <c r="K575" s="341">
        <f>+D575+H575</f>
        <v>251</v>
      </c>
      <c r="L575" s="342">
        <f>E575+I575</f>
        <v>246</v>
      </c>
      <c r="M575" s="333">
        <f>IF(L575&gt;K575, 1, 0)</f>
        <v>0</v>
      </c>
      <c r="N575" s="343">
        <f>(+H575-D575)</f>
        <v>-5</v>
      </c>
      <c r="O575" s="449">
        <f>I575-E575</f>
        <v>10</v>
      </c>
      <c r="P575" s="289">
        <f>IF(OR(AND(N575&gt;0,O575&gt;0),AND(N575&lt;0,O575&lt;0)),1,0)</f>
        <v>0</v>
      </c>
      <c r="Q575" s="460">
        <f>WEEKNUM(tblResultadosNBA[[#This Row],[Fecha]],2)</f>
        <v>2</v>
      </c>
      <c r="R575" s="460" t="str">
        <f>TEXT(tblResultadosNBA[[#This Row],[Fecha]],"mmm")</f>
        <v>ene</v>
      </c>
    </row>
    <row r="576" spans="1:18">
      <c r="A576" s="419">
        <v>46033</v>
      </c>
      <c r="B576" s="302" t="s">
        <v>841</v>
      </c>
      <c r="C576" s="177" t="str">
        <f t="shared" ref="C576:C584" si="564">LEFT(B576,FIND("@",B576)-2)</f>
        <v>Brooklyn Nets</v>
      </c>
      <c r="D576" s="177">
        <v>111</v>
      </c>
      <c r="E576" s="336">
        <v>98</v>
      </c>
      <c r="F576" s="327">
        <f t="shared" ref="F576:F584" si="565">IF(E576&gt;D576, 1, 0)</f>
        <v>0</v>
      </c>
      <c r="G576" s="177" t="str">
        <f t="shared" ref="G576:G584" si="566">MID(B576,FIND("@",B576)+2,LEN(B576)-FIND("@",B576)-1)</f>
        <v>Memphis Grizzlies</v>
      </c>
      <c r="H576" s="177">
        <v>121</v>
      </c>
      <c r="I576" s="336">
        <v>103</v>
      </c>
      <c r="J576" s="327">
        <f t="shared" ref="J576:J584" si="567">IF(I576&gt;H576, 1, 0)</f>
        <v>0</v>
      </c>
      <c r="K576" s="177">
        <f t="shared" ref="K576:K584" si="568">+D576+H576</f>
        <v>232</v>
      </c>
      <c r="L576" s="336">
        <f t="shared" ref="L576:L584" si="569">E576+I576</f>
        <v>201</v>
      </c>
      <c r="M576" s="327">
        <f t="shared" ref="M576:M584" si="570">IF(L576&gt;K576, 1, 0)</f>
        <v>0</v>
      </c>
      <c r="N576" s="337">
        <f t="shared" ref="N576:N584" si="571">(+H576-D576)</f>
        <v>10</v>
      </c>
      <c r="O576" s="395">
        <f t="shared" ref="O576:O584" si="572">I576-E576</f>
        <v>5</v>
      </c>
      <c r="P576" s="289">
        <f t="shared" ref="P576:P584" si="573">IF(OR(AND(N576&gt;0,O576&gt;0),AND(N576&lt;0,O576&lt;0)),1,0)</f>
        <v>1</v>
      </c>
      <c r="Q576" s="460">
        <f>WEEKNUM(tblResultadosNBA[[#This Row],[Fecha]],2)</f>
        <v>2</v>
      </c>
      <c r="R576" s="460" t="str">
        <f>TEXT(tblResultadosNBA[[#This Row],[Fecha]],"mmm")</f>
        <v>ene</v>
      </c>
    </row>
    <row r="577" spans="1:18">
      <c r="A577" s="419">
        <v>46033</v>
      </c>
      <c r="B577" s="302" t="s">
        <v>842</v>
      </c>
      <c r="C577" s="177" t="str">
        <f t="shared" si="564"/>
        <v>Philadelphia 76ers</v>
      </c>
      <c r="D577" s="177">
        <v>109</v>
      </c>
      <c r="E577" s="336">
        <v>115</v>
      </c>
      <c r="F577" s="327">
        <f t="shared" si="565"/>
        <v>1</v>
      </c>
      <c r="G577" s="177" t="str">
        <f t="shared" si="566"/>
        <v>Toronto Raptors</v>
      </c>
      <c r="H577" s="177">
        <v>113</v>
      </c>
      <c r="I577" s="336">
        <v>116</v>
      </c>
      <c r="J577" s="327">
        <f t="shared" si="567"/>
        <v>1</v>
      </c>
      <c r="K577" s="177">
        <f t="shared" si="568"/>
        <v>222</v>
      </c>
      <c r="L577" s="336">
        <f t="shared" si="569"/>
        <v>231</v>
      </c>
      <c r="M577" s="327">
        <f t="shared" si="570"/>
        <v>1</v>
      </c>
      <c r="N577" s="337">
        <f t="shared" si="571"/>
        <v>4</v>
      </c>
      <c r="O577" s="395">
        <f t="shared" si="572"/>
        <v>1</v>
      </c>
      <c r="P577" s="289">
        <f t="shared" si="573"/>
        <v>1</v>
      </c>
      <c r="Q577" s="460">
        <f>WEEKNUM(tblResultadosNBA[[#This Row],[Fecha]],2)</f>
        <v>2</v>
      </c>
      <c r="R577" s="460" t="str">
        <f>TEXT(tblResultadosNBA[[#This Row],[Fecha]],"mmm")</f>
        <v>ene</v>
      </c>
    </row>
    <row r="578" spans="1:18">
      <c r="A578" s="419">
        <v>46033</v>
      </c>
      <c r="B578" s="302" t="s">
        <v>843</v>
      </c>
      <c r="C578" s="177" t="str">
        <f t="shared" si="564"/>
        <v>New York Knicks</v>
      </c>
      <c r="D578" s="177">
        <v>122</v>
      </c>
      <c r="E578" s="336">
        <v>123</v>
      </c>
      <c r="F578" s="327">
        <f t="shared" si="565"/>
        <v>1</v>
      </c>
      <c r="G578" s="177" t="str">
        <f t="shared" si="566"/>
        <v>Portland Trail Blazers</v>
      </c>
      <c r="H578" s="177">
        <v>128</v>
      </c>
      <c r="I578" s="336">
        <v>114</v>
      </c>
      <c r="J578" s="327">
        <f t="shared" si="567"/>
        <v>0</v>
      </c>
      <c r="K578" s="177">
        <f t="shared" si="568"/>
        <v>250</v>
      </c>
      <c r="L578" s="336">
        <f t="shared" si="569"/>
        <v>237</v>
      </c>
      <c r="M578" s="327">
        <f t="shared" si="570"/>
        <v>0</v>
      </c>
      <c r="N578" s="337">
        <f t="shared" si="571"/>
        <v>6</v>
      </c>
      <c r="O578" s="395">
        <f t="shared" si="572"/>
        <v>-9</v>
      </c>
      <c r="P578" s="289">
        <f t="shared" si="573"/>
        <v>0</v>
      </c>
      <c r="Q578" s="460">
        <f>WEEKNUM(tblResultadosNBA[[#This Row],[Fecha]],2)</f>
        <v>2</v>
      </c>
      <c r="R578" s="460" t="str">
        <f>TEXT(tblResultadosNBA[[#This Row],[Fecha]],"mmm")</f>
        <v>ene</v>
      </c>
    </row>
    <row r="579" spans="1:18">
      <c r="A579" s="419">
        <v>46033</v>
      </c>
      <c r="B579" s="302" t="s">
        <v>123</v>
      </c>
      <c r="C579" s="177" t="str">
        <f t="shared" si="564"/>
        <v>San Antonio Spurs</v>
      </c>
      <c r="D579" s="177">
        <v>110</v>
      </c>
      <c r="E579" s="336">
        <v>103</v>
      </c>
      <c r="F579" s="327">
        <f t="shared" si="565"/>
        <v>0</v>
      </c>
      <c r="G579" s="177" t="str">
        <f t="shared" si="566"/>
        <v>Minnesota Timberwolves</v>
      </c>
      <c r="H579" s="177">
        <v>126</v>
      </c>
      <c r="I579" s="336">
        <v>104</v>
      </c>
      <c r="J579" s="327">
        <f t="shared" si="567"/>
        <v>0</v>
      </c>
      <c r="K579" s="177">
        <f t="shared" si="568"/>
        <v>236</v>
      </c>
      <c r="L579" s="336">
        <f t="shared" si="569"/>
        <v>207</v>
      </c>
      <c r="M579" s="327">
        <f t="shared" si="570"/>
        <v>0</v>
      </c>
      <c r="N579" s="337">
        <f t="shared" si="571"/>
        <v>16</v>
      </c>
      <c r="O579" s="395">
        <f t="shared" si="572"/>
        <v>1</v>
      </c>
      <c r="P579" s="289">
        <f t="shared" si="573"/>
        <v>1</v>
      </c>
      <c r="Q579" s="460">
        <f>WEEKNUM(tblResultadosNBA[[#This Row],[Fecha]],2)</f>
        <v>2</v>
      </c>
      <c r="R579" s="460" t="str">
        <f>TEXT(tblResultadosNBA[[#This Row],[Fecha]],"mmm")</f>
        <v>ene</v>
      </c>
    </row>
    <row r="580" spans="1:18">
      <c r="A580" s="419">
        <v>46033</v>
      </c>
      <c r="B580" s="302" t="s">
        <v>844</v>
      </c>
      <c r="C580" s="177" t="str">
        <f t="shared" si="564"/>
        <v>Miami Heat</v>
      </c>
      <c r="D580" s="177">
        <v>106</v>
      </c>
      <c r="E580" s="336">
        <v>112</v>
      </c>
      <c r="F580" s="327">
        <f t="shared" si="565"/>
        <v>1</v>
      </c>
      <c r="G580" s="177" t="str">
        <f t="shared" si="566"/>
        <v>Oklahoma City Thunder</v>
      </c>
      <c r="H580" s="177">
        <v>116</v>
      </c>
      <c r="I580" s="336">
        <v>124</v>
      </c>
      <c r="J580" s="327">
        <f t="shared" si="567"/>
        <v>1</v>
      </c>
      <c r="K580" s="177">
        <f t="shared" si="568"/>
        <v>222</v>
      </c>
      <c r="L580" s="336">
        <f t="shared" si="569"/>
        <v>236</v>
      </c>
      <c r="M580" s="327">
        <f t="shared" si="570"/>
        <v>1</v>
      </c>
      <c r="N580" s="337">
        <f t="shared" si="571"/>
        <v>10</v>
      </c>
      <c r="O580" s="395">
        <f t="shared" si="572"/>
        <v>12</v>
      </c>
      <c r="P580" s="289">
        <f t="shared" si="573"/>
        <v>1</v>
      </c>
      <c r="Q580" s="460">
        <f>WEEKNUM(tblResultadosNBA[[#This Row],[Fecha]],2)</f>
        <v>2</v>
      </c>
      <c r="R580" s="460" t="str">
        <f>TEXT(tblResultadosNBA[[#This Row],[Fecha]],"mmm")</f>
        <v>ene</v>
      </c>
    </row>
    <row r="581" spans="1:18">
      <c r="A581" s="419">
        <v>46033</v>
      </c>
      <c r="B581" s="302" t="s">
        <v>845</v>
      </c>
      <c r="C581" s="177" t="str">
        <f t="shared" si="564"/>
        <v>Milwaukee Bucks</v>
      </c>
      <c r="D581" s="177">
        <v>114</v>
      </c>
      <c r="E581" s="336">
        <v>104</v>
      </c>
      <c r="F581" s="327">
        <f t="shared" si="565"/>
        <v>0</v>
      </c>
      <c r="G581" s="177" t="str">
        <f t="shared" si="566"/>
        <v>Denver Nuggets</v>
      </c>
      <c r="H581" s="177">
        <v>118</v>
      </c>
      <c r="I581" s="336">
        <v>108</v>
      </c>
      <c r="J581" s="327">
        <f t="shared" si="567"/>
        <v>0</v>
      </c>
      <c r="K581" s="177">
        <f t="shared" si="568"/>
        <v>232</v>
      </c>
      <c r="L581" s="336">
        <f t="shared" si="569"/>
        <v>212</v>
      </c>
      <c r="M581" s="327">
        <f t="shared" si="570"/>
        <v>0</v>
      </c>
      <c r="N581" s="337">
        <f t="shared" si="571"/>
        <v>4</v>
      </c>
      <c r="O581" s="395">
        <f t="shared" si="572"/>
        <v>4</v>
      </c>
      <c r="P581" s="289">
        <f t="shared" si="573"/>
        <v>1</v>
      </c>
      <c r="Q581" s="460">
        <f>WEEKNUM(tblResultadosNBA[[#This Row],[Fecha]],2)</f>
        <v>2</v>
      </c>
      <c r="R581" s="460" t="str">
        <f>TEXT(tblResultadosNBA[[#This Row],[Fecha]],"mmm")</f>
        <v>ene</v>
      </c>
    </row>
    <row r="582" spans="1:18">
      <c r="A582" s="419">
        <v>46033</v>
      </c>
      <c r="B582" s="302" t="s">
        <v>846</v>
      </c>
      <c r="C582" s="177" t="str">
        <f t="shared" si="564"/>
        <v>Washington Wizards</v>
      </c>
      <c r="D582" s="177">
        <v>108</v>
      </c>
      <c r="E582" s="336">
        <v>93</v>
      </c>
      <c r="F582" s="327">
        <f t="shared" si="565"/>
        <v>0</v>
      </c>
      <c r="G582" s="177" t="str">
        <f t="shared" si="566"/>
        <v>Phoenix Suns</v>
      </c>
      <c r="H582" s="177">
        <v>129</v>
      </c>
      <c r="I582" s="336">
        <v>112</v>
      </c>
      <c r="J582" s="327">
        <f t="shared" si="567"/>
        <v>0</v>
      </c>
      <c r="K582" s="177">
        <f t="shared" si="568"/>
        <v>237</v>
      </c>
      <c r="L582" s="336">
        <f t="shared" si="569"/>
        <v>205</v>
      </c>
      <c r="M582" s="327">
        <f t="shared" si="570"/>
        <v>0</v>
      </c>
      <c r="N582" s="337">
        <f t="shared" si="571"/>
        <v>21</v>
      </c>
      <c r="O582" s="395">
        <f t="shared" si="572"/>
        <v>19</v>
      </c>
      <c r="P582" s="289">
        <f t="shared" si="573"/>
        <v>1</v>
      </c>
      <c r="Q582" s="460">
        <f>WEEKNUM(tblResultadosNBA[[#This Row],[Fecha]],2)</f>
        <v>2</v>
      </c>
      <c r="R582" s="460" t="str">
        <f>TEXT(tblResultadosNBA[[#This Row],[Fecha]],"mmm")</f>
        <v>ene</v>
      </c>
    </row>
    <row r="583" spans="1:18">
      <c r="A583" s="419">
        <v>46033</v>
      </c>
      <c r="B583" s="302" t="s">
        <v>847</v>
      </c>
      <c r="C583" s="177" t="str">
        <f t="shared" si="564"/>
        <v>Atlanta Hawks</v>
      </c>
      <c r="D583" s="177">
        <v>135</v>
      </c>
      <c r="E583" s="336">
        <v>124</v>
      </c>
      <c r="F583" s="327">
        <f t="shared" si="565"/>
        <v>0</v>
      </c>
      <c r="G583" s="177" t="str">
        <f t="shared" si="566"/>
        <v>Golden State Warriors</v>
      </c>
      <c r="H583" s="177">
        <v>138</v>
      </c>
      <c r="I583" s="336">
        <v>111</v>
      </c>
      <c r="J583" s="327">
        <f t="shared" si="567"/>
        <v>0</v>
      </c>
      <c r="K583" s="177">
        <f t="shared" si="568"/>
        <v>273</v>
      </c>
      <c r="L583" s="336">
        <f t="shared" si="569"/>
        <v>235</v>
      </c>
      <c r="M583" s="327">
        <f t="shared" si="570"/>
        <v>0</v>
      </c>
      <c r="N583" s="337">
        <f t="shared" si="571"/>
        <v>3</v>
      </c>
      <c r="O583" s="395">
        <f t="shared" si="572"/>
        <v>-13</v>
      </c>
      <c r="P583" s="289">
        <f t="shared" si="573"/>
        <v>0</v>
      </c>
      <c r="Q583" s="460">
        <f>WEEKNUM(tblResultadosNBA[[#This Row],[Fecha]],2)</f>
        <v>2</v>
      </c>
      <c r="R583" s="460" t="str">
        <f>TEXT(tblResultadosNBA[[#This Row],[Fecha]],"mmm")</f>
        <v>ene</v>
      </c>
    </row>
    <row r="584" spans="1:18">
      <c r="A584" s="445">
        <v>46033</v>
      </c>
      <c r="B584" s="331" t="s">
        <v>207</v>
      </c>
      <c r="C584" s="286" t="str">
        <f t="shared" si="564"/>
        <v>Houston Rockets</v>
      </c>
      <c r="D584" s="286">
        <v>120</v>
      </c>
      <c r="E584" s="431">
        <v>98</v>
      </c>
      <c r="F584" s="332">
        <f t="shared" si="565"/>
        <v>0</v>
      </c>
      <c r="G584" s="286" t="str">
        <f t="shared" si="566"/>
        <v>Sacramento Kings</v>
      </c>
      <c r="H584" s="286">
        <v>123</v>
      </c>
      <c r="I584" s="431">
        <v>111</v>
      </c>
      <c r="J584" s="332">
        <f t="shared" si="567"/>
        <v>0</v>
      </c>
      <c r="K584" s="286">
        <f t="shared" si="568"/>
        <v>243</v>
      </c>
      <c r="L584" s="431">
        <f t="shared" si="569"/>
        <v>209</v>
      </c>
      <c r="M584" s="332">
        <f t="shared" si="570"/>
        <v>0</v>
      </c>
      <c r="N584" s="432">
        <f t="shared" si="571"/>
        <v>3</v>
      </c>
      <c r="O584" s="451">
        <f t="shared" si="572"/>
        <v>13</v>
      </c>
      <c r="P584" s="433">
        <f t="shared" si="573"/>
        <v>1</v>
      </c>
      <c r="Q584" s="460">
        <f>WEEKNUM(tblResultadosNBA[[#This Row],[Fecha]],2)</f>
        <v>2</v>
      </c>
      <c r="R584" s="460" t="str">
        <f>TEXT(tblResultadosNBA[[#This Row],[Fecha]],"mmm")</f>
        <v>ene</v>
      </c>
    </row>
    <row r="585" spans="1:18">
      <c r="A585" s="439">
        <v>46034</v>
      </c>
      <c r="B585" s="422" t="s">
        <v>274</v>
      </c>
      <c r="C585" s="341" t="str">
        <f>LEFT(B585,FIND("@",B585)-2)</f>
        <v>Utah Jazz</v>
      </c>
      <c r="D585" s="341">
        <v>128</v>
      </c>
      <c r="E585" s="342">
        <v>123</v>
      </c>
      <c r="F585" s="333">
        <f>IF(E585&gt;D585, 1, 0)</f>
        <v>0</v>
      </c>
      <c r="G585" s="341" t="str">
        <f>MID(B585,FIND("@",B585)+2,LEN(B585)-FIND("@",B585)-1)</f>
        <v>Cleveland Cavaliers</v>
      </c>
      <c r="H585" s="341">
        <v>122</v>
      </c>
      <c r="I585" s="342">
        <v>112</v>
      </c>
      <c r="J585" s="333">
        <f>IF(I585&gt;H585, 1, 0)</f>
        <v>0</v>
      </c>
      <c r="K585" s="341">
        <f>+D585+H585</f>
        <v>250</v>
      </c>
      <c r="L585" s="342">
        <f>E585+I585</f>
        <v>235</v>
      </c>
      <c r="M585" s="333">
        <f>IF(L585&gt;K585, 1, 0)</f>
        <v>0</v>
      </c>
      <c r="N585" s="343">
        <f>(+H585-D585)</f>
        <v>-6</v>
      </c>
      <c r="O585" s="449">
        <f>I585-E585</f>
        <v>-11</v>
      </c>
      <c r="P585" s="289">
        <f>IF(OR(AND(N585&gt;0,O585&gt;0),AND(N585&lt;0,O585&lt;0)),1,0)</f>
        <v>1</v>
      </c>
      <c r="Q585" s="460">
        <f>WEEKNUM(tblResultadosNBA[[#This Row],[Fecha]],2)</f>
        <v>3</v>
      </c>
      <c r="R585" s="460" t="str">
        <f>TEXT(tblResultadosNBA[[#This Row],[Fecha]],"mmm")</f>
        <v>ene</v>
      </c>
    </row>
    <row r="586" spans="1:18">
      <c r="A586" s="419">
        <v>46034</v>
      </c>
      <c r="B586" s="302" t="s">
        <v>229</v>
      </c>
      <c r="C586" s="177" t="str">
        <f t="shared" ref="C586:C590" si="574">LEFT(B586,FIND("@",B586)-2)</f>
        <v>Boston Celtics</v>
      </c>
      <c r="D586" s="177">
        <v>112</v>
      </c>
      <c r="E586" s="336">
        <v>96</v>
      </c>
      <c r="F586" s="327">
        <f t="shared" ref="F586:F590" si="575">IF(E586&gt;D586, 1, 0)</f>
        <v>0</v>
      </c>
      <c r="G586" s="177" t="str">
        <f t="shared" ref="G586:G590" si="576">MID(B586,FIND("@",B586)+2,LEN(B586)-FIND("@",B586)-1)</f>
        <v>Indiana Pacers</v>
      </c>
      <c r="H586" s="177">
        <v>119</v>
      </c>
      <c r="I586" s="336">
        <v>98</v>
      </c>
      <c r="J586" s="327">
        <f t="shared" ref="J586:J590" si="577">IF(I586&gt;H586, 1, 0)</f>
        <v>0</v>
      </c>
      <c r="K586" s="177">
        <f t="shared" ref="K586:K590" si="578">+D586+H586</f>
        <v>231</v>
      </c>
      <c r="L586" s="336">
        <f t="shared" ref="L586:L590" si="579">E586+I586</f>
        <v>194</v>
      </c>
      <c r="M586" s="327">
        <f t="shared" ref="M586:M590" si="580">IF(L586&gt;K586, 1, 0)</f>
        <v>0</v>
      </c>
      <c r="N586" s="337">
        <f t="shared" ref="N586:N590" si="581">(+H586-D586)</f>
        <v>7</v>
      </c>
      <c r="O586" s="395">
        <f t="shared" ref="O586:O590" si="582">I586-E586</f>
        <v>2</v>
      </c>
      <c r="P586" s="289">
        <f t="shared" ref="P586:P590" si="583">IF(OR(AND(N586&gt;0,O586&gt;0),AND(N586&lt;0,O586&lt;0)),1,0)</f>
        <v>1</v>
      </c>
      <c r="Q586" s="460">
        <f>WEEKNUM(tblResultadosNBA[[#This Row],[Fecha]],2)</f>
        <v>3</v>
      </c>
      <c r="R586" s="460" t="str">
        <f>TEXT(tblResultadosNBA[[#This Row],[Fecha]],"mmm")</f>
        <v>ene</v>
      </c>
    </row>
    <row r="587" spans="1:18">
      <c r="A587" s="419">
        <v>46034</v>
      </c>
      <c r="B587" s="302" t="s">
        <v>842</v>
      </c>
      <c r="C587" s="177" t="str">
        <f t="shared" si="574"/>
        <v>Philadelphia 76ers</v>
      </c>
      <c r="D587" s="177">
        <v>109</v>
      </c>
      <c r="E587" s="336">
        <v>115</v>
      </c>
      <c r="F587" s="327">
        <f t="shared" si="575"/>
        <v>1</v>
      </c>
      <c r="G587" s="177" t="str">
        <f t="shared" si="576"/>
        <v>Toronto Raptors</v>
      </c>
      <c r="H587" s="177">
        <v>125</v>
      </c>
      <c r="I587" s="336">
        <v>102</v>
      </c>
      <c r="J587" s="327">
        <f t="shared" si="577"/>
        <v>0</v>
      </c>
      <c r="K587" s="177">
        <f t="shared" si="578"/>
        <v>234</v>
      </c>
      <c r="L587" s="336">
        <f t="shared" si="579"/>
        <v>217</v>
      </c>
      <c r="M587" s="327">
        <f t="shared" si="580"/>
        <v>0</v>
      </c>
      <c r="N587" s="337">
        <f t="shared" si="581"/>
        <v>16</v>
      </c>
      <c r="O587" s="395">
        <f t="shared" si="582"/>
        <v>-13</v>
      </c>
      <c r="P587" s="289">
        <f t="shared" si="583"/>
        <v>0</v>
      </c>
      <c r="Q587" s="460">
        <f>WEEKNUM(tblResultadosNBA[[#This Row],[Fecha]],2)</f>
        <v>3</v>
      </c>
      <c r="R587" s="460" t="str">
        <f>TEXT(tblResultadosNBA[[#This Row],[Fecha]],"mmm")</f>
        <v>ene</v>
      </c>
    </row>
    <row r="588" spans="1:18">
      <c r="A588" s="419">
        <v>46034</v>
      </c>
      <c r="B588" s="302" t="s">
        <v>175</v>
      </c>
      <c r="C588" s="177" t="str">
        <f t="shared" si="574"/>
        <v>Brooklyn Nets</v>
      </c>
      <c r="D588" s="177">
        <v>109</v>
      </c>
      <c r="E588" s="336">
        <v>105</v>
      </c>
      <c r="F588" s="327">
        <f t="shared" si="575"/>
        <v>0</v>
      </c>
      <c r="G588" s="177" t="str">
        <f t="shared" si="576"/>
        <v>Dallas Mavericks</v>
      </c>
      <c r="H588" s="177">
        <v>116</v>
      </c>
      <c r="I588" s="336">
        <v>113</v>
      </c>
      <c r="J588" s="327">
        <f t="shared" si="577"/>
        <v>0</v>
      </c>
      <c r="K588" s="177">
        <f t="shared" si="578"/>
        <v>225</v>
      </c>
      <c r="L588" s="336">
        <f t="shared" si="579"/>
        <v>218</v>
      </c>
      <c r="M588" s="327">
        <f t="shared" si="580"/>
        <v>0</v>
      </c>
      <c r="N588" s="337">
        <f t="shared" si="581"/>
        <v>7</v>
      </c>
      <c r="O588" s="395">
        <f t="shared" si="582"/>
        <v>8</v>
      </c>
      <c r="P588" s="289">
        <f t="shared" si="583"/>
        <v>1</v>
      </c>
      <c r="Q588" s="460">
        <f>WEEKNUM(tblResultadosNBA[[#This Row],[Fecha]],2)</f>
        <v>3</v>
      </c>
      <c r="R588" s="460" t="str">
        <f>TEXT(tblResultadosNBA[[#This Row],[Fecha]],"mmm")</f>
        <v>ene</v>
      </c>
    </row>
    <row r="589" spans="1:18">
      <c r="A589" s="419">
        <v>46034</v>
      </c>
      <c r="B589" s="302" t="s">
        <v>690</v>
      </c>
      <c r="C589" s="177" t="str">
        <f t="shared" si="574"/>
        <v>Los Angeles Lakers</v>
      </c>
      <c r="D589" s="177">
        <v>123</v>
      </c>
      <c r="E589" s="336">
        <v>112</v>
      </c>
      <c r="F589" s="327">
        <f t="shared" si="575"/>
        <v>0</v>
      </c>
      <c r="G589" s="177" t="str">
        <f t="shared" si="576"/>
        <v>Sacramento Kings</v>
      </c>
      <c r="H589" s="177">
        <v>127</v>
      </c>
      <c r="I589" s="336">
        <v>124</v>
      </c>
      <c r="J589" s="327">
        <f t="shared" si="577"/>
        <v>0</v>
      </c>
      <c r="K589" s="177">
        <f t="shared" si="578"/>
        <v>250</v>
      </c>
      <c r="L589" s="336">
        <f t="shared" si="579"/>
        <v>236</v>
      </c>
      <c r="M589" s="327">
        <f t="shared" si="580"/>
        <v>0</v>
      </c>
      <c r="N589" s="337">
        <f t="shared" si="581"/>
        <v>4</v>
      </c>
      <c r="O589" s="395">
        <f t="shared" si="582"/>
        <v>12</v>
      </c>
      <c r="P589" s="289">
        <f t="shared" si="583"/>
        <v>1</v>
      </c>
      <c r="Q589" s="460">
        <f>WEEKNUM(tblResultadosNBA[[#This Row],[Fecha]],2)</f>
        <v>3</v>
      </c>
      <c r="R589" s="460" t="str">
        <f>TEXT(tblResultadosNBA[[#This Row],[Fecha]],"mmm")</f>
        <v>ene</v>
      </c>
    </row>
    <row r="590" spans="1:18">
      <c r="A590" s="445">
        <v>46034</v>
      </c>
      <c r="B590" s="331" t="s">
        <v>848</v>
      </c>
      <c r="C590" s="286" t="str">
        <f t="shared" si="574"/>
        <v>Charlotte Hornets</v>
      </c>
      <c r="D590" s="286">
        <v>114</v>
      </c>
      <c r="E590" s="431">
        <v>109</v>
      </c>
      <c r="F590" s="332">
        <f t="shared" si="575"/>
        <v>0</v>
      </c>
      <c r="G590" s="286" t="str">
        <f t="shared" si="576"/>
        <v>LA Clippers</v>
      </c>
      <c r="H590" s="286">
        <v>111</v>
      </c>
      <c r="I590" s="431">
        <v>117</v>
      </c>
      <c r="J590" s="332">
        <f t="shared" si="577"/>
        <v>1</v>
      </c>
      <c r="K590" s="286">
        <f t="shared" si="578"/>
        <v>225</v>
      </c>
      <c r="L590" s="431">
        <f t="shared" si="579"/>
        <v>226</v>
      </c>
      <c r="M590" s="332">
        <f t="shared" si="580"/>
        <v>1</v>
      </c>
      <c r="N590" s="432">
        <f t="shared" si="581"/>
        <v>-3</v>
      </c>
      <c r="O590" s="451">
        <f t="shared" si="582"/>
        <v>8</v>
      </c>
      <c r="P590" s="433">
        <f t="shared" si="583"/>
        <v>0</v>
      </c>
      <c r="Q590" s="460">
        <f>WEEKNUM(tblResultadosNBA[[#This Row],[Fecha]],2)</f>
        <v>3</v>
      </c>
      <c r="R590" s="460" t="str">
        <f>TEXT(tblResultadosNBA[[#This Row],[Fecha]],"mmm")</f>
        <v>ene</v>
      </c>
    </row>
    <row r="591" spans="1:18">
      <c r="A591" s="439">
        <v>46035</v>
      </c>
      <c r="B591" s="422" t="s">
        <v>849</v>
      </c>
      <c r="C591" s="341" t="str">
        <f>LEFT(B591,FIND("@",B591)-2)</f>
        <v>Phoenix Suns</v>
      </c>
      <c r="D591" s="341">
        <v>124</v>
      </c>
      <c r="E591" s="342">
        <v>121</v>
      </c>
      <c r="F591" s="333">
        <f>IF(E591&gt;D591, 1, 0)</f>
        <v>0</v>
      </c>
      <c r="G591" s="341" t="str">
        <f>MID(B591,FIND("@",B591)+2,LEN(B591)-FIND("@",B591)-1)</f>
        <v>Miami Heat</v>
      </c>
      <c r="H591" s="341">
        <v>119</v>
      </c>
      <c r="I591" s="342">
        <v>127</v>
      </c>
      <c r="J591" s="333">
        <f>IF(I591&gt;H591, 1, 0)</f>
        <v>1</v>
      </c>
      <c r="K591" s="341">
        <f>+D591+H591</f>
        <v>243</v>
      </c>
      <c r="L591" s="342">
        <f>E591+I591</f>
        <v>248</v>
      </c>
      <c r="M591" s="333">
        <f>IF(L591&gt;K591, 1, 0)</f>
        <v>1</v>
      </c>
      <c r="N591" s="343">
        <f>(+H591-D591)</f>
        <v>-5</v>
      </c>
      <c r="O591" s="449">
        <f>I591-E591</f>
        <v>6</v>
      </c>
      <c r="P591" s="289">
        <f>IF(OR(AND(N591&gt;0,O591&gt;0),AND(N591&lt;0,O591&lt;0)),1,0)</f>
        <v>0</v>
      </c>
      <c r="Q591" s="460">
        <f>WEEKNUM(tblResultadosNBA[[#This Row],[Fecha]],2)</f>
        <v>3</v>
      </c>
      <c r="R591" s="460" t="str">
        <f>TEXT(tblResultadosNBA[[#This Row],[Fecha]],"mmm")</f>
        <v>ene</v>
      </c>
    </row>
    <row r="592" spans="1:18">
      <c r="A592" s="419">
        <v>46035</v>
      </c>
      <c r="B592" s="302" t="s">
        <v>850</v>
      </c>
      <c r="C592" s="177" t="str">
        <f t="shared" ref="C592:C596" si="584">LEFT(B592,FIND("@",B592)-2)</f>
        <v>Chicago Bulls</v>
      </c>
      <c r="D592" s="177">
        <v>113</v>
      </c>
      <c r="E592" s="336">
        <v>113</v>
      </c>
      <c r="F592" s="327">
        <f t="shared" ref="F592:F596" si="585">IF(E592&gt;D592, 1, 0)</f>
        <v>0</v>
      </c>
      <c r="G592" s="177" t="str">
        <f t="shared" ref="G592:G596" si="586">MID(B592,FIND("@",B592)+2,LEN(B592)-FIND("@",B592)-1)</f>
        <v>Houston Rockets</v>
      </c>
      <c r="H592" s="177">
        <v>123</v>
      </c>
      <c r="I592" s="336">
        <v>119</v>
      </c>
      <c r="J592" s="327">
        <f t="shared" ref="J592:J596" si="587">IF(I592&gt;H592, 1, 0)</f>
        <v>0</v>
      </c>
      <c r="K592" s="177">
        <f t="shared" ref="K592:K596" si="588">+D592+H592</f>
        <v>236</v>
      </c>
      <c r="L592" s="336">
        <f t="shared" ref="L592:L596" si="589">E592+I592</f>
        <v>232</v>
      </c>
      <c r="M592" s="327">
        <f t="shared" ref="M592:M596" si="590">IF(L592&gt;K592, 1, 0)</f>
        <v>0</v>
      </c>
      <c r="N592" s="337">
        <f t="shared" ref="N592:N596" si="591">(+H592-D592)</f>
        <v>10</v>
      </c>
      <c r="O592" s="395">
        <f t="shared" ref="O592:O596" si="592">I592-E592</f>
        <v>6</v>
      </c>
      <c r="P592" s="289">
        <f t="shared" ref="P592:P596" si="593">IF(OR(AND(N592&gt;0,O592&gt;0),AND(N592&lt;0,O592&lt;0)),1,0)</f>
        <v>1</v>
      </c>
      <c r="Q592" s="460">
        <f>WEEKNUM(tblResultadosNBA[[#This Row],[Fecha]],2)</f>
        <v>3</v>
      </c>
      <c r="R592" s="460" t="str">
        <f>TEXT(tblResultadosNBA[[#This Row],[Fecha]],"mmm")</f>
        <v>ene</v>
      </c>
    </row>
    <row r="593" spans="1:18">
      <c r="A593" s="419">
        <v>46035</v>
      </c>
      <c r="B593" s="302" t="s">
        <v>851</v>
      </c>
      <c r="C593" s="177" t="str">
        <f t="shared" si="584"/>
        <v>Minnesota Timberwolves</v>
      </c>
      <c r="D593" s="177">
        <v>110</v>
      </c>
      <c r="E593" s="336">
        <v>139</v>
      </c>
      <c r="F593" s="327">
        <f t="shared" si="585"/>
        <v>1</v>
      </c>
      <c r="G593" s="177" t="str">
        <f t="shared" si="586"/>
        <v>Milwaukee Bucks</v>
      </c>
      <c r="H593" s="177">
        <v>120</v>
      </c>
      <c r="I593" s="336">
        <v>106</v>
      </c>
      <c r="J593" s="327">
        <f t="shared" si="587"/>
        <v>0</v>
      </c>
      <c r="K593" s="177">
        <f t="shared" si="588"/>
        <v>230</v>
      </c>
      <c r="L593" s="336">
        <f t="shared" si="589"/>
        <v>245</v>
      </c>
      <c r="M593" s="327">
        <f t="shared" si="590"/>
        <v>1</v>
      </c>
      <c r="N593" s="337">
        <f t="shared" si="591"/>
        <v>10</v>
      </c>
      <c r="O593" s="395">
        <f t="shared" si="592"/>
        <v>-33</v>
      </c>
      <c r="P593" s="289">
        <f t="shared" si="593"/>
        <v>0</v>
      </c>
      <c r="Q593" s="460">
        <f>WEEKNUM(tblResultadosNBA[[#This Row],[Fecha]],2)</f>
        <v>3</v>
      </c>
      <c r="R593" s="460" t="str">
        <f>TEXT(tblResultadosNBA[[#This Row],[Fecha]],"mmm")</f>
        <v>ene</v>
      </c>
    </row>
    <row r="594" spans="1:18">
      <c r="A594" s="419">
        <v>46035</v>
      </c>
      <c r="B594" s="302" t="s">
        <v>767</v>
      </c>
      <c r="C594" s="177" t="str">
        <f t="shared" si="584"/>
        <v>Denver Nuggets</v>
      </c>
      <c r="D594" s="177">
        <v>128</v>
      </c>
      <c r="E594" s="336">
        <v>122</v>
      </c>
      <c r="F594" s="327">
        <f t="shared" si="585"/>
        <v>0</v>
      </c>
      <c r="G594" s="177" t="str">
        <f t="shared" si="586"/>
        <v>New Orleans Pelicans</v>
      </c>
      <c r="H594" s="177">
        <v>132</v>
      </c>
      <c r="I594" s="336">
        <v>116</v>
      </c>
      <c r="J594" s="327">
        <f t="shared" si="587"/>
        <v>0</v>
      </c>
      <c r="K594" s="177">
        <f t="shared" si="588"/>
        <v>260</v>
      </c>
      <c r="L594" s="336">
        <f t="shared" si="589"/>
        <v>238</v>
      </c>
      <c r="M594" s="327">
        <f t="shared" si="590"/>
        <v>0</v>
      </c>
      <c r="N594" s="337">
        <f t="shared" si="591"/>
        <v>4</v>
      </c>
      <c r="O594" s="395">
        <f t="shared" si="592"/>
        <v>-6</v>
      </c>
      <c r="P594" s="289">
        <f t="shared" si="593"/>
        <v>0</v>
      </c>
      <c r="Q594" s="460">
        <f>WEEKNUM(tblResultadosNBA[[#This Row],[Fecha]],2)</f>
        <v>3</v>
      </c>
      <c r="R594" s="460" t="str">
        <f>TEXT(tblResultadosNBA[[#This Row],[Fecha]],"mmm")</f>
        <v>ene</v>
      </c>
    </row>
    <row r="595" spans="1:18">
      <c r="A595" s="419">
        <v>46035</v>
      </c>
      <c r="B595" s="302" t="s">
        <v>224</v>
      </c>
      <c r="C595" s="177" t="str">
        <f t="shared" si="584"/>
        <v>San Antonio Spurs</v>
      </c>
      <c r="D595" s="177">
        <v>108</v>
      </c>
      <c r="E595" s="336">
        <v>98</v>
      </c>
      <c r="F595" s="327">
        <f t="shared" si="585"/>
        <v>0</v>
      </c>
      <c r="G595" s="177" t="str">
        <f t="shared" si="586"/>
        <v>Oklahoma City Thunder</v>
      </c>
      <c r="H595" s="177">
        <v>127</v>
      </c>
      <c r="I595" s="336">
        <v>119</v>
      </c>
      <c r="J595" s="327">
        <f t="shared" si="587"/>
        <v>0</v>
      </c>
      <c r="K595" s="177">
        <f t="shared" si="588"/>
        <v>235</v>
      </c>
      <c r="L595" s="336">
        <f t="shared" si="589"/>
        <v>217</v>
      </c>
      <c r="M595" s="327">
        <f t="shared" si="590"/>
        <v>0</v>
      </c>
      <c r="N595" s="337">
        <f t="shared" si="591"/>
        <v>19</v>
      </c>
      <c r="O595" s="395">
        <f t="shared" si="592"/>
        <v>21</v>
      </c>
      <c r="P595" s="289">
        <f t="shared" si="593"/>
        <v>1</v>
      </c>
      <c r="Q595" s="460">
        <f>WEEKNUM(tblResultadosNBA[[#This Row],[Fecha]],2)</f>
        <v>3</v>
      </c>
      <c r="R595" s="460" t="str">
        <f>TEXT(tblResultadosNBA[[#This Row],[Fecha]],"mmm")</f>
        <v>ene</v>
      </c>
    </row>
    <row r="596" spans="1:18">
      <c r="A596" s="419">
        <v>46035</v>
      </c>
      <c r="B596" s="302" t="s">
        <v>852</v>
      </c>
      <c r="C596" s="177" t="str">
        <f t="shared" si="584"/>
        <v>Atlanta Hawks</v>
      </c>
      <c r="D596" s="177">
        <v>112</v>
      </c>
      <c r="E596" s="336">
        <v>116</v>
      </c>
      <c r="F596" s="327">
        <f t="shared" si="585"/>
        <v>1</v>
      </c>
      <c r="G596" s="177" t="str">
        <f t="shared" si="586"/>
        <v>Los Angeles Lakers</v>
      </c>
      <c r="H596" s="177">
        <v>122</v>
      </c>
      <c r="I596" s="336">
        <v>141</v>
      </c>
      <c r="J596" s="327">
        <f t="shared" si="587"/>
        <v>1</v>
      </c>
      <c r="K596" s="177">
        <f t="shared" si="588"/>
        <v>234</v>
      </c>
      <c r="L596" s="336">
        <f t="shared" si="589"/>
        <v>257</v>
      </c>
      <c r="M596" s="327">
        <f t="shared" si="590"/>
        <v>1</v>
      </c>
      <c r="N596" s="337">
        <f t="shared" si="591"/>
        <v>10</v>
      </c>
      <c r="O596" s="395">
        <f t="shared" si="592"/>
        <v>25</v>
      </c>
      <c r="P596" s="289">
        <f t="shared" si="593"/>
        <v>1</v>
      </c>
      <c r="Q596" s="460">
        <f>WEEKNUM(tblResultadosNBA[[#This Row],[Fecha]],2)</f>
        <v>3</v>
      </c>
      <c r="R596" s="460" t="str">
        <f>TEXT(tblResultadosNBA[[#This Row],[Fecha]],"mmm")</f>
        <v>ene</v>
      </c>
    </row>
    <row r="597" spans="1:18">
      <c r="A597" s="445">
        <v>46035</v>
      </c>
      <c r="B597" s="331" t="s">
        <v>88</v>
      </c>
      <c r="C597" s="286" t="str">
        <f>LEFT(B597,FIND("@",B597)-2)</f>
        <v>Portland Trail Blazers</v>
      </c>
      <c r="D597" s="286">
        <v>118</v>
      </c>
      <c r="E597" s="431">
        <v>97</v>
      </c>
      <c r="F597" s="332">
        <f>IF(E597&gt;D597, 1, 0)</f>
        <v>0</v>
      </c>
      <c r="G597" s="286" t="str">
        <f>MID(B597,FIND("@",B597)+2,LEN(B597)-FIND("@",B597)-1)</f>
        <v>Golden State Warriors</v>
      </c>
      <c r="H597" s="286">
        <v>131</v>
      </c>
      <c r="I597" s="431">
        <v>119</v>
      </c>
      <c r="J597" s="332">
        <f>IF(I597&gt;H597, 1, 0)</f>
        <v>0</v>
      </c>
      <c r="K597" s="286">
        <f>+D597+H597</f>
        <v>249</v>
      </c>
      <c r="L597" s="431">
        <f>E597+I597</f>
        <v>216</v>
      </c>
      <c r="M597" s="332">
        <f>IF(L597&gt;K597, 1, 0)</f>
        <v>0</v>
      </c>
      <c r="N597" s="432">
        <f>(+H597-D597)</f>
        <v>13</v>
      </c>
      <c r="O597" s="451">
        <f>I597-E597</f>
        <v>22</v>
      </c>
      <c r="P597" s="433">
        <f>IF(OR(AND(N597&gt;0,O597&gt;0),AND(N597&lt;0,O597&lt;0)),1,0)</f>
        <v>1</v>
      </c>
      <c r="Q597" s="460">
        <f>WEEKNUM(tblResultadosNBA[[#This Row],[Fecha]],2)</f>
        <v>3</v>
      </c>
      <c r="R597" s="460" t="str">
        <f>TEXT(tblResultadosNBA[[#This Row],[Fecha]],"mmm")</f>
        <v>ene</v>
      </c>
    </row>
    <row r="598" spans="1:18">
      <c r="A598" s="439">
        <v>46036</v>
      </c>
      <c r="B598" s="422" t="s">
        <v>761</v>
      </c>
      <c r="C598" s="341" t="str">
        <f>LEFT(B598,FIND("@",B598)-2)</f>
        <v>Toronto Raptors</v>
      </c>
      <c r="D598" s="341">
        <v>128</v>
      </c>
      <c r="E598" s="342">
        <v>115</v>
      </c>
      <c r="F598" s="333">
        <f>IF(E598&gt;D598, 1, 0)</f>
        <v>0</v>
      </c>
      <c r="G598" s="341" t="str">
        <f>MID(B598,FIND("@",B598)+2,LEN(B598)-FIND("@",B598)-1)</f>
        <v>Indiana Pacers</v>
      </c>
      <c r="H598" s="341">
        <v>115</v>
      </c>
      <c r="I598" s="342">
        <v>101</v>
      </c>
      <c r="J598" s="333">
        <f>IF(I598&gt;H598, 1, 0)</f>
        <v>0</v>
      </c>
      <c r="K598" s="341">
        <f>+D598+H598</f>
        <v>243</v>
      </c>
      <c r="L598" s="342">
        <f>E598+I598</f>
        <v>216</v>
      </c>
      <c r="M598" s="333">
        <f>IF(L598&gt;K598, 1, 0)</f>
        <v>0</v>
      </c>
      <c r="N598" s="343">
        <f>(+H598-D598)</f>
        <v>-13</v>
      </c>
      <c r="O598" s="449">
        <f>I598-E598</f>
        <v>-14</v>
      </c>
      <c r="P598" s="289">
        <f>IF(OR(AND(N598&gt;0,O598&gt;0),AND(N598&lt;0,O598&lt;0)),1,0)</f>
        <v>1</v>
      </c>
      <c r="Q598" s="460">
        <f>WEEKNUM(tblResultadosNBA[[#This Row],[Fecha]],2)</f>
        <v>3</v>
      </c>
      <c r="R598" s="460" t="str">
        <f>TEXT(tblResultadosNBA[[#This Row],[Fecha]],"mmm")</f>
        <v>ene</v>
      </c>
    </row>
    <row r="599" spans="1:18">
      <c r="A599" s="419">
        <v>46036</v>
      </c>
      <c r="B599" s="302" t="s">
        <v>275</v>
      </c>
      <c r="C599" s="177" t="str">
        <f t="shared" ref="C599:C604" si="594">LEFT(B599,FIND("@",B599)-2)</f>
        <v>Cleveland Cavaliers</v>
      </c>
      <c r="D599" s="177">
        <v>115</v>
      </c>
      <c r="E599" s="336">
        <v>133</v>
      </c>
      <c r="F599" s="327">
        <f t="shared" ref="F599:F604" si="595">IF(E599&gt;D599, 1, 0)</f>
        <v>1</v>
      </c>
      <c r="G599" s="177" t="str">
        <f t="shared" ref="G599:G604" si="596">MID(B599,FIND("@",B599)+2,LEN(B599)-FIND("@",B599)-1)</f>
        <v>Philadelphia 76ers</v>
      </c>
      <c r="H599" s="177">
        <v>118</v>
      </c>
      <c r="I599" s="336">
        <v>107</v>
      </c>
      <c r="J599" s="327">
        <f t="shared" ref="J599:J604" si="597">IF(I599&gt;H599, 1, 0)</f>
        <v>0</v>
      </c>
      <c r="K599" s="177">
        <f t="shared" ref="K599:K604" si="598">+D599+H599</f>
        <v>233</v>
      </c>
      <c r="L599" s="336">
        <f t="shared" ref="L599:L604" si="599">E599+I599</f>
        <v>240</v>
      </c>
      <c r="M599" s="327">
        <f t="shared" ref="M599:M604" si="600">IF(L599&gt;K599, 1, 0)</f>
        <v>1</v>
      </c>
      <c r="N599" s="337">
        <f t="shared" ref="N599:N604" si="601">(+H599-D599)</f>
        <v>3</v>
      </c>
      <c r="O599" s="395">
        <f t="shared" ref="O599:O604" si="602">I599-E599</f>
        <v>-26</v>
      </c>
      <c r="P599" s="289">
        <f t="shared" ref="P599:P604" si="603">IF(OR(AND(N599&gt;0,O599&gt;0),AND(N599&lt;0,O599&lt;0)),1,0)</f>
        <v>0</v>
      </c>
      <c r="Q599" s="460">
        <f>WEEKNUM(tblResultadosNBA[[#This Row],[Fecha]],2)</f>
        <v>3</v>
      </c>
      <c r="R599" s="460" t="str">
        <f>TEXT(tblResultadosNBA[[#This Row],[Fecha]],"mmm")</f>
        <v>ene</v>
      </c>
    </row>
    <row r="600" spans="1:18">
      <c r="A600" s="419">
        <v>46036</v>
      </c>
      <c r="B600" s="302" t="s">
        <v>276</v>
      </c>
      <c r="C600" s="177" t="str">
        <f t="shared" si="594"/>
        <v>Utah Jazz</v>
      </c>
      <c r="D600" s="177">
        <v>113</v>
      </c>
      <c r="E600" s="336">
        <v>126</v>
      </c>
      <c r="F600" s="327">
        <f t="shared" si="595"/>
        <v>1</v>
      </c>
      <c r="G600" s="177" t="str">
        <f t="shared" si="596"/>
        <v>Chicago Bulls</v>
      </c>
      <c r="H600" s="177">
        <v>121</v>
      </c>
      <c r="I600" s="336">
        <v>128</v>
      </c>
      <c r="J600" s="327">
        <f t="shared" si="597"/>
        <v>1</v>
      </c>
      <c r="K600" s="177">
        <f t="shared" si="598"/>
        <v>234</v>
      </c>
      <c r="L600" s="336">
        <f t="shared" si="599"/>
        <v>254</v>
      </c>
      <c r="M600" s="327">
        <f t="shared" si="600"/>
        <v>1</v>
      </c>
      <c r="N600" s="337">
        <f t="shared" si="601"/>
        <v>8</v>
      </c>
      <c r="O600" s="395">
        <f t="shared" si="602"/>
        <v>2</v>
      </c>
      <c r="P600" s="289">
        <f t="shared" si="603"/>
        <v>1</v>
      </c>
      <c r="Q600" s="460">
        <f>WEEKNUM(tblResultadosNBA[[#This Row],[Fecha]],2)</f>
        <v>3</v>
      </c>
      <c r="R600" s="460" t="str">
        <f>TEXT(tblResultadosNBA[[#This Row],[Fecha]],"mmm")</f>
        <v>ene</v>
      </c>
    </row>
    <row r="601" spans="1:18">
      <c r="A601" s="419">
        <v>46036</v>
      </c>
      <c r="B601" s="302" t="s">
        <v>853</v>
      </c>
      <c r="C601" s="177" t="str">
        <f t="shared" si="594"/>
        <v>Brooklyn Nets</v>
      </c>
      <c r="D601" s="177">
        <v>118</v>
      </c>
      <c r="E601" s="336">
        <v>113</v>
      </c>
      <c r="F601" s="327">
        <f t="shared" si="595"/>
        <v>0</v>
      </c>
      <c r="G601" s="177" t="str">
        <f t="shared" si="596"/>
        <v>New Orleans Pelicans</v>
      </c>
      <c r="H601" s="177">
        <v>135</v>
      </c>
      <c r="I601" s="336">
        <v>116</v>
      </c>
      <c r="J601" s="327">
        <f t="shared" si="597"/>
        <v>0</v>
      </c>
      <c r="K601" s="177">
        <f t="shared" si="598"/>
        <v>253</v>
      </c>
      <c r="L601" s="336">
        <f t="shared" si="599"/>
        <v>229</v>
      </c>
      <c r="M601" s="327">
        <f t="shared" si="600"/>
        <v>0</v>
      </c>
      <c r="N601" s="337">
        <f t="shared" si="601"/>
        <v>17</v>
      </c>
      <c r="O601" s="395">
        <f t="shared" si="602"/>
        <v>3</v>
      </c>
      <c r="P601" s="289">
        <f t="shared" si="603"/>
        <v>1</v>
      </c>
      <c r="Q601" s="460">
        <f>WEEKNUM(tblResultadosNBA[[#This Row],[Fecha]],2)</f>
        <v>3</v>
      </c>
      <c r="R601" s="460" t="str">
        <f>TEXT(tblResultadosNBA[[#This Row],[Fecha]],"mmm")</f>
        <v>ene</v>
      </c>
    </row>
    <row r="602" spans="1:18">
      <c r="A602" s="419">
        <v>46036</v>
      </c>
      <c r="B602" s="302" t="s">
        <v>277</v>
      </c>
      <c r="C602" s="177" t="str">
        <f t="shared" si="594"/>
        <v>Denver Nuggets</v>
      </c>
      <c r="D602" s="177">
        <v>114</v>
      </c>
      <c r="E602" s="336">
        <v>118</v>
      </c>
      <c r="F602" s="327">
        <f t="shared" si="595"/>
        <v>1</v>
      </c>
      <c r="G602" s="177" t="str">
        <f t="shared" si="596"/>
        <v>Dallas Mavericks</v>
      </c>
      <c r="H602" s="177">
        <v>110</v>
      </c>
      <c r="I602" s="336">
        <v>109</v>
      </c>
      <c r="J602" s="327">
        <f t="shared" si="597"/>
        <v>0</v>
      </c>
      <c r="K602" s="177">
        <f t="shared" si="598"/>
        <v>224</v>
      </c>
      <c r="L602" s="336">
        <f t="shared" si="599"/>
        <v>227</v>
      </c>
      <c r="M602" s="327">
        <f t="shared" si="600"/>
        <v>1</v>
      </c>
      <c r="N602" s="337">
        <f t="shared" si="601"/>
        <v>-4</v>
      </c>
      <c r="O602" s="395">
        <f t="shared" si="602"/>
        <v>-9</v>
      </c>
      <c r="P602" s="289">
        <f t="shared" si="603"/>
        <v>1</v>
      </c>
      <c r="Q602" s="460">
        <f>WEEKNUM(tblResultadosNBA[[#This Row],[Fecha]],2)</f>
        <v>3</v>
      </c>
      <c r="R602" s="460" t="str">
        <f>TEXT(tblResultadosNBA[[#This Row],[Fecha]],"mmm")</f>
        <v>ene</v>
      </c>
    </row>
    <row r="603" spans="1:18">
      <c r="A603" s="419">
        <v>46036</v>
      </c>
      <c r="B603" s="302" t="s">
        <v>854</v>
      </c>
      <c r="C603" s="177" t="str">
        <f t="shared" si="594"/>
        <v>New York Knicks</v>
      </c>
      <c r="D603" s="177">
        <v>115</v>
      </c>
      <c r="E603" s="336">
        <v>101</v>
      </c>
      <c r="F603" s="327">
        <f t="shared" si="595"/>
        <v>0</v>
      </c>
      <c r="G603" s="177" t="str">
        <f t="shared" si="596"/>
        <v>Sacramento Kings</v>
      </c>
      <c r="H603" s="177">
        <v>120</v>
      </c>
      <c r="I603" s="336">
        <v>112</v>
      </c>
      <c r="J603" s="327">
        <f t="shared" si="597"/>
        <v>0</v>
      </c>
      <c r="K603" s="177">
        <f t="shared" si="598"/>
        <v>235</v>
      </c>
      <c r="L603" s="336">
        <f t="shared" si="599"/>
        <v>213</v>
      </c>
      <c r="M603" s="327">
        <f t="shared" si="600"/>
        <v>0</v>
      </c>
      <c r="N603" s="337">
        <f t="shared" si="601"/>
        <v>5</v>
      </c>
      <c r="O603" s="395">
        <f t="shared" si="602"/>
        <v>11</v>
      </c>
      <c r="P603" s="289">
        <f t="shared" si="603"/>
        <v>1</v>
      </c>
      <c r="Q603" s="460">
        <f>WEEKNUM(tblResultadosNBA[[#This Row],[Fecha]],2)</f>
        <v>3</v>
      </c>
      <c r="R603" s="460" t="str">
        <f>TEXT(tblResultadosNBA[[#This Row],[Fecha]],"mmm")</f>
        <v>ene</v>
      </c>
    </row>
    <row r="604" spans="1:18">
      <c r="A604" s="445">
        <v>46036</v>
      </c>
      <c r="B604" s="331" t="s">
        <v>855</v>
      </c>
      <c r="C604" s="286" t="str">
        <f t="shared" si="594"/>
        <v>Washington Wizards</v>
      </c>
      <c r="D604" s="286">
        <v>111</v>
      </c>
      <c r="E604" s="431">
        <v>105</v>
      </c>
      <c r="F604" s="332">
        <f t="shared" si="595"/>
        <v>0</v>
      </c>
      <c r="G604" s="286" t="str">
        <f t="shared" si="596"/>
        <v>LA Clippers</v>
      </c>
      <c r="H604" s="286">
        <v>128</v>
      </c>
      <c r="I604" s="431">
        <v>119</v>
      </c>
      <c r="J604" s="332">
        <f t="shared" si="597"/>
        <v>0</v>
      </c>
      <c r="K604" s="286">
        <f t="shared" si="598"/>
        <v>239</v>
      </c>
      <c r="L604" s="431">
        <f t="shared" si="599"/>
        <v>224</v>
      </c>
      <c r="M604" s="332">
        <f t="shared" si="600"/>
        <v>0</v>
      </c>
      <c r="N604" s="432">
        <f t="shared" si="601"/>
        <v>17</v>
      </c>
      <c r="O604" s="451">
        <f t="shared" si="602"/>
        <v>14</v>
      </c>
      <c r="P604" s="433">
        <f t="shared" si="603"/>
        <v>1</v>
      </c>
      <c r="Q604" s="460">
        <f>WEEKNUM(tblResultadosNBA[[#This Row],[Fecha]],2)</f>
        <v>3</v>
      </c>
      <c r="R604" s="460" t="str">
        <f>TEXT(tblResultadosNBA[[#This Row],[Fecha]],"mmm")</f>
        <v>ene</v>
      </c>
    </row>
    <row r="605" spans="1:18">
      <c r="A605" s="439">
        <v>46037</v>
      </c>
      <c r="B605" s="422" t="s">
        <v>856</v>
      </c>
      <c r="C605" s="341" t="str">
        <f>LEFT(B605,FIND("@",B605)-2)</f>
        <v>Memphis Grizzlies</v>
      </c>
      <c r="D605" s="341">
        <v>127</v>
      </c>
      <c r="E605" s="342">
        <v>111</v>
      </c>
      <c r="F605" s="333">
        <f>IF(E605&gt;D605, 1, 0)</f>
        <v>0</v>
      </c>
      <c r="G605" s="341" t="str">
        <f>MID(B605,FIND("@",B605)+2,LEN(B605)-FIND("@",B605)-1)</f>
        <v>Orlando Magic</v>
      </c>
      <c r="H605" s="341">
        <v>118</v>
      </c>
      <c r="I605" s="342">
        <v>118</v>
      </c>
      <c r="J605" s="333">
        <f>IF(I605&gt;H605, 1, 0)</f>
        <v>0</v>
      </c>
      <c r="K605" s="341">
        <f>+D605+H605</f>
        <v>245</v>
      </c>
      <c r="L605" s="342">
        <f>E605+I605</f>
        <v>229</v>
      </c>
      <c r="M605" s="333">
        <f>IF(L605&gt;K605, 1, 0)</f>
        <v>0</v>
      </c>
      <c r="N605" s="343">
        <f>(+H605-D605)</f>
        <v>-9</v>
      </c>
      <c r="O605" s="449">
        <f>I605-E605</f>
        <v>7</v>
      </c>
      <c r="P605" s="289">
        <f>IF(OR(AND(N605&gt;0,O605&gt;0),AND(N605&lt;0,O605&lt;0)),1,0)</f>
        <v>0</v>
      </c>
      <c r="Q605" s="460">
        <f>WEEKNUM(tblResultadosNBA[[#This Row],[Fecha]],2)</f>
        <v>3</v>
      </c>
      <c r="R605" s="460" t="str">
        <f>TEXT(tblResultadosNBA[[#This Row],[Fecha]],"mmm")</f>
        <v>ene</v>
      </c>
    </row>
    <row r="606" spans="1:18">
      <c r="A606" s="419">
        <v>46037</v>
      </c>
      <c r="B606" s="302" t="s">
        <v>857</v>
      </c>
      <c r="C606" s="177" t="str">
        <f t="shared" ref="C606:C612" si="604">LEFT(B606,FIND("@",B606)-2)</f>
        <v>Phoenix Suns</v>
      </c>
      <c r="D606" s="177">
        <v>115</v>
      </c>
      <c r="E606" s="336">
        <v>105</v>
      </c>
      <c r="F606" s="327">
        <f t="shared" ref="F606:F612" si="605">IF(E606&gt;D606, 1, 0)</f>
        <v>0</v>
      </c>
      <c r="G606" s="177" t="str">
        <f t="shared" ref="G606:G612" si="606">MID(B606,FIND("@",B606)+2,LEN(B606)-FIND("@",B606)-1)</f>
        <v>Detroit Pistons</v>
      </c>
      <c r="H606" s="177">
        <v>118</v>
      </c>
      <c r="I606" s="336">
        <v>108</v>
      </c>
      <c r="J606" s="327">
        <f t="shared" ref="J606:J612" si="607">IF(I606&gt;H606, 1, 0)</f>
        <v>0</v>
      </c>
      <c r="K606" s="177">
        <f t="shared" ref="K606:K612" si="608">+D606+H606</f>
        <v>233</v>
      </c>
      <c r="L606" s="336">
        <f t="shared" ref="L606:L612" si="609">E606+I606</f>
        <v>213</v>
      </c>
      <c r="M606" s="327">
        <f t="shared" ref="M606:M612" si="610">IF(L606&gt;K606, 1, 0)</f>
        <v>0</v>
      </c>
      <c r="N606" s="337">
        <f t="shared" ref="N606:N612" si="611">(+H606-D606)</f>
        <v>3</v>
      </c>
      <c r="O606" s="395">
        <f t="shared" ref="O606:O612" si="612">I606-E606</f>
        <v>3</v>
      </c>
      <c r="P606" s="289">
        <f t="shared" ref="P606:P612" si="613">IF(OR(AND(N606&gt;0,O606&gt;0),AND(N606&lt;0,O606&lt;0)),1,0)</f>
        <v>1</v>
      </c>
      <c r="Q606" s="460">
        <f>WEEKNUM(tblResultadosNBA[[#This Row],[Fecha]],2)</f>
        <v>3</v>
      </c>
      <c r="R606" s="460" t="str">
        <f>TEXT(tblResultadosNBA[[#This Row],[Fecha]],"mmm")</f>
        <v>ene</v>
      </c>
    </row>
    <row r="607" spans="1:18">
      <c r="A607" s="419">
        <v>46037</v>
      </c>
      <c r="B607" s="302" t="s">
        <v>278</v>
      </c>
      <c r="C607" s="177" t="str">
        <f t="shared" si="604"/>
        <v>Boston Celtics</v>
      </c>
      <c r="D607" s="177">
        <v>111</v>
      </c>
      <c r="E607" s="336">
        <v>119</v>
      </c>
      <c r="F607" s="327">
        <f t="shared" si="605"/>
        <v>1</v>
      </c>
      <c r="G607" s="177" t="str">
        <f t="shared" si="606"/>
        <v>Miami Heat</v>
      </c>
      <c r="H607" s="177">
        <v>110</v>
      </c>
      <c r="I607" s="336">
        <v>114</v>
      </c>
      <c r="J607" s="327">
        <f t="shared" si="607"/>
        <v>1</v>
      </c>
      <c r="K607" s="177">
        <f t="shared" si="608"/>
        <v>221</v>
      </c>
      <c r="L607" s="336">
        <f t="shared" si="609"/>
        <v>233</v>
      </c>
      <c r="M607" s="327">
        <f t="shared" si="610"/>
        <v>1</v>
      </c>
      <c r="N607" s="337">
        <f t="shared" si="611"/>
        <v>-1</v>
      </c>
      <c r="O607" s="395">
        <f t="shared" si="612"/>
        <v>-5</v>
      </c>
      <c r="P607" s="289">
        <f t="shared" si="613"/>
        <v>1</v>
      </c>
      <c r="Q607" s="460">
        <f>WEEKNUM(tblResultadosNBA[[#This Row],[Fecha]],2)</f>
        <v>3</v>
      </c>
      <c r="R607" s="460" t="str">
        <f>TEXT(tblResultadosNBA[[#This Row],[Fecha]],"mmm")</f>
        <v>ene</v>
      </c>
    </row>
    <row r="608" spans="1:18">
      <c r="A608" s="419">
        <v>46037</v>
      </c>
      <c r="B608" s="302" t="s">
        <v>858</v>
      </c>
      <c r="C608" s="177" t="str">
        <f t="shared" si="604"/>
        <v>Oklahoma City Thunder</v>
      </c>
      <c r="D608" s="177">
        <v>116</v>
      </c>
      <c r="E608" s="336">
        <v>111</v>
      </c>
      <c r="F608" s="327">
        <f t="shared" si="605"/>
        <v>0</v>
      </c>
      <c r="G608" s="177" t="str">
        <f t="shared" si="606"/>
        <v>Houston Rockets</v>
      </c>
      <c r="H608" s="177">
        <v>121</v>
      </c>
      <c r="I608" s="336">
        <v>91</v>
      </c>
      <c r="J608" s="327">
        <f t="shared" si="607"/>
        <v>0</v>
      </c>
      <c r="K608" s="177">
        <f t="shared" si="608"/>
        <v>237</v>
      </c>
      <c r="L608" s="336">
        <f t="shared" si="609"/>
        <v>202</v>
      </c>
      <c r="M608" s="327">
        <f t="shared" si="610"/>
        <v>0</v>
      </c>
      <c r="N608" s="337">
        <f t="shared" si="611"/>
        <v>5</v>
      </c>
      <c r="O608" s="395">
        <f t="shared" si="612"/>
        <v>-20</v>
      </c>
      <c r="P608" s="289">
        <f t="shared" si="613"/>
        <v>0</v>
      </c>
      <c r="Q608" s="460">
        <f>WEEKNUM(tblResultadosNBA[[#This Row],[Fecha]],2)</f>
        <v>3</v>
      </c>
      <c r="R608" s="460" t="str">
        <f>TEXT(tblResultadosNBA[[#This Row],[Fecha]],"mmm")</f>
        <v>ene</v>
      </c>
    </row>
    <row r="609" spans="1:18">
      <c r="A609" s="419">
        <v>46037</v>
      </c>
      <c r="B609" s="302" t="s">
        <v>859</v>
      </c>
      <c r="C609" s="177" t="str">
        <f t="shared" si="604"/>
        <v>Milwaukee Bucks</v>
      </c>
      <c r="D609" s="177">
        <v>121</v>
      </c>
      <c r="E609" s="336">
        <v>101</v>
      </c>
      <c r="F609" s="327">
        <f t="shared" si="605"/>
        <v>0</v>
      </c>
      <c r="G609" s="177" t="str">
        <f t="shared" si="606"/>
        <v>San Antonio Spurs</v>
      </c>
      <c r="H609" s="177">
        <v>116</v>
      </c>
      <c r="I609" s="336">
        <v>119</v>
      </c>
      <c r="J609" s="327">
        <f t="shared" si="607"/>
        <v>1</v>
      </c>
      <c r="K609" s="177">
        <f t="shared" si="608"/>
        <v>237</v>
      </c>
      <c r="L609" s="336">
        <f t="shared" si="609"/>
        <v>220</v>
      </c>
      <c r="M609" s="327">
        <f t="shared" si="610"/>
        <v>0</v>
      </c>
      <c r="N609" s="337">
        <f t="shared" si="611"/>
        <v>-5</v>
      </c>
      <c r="O609" s="395">
        <f t="shared" si="612"/>
        <v>18</v>
      </c>
      <c r="P609" s="289">
        <f t="shared" si="613"/>
        <v>0</v>
      </c>
      <c r="Q609" s="460">
        <f>WEEKNUM(tblResultadosNBA[[#This Row],[Fecha]],2)</f>
        <v>3</v>
      </c>
      <c r="R609" s="460" t="str">
        <f>TEXT(tblResultadosNBA[[#This Row],[Fecha]],"mmm")</f>
        <v>ene</v>
      </c>
    </row>
    <row r="610" spans="1:18">
      <c r="A610" s="419">
        <v>46037</v>
      </c>
      <c r="B610" s="302" t="s">
        <v>860</v>
      </c>
      <c r="C610" s="177" t="str">
        <f t="shared" si="604"/>
        <v>Utah Jazz</v>
      </c>
      <c r="D610" s="177">
        <v>119</v>
      </c>
      <c r="E610" s="336">
        <v>122</v>
      </c>
      <c r="F610" s="327">
        <f t="shared" si="605"/>
        <v>1</v>
      </c>
      <c r="G610" s="177" t="str">
        <f t="shared" si="606"/>
        <v>Dallas Mavericks</v>
      </c>
      <c r="H610" s="177">
        <v>124</v>
      </c>
      <c r="I610" s="336">
        <v>144</v>
      </c>
      <c r="J610" s="327">
        <f t="shared" si="607"/>
        <v>1</v>
      </c>
      <c r="K610" s="177">
        <f t="shared" si="608"/>
        <v>243</v>
      </c>
      <c r="L610" s="336">
        <f t="shared" si="609"/>
        <v>266</v>
      </c>
      <c r="M610" s="327">
        <f t="shared" si="610"/>
        <v>1</v>
      </c>
      <c r="N610" s="337">
        <f t="shared" si="611"/>
        <v>5</v>
      </c>
      <c r="O610" s="395">
        <f t="shared" si="612"/>
        <v>22</v>
      </c>
      <c r="P610" s="289">
        <f t="shared" si="613"/>
        <v>1</v>
      </c>
      <c r="Q610" s="460">
        <f>WEEKNUM(tblResultadosNBA[[#This Row],[Fecha]],2)</f>
        <v>3</v>
      </c>
      <c r="R610" s="460" t="str">
        <f>TEXT(tblResultadosNBA[[#This Row],[Fecha]],"mmm")</f>
        <v>ene</v>
      </c>
    </row>
    <row r="611" spans="1:18">
      <c r="A611" s="419">
        <v>46037</v>
      </c>
      <c r="B611" s="302" t="s">
        <v>861</v>
      </c>
      <c r="C611" s="177" t="str">
        <f t="shared" si="604"/>
        <v>New York Knicks</v>
      </c>
      <c r="D611" s="177">
        <v>128</v>
      </c>
      <c r="E611" s="336">
        <v>113</v>
      </c>
      <c r="F611" s="327">
        <f t="shared" si="605"/>
        <v>0</v>
      </c>
      <c r="G611" s="177" t="str">
        <f t="shared" si="606"/>
        <v>Golden State Warriors</v>
      </c>
      <c r="H611" s="177">
        <v>125</v>
      </c>
      <c r="I611" s="336">
        <v>126</v>
      </c>
      <c r="J611" s="327">
        <f t="shared" si="607"/>
        <v>1</v>
      </c>
      <c r="K611" s="177">
        <f t="shared" si="608"/>
        <v>253</v>
      </c>
      <c r="L611" s="336">
        <f t="shared" si="609"/>
        <v>239</v>
      </c>
      <c r="M611" s="327">
        <f t="shared" si="610"/>
        <v>0</v>
      </c>
      <c r="N611" s="337">
        <f t="shared" si="611"/>
        <v>-3</v>
      </c>
      <c r="O611" s="395">
        <f t="shared" si="612"/>
        <v>13</v>
      </c>
      <c r="P611" s="289">
        <f t="shared" si="613"/>
        <v>0</v>
      </c>
      <c r="Q611" s="460">
        <f>WEEKNUM(tblResultadosNBA[[#This Row],[Fecha]],2)</f>
        <v>3</v>
      </c>
      <c r="R611" s="460" t="str">
        <f>TEXT(tblResultadosNBA[[#This Row],[Fecha]],"mmm")</f>
        <v>ene</v>
      </c>
    </row>
    <row r="612" spans="1:18">
      <c r="A612" s="419">
        <v>46037</v>
      </c>
      <c r="B612" s="302" t="s">
        <v>279</v>
      </c>
      <c r="C612" s="177" t="str">
        <f t="shared" si="604"/>
        <v>Atlanta Hawks</v>
      </c>
      <c r="D612" s="177">
        <v>112</v>
      </c>
      <c r="E612" s="336">
        <v>101</v>
      </c>
      <c r="F612" s="327">
        <f t="shared" si="605"/>
        <v>0</v>
      </c>
      <c r="G612" s="177" t="str">
        <f t="shared" si="606"/>
        <v>Portland Trail Blazers</v>
      </c>
      <c r="H612" s="177">
        <v>109</v>
      </c>
      <c r="I612" s="336">
        <v>117</v>
      </c>
      <c r="J612" s="327">
        <f t="shared" si="607"/>
        <v>1</v>
      </c>
      <c r="K612" s="177">
        <f t="shared" si="608"/>
        <v>221</v>
      </c>
      <c r="L612" s="336">
        <f t="shared" si="609"/>
        <v>218</v>
      </c>
      <c r="M612" s="327">
        <f t="shared" si="610"/>
        <v>0</v>
      </c>
      <c r="N612" s="337">
        <f t="shared" si="611"/>
        <v>-3</v>
      </c>
      <c r="O612" s="395">
        <f t="shared" si="612"/>
        <v>16</v>
      </c>
      <c r="P612" s="289">
        <f t="shared" si="613"/>
        <v>0</v>
      </c>
      <c r="Q612" s="460">
        <f>WEEKNUM(tblResultadosNBA[[#This Row],[Fecha]],2)</f>
        <v>3</v>
      </c>
      <c r="R612" s="460" t="str">
        <f>TEXT(tblResultadosNBA[[#This Row],[Fecha]],"mmm")</f>
        <v>ene</v>
      </c>
    </row>
    <row r="613" spans="1:18">
      <c r="A613" s="445">
        <v>46037</v>
      </c>
      <c r="B613" s="331" t="s">
        <v>862</v>
      </c>
      <c r="C613" s="286" t="str">
        <f>LEFT(B613,FIND("@",B613)-2)</f>
        <v>Charlotte Hornets</v>
      </c>
      <c r="D613" s="286">
        <v>118</v>
      </c>
      <c r="E613" s="431">
        <v>135</v>
      </c>
      <c r="F613" s="332">
        <f>IF(E613&gt;D613, 1, 0)</f>
        <v>1</v>
      </c>
      <c r="G613" s="286" t="str">
        <f>MID(B613,FIND("@",B613)+2,LEN(B613)-FIND("@",B613)-1)</f>
        <v>Los Angeles Lakers</v>
      </c>
      <c r="H613" s="286">
        <v>121</v>
      </c>
      <c r="I613" s="431">
        <v>117</v>
      </c>
      <c r="J613" s="332">
        <f>IF(I613&gt;H613, 1, 0)</f>
        <v>0</v>
      </c>
      <c r="K613" s="286">
        <f>+D613+H613</f>
        <v>239</v>
      </c>
      <c r="L613" s="431">
        <f>E613+I613</f>
        <v>252</v>
      </c>
      <c r="M613" s="332">
        <f>IF(L613&gt;K613, 1, 0)</f>
        <v>1</v>
      </c>
      <c r="N613" s="432">
        <f>(+H613-D613)</f>
        <v>3</v>
      </c>
      <c r="O613" s="451">
        <f>I613-E613</f>
        <v>-18</v>
      </c>
      <c r="P613" s="433">
        <f>IF(OR(AND(N613&gt;0,O613&gt;0),AND(N613&lt;0,O613&lt;0)),1,0)</f>
        <v>0</v>
      </c>
      <c r="Q613" s="460">
        <f>WEEKNUM(tblResultadosNBA[[#This Row],[Fecha]],2)</f>
        <v>3</v>
      </c>
      <c r="R613" s="460" t="str">
        <f>TEXT(tblResultadosNBA[[#This Row],[Fecha]],"mmm")</f>
        <v>ene</v>
      </c>
    </row>
    <row r="614" spans="1:18">
      <c r="A614" s="439">
        <v>46038</v>
      </c>
      <c r="B614" s="422" t="s">
        <v>863</v>
      </c>
      <c r="C614" s="341" t="str">
        <f>LEFT(B614,FIND("@",B614)-2)</f>
        <v>New Orleans Pelicans</v>
      </c>
      <c r="D614" s="341">
        <v>129</v>
      </c>
      <c r="E614" s="342">
        <v>119</v>
      </c>
      <c r="F614" s="333">
        <f>IF(E614&gt;D614, 1, 0)</f>
        <v>0</v>
      </c>
      <c r="G614" s="341" t="str">
        <f>MID(B614,FIND("@",B614)+2,LEN(B614)-FIND("@",B614)-1)</f>
        <v>Indiana Pacers</v>
      </c>
      <c r="H614" s="341">
        <v>124</v>
      </c>
      <c r="I614" s="342">
        <v>127</v>
      </c>
      <c r="J614" s="333">
        <f>IF(I614&gt;H614, 1, 0)</f>
        <v>1</v>
      </c>
      <c r="K614" s="341">
        <f>+D614+H614</f>
        <v>253</v>
      </c>
      <c r="L614" s="342">
        <f>E614+I614</f>
        <v>246</v>
      </c>
      <c r="M614" s="333">
        <f>IF(L614&gt;K614, 1, 0)</f>
        <v>0</v>
      </c>
      <c r="N614" s="343">
        <f>(+H614-D614)</f>
        <v>-5</v>
      </c>
      <c r="O614" s="449">
        <f>I614-E614</f>
        <v>8</v>
      </c>
      <c r="P614" s="289">
        <f>IF(OR(AND(N614&gt;0,O614&gt;0),AND(N614&lt;0,O614&lt;0)),1,0)</f>
        <v>0</v>
      </c>
      <c r="Q614" s="460">
        <f>WEEKNUM(tblResultadosNBA[[#This Row],[Fecha]],2)</f>
        <v>3</v>
      </c>
      <c r="R614" s="460" t="str">
        <f>TEXT(tblResultadosNBA[[#This Row],[Fecha]],"mmm")</f>
        <v>ene</v>
      </c>
    </row>
    <row r="615" spans="1:18">
      <c r="A615" s="419">
        <v>46038</v>
      </c>
      <c r="B615" s="302" t="s">
        <v>275</v>
      </c>
      <c r="C615" s="177" t="str">
        <f t="shared" ref="C615:C619" si="614">LEFT(B615,FIND("@",B615)-2)</f>
        <v>Cleveland Cavaliers</v>
      </c>
      <c r="D615" s="177">
        <v>116</v>
      </c>
      <c r="E615" s="336">
        <v>117</v>
      </c>
      <c r="F615" s="327">
        <f t="shared" ref="F615:F619" si="615">IF(E615&gt;D615, 1, 0)</f>
        <v>1</v>
      </c>
      <c r="G615" s="177" t="str">
        <f t="shared" ref="G615:G619" si="616">MID(B615,FIND("@",B615)+2,LEN(B615)-FIND("@",B615)-1)</f>
        <v>Philadelphia 76ers</v>
      </c>
      <c r="H615" s="177">
        <v>119</v>
      </c>
      <c r="I615" s="336">
        <v>115</v>
      </c>
      <c r="J615" s="327">
        <f t="shared" ref="J615:J619" si="617">IF(I615&gt;H615, 1, 0)</f>
        <v>0</v>
      </c>
      <c r="K615" s="177">
        <f t="shared" ref="K615:K619" si="618">+D615+H615</f>
        <v>235</v>
      </c>
      <c r="L615" s="336">
        <f t="shared" ref="L615:L619" si="619">E615+I615</f>
        <v>232</v>
      </c>
      <c r="M615" s="327">
        <f t="shared" ref="M615:M619" si="620">IF(L615&gt;K615, 1, 0)</f>
        <v>0</v>
      </c>
      <c r="N615" s="337">
        <f t="shared" ref="N615:N619" si="621">(+H615-D615)</f>
        <v>3</v>
      </c>
      <c r="O615" s="395">
        <f t="shared" ref="O615:O619" si="622">I615-E615</f>
        <v>-2</v>
      </c>
      <c r="P615" s="289">
        <f t="shared" ref="P615:P619" si="623">IF(OR(AND(N615&gt;0,O615&gt;0),AND(N615&lt;0,O615&lt;0)),1,0)</f>
        <v>0</v>
      </c>
      <c r="Q615" s="460">
        <f>WEEKNUM(tblResultadosNBA[[#This Row],[Fecha]],2)</f>
        <v>3</v>
      </c>
      <c r="R615" s="460" t="str">
        <f>TEXT(tblResultadosNBA[[#This Row],[Fecha]],"mmm")</f>
        <v>ene</v>
      </c>
    </row>
    <row r="616" spans="1:18">
      <c r="A616" s="419">
        <v>46038</v>
      </c>
      <c r="B616" s="302" t="s">
        <v>280</v>
      </c>
      <c r="C616" s="177" t="str">
        <f t="shared" si="614"/>
        <v>Chicago Bulls</v>
      </c>
      <c r="D616" s="177">
        <v>107</v>
      </c>
      <c r="E616" s="336">
        <v>109</v>
      </c>
      <c r="F616" s="327">
        <f t="shared" si="615"/>
        <v>1</v>
      </c>
      <c r="G616" s="177" t="str">
        <f t="shared" si="616"/>
        <v>Brooklyn Nets</v>
      </c>
      <c r="H616" s="177">
        <v>112</v>
      </c>
      <c r="I616" s="336">
        <v>112</v>
      </c>
      <c r="J616" s="327">
        <f t="shared" si="617"/>
        <v>0</v>
      </c>
      <c r="K616" s="177">
        <f t="shared" si="618"/>
        <v>219</v>
      </c>
      <c r="L616" s="336">
        <f t="shared" si="619"/>
        <v>221</v>
      </c>
      <c r="M616" s="327">
        <f t="shared" si="620"/>
        <v>1</v>
      </c>
      <c r="N616" s="337">
        <f t="shared" si="621"/>
        <v>5</v>
      </c>
      <c r="O616" s="395">
        <f t="shared" si="622"/>
        <v>3</v>
      </c>
      <c r="P616" s="289">
        <f t="shared" si="623"/>
        <v>1</v>
      </c>
      <c r="Q616" s="460">
        <f>WEEKNUM(tblResultadosNBA[[#This Row],[Fecha]],2)</f>
        <v>3</v>
      </c>
      <c r="R616" s="460" t="str">
        <f>TEXT(tblResultadosNBA[[#This Row],[Fecha]],"mmm")</f>
        <v>ene</v>
      </c>
    </row>
    <row r="617" spans="1:18">
      <c r="A617" s="419">
        <v>46038</v>
      </c>
      <c r="B617" s="302" t="s">
        <v>864</v>
      </c>
      <c r="C617" s="177" t="str">
        <f t="shared" si="614"/>
        <v>LA Clippers</v>
      </c>
      <c r="D617" s="177">
        <v>111</v>
      </c>
      <c r="E617" s="336">
        <v>121</v>
      </c>
      <c r="F617" s="327">
        <f t="shared" si="615"/>
        <v>1</v>
      </c>
      <c r="G617" s="177" t="str">
        <f t="shared" si="616"/>
        <v>Toronto Raptors</v>
      </c>
      <c r="H617" s="177">
        <v>119</v>
      </c>
      <c r="I617" s="336">
        <v>117</v>
      </c>
      <c r="J617" s="327">
        <f t="shared" si="617"/>
        <v>0</v>
      </c>
      <c r="K617" s="177">
        <f t="shared" si="618"/>
        <v>230</v>
      </c>
      <c r="L617" s="336">
        <f t="shared" si="619"/>
        <v>238</v>
      </c>
      <c r="M617" s="327">
        <f t="shared" si="620"/>
        <v>1</v>
      </c>
      <c r="N617" s="337">
        <f t="shared" si="621"/>
        <v>8</v>
      </c>
      <c r="O617" s="395">
        <f t="shared" si="622"/>
        <v>-4</v>
      </c>
      <c r="P617" s="289">
        <f t="shared" si="623"/>
        <v>0</v>
      </c>
      <c r="Q617" s="460">
        <f>WEEKNUM(tblResultadosNBA[[#This Row],[Fecha]],2)</f>
        <v>3</v>
      </c>
      <c r="R617" s="460" t="str">
        <f>TEXT(tblResultadosNBA[[#This Row],[Fecha]],"mmm")</f>
        <v>ene</v>
      </c>
    </row>
    <row r="618" spans="1:18">
      <c r="A618" s="419">
        <v>46038</v>
      </c>
      <c r="B618" s="302" t="s">
        <v>583</v>
      </c>
      <c r="C618" s="177" t="str">
        <f t="shared" si="614"/>
        <v>Minnesota Timberwolves</v>
      </c>
      <c r="D618" s="177">
        <v>109</v>
      </c>
      <c r="E618" s="336">
        <v>105</v>
      </c>
      <c r="F618" s="327">
        <f t="shared" si="615"/>
        <v>0</v>
      </c>
      <c r="G618" s="177" t="str">
        <f t="shared" si="616"/>
        <v>Houston Rockets</v>
      </c>
      <c r="H618" s="177">
        <v>119</v>
      </c>
      <c r="I618" s="336">
        <v>110</v>
      </c>
      <c r="J618" s="327">
        <f t="shared" si="617"/>
        <v>0</v>
      </c>
      <c r="K618" s="177">
        <f t="shared" si="618"/>
        <v>228</v>
      </c>
      <c r="L618" s="336">
        <f t="shared" si="619"/>
        <v>215</v>
      </c>
      <c r="M618" s="327">
        <f t="shared" si="620"/>
        <v>0</v>
      </c>
      <c r="N618" s="337">
        <f t="shared" si="621"/>
        <v>10</v>
      </c>
      <c r="O618" s="395">
        <f t="shared" si="622"/>
        <v>5</v>
      </c>
      <c r="P618" s="289">
        <f t="shared" si="623"/>
        <v>1</v>
      </c>
      <c r="Q618" s="460">
        <f>WEEKNUM(tblResultadosNBA[[#This Row],[Fecha]],2)</f>
        <v>3</v>
      </c>
      <c r="R618" s="460" t="str">
        <f>TEXT(tblResultadosNBA[[#This Row],[Fecha]],"mmm")</f>
        <v>ene</v>
      </c>
    </row>
    <row r="619" spans="1:18">
      <c r="A619" s="445">
        <v>46038</v>
      </c>
      <c r="B619" s="331" t="s">
        <v>865</v>
      </c>
      <c r="C619" s="286" t="str">
        <f t="shared" si="614"/>
        <v>Washington Wizards</v>
      </c>
      <c r="D619" s="286">
        <v>115</v>
      </c>
      <c r="E619" s="431">
        <v>115</v>
      </c>
      <c r="F619" s="332">
        <f t="shared" si="615"/>
        <v>0</v>
      </c>
      <c r="G619" s="286" t="str">
        <f t="shared" si="616"/>
        <v>Sacramento Kings</v>
      </c>
      <c r="H619" s="286">
        <v>120</v>
      </c>
      <c r="I619" s="431">
        <v>128</v>
      </c>
      <c r="J619" s="332">
        <f t="shared" si="617"/>
        <v>1</v>
      </c>
      <c r="K619" s="286">
        <f t="shared" si="618"/>
        <v>235</v>
      </c>
      <c r="L619" s="431">
        <f t="shared" si="619"/>
        <v>243</v>
      </c>
      <c r="M619" s="332">
        <f t="shared" si="620"/>
        <v>1</v>
      </c>
      <c r="N619" s="432">
        <f t="shared" si="621"/>
        <v>5</v>
      </c>
      <c r="O619" s="451">
        <f t="shared" si="622"/>
        <v>13</v>
      </c>
      <c r="P619" s="433">
        <f t="shared" si="623"/>
        <v>1</v>
      </c>
      <c r="Q619" s="460">
        <f>WEEKNUM(tblResultadosNBA[[#This Row],[Fecha]],2)</f>
        <v>3</v>
      </c>
      <c r="R619" s="460" t="str">
        <f>TEXT(tblResultadosNBA[[#This Row],[Fecha]],"mmm")</f>
        <v>ene</v>
      </c>
    </row>
    <row r="620" spans="1:18">
      <c r="A620" s="439">
        <v>46039</v>
      </c>
      <c r="B620" s="422" t="s">
        <v>860</v>
      </c>
      <c r="C620" s="341" t="str">
        <f>LEFT(B620,FIND("@",B620)-2)</f>
        <v>Utah Jazz</v>
      </c>
      <c r="D620" s="341">
        <v>127</v>
      </c>
      <c r="E620" s="342">
        <v>120</v>
      </c>
      <c r="F620" s="333">
        <f>IF(E620&gt;D620, 1, 0)</f>
        <v>0</v>
      </c>
      <c r="G620" s="341" t="str">
        <f>MID(B620,FIND("@",B620)+2,LEN(B620)-FIND("@",B620)-1)</f>
        <v>Dallas Mavericks</v>
      </c>
      <c r="H620" s="341">
        <v>122</v>
      </c>
      <c r="I620" s="342">
        <v>138</v>
      </c>
      <c r="J620" s="333">
        <f>IF(I620&gt;H620, 1, 0)</f>
        <v>1</v>
      </c>
      <c r="K620" s="341">
        <f>+D620+H620</f>
        <v>249</v>
      </c>
      <c r="L620" s="342">
        <f>E620+I620</f>
        <v>258</v>
      </c>
      <c r="M620" s="333">
        <f>IF(L620&gt;K620, 1, 0)</f>
        <v>1</v>
      </c>
      <c r="N620" s="343">
        <f>(+H620-D620)</f>
        <v>-5</v>
      </c>
      <c r="O620" s="449">
        <f>I620-E620</f>
        <v>18</v>
      </c>
      <c r="P620" s="289">
        <f>IF(OR(AND(N620&gt;0,O620&gt;0),AND(N620&lt;0,O620&lt;0)),1,0)</f>
        <v>0</v>
      </c>
      <c r="Q620" s="460">
        <f>WEEKNUM(tblResultadosNBA[[#This Row],[Fecha]],2)</f>
        <v>3</v>
      </c>
      <c r="R620" s="460" t="str">
        <f>TEXT(tblResultadosNBA[[#This Row],[Fecha]],"mmm")</f>
        <v>ene</v>
      </c>
    </row>
    <row r="621" spans="1:18">
      <c r="A621" s="419">
        <v>46039</v>
      </c>
      <c r="B621" s="302" t="s">
        <v>529</v>
      </c>
      <c r="C621" s="177" t="str">
        <f t="shared" ref="C621:C628" si="624">LEFT(B621,FIND("@",B621)-2)</f>
        <v>Boston Celtics</v>
      </c>
      <c r="D621" s="177">
        <v>114</v>
      </c>
      <c r="E621" s="336">
        <v>132</v>
      </c>
      <c r="F621" s="327">
        <f t="shared" ref="F621:F628" si="625">IF(E621&gt;D621, 1, 0)</f>
        <v>1</v>
      </c>
      <c r="G621" s="177" t="str">
        <f t="shared" ref="G621:G628" si="626">MID(B621,FIND("@",B621)+2,LEN(B621)-FIND("@",B621)-1)</f>
        <v>Atlanta Hawks</v>
      </c>
      <c r="H621" s="177">
        <v>118</v>
      </c>
      <c r="I621" s="336">
        <v>106</v>
      </c>
      <c r="J621" s="327">
        <f t="shared" ref="J621:J628" si="627">IF(I621&gt;H621, 1, 0)</f>
        <v>0</v>
      </c>
      <c r="K621" s="177">
        <f t="shared" ref="K621:K628" si="628">+D621+H621</f>
        <v>232</v>
      </c>
      <c r="L621" s="336">
        <f t="shared" ref="L621:L628" si="629">E621+I621</f>
        <v>238</v>
      </c>
      <c r="M621" s="327">
        <f t="shared" ref="M621:M628" si="630">IF(L621&gt;K621, 1, 0)</f>
        <v>1</v>
      </c>
      <c r="N621" s="337">
        <f t="shared" ref="N621:N628" si="631">(+H621-D621)</f>
        <v>4</v>
      </c>
      <c r="O621" s="395">
        <f t="shared" ref="O621:O628" si="632">I621-E621</f>
        <v>-26</v>
      </c>
      <c r="P621" s="289">
        <f t="shared" ref="P621:P628" si="633">IF(OR(AND(N621&gt;0,O621&gt;0),AND(N621&lt;0,O621&lt;0)),1,0)</f>
        <v>0</v>
      </c>
      <c r="Q621" s="460">
        <f>WEEKNUM(tblResultadosNBA[[#This Row],[Fecha]],2)</f>
        <v>3</v>
      </c>
      <c r="R621" s="460" t="str">
        <f>TEXT(tblResultadosNBA[[#This Row],[Fecha]],"mmm")</f>
        <v>ene</v>
      </c>
    </row>
    <row r="622" spans="1:18">
      <c r="A622" s="419">
        <v>46039</v>
      </c>
      <c r="B622" s="302" t="s">
        <v>71</v>
      </c>
      <c r="C622" s="177" t="str">
        <f t="shared" si="624"/>
        <v>Indiana Pacers</v>
      </c>
      <c r="D622" s="177">
        <v>103</v>
      </c>
      <c r="E622" s="336">
        <v>78</v>
      </c>
      <c r="F622" s="327">
        <f t="shared" si="625"/>
        <v>0</v>
      </c>
      <c r="G622" s="177" t="str">
        <f t="shared" si="626"/>
        <v>Detroit Pistons</v>
      </c>
      <c r="H622" s="177">
        <v>128</v>
      </c>
      <c r="I622" s="336">
        <v>121</v>
      </c>
      <c r="J622" s="327">
        <f t="shared" si="627"/>
        <v>0</v>
      </c>
      <c r="K622" s="177">
        <f t="shared" si="628"/>
        <v>231</v>
      </c>
      <c r="L622" s="336">
        <f t="shared" si="629"/>
        <v>199</v>
      </c>
      <c r="M622" s="327">
        <f t="shared" si="630"/>
        <v>0</v>
      </c>
      <c r="N622" s="337">
        <f t="shared" si="631"/>
        <v>25</v>
      </c>
      <c r="O622" s="395">
        <f t="shared" si="632"/>
        <v>43</v>
      </c>
      <c r="P622" s="289">
        <f t="shared" si="633"/>
        <v>1</v>
      </c>
      <c r="Q622" s="460">
        <f>WEEKNUM(tblResultadosNBA[[#This Row],[Fecha]],2)</f>
        <v>3</v>
      </c>
      <c r="R622" s="460" t="str">
        <f>TEXT(tblResultadosNBA[[#This Row],[Fecha]],"mmm")</f>
        <v>ene</v>
      </c>
    </row>
    <row r="623" spans="1:18">
      <c r="A623" s="419">
        <v>46039</v>
      </c>
      <c r="B623" s="302" t="s">
        <v>866</v>
      </c>
      <c r="C623" s="177" t="str">
        <f t="shared" si="624"/>
        <v>Phoenix Suns</v>
      </c>
      <c r="D623" s="177">
        <v>123</v>
      </c>
      <c r="E623" s="336">
        <v>106</v>
      </c>
      <c r="F623" s="327">
        <f t="shared" si="625"/>
        <v>0</v>
      </c>
      <c r="G623" s="177" t="str">
        <f t="shared" si="626"/>
        <v>New York Knicks</v>
      </c>
      <c r="H623" s="177">
        <v>134</v>
      </c>
      <c r="I623" s="336">
        <v>99</v>
      </c>
      <c r="J623" s="327">
        <f t="shared" si="627"/>
        <v>0</v>
      </c>
      <c r="K623" s="177">
        <f t="shared" si="628"/>
        <v>257</v>
      </c>
      <c r="L623" s="336">
        <f t="shared" si="629"/>
        <v>205</v>
      </c>
      <c r="M623" s="327">
        <f t="shared" si="630"/>
        <v>0</v>
      </c>
      <c r="N623" s="337">
        <f t="shared" si="631"/>
        <v>11</v>
      </c>
      <c r="O623" s="395">
        <f t="shared" si="632"/>
        <v>-7</v>
      </c>
      <c r="P623" s="289">
        <f t="shared" si="633"/>
        <v>0</v>
      </c>
      <c r="Q623" s="460">
        <f>WEEKNUM(tblResultadosNBA[[#This Row],[Fecha]],2)</f>
        <v>3</v>
      </c>
      <c r="R623" s="460" t="str">
        <f>TEXT(tblResultadosNBA[[#This Row],[Fecha]],"mmm")</f>
        <v>ene</v>
      </c>
    </row>
    <row r="624" spans="1:18">
      <c r="A624" s="419">
        <v>46039</v>
      </c>
      <c r="B624" s="302" t="s">
        <v>867</v>
      </c>
      <c r="C624" s="177" t="str">
        <f t="shared" si="624"/>
        <v>Oklahoma City Thunder</v>
      </c>
      <c r="D624" s="177">
        <v>117</v>
      </c>
      <c r="E624" s="336">
        <v>120</v>
      </c>
      <c r="F624" s="327">
        <f t="shared" si="625"/>
        <v>1</v>
      </c>
      <c r="G624" s="177" t="str">
        <f t="shared" si="626"/>
        <v>Miami Heat</v>
      </c>
      <c r="H624" s="177">
        <v>107</v>
      </c>
      <c r="I624" s="336">
        <v>122</v>
      </c>
      <c r="J624" s="327">
        <f t="shared" si="627"/>
        <v>1</v>
      </c>
      <c r="K624" s="177">
        <f t="shared" si="628"/>
        <v>224</v>
      </c>
      <c r="L624" s="336">
        <f t="shared" si="629"/>
        <v>242</v>
      </c>
      <c r="M624" s="327">
        <f t="shared" si="630"/>
        <v>1</v>
      </c>
      <c r="N624" s="337">
        <f t="shared" si="631"/>
        <v>-10</v>
      </c>
      <c r="O624" s="395">
        <f t="shared" si="632"/>
        <v>2</v>
      </c>
      <c r="P624" s="289">
        <f t="shared" si="633"/>
        <v>0</v>
      </c>
      <c r="Q624" s="460">
        <f>WEEKNUM(tblResultadosNBA[[#This Row],[Fecha]],2)</f>
        <v>3</v>
      </c>
      <c r="R624" s="460" t="str">
        <f>TEXT(tblResultadosNBA[[#This Row],[Fecha]],"mmm")</f>
        <v>ene</v>
      </c>
    </row>
    <row r="625" spans="1:18">
      <c r="A625" s="419">
        <v>46039</v>
      </c>
      <c r="B625" s="302" t="s">
        <v>599</v>
      </c>
      <c r="C625" s="177" t="str">
        <f t="shared" si="624"/>
        <v>Minnesota Timberwolves</v>
      </c>
      <c r="D625" s="177">
        <v>121</v>
      </c>
      <c r="E625" s="336">
        <v>123</v>
      </c>
      <c r="F625" s="327">
        <f t="shared" si="625"/>
        <v>1</v>
      </c>
      <c r="G625" s="177" t="str">
        <f t="shared" si="626"/>
        <v>San Antonio Spurs</v>
      </c>
      <c r="H625" s="177">
        <v>133</v>
      </c>
      <c r="I625" s="336">
        <v>126</v>
      </c>
      <c r="J625" s="327">
        <f t="shared" si="627"/>
        <v>0</v>
      </c>
      <c r="K625" s="177">
        <f t="shared" si="628"/>
        <v>254</v>
      </c>
      <c r="L625" s="336">
        <f t="shared" si="629"/>
        <v>249</v>
      </c>
      <c r="M625" s="327">
        <f t="shared" si="630"/>
        <v>0</v>
      </c>
      <c r="N625" s="337">
        <f t="shared" si="631"/>
        <v>12</v>
      </c>
      <c r="O625" s="395">
        <f t="shared" si="632"/>
        <v>3</v>
      </c>
      <c r="P625" s="289">
        <f t="shared" si="633"/>
        <v>1</v>
      </c>
      <c r="Q625" s="460">
        <f>WEEKNUM(tblResultadosNBA[[#This Row],[Fecha]],2)</f>
        <v>3</v>
      </c>
      <c r="R625" s="460" t="str">
        <f>TEXT(tblResultadosNBA[[#This Row],[Fecha]],"mmm")</f>
        <v>ene</v>
      </c>
    </row>
    <row r="626" spans="1:18">
      <c r="A626" s="419">
        <v>46039</v>
      </c>
      <c r="B626" s="302" t="s">
        <v>868</v>
      </c>
      <c r="C626" s="177" t="str">
        <f t="shared" si="624"/>
        <v>Charlotte Hornets</v>
      </c>
      <c r="D626" s="177">
        <v>125</v>
      </c>
      <c r="E626" s="336">
        <v>116</v>
      </c>
      <c r="F626" s="327">
        <f t="shared" si="625"/>
        <v>0</v>
      </c>
      <c r="G626" s="177" t="str">
        <f t="shared" si="626"/>
        <v>Golden State Warriors</v>
      </c>
      <c r="H626" s="177">
        <v>129</v>
      </c>
      <c r="I626" s="336">
        <v>136</v>
      </c>
      <c r="J626" s="327">
        <f t="shared" si="627"/>
        <v>1</v>
      </c>
      <c r="K626" s="177">
        <f t="shared" si="628"/>
        <v>254</v>
      </c>
      <c r="L626" s="336">
        <f t="shared" si="629"/>
        <v>252</v>
      </c>
      <c r="M626" s="327">
        <f t="shared" si="630"/>
        <v>0</v>
      </c>
      <c r="N626" s="337">
        <f t="shared" si="631"/>
        <v>4</v>
      </c>
      <c r="O626" s="395">
        <f t="shared" si="632"/>
        <v>20</v>
      </c>
      <c r="P626" s="289">
        <f t="shared" si="633"/>
        <v>1</v>
      </c>
      <c r="Q626" s="460">
        <f>WEEKNUM(tblResultadosNBA[[#This Row],[Fecha]],2)</f>
        <v>3</v>
      </c>
      <c r="R626" s="460" t="str">
        <f>TEXT(tblResultadosNBA[[#This Row],[Fecha]],"mmm")</f>
        <v>ene</v>
      </c>
    </row>
    <row r="627" spans="1:18">
      <c r="A627" s="419">
        <v>46039</v>
      </c>
      <c r="B627" s="302" t="s">
        <v>869</v>
      </c>
      <c r="C627" s="177" t="str">
        <f t="shared" si="624"/>
        <v>Washington Wizards</v>
      </c>
      <c r="D627" s="177">
        <v>106</v>
      </c>
      <c r="E627" s="336">
        <v>115</v>
      </c>
      <c r="F627" s="327">
        <f t="shared" si="625"/>
        <v>1</v>
      </c>
      <c r="G627" s="177" t="str">
        <f t="shared" si="626"/>
        <v>Denver Nuggets</v>
      </c>
      <c r="H627" s="177">
        <v>126</v>
      </c>
      <c r="I627" s="336">
        <v>121</v>
      </c>
      <c r="J627" s="327">
        <f t="shared" si="627"/>
        <v>0</v>
      </c>
      <c r="K627" s="177">
        <f t="shared" si="628"/>
        <v>232</v>
      </c>
      <c r="L627" s="336">
        <f t="shared" si="629"/>
        <v>236</v>
      </c>
      <c r="M627" s="327">
        <f t="shared" si="630"/>
        <v>1</v>
      </c>
      <c r="N627" s="337">
        <f t="shared" si="631"/>
        <v>20</v>
      </c>
      <c r="O627" s="395">
        <f t="shared" si="632"/>
        <v>6</v>
      </c>
      <c r="P627" s="289">
        <f t="shared" si="633"/>
        <v>1</v>
      </c>
      <c r="Q627" s="460">
        <f>WEEKNUM(tblResultadosNBA[[#This Row],[Fecha]],2)</f>
        <v>3</v>
      </c>
      <c r="R627" s="460" t="str">
        <f>TEXT(tblResultadosNBA[[#This Row],[Fecha]],"mmm")</f>
        <v>ene</v>
      </c>
    </row>
    <row r="628" spans="1:18">
      <c r="A628" s="445">
        <v>46039</v>
      </c>
      <c r="B628" s="331" t="s">
        <v>725</v>
      </c>
      <c r="C628" s="286" t="str">
        <f t="shared" si="624"/>
        <v>Los Angeles Lakers</v>
      </c>
      <c r="D628" s="286">
        <v>121</v>
      </c>
      <c r="E628" s="431">
        <v>116</v>
      </c>
      <c r="F628" s="332">
        <f t="shared" si="625"/>
        <v>0</v>
      </c>
      <c r="G628" s="286" t="str">
        <f t="shared" si="626"/>
        <v>Portland Trail Blazers</v>
      </c>
      <c r="H628" s="286">
        <v>117</v>
      </c>
      <c r="I628" s="431">
        <v>132</v>
      </c>
      <c r="J628" s="332">
        <f t="shared" si="627"/>
        <v>1</v>
      </c>
      <c r="K628" s="286">
        <f t="shared" si="628"/>
        <v>238</v>
      </c>
      <c r="L628" s="431">
        <f t="shared" si="629"/>
        <v>248</v>
      </c>
      <c r="M628" s="332">
        <f t="shared" si="630"/>
        <v>1</v>
      </c>
      <c r="N628" s="432">
        <f t="shared" si="631"/>
        <v>-4</v>
      </c>
      <c r="O628" s="451">
        <f t="shared" si="632"/>
        <v>16</v>
      </c>
      <c r="P628" s="433">
        <f t="shared" si="633"/>
        <v>0</v>
      </c>
      <c r="Q628" s="460">
        <f>WEEKNUM(tblResultadosNBA[[#This Row],[Fecha]],2)</f>
        <v>3</v>
      </c>
      <c r="R628" s="460" t="str">
        <f>TEXT(tblResultadosNBA[[#This Row],[Fecha]],"mmm")</f>
        <v>ene</v>
      </c>
    </row>
    <row r="629" spans="1:18">
      <c r="A629" s="439">
        <v>46040</v>
      </c>
      <c r="B629" s="422" t="s">
        <v>870</v>
      </c>
      <c r="C629" s="341" t="str">
        <f>LEFT(B629,FIND("@",B629)-2)</f>
        <v>Orlando Magic</v>
      </c>
      <c r="D629" s="341">
        <v>125</v>
      </c>
      <c r="E629" s="342">
        <v>109</v>
      </c>
      <c r="F629" s="333">
        <f>IF(E629&gt;D629, 1, 0)</f>
        <v>0</v>
      </c>
      <c r="G629" s="341" t="str">
        <f>MID(B629,FIND("@",B629)+2,LEN(B629)-FIND("@",B629)-1)</f>
        <v>Memphis Grizzlies</v>
      </c>
      <c r="H629" s="341">
        <v>121</v>
      </c>
      <c r="I629" s="342">
        <v>126</v>
      </c>
      <c r="J629" s="333">
        <f>IF(I629&gt;H629, 1, 0)</f>
        <v>1</v>
      </c>
      <c r="K629" s="341">
        <f>+D629+H629</f>
        <v>246</v>
      </c>
      <c r="L629" s="342">
        <f>E629+I629</f>
        <v>235</v>
      </c>
      <c r="M629" s="333">
        <f>IF(L629&gt;K629, 1, 0)</f>
        <v>0</v>
      </c>
      <c r="N629" s="343">
        <f>(+H629-D629)</f>
        <v>-4</v>
      </c>
      <c r="O629" s="449">
        <f>I629-E629</f>
        <v>17</v>
      </c>
      <c r="P629" s="289">
        <f>IF(OR(AND(N629&gt;0,O629&gt;0),AND(N629&lt;0,O629&lt;0)),1,0)</f>
        <v>0</v>
      </c>
      <c r="Q629" s="460">
        <f>WEEKNUM(tblResultadosNBA[[#This Row],[Fecha]],2)</f>
        <v>3</v>
      </c>
      <c r="R629" s="460" t="str">
        <f>TEXT(tblResultadosNBA[[#This Row],[Fecha]],"mmm")</f>
        <v>ene</v>
      </c>
    </row>
    <row r="630" spans="1:18">
      <c r="A630" s="439">
        <v>46040</v>
      </c>
      <c r="B630" s="302" t="s">
        <v>141</v>
      </c>
      <c r="C630" s="177" t="str">
        <f t="shared" ref="C630:C634" si="634">LEFT(B630,FIND("@",B630)-2)</f>
        <v>Brooklyn Nets</v>
      </c>
      <c r="D630" s="177">
        <v>113</v>
      </c>
      <c r="E630" s="336">
        <v>102</v>
      </c>
      <c r="F630" s="327">
        <f t="shared" ref="F630:F634" si="635">IF(E630&gt;D630, 1, 0)</f>
        <v>0</v>
      </c>
      <c r="G630" s="177" t="str">
        <f t="shared" ref="G630:G634" si="636">MID(B630,FIND("@",B630)+2,LEN(B630)-FIND("@",B630)-1)</f>
        <v>Chicago Bulls</v>
      </c>
      <c r="H630" s="177">
        <v>120</v>
      </c>
      <c r="I630" s="336">
        <v>124</v>
      </c>
      <c r="J630" s="327">
        <f t="shared" ref="J630:J634" si="637">IF(I630&gt;H630, 1, 0)</f>
        <v>1</v>
      </c>
      <c r="K630" s="177">
        <f t="shared" ref="K630:K634" si="638">+D630+H630</f>
        <v>233</v>
      </c>
      <c r="L630" s="336">
        <f t="shared" ref="L630:L634" si="639">E630+I630</f>
        <v>226</v>
      </c>
      <c r="M630" s="327">
        <f t="shared" ref="M630:M634" si="640">IF(L630&gt;K630, 1, 0)</f>
        <v>0</v>
      </c>
      <c r="N630" s="337">
        <f t="shared" ref="N630:N634" si="641">(+H630-D630)</f>
        <v>7</v>
      </c>
      <c r="O630" s="395">
        <f t="shared" ref="O630:O634" si="642">I630-E630</f>
        <v>22</v>
      </c>
      <c r="P630" s="289">
        <f t="shared" ref="P630:P634" si="643">IF(OR(AND(N630&gt;0,O630&gt;0),AND(N630&lt;0,O630&lt;0)),1,0)</f>
        <v>1</v>
      </c>
      <c r="Q630" s="460">
        <f>WEEKNUM(tblResultadosNBA[[#This Row],[Fecha]],2)</f>
        <v>3</v>
      </c>
      <c r="R630" s="460" t="str">
        <f>TEXT(tblResultadosNBA[[#This Row],[Fecha]],"mmm")</f>
        <v>ene</v>
      </c>
    </row>
    <row r="631" spans="1:18">
      <c r="A631" s="439">
        <v>46040</v>
      </c>
      <c r="B631" s="302" t="s">
        <v>463</v>
      </c>
      <c r="C631" s="177" t="str">
        <f t="shared" si="634"/>
        <v>New Orleans Pelicans</v>
      </c>
      <c r="D631" s="177">
        <v>111</v>
      </c>
      <c r="E631" s="336">
        <v>110</v>
      </c>
      <c r="F631" s="327">
        <f t="shared" si="635"/>
        <v>0</v>
      </c>
      <c r="G631" s="177" t="str">
        <f t="shared" si="636"/>
        <v>Houston Rockets</v>
      </c>
      <c r="H631" s="177">
        <v>125</v>
      </c>
      <c r="I631" s="336">
        <v>119</v>
      </c>
      <c r="J631" s="327">
        <f t="shared" si="637"/>
        <v>0</v>
      </c>
      <c r="K631" s="177">
        <f t="shared" si="638"/>
        <v>236</v>
      </c>
      <c r="L631" s="336">
        <f t="shared" si="639"/>
        <v>229</v>
      </c>
      <c r="M631" s="327">
        <f t="shared" si="640"/>
        <v>0</v>
      </c>
      <c r="N631" s="337">
        <f t="shared" si="641"/>
        <v>14</v>
      </c>
      <c r="O631" s="395">
        <f t="shared" si="642"/>
        <v>9</v>
      </c>
      <c r="P631" s="289">
        <f t="shared" si="643"/>
        <v>1</v>
      </c>
      <c r="Q631" s="460">
        <f>WEEKNUM(tblResultadosNBA[[#This Row],[Fecha]],2)</f>
        <v>3</v>
      </c>
      <c r="R631" s="460" t="str">
        <f>TEXT(tblResultadosNBA[[#This Row],[Fecha]],"mmm")</f>
        <v>ene</v>
      </c>
    </row>
    <row r="632" spans="1:18">
      <c r="A632" s="439">
        <v>46040</v>
      </c>
      <c r="B632" s="302" t="s">
        <v>871</v>
      </c>
      <c r="C632" s="177" t="str">
        <f t="shared" si="634"/>
        <v>Charlotte Hornets</v>
      </c>
      <c r="D632" s="177">
        <v>115</v>
      </c>
      <c r="E632" s="336">
        <v>110</v>
      </c>
      <c r="F632" s="327">
        <f t="shared" si="635"/>
        <v>0</v>
      </c>
      <c r="G632" s="177" t="str">
        <f t="shared" si="636"/>
        <v>Denver Nuggets</v>
      </c>
      <c r="H632" s="177">
        <v>122</v>
      </c>
      <c r="I632" s="336">
        <v>87</v>
      </c>
      <c r="J632" s="327">
        <f t="shared" si="637"/>
        <v>0</v>
      </c>
      <c r="K632" s="177">
        <f t="shared" si="638"/>
        <v>237</v>
      </c>
      <c r="L632" s="336">
        <f t="shared" si="639"/>
        <v>197</v>
      </c>
      <c r="M632" s="327">
        <f t="shared" si="640"/>
        <v>0</v>
      </c>
      <c r="N632" s="337">
        <f t="shared" si="641"/>
        <v>7</v>
      </c>
      <c r="O632" s="395">
        <f t="shared" si="642"/>
        <v>-23</v>
      </c>
      <c r="P632" s="289">
        <f t="shared" si="643"/>
        <v>0</v>
      </c>
      <c r="Q632" s="460">
        <f>WEEKNUM(tblResultadosNBA[[#This Row],[Fecha]],2)</f>
        <v>3</v>
      </c>
      <c r="R632" s="460" t="str">
        <f>TEXT(tblResultadosNBA[[#This Row],[Fecha]],"mmm")</f>
        <v>ene</v>
      </c>
    </row>
    <row r="633" spans="1:18">
      <c r="A633" s="439">
        <v>46040</v>
      </c>
      <c r="B633" s="302" t="s">
        <v>281</v>
      </c>
      <c r="C633" s="177" t="str">
        <f t="shared" si="634"/>
        <v>Portland Trail Blazers</v>
      </c>
      <c r="D633" s="177">
        <v>112</v>
      </c>
      <c r="E633" s="336">
        <v>117</v>
      </c>
      <c r="F633" s="327">
        <f t="shared" si="635"/>
        <v>1</v>
      </c>
      <c r="G633" s="177" t="str">
        <f t="shared" si="636"/>
        <v>Sacramento Kings</v>
      </c>
      <c r="H633" s="177">
        <v>116</v>
      </c>
      <c r="I633" s="336">
        <v>110</v>
      </c>
      <c r="J633" s="327">
        <f t="shared" si="637"/>
        <v>0</v>
      </c>
      <c r="K633" s="177">
        <f t="shared" si="638"/>
        <v>228</v>
      </c>
      <c r="L633" s="336">
        <f t="shared" si="639"/>
        <v>227</v>
      </c>
      <c r="M633" s="327">
        <f t="shared" si="640"/>
        <v>0</v>
      </c>
      <c r="N633" s="337">
        <f t="shared" si="641"/>
        <v>4</v>
      </c>
      <c r="O633" s="395">
        <f t="shared" si="642"/>
        <v>-7</v>
      </c>
      <c r="P633" s="289">
        <f t="shared" si="643"/>
        <v>0</v>
      </c>
      <c r="Q633" s="460">
        <f>WEEKNUM(tblResultadosNBA[[#This Row],[Fecha]],2)</f>
        <v>3</v>
      </c>
      <c r="R633" s="460" t="str">
        <f>TEXT(tblResultadosNBA[[#This Row],[Fecha]],"mmm")</f>
        <v>ene</v>
      </c>
    </row>
    <row r="634" spans="1:18">
      <c r="A634" s="446">
        <v>46040</v>
      </c>
      <c r="B634" s="331" t="s">
        <v>872</v>
      </c>
      <c r="C634" s="286" t="str">
        <f t="shared" si="634"/>
        <v>Toronto Raptors</v>
      </c>
      <c r="D634" s="286">
        <v>110</v>
      </c>
      <c r="E634" s="431">
        <v>93</v>
      </c>
      <c r="F634" s="332">
        <f t="shared" si="635"/>
        <v>0</v>
      </c>
      <c r="G634" s="286" t="str">
        <f t="shared" si="636"/>
        <v>Los Angeles Lakers</v>
      </c>
      <c r="H634" s="286">
        <v>116</v>
      </c>
      <c r="I634" s="431">
        <v>110</v>
      </c>
      <c r="J634" s="332">
        <f t="shared" si="637"/>
        <v>0</v>
      </c>
      <c r="K634" s="286">
        <f t="shared" si="638"/>
        <v>226</v>
      </c>
      <c r="L634" s="431">
        <f t="shared" si="639"/>
        <v>203</v>
      </c>
      <c r="M634" s="332">
        <f t="shared" si="640"/>
        <v>0</v>
      </c>
      <c r="N634" s="432">
        <f t="shared" si="641"/>
        <v>6</v>
      </c>
      <c r="O634" s="451">
        <f t="shared" si="642"/>
        <v>17</v>
      </c>
      <c r="P634" s="433">
        <f t="shared" si="643"/>
        <v>1</v>
      </c>
      <c r="Q634" s="460">
        <f>WEEKNUM(tblResultadosNBA[[#This Row],[Fecha]],2)</f>
        <v>3</v>
      </c>
      <c r="R634" s="460" t="str">
        <f>TEXT(tblResultadosNBA[[#This Row],[Fecha]],"mmm")</f>
        <v>ene</v>
      </c>
    </row>
    <row r="635" spans="1:18">
      <c r="A635" s="439">
        <v>46041</v>
      </c>
      <c r="B635" s="422" t="s">
        <v>873</v>
      </c>
      <c r="C635" s="341" t="str">
        <f>LEFT(B635,FIND("@",B635)-2)</f>
        <v>Milwaukee Bucks</v>
      </c>
      <c r="D635" s="341">
        <v>129</v>
      </c>
      <c r="E635" s="342">
        <v>112</v>
      </c>
      <c r="F635" s="333">
        <f>IF(E635&gt;D635, 1, 0)</f>
        <v>0</v>
      </c>
      <c r="G635" s="341" t="str">
        <f>MID(B635,FIND("@",B635)+2,LEN(B635)-FIND("@",B635)-1)</f>
        <v>Atlanta Hawks</v>
      </c>
      <c r="H635" s="341">
        <v>123</v>
      </c>
      <c r="I635" s="342">
        <v>110</v>
      </c>
      <c r="J635" s="333">
        <f>IF(I635&gt;H635, 1, 0)</f>
        <v>0</v>
      </c>
      <c r="K635" s="341">
        <f>+D635+H635</f>
        <v>252</v>
      </c>
      <c r="L635" s="342">
        <f>E635+I635</f>
        <v>222</v>
      </c>
      <c r="M635" s="333">
        <f>IF(L635&gt;K635, 1, 0)</f>
        <v>0</v>
      </c>
      <c r="N635" s="343">
        <f>(+H635-D635)</f>
        <v>-6</v>
      </c>
      <c r="O635" s="449">
        <f>I635-E635</f>
        <v>-2</v>
      </c>
      <c r="P635" s="289">
        <f>IF(OR(AND(N635&gt;0,O635&gt;0),AND(N635&lt;0,O635&lt;0)),1,0)</f>
        <v>1</v>
      </c>
      <c r="Q635" s="460">
        <f>WEEKNUM(tblResultadosNBA[[#This Row],[Fecha]],2)</f>
        <v>4</v>
      </c>
      <c r="R635" s="460" t="str">
        <f>TEXT(tblResultadosNBA[[#This Row],[Fecha]],"mmm")</f>
        <v>ene</v>
      </c>
    </row>
    <row r="636" spans="1:18">
      <c r="A636" s="419">
        <v>46041</v>
      </c>
      <c r="B636" s="302" t="s">
        <v>282</v>
      </c>
      <c r="C636" s="177" t="str">
        <f t="shared" ref="C636:C643" si="644">LEFT(B636,FIND("@",B636)-2)</f>
        <v>Oklahoma City Thunder</v>
      </c>
      <c r="D636" s="177">
        <v>116</v>
      </c>
      <c r="E636" s="336">
        <v>136</v>
      </c>
      <c r="F636" s="327">
        <f t="shared" ref="F636:F643" si="645">IF(E636&gt;D636, 1, 0)</f>
        <v>1</v>
      </c>
      <c r="G636" s="177" t="str">
        <f t="shared" ref="G636:G643" si="646">MID(B636,FIND("@",B636)+2,LEN(B636)-FIND("@",B636)-1)</f>
        <v>Cleveland Cavaliers</v>
      </c>
      <c r="H636" s="177">
        <v>112</v>
      </c>
      <c r="I636" s="336">
        <v>104</v>
      </c>
      <c r="J636" s="327">
        <f t="shared" ref="J636:J643" si="647">IF(I636&gt;H636, 1, 0)</f>
        <v>0</v>
      </c>
      <c r="K636" s="177">
        <f t="shared" ref="K636:K643" si="648">+D636+H636</f>
        <v>228</v>
      </c>
      <c r="L636" s="336">
        <f t="shared" ref="L636:L643" si="649">E636+I636</f>
        <v>240</v>
      </c>
      <c r="M636" s="327">
        <f t="shared" ref="M636:M643" si="650">IF(L636&gt;K636, 1, 0)</f>
        <v>1</v>
      </c>
      <c r="N636" s="337">
        <f t="shared" ref="N636:N643" si="651">(+H636-D636)</f>
        <v>-4</v>
      </c>
      <c r="O636" s="395">
        <f t="shared" ref="O636:O643" si="652">I636-E636</f>
        <v>-32</v>
      </c>
      <c r="P636" s="289">
        <f t="shared" ref="P636:P643" si="653">IF(OR(AND(N636&gt;0,O636&gt;0),AND(N636&lt;0,O636&lt;0)),1,0)</f>
        <v>1</v>
      </c>
      <c r="Q636" s="460">
        <f>WEEKNUM(tblResultadosNBA[[#This Row],[Fecha]],2)</f>
        <v>4</v>
      </c>
      <c r="R636" s="460" t="str">
        <f>TEXT(tblResultadosNBA[[#This Row],[Fecha]],"mmm")</f>
        <v>ene</v>
      </c>
    </row>
    <row r="637" spans="1:18">
      <c r="A637" s="419">
        <v>46041</v>
      </c>
      <c r="B637" s="302" t="s">
        <v>874</v>
      </c>
      <c r="C637" s="177" t="str">
        <f t="shared" si="644"/>
        <v>LA Clippers</v>
      </c>
      <c r="D637" s="177">
        <v>110</v>
      </c>
      <c r="E637" s="336">
        <v>110</v>
      </c>
      <c r="F637" s="327">
        <f t="shared" si="645"/>
        <v>0</v>
      </c>
      <c r="G637" s="177" t="str">
        <f t="shared" si="646"/>
        <v>Washington Wizards</v>
      </c>
      <c r="H637" s="177">
        <v>126</v>
      </c>
      <c r="I637" s="336">
        <v>106</v>
      </c>
      <c r="J637" s="327">
        <f t="shared" si="647"/>
        <v>0</v>
      </c>
      <c r="K637" s="177">
        <f t="shared" si="648"/>
        <v>236</v>
      </c>
      <c r="L637" s="336">
        <f t="shared" si="649"/>
        <v>216</v>
      </c>
      <c r="M637" s="327">
        <f t="shared" si="650"/>
        <v>0</v>
      </c>
      <c r="N637" s="337">
        <f t="shared" si="651"/>
        <v>16</v>
      </c>
      <c r="O637" s="395">
        <f t="shared" si="652"/>
        <v>-4</v>
      </c>
      <c r="P637" s="289">
        <f t="shared" si="653"/>
        <v>0</v>
      </c>
      <c r="Q637" s="460">
        <f>WEEKNUM(tblResultadosNBA[[#This Row],[Fecha]],2)</f>
        <v>4</v>
      </c>
      <c r="R637" s="460" t="str">
        <f>TEXT(tblResultadosNBA[[#This Row],[Fecha]],"mmm")</f>
        <v>ene</v>
      </c>
    </row>
    <row r="638" spans="1:18">
      <c r="A638" s="419">
        <v>46041</v>
      </c>
      <c r="B638" s="302" t="s">
        <v>875</v>
      </c>
      <c r="C638" s="177" t="str">
        <f t="shared" si="644"/>
        <v>Dallas Mavericks</v>
      </c>
      <c r="D638" s="177">
        <v>121</v>
      </c>
      <c r="E638" s="336">
        <v>114</v>
      </c>
      <c r="F638" s="327">
        <f t="shared" si="645"/>
        <v>0</v>
      </c>
      <c r="G638" s="177" t="str">
        <f t="shared" si="646"/>
        <v>New York Knicks</v>
      </c>
      <c r="H638" s="177">
        <v>136</v>
      </c>
      <c r="I638" s="336">
        <v>97</v>
      </c>
      <c r="J638" s="327">
        <f t="shared" si="647"/>
        <v>0</v>
      </c>
      <c r="K638" s="177">
        <f t="shared" si="648"/>
        <v>257</v>
      </c>
      <c r="L638" s="336">
        <f t="shared" si="649"/>
        <v>211</v>
      </c>
      <c r="M638" s="327">
        <f t="shared" si="650"/>
        <v>0</v>
      </c>
      <c r="N638" s="337">
        <f t="shared" si="651"/>
        <v>15</v>
      </c>
      <c r="O638" s="395">
        <f t="shared" si="652"/>
        <v>-17</v>
      </c>
      <c r="P638" s="289">
        <f t="shared" si="653"/>
        <v>0</v>
      </c>
      <c r="Q638" s="460">
        <f>WEEKNUM(tblResultadosNBA[[#This Row],[Fecha]],2)</f>
        <v>4</v>
      </c>
      <c r="R638" s="460" t="str">
        <f>TEXT(tblResultadosNBA[[#This Row],[Fecha]],"mmm")</f>
        <v>ene</v>
      </c>
    </row>
    <row r="639" spans="1:18">
      <c r="A639" s="419">
        <v>46041</v>
      </c>
      <c r="B639" s="302" t="s">
        <v>236</v>
      </c>
      <c r="C639" s="177" t="str">
        <f t="shared" si="644"/>
        <v>Utah Jazz</v>
      </c>
      <c r="D639" s="177">
        <v>133</v>
      </c>
      <c r="E639" s="336">
        <v>110</v>
      </c>
      <c r="F639" s="327">
        <f t="shared" si="645"/>
        <v>0</v>
      </c>
      <c r="G639" s="177" t="str">
        <f t="shared" si="646"/>
        <v>San Antonio Spurs</v>
      </c>
      <c r="H639" s="177">
        <v>125</v>
      </c>
      <c r="I639" s="336">
        <v>123</v>
      </c>
      <c r="J639" s="327">
        <f t="shared" si="647"/>
        <v>0</v>
      </c>
      <c r="K639" s="177">
        <f t="shared" si="648"/>
        <v>258</v>
      </c>
      <c r="L639" s="336">
        <f t="shared" si="649"/>
        <v>233</v>
      </c>
      <c r="M639" s="327">
        <f t="shared" si="650"/>
        <v>0</v>
      </c>
      <c r="N639" s="337">
        <f t="shared" si="651"/>
        <v>-8</v>
      </c>
      <c r="O639" s="395">
        <f t="shared" si="652"/>
        <v>13</v>
      </c>
      <c r="P639" s="289">
        <f t="shared" si="653"/>
        <v>0</v>
      </c>
      <c r="Q639" s="460">
        <f>WEEKNUM(tblResultadosNBA[[#This Row],[Fecha]],2)</f>
        <v>4</v>
      </c>
      <c r="R639" s="460" t="str">
        <f>TEXT(tblResultadosNBA[[#This Row],[Fecha]],"mmm")</f>
        <v>ene</v>
      </c>
    </row>
    <row r="640" spans="1:18">
      <c r="A640" s="419">
        <v>46041</v>
      </c>
      <c r="B640" s="302" t="s">
        <v>791</v>
      </c>
      <c r="C640" s="177" t="str">
        <f t="shared" si="644"/>
        <v>Indiana Pacers</v>
      </c>
      <c r="D640" s="177">
        <v>110</v>
      </c>
      <c r="E640" s="336">
        <v>104</v>
      </c>
      <c r="F640" s="327">
        <f t="shared" si="645"/>
        <v>0</v>
      </c>
      <c r="G640" s="177" t="str">
        <f t="shared" si="646"/>
        <v>Philadelphia 76ers</v>
      </c>
      <c r="H640" s="177">
        <v>121</v>
      </c>
      <c r="I640" s="336">
        <v>113</v>
      </c>
      <c r="J640" s="327">
        <f t="shared" si="647"/>
        <v>0</v>
      </c>
      <c r="K640" s="177">
        <f t="shared" si="648"/>
        <v>231</v>
      </c>
      <c r="L640" s="336">
        <f t="shared" si="649"/>
        <v>217</v>
      </c>
      <c r="M640" s="327">
        <f t="shared" si="650"/>
        <v>0</v>
      </c>
      <c r="N640" s="337">
        <f t="shared" si="651"/>
        <v>11</v>
      </c>
      <c r="O640" s="395">
        <f t="shared" si="652"/>
        <v>9</v>
      </c>
      <c r="P640" s="289">
        <f t="shared" si="653"/>
        <v>1</v>
      </c>
      <c r="Q640" s="460">
        <f>WEEKNUM(tblResultadosNBA[[#This Row],[Fecha]],2)</f>
        <v>4</v>
      </c>
      <c r="R640" s="460" t="str">
        <f>TEXT(tblResultadosNBA[[#This Row],[Fecha]],"mmm")</f>
        <v>ene</v>
      </c>
    </row>
    <row r="641" spans="1:18">
      <c r="A641" s="419">
        <v>46041</v>
      </c>
      <c r="B641" s="302" t="s">
        <v>876</v>
      </c>
      <c r="C641" s="177" t="str">
        <f t="shared" si="644"/>
        <v>Phoenix Suns</v>
      </c>
      <c r="D641" s="177">
        <v>115</v>
      </c>
      <c r="E641" s="336">
        <v>126</v>
      </c>
      <c r="F641" s="327">
        <f t="shared" si="645"/>
        <v>1</v>
      </c>
      <c r="G641" s="177" t="str">
        <f t="shared" si="646"/>
        <v>Brooklyn Nets</v>
      </c>
      <c r="H641" s="177">
        <v>107</v>
      </c>
      <c r="I641" s="336">
        <v>117</v>
      </c>
      <c r="J641" s="327">
        <f t="shared" si="647"/>
        <v>1</v>
      </c>
      <c r="K641" s="177">
        <f t="shared" si="648"/>
        <v>222</v>
      </c>
      <c r="L641" s="336">
        <f t="shared" si="649"/>
        <v>243</v>
      </c>
      <c r="M641" s="327">
        <f t="shared" si="650"/>
        <v>1</v>
      </c>
      <c r="N641" s="337">
        <f t="shared" si="651"/>
        <v>-8</v>
      </c>
      <c r="O641" s="395">
        <f t="shared" si="652"/>
        <v>-9</v>
      </c>
      <c r="P641" s="289">
        <f t="shared" si="653"/>
        <v>1</v>
      </c>
      <c r="Q641" s="460">
        <f>WEEKNUM(tblResultadosNBA[[#This Row],[Fecha]],2)</f>
        <v>4</v>
      </c>
      <c r="R641" s="460" t="str">
        <f>TEXT(tblResultadosNBA[[#This Row],[Fecha]],"mmm")</f>
        <v>ene</v>
      </c>
    </row>
    <row r="642" spans="1:18">
      <c r="A642" s="419">
        <v>46041</v>
      </c>
      <c r="B642" s="302" t="s">
        <v>283</v>
      </c>
      <c r="C642" s="177" t="str">
        <f t="shared" si="644"/>
        <v>Boston Celtics</v>
      </c>
      <c r="D642" s="177">
        <v>108</v>
      </c>
      <c r="E642" s="336">
        <v>103</v>
      </c>
      <c r="F642" s="327">
        <f t="shared" si="645"/>
        <v>0</v>
      </c>
      <c r="G642" s="177" t="str">
        <f t="shared" si="646"/>
        <v>Detroit Pistons</v>
      </c>
      <c r="H642" s="177">
        <v>111</v>
      </c>
      <c r="I642" s="336">
        <v>104</v>
      </c>
      <c r="J642" s="327">
        <f t="shared" si="647"/>
        <v>0</v>
      </c>
      <c r="K642" s="177">
        <f t="shared" si="648"/>
        <v>219</v>
      </c>
      <c r="L642" s="336">
        <f t="shared" si="649"/>
        <v>207</v>
      </c>
      <c r="M642" s="327">
        <f t="shared" si="650"/>
        <v>0</v>
      </c>
      <c r="N642" s="337">
        <f t="shared" si="651"/>
        <v>3</v>
      </c>
      <c r="O642" s="395">
        <f t="shared" si="652"/>
        <v>1</v>
      </c>
      <c r="P642" s="289">
        <f t="shared" si="653"/>
        <v>1</v>
      </c>
      <c r="Q642" s="460">
        <f>WEEKNUM(tblResultadosNBA[[#This Row],[Fecha]],2)</f>
        <v>4</v>
      </c>
      <c r="R642" s="460" t="str">
        <f>TEXT(tblResultadosNBA[[#This Row],[Fecha]],"mmm")</f>
        <v>ene</v>
      </c>
    </row>
    <row r="643" spans="1:18">
      <c r="A643" s="445">
        <v>46041</v>
      </c>
      <c r="B643" s="331" t="s">
        <v>877</v>
      </c>
      <c r="C643" s="286" t="str">
        <f t="shared" si="644"/>
        <v>Miami Heat</v>
      </c>
      <c r="D643" s="286">
        <v>117</v>
      </c>
      <c r="E643" s="431">
        <v>112</v>
      </c>
      <c r="F643" s="332">
        <f t="shared" si="645"/>
        <v>0</v>
      </c>
      <c r="G643" s="286" t="str">
        <f t="shared" si="646"/>
        <v>Golden State Warriors</v>
      </c>
      <c r="H643" s="286">
        <v>124</v>
      </c>
      <c r="I643" s="431">
        <v>135</v>
      </c>
      <c r="J643" s="332">
        <f t="shared" si="647"/>
        <v>1</v>
      </c>
      <c r="K643" s="286">
        <f t="shared" si="648"/>
        <v>241</v>
      </c>
      <c r="L643" s="431">
        <f t="shared" si="649"/>
        <v>247</v>
      </c>
      <c r="M643" s="332">
        <f t="shared" si="650"/>
        <v>1</v>
      </c>
      <c r="N643" s="432">
        <f t="shared" si="651"/>
        <v>7</v>
      </c>
      <c r="O643" s="451">
        <f t="shared" si="652"/>
        <v>23</v>
      </c>
      <c r="P643" s="433">
        <f t="shared" si="653"/>
        <v>1</v>
      </c>
      <c r="Q643" s="460">
        <f>WEEKNUM(tblResultadosNBA[[#This Row],[Fecha]],2)</f>
        <v>4</v>
      </c>
      <c r="R643" s="460" t="str">
        <f>TEXT(tblResultadosNBA[[#This Row],[Fecha]],"mmm")</f>
        <v>ene</v>
      </c>
    </row>
    <row r="644" spans="1:18">
      <c r="A644" s="439">
        <v>46042</v>
      </c>
      <c r="B644" s="422" t="s">
        <v>878</v>
      </c>
      <c r="C644" s="341" t="str">
        <f>LEFT(B644,FIND("@",B644)-2)</f>
        <v>Phoenix Suns</v>
      </c>
      <c r="D644" s="341">
        <v>126</v>
      </c>
      <c r="E644" s="342">
        <v>116</v>
      </c>
      <c r="F644" s="333">
        <f>IF(E644&gt;D644, 1, 0)</f>
        <v>0</v>
      </c>
      <c r="G644" s="341" t="str">
        <f>MID(B644,FIND("@",B644)+2,LEN(B644)-FIND("@",B644)-1)</f>
        <v>Philadelphia 76ers</v>
      </c>
      <c r="H644" s="341">
        <v>117</v>
      </c>
      <c r="I644" s="342">
        <v>110</v>
      </c>
      <c r="J644" s="333">
        <f>IF(I644&gt;H644, 1, 0)</f>
        <v>0</v>
      </c>
      <c r="K644" s="341">
        <f>+D644+H644</f>
        <v>243</v>
      </c>
      <c r="L644" s="342">
        <f>E644+I644</f>
        <v>226</v>
      </c>
      <c r="M644" s="333">
        <f>IF(L644&gt;K644, 1, 0)</f>
        <v>0</v>
      </c>
      <c r="N644" s="343">
        <f>(+H644-D644)</f>
        <v>-9</v>
      </c>
      <c r="O644" s="449">
        <f>I644-E644</f>
        <v>-6</v>
      </c>
      <c r="P644" s="289">
        <f>IF(OR(AND(N644&gt;0,O644&gt;0),AND(N644&lt;0,O644&lt;0)),1,0)</f>
        <v>1</v>
      </c>
      <c r="Q644" s="460">
        <f>WEEKNUM(tblResultadosNBA[[#This Row],[Fecha]],2)</f>
        <v>4</v>
      </c>
      <c r="R644" s="460" t="str">
        <f>TEXT(tblResultadosNBA[[#This Row],[Fecha]],"mmm")</f>
        <v>ene</v>
      </c>
    </row>
    <row r="645" spans="1:18">
      <c r="A645" s="419">
        <v>46042</v>
      </c>
      <c r="B645" s="302" t="s">
        <v>879</v>
      </c>
      <c r="C645" s="177" t="str">
        <f t="shared" ref="C645:C650" si="654">LEFT(B645,FIND("@",B645)-2)</f>
        <v>LA Clippers</v>
      </c>
      <c r="D645" s="177">
        <v>116</v>
      </c>
      <c r="E645" s="336">
        <v>110</v>
      </c>
      <c r="F645" s="327">
        <f t="shared" ref="F645:F650" si="655">IF(E645&gt;D645, 1, 0)</f>
        <v>0</v>
      </c>
      <c r="G645" s="177" t="str">
        <f t="shared" ref="G645:G650" si="656">MID(B645,FIND("@",B645)+2,LEN(B645)-FIND("@",B645)-1)</f>
        <v>Chicago Bulls</v>
      </c>
      <c r="H645" s="177">
        <v>120</v>
      </c>
      <c r="I645" s="336">
        <v>138</v>
      </c>
      <c r="J645" s="327">
        <f t="shared" ref="J645:J650" si="657">IF(I645&gt;H645, 1, 0)</f>
        <v>1</v>
      </c>
      <c r="K645" s="177">
        <f t="shared" ref="K645:K650" si="658">+D645+H645</f>
        <v>236</v>
      </c>
      <c r="L645" s="336">
        <f t="shared" ref="L645:L650" si="659">E645+I645</f>
        <v>248</v>
      </c>
      <c r="M645" s="327">
        <f t="shared" ref="M645:M650" si="660">IF(L645&gt;K645, 1, 0)</f>
        <v>1</v>
      </c>
      <c r="N645" s="337">
        <f t="shared" ref="N645:N650" si="661">(+H645-D645)</f>
        <v>4</v>
      </c>
      <c r="O645" s="395">
        <f t="shared" ref="O645:O650" si="662">I645-E645</f>
        <v>28</v>
      </c>
      <c r="P645" s="289">
        <f t="shared" ref="P645:P650" si="663">IF(OR(AND(N645&gt;0,O645&gt;0),AND(N645&lt;0,O645&lt;0)),1,0)</f>
        <v>1</v>
      </c>
      <c r="Q645" s="460">
        <f>WEEKNUM(tblResultadosNBA[[#This Row],[Fecha]],2)</f>
        <v>4</v>
      </c>
      <c r="R645" s="460" t="str">
        <f>TEXT(tblResultadosNBA[[#This Row],[Fecha]],"mmm")</f>
        <v>ene</v>
      </c>
    </row>
    <row r="646" spans="1:18">
      <c r="A646" s="419">
        <v>46042</v>
      </c>
      <c r="B646" s="302" t="s">
        <v>880</v>
      </c>
      <c r="C646" s="177" t="str">
        <f t="shared" si="654"/>
        <v>San Antonio Spurs</v>
      </c>
      <c r="D646" s="177">
        <v>111</v>
      </c>
      <c r="E646" s="336">
        <v>105</v>
      </c>
      <c r="F646" s="327">
        <f t="shared" si="655"/>
        <v>0</v>
      </c>
      <c r="G646" s="177" t="str">
        <f t="shared" si="656"/>
        <v>Houston Rockets</v>
      </c>
      <c r="H646" s="177">
        <v>126</v>
      </c>
      <c r="I646" s="336">
        <v>111</v>
      </c>
      <c r="J646" s="327">
        <f t="shared" si="657"/>
        <v>0</v>
      </c>
      <c r="K646" s="177">
        <f t="shared" si="658"/>
        <v>237</v>
      </c>
      <c r="L646" s="336">
        <f t="shared" si="659"/>
        <v>216</v>
      </c>
      <c r="M646" s="327">
        <f t="shared" si="660"/>
        <v>0</v>
      </c>
      <c r="N646" s="337">
        <f t="shared" si="661"/>
        <v>15</v>
      </c>
      <c r="O646" s="395">
        <f t="shared" si="662"/>
        <v>6</v>
      </c>
      <c r="P646" s="289">
        <f t="shared" si="663"/>
        <v>1</v>
      </c>
      <c r="Q646" s="460">
        <f>WEEKNUM(tblResultadosNBA[[#This Row],[Fecha]],2)</f>
        <v>4</v>
      </c>
      <c r="R646" s="460" t="str">
        <f>TEXT(tblResultadosNBA[[#This Row],[Fecha]],"mmm")</f>
        <v>ene</v>
      </c>
    </row>
    <row r="647" spans="1:18">
      <c r="A647" s="419">
        <v>46042</v>
      </c>
      <c r="B647" s="302" t="s">
        <v>756</v>
      </c>
      <c r="C647" s="177" t="str">
        <f t="shared" si="654"/>
        <v>Minnesota Timberwolves</v>
      </c>
      <c r="D647" s="177">
        <v>124</v>
      </c>
      <c r="E647" s="336">
        <v>122</v>
      </c>
      <c r="F647" s="327">
        <f t="shared" si="655"/>
        <v>0</v>
      </c>
      <c r="G647" s="177" t="str">
        <f t="shared" si="656"/>
        <v>Utah Jazz</v>
      </c>
      <c r="H647" s="177">
        <v>135</v>
      </c>
      <c r="I647" s="336">
        <v>127</v>
      </c>
      <c r="J647" s="327">
        <f t="shared" si="657"/>
        <v>0</v>
      </c>
      <c r="K647" s="177">
        <f t="shared" si="658"/>
        <v>259</v>
      </c>
      <c r="L647" s="336">
        <f t="shared" si="659"/>
        <v>249</v>
      </c>
      <c r="M647" s="327">
        <f t="shared" si="660"/>
        <v>0</v>
      </c>
      <c r="N647" s="337">
        <f t="shared" si="661"/>
        <v>11</v>
      </c>
      <c r="O647" s="395">
        <f t="shared" si="662"/>
        <v>5</v>
      </c>
      <c r="P647" s="289">
        <f t="shared" si="663"/>
        <v>1</v>
      </c>
      <c r="Q647" s="460">
        <f>WEEKNUM(tblResultadosNBA[[#This Row],[Fecha]],2)</f>
        <v>4</v>
      </c>
      <c r="R647" s="460" t="str">
        <f>TEXT(tblResultadosNBA[[#This Row],[Fecha]],"mmm")</f>
        <v>ene</v>
      </c>
    </row>
    <row r="648" spans="1:18">
      <c r="A648" s="419">
        <v>46042</v>
      </c>
      <c r="B648" s="302" t="s">
        <v>284</v>
      </c>
      <c r="C648" s="177" t="str">
        <f t="shared" si="654"/>
        <v>Los Angeles Lakers</v>
      </c>
      <c r="D648" s="177">
        <v>108</v>
      </c>
      <c r="E648" s="336">
        <v>115</v>
      </c>
      <c r="F648" s="327">
        <f t="shared" si="655"/>
        <v>1</v>
      </c>
      <c r="G648" s="177" t="str">
        <f t="shared" si="656"/>
        <v>Denver Nuggets</v>
      </c>
      <c r="H648" s="177">
        <v>116</v>
      </c>
      <c r="I648" s="336">
        <v>107</v>
      </c>
      <c r="J648" s="327">
        <f t="shared" si="657"/>
        <v>0</v>
      </c>
      <c r="K648" s="177">
        <f t="shared" si="658"/>
        <v>224</v>
      </c>
      <c r="L648" s="336">
        <f t="shared" si="659"/>
        <v>222</v>
      </c>
      <c r="M648" s="327">
        <f t="shared" si="660"/>
        <v>0</v>
      </c>
      <c r="N648" s="337">
        <f t="shared" si="661"/>
        <v>8</v>
      </c>
      <c r="O648" s="395">
        <f t="shared" si="662"/>
        <v>-8</v>
      </c>
      <c r="P648" s="289">
        <f t="shared" si="663"/>
        <v>0</v>
      </c>
      <c r="Q648" s="460">
        <f>WEEKNUM(tblResultadosNBA[[#This Row],[Fecha]],2)</f>
        <v>4</v>
      </c>
      <c r="R648" s="460" t="str">
        <f>TEXT(tblResultadosNBA[[#This Row],[Fecha]],"mmm")</f>
        <v>ene</v>
      </c>
    </row>
    <row r="649" spans="1:18">
      <c r="A649" s="419">
        <v>46042</v>
      </c>
      <c r="B649" s="302" t="s">
        <v>881</v>
      </c>
      <c r="C649" s="177" t="str">
        <f t="shared" si="654"/>
        <v>Toronto Raptors</v>
      </c>
      <c r="D649" s="177">
        <v>111</v>
      </c>
      <c r="E649" s="336">
        <v>145</v>
      </c>
      <c r="F649" s="327">
        <f t="shared" si="655"/>
        <v>1</v>
      </c>
      <c r="G649" s="177" t="str">
        <f t="shared" si="656"/>
        <v>Golden State Warriors</v>
      </c>
      <c r="H649" s="177">
        <v>127</v>
      </c>
      <c r="I649" s="336">
        <v>127</v>
      </c>
      <c r="J649" s="327">
        <f t="shared" si="657"/>
        <v>0</v>
      </c>
      <c r="K649" s="177">
        <f t="shared" si="658"/>
        <v>238</v>
      </c>
      <c r="L649" s="336">
        <f t="shared" si="659"/>
        <v>272</v>
      </c>
      <c r="M649" s="327">
        <f t="shared" si="660"/>
        <v>1</v>
      </c>
      <c r="N649" s="337">
        <f t="shared" si="661"/>
        <v>16</v>
      </c>
      <c r="O649" s="395">
        <f t="shared" si="662"/>
        <v>-18</v>
      </c>
      <c r="P649" s="289">
        <f t="shared" si="663"/>
        <v>0</v>
      </c>
      <c r="Q649" s="460">
        <f>WEEKNUM(tblResultadosNBA[[#This Row],[Fecha]],2)</f>
        <v>4</v>
      </c>
      <c r="R649" s="460" t="str">
        <f>TEXT(tblResultadosNBA[[#This Row],[Fecha]],"mmm")</f>
        <v>ene</v>
      </c>
    </row>
    <row r="650" spans="1:18">
      <c r="A650" s="445">
        <v>46042</v>
      </c>
      <c r="B650" s="331" t="s">
        <v>285</v>
      </c>
      <c r="C650" s="286" t="str">
        <f t="shared" si="654"/>
        <v>Miami Heat</v>
      </c>
      <c r="D650" s="286">
        <v>115</v>
      </c>
      <c r="E650" s="431">
        <v>130</v>
      </c>
      <c r="F650" s="332">
        <f t="shared" si="655"/>
        <v>1</v>
      </c>
      <c r="G650" s="286" t="str">
        <f t="shared" si="656"/>
        <v>Sacramento Kings</v>
      </c>
      <c r="H650" s="286">
        <v>119</v>
      </c>
      <c r="I650" s="431">
        <v>117</v>
      </c>
      <c r="J650" s="332">
        <f t="shared" si="657"/>
        <v>0</v>
      </c>
      <c r="K650" s="286">
        <f t="shared" si="658"/>
        <v>234</v>
      </c>
      <c r="L650" s="431">
        <f t="shared" si="659"/>
        <v>247</v>
      </c>
      <c r="M650" s="332">
        <f t="shared" si="660"/>
        <v>1</v>
      </c>
      <c r="N650" s="432">
        <f t="shared" si="661"/>
        <v>4</v>
      </c>
      <c r="O650" s="451">
        <f t="shared" si="662"/>
        <v>-13</v>
      </c>
      <c r="P650" s="433">
        <f t="shared" si="663"/>
        <v>0</v>
      </c>
      <c r="Q650" s="460">
        <f>WEEKNUM(tblResultadosNBA[[#This Row],[Fecha]],2)</f>
        <v>4</v>
      </c>
      <c r="R650" s="460" t="str">
        <f>TEXT(tblResultadosNBA[[#This Row],[Fecha]],"mmm")</f>
        <v>ene</v>
      </c>
    </row>
    <row r="651" spans="1:18">
      <c r="A651" s="439">
        <v>46043</v>
      </c>
      <c r="B651" s="422" t="s">
        <v>378</v>
      </c>
      <c r="C651" s="341" t="str">
        <f>LEFT(B651,FIND("@",B651)-2)</f>
        <v>Cleveland Cavaliers</v>
      </c>
      <c r="D651" s="341">
        <v>130</v>
      </c>
      <c r="E651" s="342">
        <v>94</v>
      </c>
      <c r="F651" s="333">
        <f>IF(E651&gt;D651, 1, 0)</f>
        <v>0</v>
      </c>
      <c r="G651" s="341" t="str">
        <f>MID(B651,FIND("@",B651)+2,LEN(B651)-FIND("@",B651)-1)</f>
        <v>Charlotte Hornets</v>
      </c>
      <c r="H651" s="341">
        <v>115</v>
      </c>
      <c r="I651" s="342">
        <v>87</v>
      </c>
      <c r="J651" s="333">
        <f>IF(I651&gt;H651, 1, 0)</f>
        <v>0</v>
      </c>
      <c r="K651" s="341">
        <f>+D651+H651</f>
        <v>245</v>
      </c>
      <c r="L651" s="342">
        <f>E651+I651</f>
        <v>181</v>
      </c>
      <c r="M651" s="333">
        <f>IF(L651&gt;K651, 1, 0)</f>
        <v>0</v>
      </c>
      <c r="N651" s="343">
        <f>(+H651-D651)</f>
        <v>-15</v>
      </c>
      <c r="O651" s="449">
        <f>I651-E651</f>
        <v>-7</v>
      </c>
      <c r="P651" s="289">
        <f>IF(OR(AND(N651&gt;0,O651&gt;0),AND(N651&lt;0,O651&lt;0)),1,0)</f>
        <v>1</v>
      </c>
      <c r="Q651" s="460">
        <f>WEEKNUM(tblResultadosNBA[[#This Row],[Fecha]],2)</f>
        <v>4</v>
      </c>
      <c r="R651" s="460" t="str">
        <f>TEXT(tblResultadosNBA[[#This Row],[Fecha]],"mmm")</f>
        <v>ene</v>
      </c>
    </row>
    <row r="652" spans="1:18">
      <c r="A652" s="419">
        <v>46043</v>
      </c>
      <c r="B652" s="302" t="s">
        <v>209</v>
      </c>
      <c r="C652" s="177" t="str">
        <f t="shared" ref="C652:C657" si="664">LEFT(B652,FIND("@",B652)-2)</f>
        <v>Indiana Pacers</v>
      </c>
      <c r="D652" s="177">
        <v>109</v>
      </c>
      <c r="E652" s="336">
        <v>104</v>
      </c>
      <c r="F652" s="327">
        <f t="shared" ref="F652:F657" si="665">IF(E652&gt;D652, 1, 0)</f>
        <v>0</v>
      </c>
      <c r="G652" s="177" t="str">
        <f t="shared" ref="G652:G657" si="666">MID(B652,FIND("@",B652)+2,LEN(B652)-FIND("@",B652)-1)</f>
        <v>Boston Celtics</v>
      </c>
      <c r="H652" s="177">
        <v>123</v>
      </c>
      <c r="I652" s="336">
        <v>119</v>
      </c>
      <c r="J652" s="327">
        <f t="shared" ref="J652:J657" si="667">IF(I652&gt;H652, 1, 0)</f>
        <v>0</v>
      </c>
      <c r="K652" s="177">
        <f t="shared" ref="K652:K657" si="668">+D652+H652</f>
        <v>232</v>
      </c>
      <c r="L652" s="336">
        <f t="shared" ref="L652:L657" si="669">E652+I652</f>
        <v>223</v>
      </c>
      <c r="M652" s="327">
        <f t="shared" ref="M652:M657" si="670">IF(L652&gt;K652, 1, 0)</f>
        <v>0</v>
      </c>
      <c r="N652" s="337">
        <f t="shared" ref="N652:N657" si="671">(+H652-D652)</f>
        <v>14</v>
      </c>
      <c r="O652" s="395">
        <f t="shared" ref="O652:O657" si="672">I652-E652</f>
        <v>15</v>
      </c>
      <c r="P652" s="289">
        <f t="shared" ref="P652:P657" si="673">IF(OR(AND(N652&gt;0,O652&gt;0),AND(N652&lt;0,O652&lt;0)),1,0)</f>
        <v>1</v>
      </c>
      <c r="Q652" s="460">
        <f>WEEKNUM(tblResultadosNBA[[#This Row],[Fecha]],2)</f>
        <v>4</v>
      </c>
      <c r="R652" s="460" t="str">
        <f>TEXT(tblResultadosNBA[[#This Row],[Fecha]],"mmm")</f>
        <v>ene</v>
      </c>
    </row>
    <row r="653" spans="1:18">
      <c r="A653" s="419">
        <v>46043</v>
      </c>
      <c r="B653" s="302" t="s">
        <v>751</v>
      </c>
      <c r="C653" s="177" t="str">
        <f t="shared" si="664"/>
        <v>Brooklyn Nets</v>
      </c>
      <c r="D653" s="177">
        <v>113</v>
      </c>
      <c r="E653" s="336">
        <v>66</v>
      </c>
      <c r="F653" s="327">
        <f t="shared" si="665"/>
        <v>0</v>
      </c>
      <c r="G653" s="177" t="str">
        <f t="shared" si="666"/>
        <v>New York Knicks</v>
      </c>
      <c r="H653" s="177">
        <v>128</v>
      </c>
      <c r="I653" s="336">
        <v>120</v>
      </c>
      <c r="J653" s="327">
        <f t="shared" si="667"/>
        <v>0</v>
      </c>
      <c r="K653" s="177">
        <f t="shared" si="668"/>
        <v>241</v>
      </c>
      <c r="L653" s="336">
        <f t="shared" si="669"/>
        <v>186</v>
      </c>
      <c r="M653" s="327">
        <f t="shared" si="670"/>
        <v>0</v>
      </c>
      <c r="N653" s="337">
        <f t="shared" si="671"/>
        <v>15</v>
      </c>
      <c r="O653" s="395">
        <f t="shared" si="672"/>
        <v>54</v>
      </c>
      <c r="P653" s="289">
        <f t="shared" si="673"/>
        <v>1</v>
      </c>
      <c r="Q653" s="460">
        <f>WEEKNUM(tblResultadosNBA[[#This Row],[Fecha]],2)</f>
        <v>4</v>
      </c>
      <c r="R653" s="460" t="str">
        <f>TEXT(tblResultadosNBA[[#This Row],[Fecha]],"mmm")</f>
        <v>ene</v>
      </c>
    </row>
    <row r="654" spans="1:18">
      <c r="A654" s="419">
        <v>46043</v>
      </c>
      <c r="B654" s="302" t="s">
        <v>882</v>
      </c>
      <c r="C654" s="177" t="str">
        <f t="shared" si="664"/>
        <v>Atlanta Hawks</v>
      </c>
      <c r="D654" s="177">
        <v>118</v>
      </c>
      <c r="E654" s="336">
        <v>124</v>
      </c>
      <c r="F654" s="327">
        <f t="shared" si="665"/>
        <v>1</v>
      </c>
      <c r="G654" s="177" t="str">
        <f t="shared" si="666"/>
        <v>Memphis Grizzlies</v>
      </c>
      <c r="H654" s="177">
        <v>123</v>
      </c>
      <c r="I654" s="336">
        <v>122</v>
      </c>
      <c r="J654" s="327">
        <f t="shared" si="667"/>
        <v>0</v>
      </c>
      <c r="K654" s="177">
        <f t="shared" si="668"/>
        <v>241</v>
      </c>
      <c r="L654" s="336">
        <f t="shared" si="669"/>
        <v>246</v>
      </c>
      <c r="M654" s="327">
        <f t="shared" si="670"/>
        <v>1</v>
      </c>
      <c r="N654" s="337">
        <f t="shared" si="671"/>
        <v>5</v>
      </c>
      <c r="O654" s="395">
        <f t="shared" si="672"/>
        <v>-2</v>
      </c>
      <c r="P654" s="289">
        <f t="shared" si="673"/>
        <v>0</v>
      </c>
      <c r="Q654" s="460">
        <f>WEEKNUM(tblResultadosNBA[[#This Row],[Fecha]],2)</f>
        <v>4</v>
      </c>
      <c r="R654" s="460" t="str">
        <f>TEXT(tblResultadosNBA[[#This Row],[Fecha]],"mmm")</f>
        <v>ene</v>
      </c>
    </row>
    <row r="655" spans="1:18">
      <c r="A655" s="419">
        <v>46043</v>
      </c>
      <c r="B655" s="302" t="s">
        <v>883</v>
      </c>
      <c r="C655" s="177" t="str">
        <f t="shared" si="664"/>
        <v>Detroit Pistons</v>
      </c>
      <c r="D655" s="177">
        <v>114</v>
      </c>
      <c r="E655" s="336">
        <v>112</v>
      </c>
      <c r="F655" s="327">
        <f t="shared" si="665"/>
        <v>0</v>
      </c>
      <c r="G655" s="177" t="str">
        <f t="shared" si="666"/>
        <v>New Orleans Pelicans</v>
      </c>
      <c r="H655" s="177">
        <v>124</v>
      </c>
      <c r="I655" s="336">
        <v>104</v>
      </c>
      <c r="J655" s="327">
        <f t="shared" si="667"/>
        <v>0</v>
      </c>
      <c r="K655" s="177">
        <f t="shared" si="668"/>
        <v>238</v>
      </c>
      <c r="L655" s="336">
        <f t="shared" si="669"/>
        <v>216</v>
      </c>
      <c r="M655" s="327">
        <f t="shared" si="670"/>
        <v>0</v>
      </c>
      <c r="N655" s="337">
        <f t="shared" si="671"/>
        <v>10</v>
      </c>
      <c r="O655" s="395">
        <f t="shared" si="672"/>
        <v>-8</v>
      </c>
      <c r="P655" s="289">
        <f t="shared" si="673"/>
        <v>0</v>
      </c>
      <c r="Q655" s="460">
        <f>WEEKNUM(tblResultadosNBA[[#This Row],[Fecha]],2)</f>
        <v>4</v>
      </c>
      <c r="R655" s="460" t="str">
        <f>TEXT(tblResultadosNBA[[#This Row],[Fecha]],"mmm")</f>
        <v>ene</v>
      </c>
    </row>
    <row r="656" spans="1:18">
      <c r="A656" s="419">
        <v>46043</v>
      </c>
      <c r="B656" s="302" t="s">
        <v>286</v>
      </c>
      <c r="C656" s="177" t="str">
        <f t="shared" si="664"/>
        <v>Oklahoma City Thunder</v>
      </c>
      <c r="D656" s="177">
        <v>111</v>
      </c>
      <c r="E656" s="336">
        <v>122</v>
      </c>
      <c r="F656" s="327">
        <f t="shared" si="665"/>
        <v>1</v>
      </c>
      <c r="G656" s="177" t="str">
        <f t="shared" si="666"/>
        <v>Milwaukee Bucks</v>
      </c>
      <c r="H656" s="177">
        <v>115</v>
      </c>
      <c r="I656" s="336">
        <v>102</v>
      </c>
      <c r="J656" s="327">
        <f t="shared" si="667"/>
        <v>0</v>
      </c>
      <c r="K656" s="177">
        <f t="shared" si="668"/>
        <v>226</v>
      </c>
      <c r="L656" s="336">
        <f t="shared" si="669"/>
        <v>224</v>
      </c>
      <c r="M656" s="327">
        <f t="shared" si="670"/>
        <v>0</v>
      </c>
      <c r="N656" s="337">
        <f t="shared" si="671"/>
        <v>4</v>
      </c>
      <c r="O656" s="395">
        <f t="shared" si="672"/>
        <v>-20</v>
      </c>
      <c r="P656" s="289">
        <f t="shared" si="673"/>
        <v>0</v>
      </c>
      <c r="Q656" s="460">
        <f>WEEKNUM(tblResultadosNBA[[#This Row],[Fecha]],2)</f>
        <v>4</v>
      </c>
      <c r="R656" s="460" t="str">
        <f>TEXT(tblResultadosNBA[[#This Row],[Fecha]],"mmm")</f>
        <v>ene</v>
      </c>
    </row>
    <row r="657" spans="1:18">
      <c r="A657" s="445">
        <v>46043</v>
      </c>
      <c r="B657" s="331" t="s">
        <v>884</v>
      </c>
      <c r="C657" s="286" t="str">
        <f t="shared" si="664"/>
        <v>Toronto Raptors</v>
      </c>
      <c r="D657" s="286">
        <v>121</v>
      </c>
      <c r="E657" s="431">
        <v>122</v>
      </c>
      <c r="F657" s="332">
        <f t="shared" si="665"/>
        <v>1</v>
      </c>
      <c r="G657" s="286" t="str">
        <f t="shared" si="666"/>
        <v>Sacramento Kings</v>
      </c>
      <c r="H657" s="286">
        <v>114</v>
      </c>
      <c r="I657" s="431">
        <v>109</v>
      </c>
      <c r="J657" s="332">
        <f t="shared" si="667"/>
        <v>0</v>
      </c>
      <c r="K657" s="286">
        <f t="shared" si="668"/>
        <v>235</v>
      </c>
      <c r="L657" s="431">
        <f t="shared" si="669"/>
        <v>231</v>
      </c>
      <c r="M657" s="332">
        <f t="shared" si="670"/>
        <v>0</v>
      </c>
      <c r="N657" s="432">
        <f t="shared" si="671"/>
        <v>-7</v>
      </c>
      <c r="O657" s="451">
        <f t="shared" si="672"/>
        <v>-13</v>
      </c>
      <c r="P657" s="433">
        <f t="shared" si="673"/>
        <v>1</v>
      </c>
      <c r="Q657" s="460">
        <f>WEEKNUM(tblResultadosNBA[[#This Row],[Fecha]],2)</f>
        <v>4</v>
      </c>
      <c r="R657" s="460" t="str">
        <f>TEXT(tblResultadosNBA[[#This Row],[Fecha]],"mmm")</f>
        <v>ene</v>
      </c>
    </row>
    <row r="658" spans="1:18">
      <c r="A658" s="439">
        <v>46044</v>
      </c>
      <c r="B658" s="422" t="s">
        <v>589</v>
      </c>
      <c r="C658" s="341" t="str">
        <f>LEFT(B658,FIND("@",B658)-2)</f>
        <v>Charlotte Hornets</v>
      </c>
      <c r="D658" s="341">
        <v>124</v>
      </c>
      <c r="E658" s="342">
        <v>124</v>
      </c>
      <c r="F658" s="333">
        <f>IF(E658&gt;D658, 1, 0)</f>
        <v>0</v>
      </c>
      <c r="G658" s="341" t="str">
        <f>MID(B658,FIND("@",B658)+2,LEN(B658)-FIND("@",B658)-1)</f>
        <v>Orlando Magic</v>
      </c>
      <c r="H658" s="341">
        <v>120</v>
      </c>
      <c r="I658" s="342">
        <v>97</v>
      </c>
      <c r="J658" s="333">
        <f>IF(I658&gt;H658, 1, 0)</f>
        <v>0</v>
      </c>
      <c r="K658" s="341">
        <f>+D658+H658</f>
        <v>244</v>
      </c>
      <c r="L658" s="342">
        <f>E658+I658</f>
        <v>221</v>
      </c>
      <c r="M658" s="333">
        <f>IF(L658&gt;K658, 1, 0)</f>
        <v>0</v>
      </c>
      <c r="N658" s="343">
        <f>(+H658-D658)</f>
        <v>-4</v>
      </c>
      <c r="O658" s="449">
        <f>I658-E658</f>
        <v>-27</v>
      </c>
      <c r="P658" s="289">
        <f>IF(OR(AND(N658&gt;0,O658&gt;0),AND(N658&lt;0,O658&lt;0)),1,0)</f>
        <v>1</v>
      </c>
      <c r="Q658" s="460">
        <f>WEEKNUM(tblResultadosNBA[[#This Row],[Fecha]],2)</f>
        <v>4</v>
      </c>
      <c r="R658" s="460" t="str">
        <f>TEXT(tblResultadosNBA[[#This Row],[Fecha]],"mmm")</f>
        <v>ene</v>
      </c>
    </row>
    <row r="659" spans="1:18">
      <c r="A659" s="419">
        <v>46044</v>
      </c>
      <c r="B659" s="302" t="s">
        <v>885</v>
      </c>
      <c r="C659" s="177" t="str">
        <f t="shared" ref="C659:C665" si="674">LEFT(B659,FIND("@",B659)-2)</f>
        <v>Houston Rockets</v>
      </c>
      <c r="D659" s="177">
        <v>113</v>
      </c>
      <c r="E659" s="336">
        <v>122</v>
      </c>
      <c r="F659" s="327">
        <f t="shared" ref="F659:F665" si="675">IF(E659&gt;D659, 1, 0)</f>
        <v>1</v>
      </c>
      <c r="G659" s="177" t="str">
        <f t="shared" ref="G659:G665" si="676">MID(B659,FIND("@",B659)+2,LEN(B659)-FIND("@",B659)-1)</f>
        <v>Philadelphia 76ers</v>
      </c>
      <c r="H659" s="177">
        <v>117</v>
      </c>
      <c r="I659" s="336">
        <v>128</v>
      </c>
      <c r="J659" s="327">
        <f t="shared" ref="J659:J665" si="677">IF(I659&gt;H659, 1, 0)</f>
        <v>1</v>
      </c>
      <c r="K659" s="177">
        <f t="shared" ref="K659:K665" si="678">+D659+H659</f>
        <v>230</v>
      </c>
      <c r="L659" s="336">
        <f t="shared" ref="L659:L665" si="679">E659+I659</f>
        <v>250</v>
      </c>
      <c r="M659" s="327">
        <f t="shared" ref="M659:M665" si="680">IF(L659&gt;K659, 1, 0)</f>
        <v>1</v>
      </c>
      <c r="N659" s="337">
        <f t="shared" ref="N659:N665" si="681">(+H659-D659)</f>
        <v>4</v>
      </c>
      <c r="O659" s="395">
        <f t="shared" ref="O659:O665" si="682">I659-E659</f>
        <v>6</v>
      </c>
      <c r="P659" s="289">
        <f t="shared" ref="P659:P665" si="683">IF(OR(AND(N659&gt;0,O659&gt;0),AND(N659&lt;0,O659&lt;0)),1,0)</f>
        <v>1</v>
      </c>
      <c r="Q659" s="460">
        <f>WEEKNUM(tblResultadosNBA[[#This Row],[Fecha]],2)</f>
        <v>4</v>
      </c>
      <c r="R659" s="460" t="str">
        <f>TEXT(tblResultadosNBA[[#This Row],[Fecha]],"mmm")</f>
        <v>ene</v>
      </c>
    </row>
    <row r="660" spans="1:18">
      <c r="A660" s="419">
        <v>46044</v>
      </c>
      <c r="B660" s="302" t="s">
        <v>886</v>
      </c>
      <c r="C660" s="177" t="str">
        <f t="shared" si="674"/>
        <v>Denver Nuggets</v>
      </c>
      <c r="D660" s="177">
        <v>120</v>
      </c>
      <c r="E660" s="336">
        <v>107</v>
      </c>
      <c r="F660" s="327">
        <f t="shared" si="675"/>
        <v>0</v>
      </c>
      <c r="G660" s="177" t="str">
        <f t="shared" si="676"/>
        <v>Washington Wizards</v>
      </c>
      <c r="H660" s="177">
        <v>123</v>
      </c>
      <c r="I660" s="336">
        <v>97</v>
      </c>
      <c r="J660" s="327">
        <f t="shared" si="677"/>
        <v>0</v>
      </c>
      <c r="K660" s="177">
        <f t="shared" si="678"/>
        <v>243</v>
      </c>
      <c r="L660" s="336">
        <f t="shared" si="679"/>
        <v>204</v>
      </c>
      <c r="M660" s="327">
        <f t="shared" si="680"/>
        <v>0</v>
      </c>
      <c r="N660" s="337">
        <f t="shared" si="681"/>
        <v>3</v>
      </c>
      <c r="O660" s="395">
        <f t="shared" si="682"/>
        <v>-10</v>
      </c>
      <c r="P660" s="289">
        <f t="shared" si="683"/>
        <v>0</v>
      </c>
      <c r="Q660" s="460">
        <f>WEEKNUM(tblResultadosNBA[[#This Row],[Fecha]],2)</f>
        <v>4</v>
      </c>
      <c r="R660" s="460" t="str">
        <f>TEXT(tblResultadosNBA[[#This Row],[Fecha]],"mmm")</f>
        <v>ene</v>
      </c>
    </row>
    <row r="661" spans="1:18">
      <c r="A661" s="419">
        <v>46044</v>
      </c>
      <c r="B661" s="302" t="s">
        <v>499</v>
      </c>
      <c r="C661" s="177" t="str">
        <f t="shared" si="674"/>
        <v>Golden State Warriors</v>
      </c>
      <c r="D661" s="177">
        <v>116</v>
      </c>
      <c r="E661" s="336">
        <v>115</v>
      </c>
      <c r="F661" s="327">
        <f t="shared" si="675"/>
        <v>0</v>
      </c>
      <c r="G661" s="177" t="str">
        <f t="shared" si="676"/>
        <v>Dallas Mavericks</v>
      </c>
      <c r="H661" s="177">
        <v>128</v>
      </c>
      <c r="I661" s="336">
        <v>123</v>
      </c>
      <c r="J661" s="327">
        <f t="shared" si="677"/>
        <v>0</v>
      </c>
      <c r="K661" s="177">
        <f t="shared" si="678"/>
        <v>244</v>
      </c>
      <c r="L661" s="336">
        <f t="shared" si="679"/>
        <v>238</v>
      </c>
      <c r="M661" s="327">
        <f t="shared" si="680"/>
        <v>0</v>
      </c>
      <c r="N661" s="337">
        <f t="shared" si="681"/>
        <v>12</v>
      </c>
      <c r="O661" s="395">
        <f t="shared" si="682"/>
        <v>8</v>
      </c>
      <c r="P661" s="289">
        <f t="shared" si="683"/>
        <v>1</v>
      </c>
      <c r="Q661" s="460">
        <f>WEEKNUM(tblResultadosNBA[[#This Row],[Fecha]],2)</f>
        <v>4</v>
      </c>
      <c r="R661" s="460" t="str">
        <f>TEXT(tblResultadosNBA[[#This Row],[Fecha]],"mmm")</f>
        <v>ene</v>
      </c>
    </row>
    <row r="662" spans="1:18">
      <c r="A662" s="419">
        <v>46044</v>
      </c>
      <c r="B662" s="302" t="s">
        <v>287</v>
      </c>
      <c r="C662" s="177" t="str">
        <f t="shared" si="674"/>
        <v>Chicago Bulls</v>
      </c>
      <c r="D662" s="177">
        <v>108</v>
      </c>
      <c r="E662" s="336">
        <v>120</v>
      </c>
      <c r="F662" s="327">
        <f t="shared" si="675"/>
        <v>1</v>
      </c>
      <c r="G662" s="177" t="str">
        <f t="shared" si="676"/>
        <v>Minnesota Timberwolves</v>
      </c>
      <c r="H662" s="177">
        <v>120</v>
      </c>
      <c r="I662" s="336">
        <v>115</v>
      </c>
      <c r="J662" s="327">
        <f t="shared" si="677"/>
        <v>0</v>
      </c>
      <c r="K662" s="177">
        <f t="shared" si="678"/>
        <v>228</v>
      </c>
      <c r="L662" s="336">
        <f t="shared" si="679"/>
        <v>235</v>
      </c>
      <c r="M662" s="327">
        <f t="shared" si="680"/>
        <v>1</v>
      </c>
      <c r="N662" s="337">
        <f t="shared" si="681"/>
        <v>12</v>
      </c>
      <c r="O662" s="395">
        <f t="shared" si="682"/>
        <v>-5</v>
      </c>
      <c r="P662" s="289">
        <f t="shared" si="683"/>
        <v>0</v>
      </c>
      <c r="Q662" s="460">
        <f>WEEKNUM(tblResultadosNBA[[#This Row],[Fecha]],2)</f>
        <v>4</v>
      </c>
      <c r="R662" s="460" t="str">
        <f>TEXT(tblResultadosNBA[[#This Row],[Fecha]],"mmm")</f>
        <v>ene</v>
      </c>
    </row>
    <row r="663" spans="1:18">
      <c r="A663" s="419">
        <v>46044</v>
      </c>
      <c r="B663" s="302" t="s">
        <v>887</v>
      </c>
      <c r="C663" s="177" t="str">
        <f t="shared" si="674"/>
        <v>San Antonio Spurs</v>
      </c>
      <c r="D663" s="177">
        <v>124</v>
      </c>
      <c r="E663" s="336">
        <v>126</v>
      </c>
      <c r="F663" s="327">
        <f t="shared" si="675"/>
        <v>1</v>
      </c>
      <c r="G663" s="177" t="str">
        <f t="shared" si="676"/>
        <v>Utah Jazz</v>
      </c>
      <c r="H663" s="177">
        <v>130</v>
      </c>
      <c r="I663" s="336">
        <v>109</v>
      </c>
      <c r="J663" s="327">
        <f t="shared" si="677"/>
        <v>0</v>
      </c>
      <c r="K663" s="177">
        <f t="shared" si="678"/>
        <v>254</v>
      </c>
      <c r="L663" s="336">
        <f t="shared" si="679"/>
        <v>235</v>
      </c>
      <c r="M663" s="327">
        <f t="shared" si="680"/>
        <v>0</v>
      </c>
      <c r="N663" s="337">
        <f t="shared" si="681"/>
        <v>6</v>
      </c>
      <c r="O663" s="395">
        <f t="shared" si="682"/>
        <v>-17</v>
      </c>
      <c r="P663" s="289">
        <f t="shared" si="683"/>
        <v>0</v>
      </c>
      <c r="Q663" s="460">
        <f>WEEKNUM(tblResultadosNBA[[#This Row],[Fecha]],2)</f>
        <v>4</v>
      </c>
      <c r="R663" s="460" t="str">
        <f>TEXT(tblResultadosNBA[[#This Row],[Fecha]],"mmm")</f>
        <v>ene</v>
      </c>
    </row>
    <row r="664" spans="1:18">
      <c r="A664" s="419">
        <v>46044</v>
      </c>
      <c r="B664" s="302" t="s">
        <v>203</v>
      </c>
      <c r="C664" s="177" t="str">
        <f t="shared" si="674"/>
        <v>Los Angeles Lakers</v>
      </c>
      <c r="D664" s="177">
        <v>113</v>
      </c>
      <c r="E664" s="336">
        <v>104</v>
      </c>
      <c r="F664" s="327">
        <f t="shared" si="675"/>
        <v>0</v>
      </c>
      <c r="G664" s="177" t="str">
        <f t="shared" si="676"/>
        <v>LA Clippers</v>
      </c>
      <c r="H664" s="177">
        <v>117</v>
      </c>
      <c r="I664" s="336">
        <v>112</v>
      </c>
      <c r="J664" s="327">
        <f t="shared" si="677"/>
        <v>0</v>
      </c>
      <c r="K664" s="177">
        <f t="shared" si="678"/>
        <v>230</v>
      </c>
      <c r="L664" s="336">
        <f t="shared" si="679"/>
        <v>216</v>
      </c>
      <c r="M664" s="327">
        <f t="shared" si="680"/>
        <v>0</v>
      </c>
      <c r="N664" s="337">
        <f t="shared" si="681"/>
        <v>4</v>
      </c>
      <c r="O664" s="395">
        <f t="shared" si="682"/>
        <v>8</v>
      </c>
      <c r="P664" s="289">
        <f t="shared" si="683"/>
        <v>1</v>
      </c>
      <c r="Q664" s="460">
        <f>WEEKNUM(tblResultadosNBA[[#This Row],[Fecha]],2)</f>
        <v>4</v>
      </c>
      <c r="R664" s="460" t="str">
        <f>TEXT(tblResultadosNBA[[#This Row],[Fecha]],"mmm")</f>
        <v>ene</v>
      </c>
    </row>
    <row r="665" spans="1:18">
      <c r="A665" s="445">
        <v>46044</v>
      </c>
      <c r="B665" s="331" t="s">
        <v>288</v>
      </c>
      <c r="C665" s="286" t="str">
        <f t="shared" si="674"/>
        <v>Miami Heat</v>
      </c>
      <c r="D665" s="286">
        <v>108</v>
      </c>
      <c r="E665" s="431">
        <v>110</v>
      </c>
      <c r="F665" s="332">
        <f t="shared" si="675"/>
        <v>1</v>
      </c>
      <c r="G665" s="286" t="str">
        <f t="shared" si="676"/>
        <v>Portland Trail Blazers</v>
      </c>
      <c r="H665" s="286">
        <v>116</v>
      </c>
      <c r="I665" s="431">
        <v>127</v>
      </c>
      <c r="J665" s="332">
        <f t="shared" si="677"/>
        <v>1</v>
      </c>
      <c r="K665" s="286">
        <f t="shared" si="678"/>
        <v>224</v>
      </c>
      <c r="L665" s="431">
        <f t="shared" si="679"/>
        <v>237</v>
      </c>
      <c r="M665" s="332">
        <f t="shared" si="680"/>
        <v>1</v>
      </c>
      <c r="N665" s="432">
        <f t="shared" si="681"/>
        <v>8</v>
      </c>
      <c r="O665" s="451">
        <f t="shared" si="682"/>
        <v>17</v>
      </c>
      <c r="P665" s="433">
        <f t="shared" si="683"/>
        <v>1</v>
      </c>
      <c r="Q665" s="460">
        <f>WEEKNUM(tblResultadosNBA[[#This Row],[Fecha]],2)</f>
        <v>4</v>
      </c>
      <c r="R665" s="460" t="str">
        <f>TEXT(tblResultadosNBA[[#This Row],[Fecha]],"mmm")</f>
        <v>ene</v>
      </c>
    </row>
    <row r="666" spans="1:18">
      <c r="A666" s="439">
        <v>46045</v>
      </c>
      <c r="B666" s="422" t="s">
        <v>888</v>
      </c>
      <c r="C666" s="341" t="str">
        <f>LEFT(B666,FIND("@",B666)-2)</f>
        <v>Houston Rockets</v>
      </c>
      <c r="D666" s="341">
        <v>128</v>
      </c>
      <c r="E666" s="342">
        <v>111</v>
      </c>
      <c r="F666" s="333">
        <f>IF(E666&gt;D666, 1, 0)</f>
        <v>0</v>
      </c>
      <c r="G666" s="341" t="str">
        <f>MID(B666,FIND("@",B666)+2,LEN(B666)-FIND("@",B666)-1)</f>
        <v>Detroit Pistons</v>
      </c>
      <c r="H666" s="341">
        <v>119</v>
      </c>
      <c r="I666" s="342">
        <v>104</v>
      </c>
      <c r="J666" s="333">
        <f>IF(I666&gt;H666, 1, 0)</f>
        <v>0</v>
      </c>
      <c r="K666" s="341">
        <f>+D666+H666</f>
        <v>247</v>
      </c>
      <c r="L666" s="342">
        <f>E666+I666</f>
        <v>215</v>
      </c>
      <c r="M666" s="333">
        <f>IF(L666&gt;K666, 1, 0)</f>
        <v>0</v>
      </c>
      <c r="N666" s="343">
        <f>(+H666-D666)</f>
        <v>-9</v>
      </c>
      <c r="O666" s="449">
        <f>I666-E666</f>
        <v>-7</v>
      </c>
      <c r="P666" s="289">
        <f>IF(OR(AND(N666&gt;0,O666&gt;0),AND(N666&lt;0,O666&lt;0)),1,0)</f>
        <v>1</v>
      </c>
      <c r="Q666" s="460">
        <f>WEEKNUM(tblResultadosNBA[[#This Row],[Fecha]],2)</f>
        <v>4</v>
      </c>
      <c r="R666" s="460" t="str">
        <f>TEXT(tblResultadosNBA[[#This Row],[Fecha]],"mmm")</f>
        <v>ene</v>
      </c>
    </row>
    <row r="667" spans="1:18">
      <c r="A667" s="419">
        <v>46045</v>
      </c>
      <c r="B667" s="302" t="s">
        <v>889</v>
      </c>
      <c r="C667" s="177" t="str">
        <f t="shared" ref="C667:C673" si="684">LEFT(B667,FIND("@",B667)-2)</f>
        <v>Phoenix Suns</v>
      </c>
      <c r="D667" s="177">
        <v>118</v>
      </c>
      <c r="E667" s="336">
        <v>103</v>
      </c>
      <c r="F667" s="327">
        <f t="shared" ref="F667:F673" si="685">IF(E667&gt;D667, 1, 0)</f>
        <v>0</v>
      </c>
      <c r="G667" s="177" t="str">
        <f t="shared" ref="G667:G673" si="686">MID(B667,FIND("@",B667)+2,LEN(B667)-FIND("@",B667)-1)</f>
        <v>Atlanta Hawks</v>
      </c>
      <c r="H667" s="177">
        <v>122</v>
      </c>
      <c r="I667" s="336">
        <v>110</v>
      </c>
      <c r="J667" s="327">
        <f t="shared" ref="J667:J673" si="687">IF(I667&gt;H667, 1, 0)</f>
        <v>0</v>
      </c>
      <c r="K667" s="177">
        <f t="shared" ref="K667:K673" si="688">+D667+H667</f>
        <v>240</v>
      </c>
      <c r="L667" s="336">
        <f t="shared" ref="L667:L673" si="689">E667+I667</f>
        <v>213</v>
      </c>
      <c r="M667" s="327">
        <f t="shared" ref="M667:M673" si="690">IF(L667&gt;K667, 1, 0)</f>
        <v>0</v>
      </c>
      <c r="N667" s="337">
        <f t="shared" ref="N667:N673" si="691">(+H667-D667)</f>
        <v>4</v>
      </c>
      <c r="O667" s="395">
        <f t="shared" ref="O667:O673" si="692">I667-E667</f>
        <v>7</v>
      </c>
      <c r="P667" s="289">
        <f t="shared" ref="P667:P673" si="693">IF(OR(AND(N667&gt;0,O667&gt;0),AND(N667&lt;0,O667&lt;0)),1,0)</f>
        <v>1</v>
      </c>
      <c r="Q667" s="460">
        <f>WEEKNUM(tblResultadosNBA[[#This Row],[Fecha]],2)</f>
        <v>4</v>
      </c>
      <c r="R667" s="460" t="str">
        <f>TEXT(tblResultadosNBA[[#This Row],[Fecha]],"mmm")</f>
        <v>ene</v>
      </c>
    </row>
    <row r="668" spans="1:18">
      <c r="A668" s="419">
        <v>46045</v>
      </c>
      <c r="B668" s="302" t="s">
        <v>76</v>
      </c>
      <c r="C668" s="177" t="str">
        <f t="shared" si="684"/>
        <v>Boston Celtics</v>
      </c>
      <c r="D668" s="177">
        <v>111</v>
      </c>
      <c r="E668" s="336">
        <v>130</v>
      </c>
      <c r="F668" s="327">
        <f t="shared" si="685"/>
        <v>1</v>
      </c>
      <c r="G668" s="177" t="str">
        <f t="shared" si="686"/>
        <v>Brooklyn Nets</v>
      </c>
      <c r="H668" s="177">
        <v>108</v>
      </c>
      <c r="I668" s="336">
        <v>126</v>
      </c>
      <c r="J668" s="327">
        <f t="shared" si="687"/>
        <v>1</v>
      </c>
      <c r="K668" s="177">
        <f t="shared" si="688"/>
        <v>219</v>
      </c>
      <c r="L668" s="336">
        <f t="shared" si="689"/>
        <v>256</v>
      </c>
      <c r="M668" s="327">
        <f t="shared" si="690"/>
        <v>1</v>
      </c>
      <c r="N668" s="337">
        <f t="shared" si="691"/>
        <v>-3</v>
      </c>
      <c r="O668" s="395">
        <f t="shared" si="692"/>
        <v>-4</v>
      </c>
      <c r="P668" s="289">
        <f t="shared" si="693"/>
        <v>1</v>
      </c>
      <c r="Q668" s="460">
        <f>WEEKNUM(tblResultadosNBA[[#This Row],[Fecha]],2)</f>
        <v>4</v>
      </c>
      <c r="R668" s="460" t="str">
        <f>TEXT(tblResultadosNBA[[#This Row],[Fecha]],"mmm")</f>
        <v>ene</v>
      </c>
    </row>
    <row r="669" spans="1:18">
      <c r="A669" s="419">
        <v>46045</v>
      </c>
      <c r="B669" s="302" t="s">
        <v>890</v>
      </c>
      <c r="C669" s="177" t="str">
        <f t="shared" si="684"/>
        <v>Sacramento Kings</v>
      </c>
      <c r="D669" s="177">
        <v>116</v>
      </c>
      <c r="E669" s="336">
        <v>118</v>
      </c>
      <c r="F669" s="327">
        <f t="shared" si="685"/>
        <v>1</v>
      </c>
      <c r="G669" s="177" t="str">
        <f t="shared" si="686"/>
        <v>Cleveland Cavaliers</v>
      </c>
      <c r="H669" s="177">
        <v>122</v>
      </c>
      <c r="I669" s="336">
        <v>123</v>
      </c>
      <c r="J669" s="327">
        <f t="shared" si="687"/>
        <v>1</v>
      </c>
      <c r="K669" s="177">
        <f t="shared" si="688"/>
        <v>238</v>
      </c>
      <c r="L669" s="336">
        <f t="shared" si="689"/>
        <v>241</v>
      </c>
      <c r="M669" s="327">
        <f t="shared" si="690"/>
        <v>1</v>
      </c>
      <c r="N669" s="337">
        <f t="shared" si="691"/>
        <v>6</v>
      </c>
      <c r="O669" s="395">
        <f t="shared" si="692"/>
        <v>5</v>
      </c>
      <c r="P669" s="289">
        <f t="shared" si="693"/>
        <v>1</v>
      </c>
      <c r="Q669" s="460">
        <f>WEEKNUM(tblResultadosNBA[[#This Row],[Fecha]],2)</f>
        <v>4</v>
      </c>
      <c r="R669" s="460" t="str">
        <f>TEXT(tblResultadosNBA[[#This Row],[Fecha]],"mmm")</f>
        <v>ene</v>
      </c>
    </row>
    <row r="670" spans="1:18">
      <c r="A670" s="419">
        <v>46045</v>
      </c>
      <c r="B670" s="302" t="s">
        <v>289</v>
      </c>
      <c r="C670" s="177" t="str">
        <f t="shared" si="684"/>
        <v>New Orleans Pelicans</v>
      </c>
      <c r="D670" s="177">
        <v>110</v>
      </c>
      <c r="E670" s="336">
        <v>133</v>
      </c>
      <c r="F670" s="327">
        <f t="shared" si="685"/>
        <v>1</v>
      </c>
      <c r="G670" s="177" t="str">
        <f t="shared" si="686"/>
        <v>Memphis Grizzlies</v>
      </c>
      <c r="H670" s="177">
        <v>122</v>
      </c>
      <c r="I670" s="336">
        <v>127</v>
      </c>
      <c r="J670" s="327">
        <f t="shared" si="687"/>
        <v>1</v>
      </c>
      <c r="K670" s="177">
        <f t="shared" si="688"/>
        <v>232</v>
      </c>
      <c r="L670" s="336">
        <f t="shared" si="689"/>
        <v>260</v>
      </c>
      <c r="M670" s="327">
        <f t="shared" si="690"/>
        <v>1</v>
      </c>
      <c r="N670" s="337">
        <f t="shared" si="691"/>
        <v>12</v>
      </c>
      <c r="O670" s="395">
        <f t="shared" si="692"/>
        <v>-6</v>
      </c>
      <c r="P670" s="289">
        <f t="shared" si="693"/>
        <v>0</v>
      </c>
      <c r="Q670" s="460">
        <f>WEEKNUM(tblResultadosNBA[[#This Row],[Fecha]],2)</f>
        <v>4</v>
      </c>
      <c r="R670" s="460" t="str">
        <f>TEXT(tblResultadosNBA[[#This Row],[Fecha]],"mmm")</f>
        <v>ene</v>
      </c>
    </row>
    <row r="671" spans="1:18">
      <c r="A671" s="419">
        <v>46045</v>
      </c>
      <c r="B671" s="302" t="s">
        <v>891</v>
      </c>
      <c r="C671" s="177" t="str">
        <f t="shared" si="684"/>
        <v>Indiana Pacers</v>
      </c>
      <c r="D671" s="177">
        <v>108</v>
      </c>
      <c r="E671" s="336">
        <v>117</v>
      </c>
      <c r="F671" s="327">
        <f t="shared" si="685"/>
        <v>1</v>
      </c>
      <c r="G671" s="177" t="str">
        <f t="shared" si="686"/>
        <v>Oklahoma City Thunder</v>
      </c>
      <c r="H671" s="177">
        <v>123</v>
      </c>
      <c r="I671" s="336">
        <v>114</v>
      </c>
      <c r="J671" s="327">
        <f t="shared" si="687"/>
        <v>0</v>
      </c>
      <c r="K671" s="177">
        <f t="shared" si="688"/>
        <v>231</v>
      </c>
      <c r="L671" s="336">
        <f t="shared" si="689"/>
        <v>231</v>
      </c>
      <c r="M671" s="327">
        <f t="shared" si="690"/>
        <v>0</v>
      </c>
      <c r="N671" s="337">
        <f t="shared" si="691"/>
        <v>15</v>
      </c>
      <c r="O671" s="395">
        <f t="shared" si="692"/>
        <v>-3</v>
      </c>
      <c r="P671" s="289">
        <f t="shared" si="693"/>
        <v>0</v>
      </c>
      <c r="Q671" s="460">
        <f>WEEKNUM(tblResultadosNBA[[#This Row],[Fecha]],2)</f>
        <v>4</v>
      </c>
      <c r="R671" s="460" t="str">
        <f>TEXT(tblResultadosNBA[[#This Row],[Fecha]],"mmm")</f>
        <v>ene</v>
      </c>
    </row>
    <row r="672" spans="1:18">
      <c r="A672" s="419">
        <v>46045</v>
      </c>
      <c r="B672" s="302" t="s">
        <v>892</v>
      </c>
      <c r="C672" s="177" t="str">
        <f t="shared" si="684"/>
        <v>Denver Nuggets</v>
      </c>
      <c r="D672" s="177">
        <v>110</v>
      </c>
      <c r="E672" s="336">
        <v>102</v>
      </c>
      <c r="F672" s="327">
        <f t="shared" si="685"/>
        <v>0</v>
      </c>
      <c r="G672" s="177" t="str">
        <f t="shared" si="686"/>
        <v>Milwaukee Bucks</v>
      </c>
      <c r="H672" s="177">
        <v>113</v>
      </c>
      <c r="I672" s="336">
        <v>100</v>
      </c>
      <c r="J672" s="327">
        <f t="shared" si="687"/>
        <v>0</v>
      </c>
      <c r="K672" s="177">
        <f t="shared" si="688"/>
        <v>223</v>
      </c>
      <c r="L672" s="336">
        <f t="shared" si="689"/>
        <v>202</v>
      </c>
      <c r="M672" s="327">
        <f t="shared" si="690"/>
        <v>0</v>
      </c>
      <c r="N672" s="337">
        <f t="shared" si="691"/>
        <v>3</v>
      </c>
      <c r="O672" s="395">
        <f t="shared" si="692"/>
        <v>-2</v>
      </c>
      <c r="P672" s="289">
        <f t="shared" si="693"/>
        <v>0</v>
      </c>
      <c r="Q672" s="460">
        <f>WEEKNUM(tblResultadosNBA[[#This Row],[Fecha]],2)</f>
        <v>4</v>
      </c>
      <c r="R672" s="460" t="str">
        <f>TEXT(tblResultadosNBA[[#This Row],[Fecha]],"mmm")</f>
        <v>ene</v>
      </c>
    </row>
    <row r="673" spans="1:18">
      <c r="A673" s="445">
        <v>46045</v>
      </c>
      <c r="B673" s="331" t="s">
        <v>290</v>
      </c>
      <c r="C673" s="286" t="str">
        <f t="shared" si="684"/>
        <v>Toronto Raptors</v>
      </c>
      <c r="D673" s="286">
        <v>109</v>
      </c>
      <c r="E673" s="431">
        <v>110</v>
      </c>
      <c r="F673" s="332">
        <f t="shared" si="685"/>
        <v>1</v>
      </c>
      <c r="G673" s="286" t="str">
        <f t="shared" si="686"/>
        <v>Portland Trail Blazers</v>
      </c>
      <c r="H673" s="286">
        <v>118</v>
      </c>
      <c r="I673" s="431">
        <v>98</v>
      </c>
      <c r="J673" s="332">
        <f t="shared" si="687"/>
        <v>0</v>
      </c>
      <c r="K673" s="286">
        <f t="shared" si="688"/>
        <v>227</v>
      </c>
      <c r="L673" s="431">
        <f t="shared" si="689"/>
        <v>208</v>
      </c>
      <c r="M673" s="332">
        <f t="shared" si="690"/>
        <v>0</v>
      </c>
      <c r="N673" s="432">
        <f t="shared" si="691"/>
        <v>9</v>
      </c>
      <c r="O673" s="451">
        <f t="shared" si="692"/>
        <v>-12</v>
      </c>
      <c r="P673" s="433">
        <f t="shared" si="693"/>
        <v>0</v>
      </c>
      <c r="Q673" s="460">
        <f>WEEKNUM(tblResultadosNBA[[#This Row],[Fecha]],2)</f>
        <v>4</v>
      </c>
      <c r="R673" s="460" t="str">
        <f>TEXT(tblResultadosNBA[[#This Row],[Fecha]],"mmm")</f>
        <v>ene</v>
      </c>
    </row>
    <row r="674" spans="1:18">
      <c r="A674" s="439">
        <v>46046</v>
      </c>
      <c r="B674" s="422" t="s">
        <v>213</v>
      </c>
      <c r="C674" s="341" t="str">
        <f>LEFT(B674,FIND("@",B674)-2)</f>
        <v>Washington Wizards</v>
      </c>
      <c r="D674" s="341">
        <v>113</v>
      </c>
      <c r="E674" s="342">
        <v>115</v>
      </c>
      <c r="F674" s="333">
        <f>IF(E674&gt;D674, 1, 0)</f>
        <v>1</v>
      </c>
      <c r="G674" s="341" t="str">
        <f>MID(B674,FIND("@",B674)+2,LEN(B674)-FIND("@",B674)-1)</f>
        <v>Charlotte Hornets</v>
      </c>
      <c r="H674" s="341">
        <v>119</v>
      </c>
      <c r="I674" s="342">
        <v>119</v>
      </c>
      <c r="J674" s="333">
        <f>IF(I674&gt;H674, 1, 0)</f>
        <v>0</v>
      </c>
      <c r="K674" s="341">
        <f>+D674+H674</f>
        <v>232</v>
      </c>
      <c r="L674" s="342">
        <f>E674+I674</f>
        <v>234</v>
      </c>
      <c r="M674" s="333">
        <f>IF(L674&gt;K674, 1, 0)</f>
        <v>1</v>
      </c>
      <c r="N674" s="343">
        <f>(+H674-D674)</f>
        <v>6</v>
      </c>
      <c r="O674" s="449">
        <f>I674-E674</f>
        <v>4</v>
      </c>
      <c r="P674" s="289">
        <f>IF(OR(AND(N674&gt;0,O674&gt;0),AND(N674&lt;0,O674&lt;0)),1,0)</f>
        <v>1</v>
      </c>
      <c r="Q674" s="460">
        <f>WEEKNUM(tblResultadosNBA[[#This Row],[Fecha]],2)</f>
        <v>4</v>
      </c>
      <c r="R674" s="460" t="str">
        <f>TEXT(tblResultadosNBA[[#This Row],[Fecha]],"mmm")</f>
        <v>ene</v>
      </c>
    </row>
    <row r="675" spans="1:18">
      <c r="A675" s="419">
        <v>46046</v>
      </c>
      <c r="B675" s="302" t="s">
        <v>291</v>
      </c>
      <c r="C675" s="177" t="str">
        <f t="shared" ref="C675:C679" si="694">LEFT(B675,FIND("@",B675)-2)</f>
        <v>New York Knicks</v>
      </c>
      <c r="D675" s="177">
        <v>113</v>
      </c>
      <c r="E675" s="336">
        <v>112</v>
      </c>
      <c r="F675" s="327">
        <f t="shared" ref="F675:F679" si="695">IF(E675&gt;D675, 1, 0)</f>
        <v>0</v>
      </c>
      <c r="G675" s="177" t="str">
        <f t="shared" ref="G675:G679" si="696">MID(B675,FIND("@",B675)+2,LEN(B675)-FIND("@",B675)-1)</f>
        <v>Philadelphia 76ers</v>
      </c>
      <c r="H675" s="177">
        <v>111</v>
      </c>
      <c r="I675" s="336">
        <v>109</v>
      </c>
      <c r="J675" s="327">
        <f t="shared" ref="J675:J679" si="697">IF(I675&gt;H675, 1, 0)</f>
        <v>0</v>
      </c>
      <c r="K675" s="177">
        <f t="shared" ref="K675:K679" si="698">+D675+H675</f>
        <v>224</v>
      </c>
      <c r="L675" s="336">
        <f t="shared" ref="L675:L679" si="699">E675+I675</f>
        <v>221</v>
      </c>
      <c r="M675" s="327">
        <f t="shared" ref="M675:M679" si="700">IF(L675&gt;K675, 1, 0)</f>
        <v>0</v>
      </c>
      <c r="N675" s="337">
        <f t="shared" ref="N675:N679" si="701">(+H675-D675)</f>
        <v>-2</v>
      </c>
      <c r="O675" s="395">
        <f t="shared" ref="O675:O679" si="702">I675-E675</f>
        <v>-3</v>
      </c>
      <c r="P675" s="289">
        <f t="shared" ref="P675:P679" si="703">IF(OR(AND(N675&gt;0,O675&gt;0),AND(N675&lt;0,O675&lt;0)),1,0)</f>
        <v>1</v>
      </c>
      <c r="Q675" s="460">
        <f>WEEKNUM(tblResultadosNBA[[#This Row],[Fecha]],2)</f>
        <v>4</v>
      </c>
      <c r="R675" s="460" t="str">
        <f>TEXT(tblResultadosNBA[[#This Row],[Fecha]],"mmm")</f>
        <v>ene</v>
      </c>
    </row>
    <row r="676" spans="1:18">
      <c r="A676" s="419">
        <v>46046</v>
      </c>
      <c r="B676" s="302" t="s">
        <v>292</v>
      </c>
      <c r="C676" s="177" t="str">
        <f t="shared" si="694"/>
        <v>Cleveland Cavaliers</v>
      </c>
      <c r="D676" s="177">
        <v>110</v>
      </c>
      <c r="E676" s="336">
        <v>119</v>
      </c>
      <c r="F676" s="327">
        <f t="shared" si="695"/>
        <v>1</v>
      </c>
      <c r="G676" s="177" t="str">
        <f t="shared" si="696"/>
        <v>Orlando Magic</v>
      </c>
      <c r="H676" s="177">
        <v>115</v>
      </c>
      <c r="I676" s="336">
        <v>105</v>
      </c>
      <c r="J676" s="327">
        <f t="shared" si="697"/>
        <v>0</v>
      </c>
      <c r="K676" s="177">
        <f t="shared" si="698"/>
        <v>225</v>
      </c>
      <c r="L676" s="336">
        <f t="shared" si="699"/>
        <v>224</v>
      </c>
      <c r="M676" s="327">
        <f t="shared" si="700"/>
        <v>0</v>
      </c>
      <c r="N676" s="337">
        <f t="shared" si="701"/>
        <v>5</v>
      </c>
      <c r="O676" s="395">
        <f t="shared" si="702"/>
        <v>-14</v>
      </c>
      <c r="P676" s="289">
        <f t="shared" si="703"/>
        <v>0</v>
      </c>
      <c r="Q676" s="460">
        <f>WEEKNUM(tblResultadosNBA[[#This Row],[Fecha]],2)</f>
        <v>4</v>
      </c>
      <c r="R676" s="460" t="str">
        <f>TEXT(tblResultadosNBA[[#This Row],[Fecha]],"mmm")</f>
        <v>ene</v>
      </c>
    </row>
    <row r="677" spans="1:18">
      <c r="A677" s="419">
        <v>46046</v>
      </c>
      <c r="B677" s="302" t="s">
        <v>293</v>
      </c>
      <c r="C677" s="177" t="str">
        <f t="shared" si="694"/>
        <v>Boston Celtics</v>
      </c>
      <c r="D677" s="177">
        <v>118</v>
      </c>
      <c r="E677" s="336">
        <v>111</v>
      </c>
      <c r="F677" s="327">
        <f t="shared" si="695"/>
        <v>0</v>
      </c>
      <c r="G677" s="177" t="str">
        <f t="shared" si="696"/>
        <v>Chicago Bulls</v>
      </c>
      <c r="H677" s="177">
        <v>113</v>
      </c>
      <c r="I677" s="336">
        <v>114</v>
      </c>
      <c r="J677" s="327">
        <f t="shared" si="697"/>
        <v>1</v>
      </c>
      <c r="K677" s="177">
        <f t="shared" si="698"/>
        <v>231</v>
      </c>
      <c r="L677" s="336">
        <f t="shared" si="699"/>
        <v>225</v>
      </c>
      <c r="M677" s="327">
        <f t="shared" si="700"/>
        <v>0</v>
      </c>
      <c r="N677" s="337">
        <f t="shared" si="701"/>
        <v>-5</v>
      </c>
      <c r="O677" s="395">
        <f t="shared" si="702"/>
        <v>3</v>
      </c>
      <c r="P677" s="289">
        <f t="shared" si="703"/>
        <v>0</v>
      </c>
      <c r="Q677" s="460">
        <f>WEEKNUM(tblResultadosNBA[[#This Row],[Fecha]],2)</f>
        <v>4</v>
      </c>
      <c r="R677" s="460" t="str">
        <f>TEXT(tblResultadosNBA[[#This Row],[Fecha]],"mmm")</f>
        <v>ene</v>
      </c>
    </row>
    <row r="678" spans="1:18">
      <c r="A678" s="419">
        <v>46046</v>
      </c>
      <c r="B678" s="302" t="s">
        <v>294</v>
      </c>
      <c r="C678" s="177" t="str">
        <f t="shared" si="694"/>
        <v>Los Angeles Lakers</v>
      </c>
      <c r="D678" s="177">
        <v>115</v>
      </c>
      <c r="E678" s="336">
        <v>116</v>
      </c>
      <c r="F678" s="327">
        <f t="shared" si="695"/>
        <v>1</v>
      </c>
      <c r="G678" s="177" t="str">
        <f t="shared" si="696"/>
        <v>Dallas Mavericks</v>
      </c>
      <c r="H678" s="177">
        <v>117</v>
      </c>
      <c r="I678" s="336">
        <v>110</v>
      </c>
      <c r="J678" s="327">
        <f t="shared" si="697"/>
        <v>0</v>
      </c>
      <c r="K678" s="177">
        <f t="shared" si="698"/>
        <v>232</v>
      </c>
      <c r="L678" s="336">
        <f t="shared" si="699"/>
        <v>226</v>
      </c>
      <c r="M678" s="327">
        <f t="shared" si="700"/>
        <v>0</v>
      </c>
      <c r="N678" s="337">
        <f t="shared" si="701"/>
        <v>2</v>
      </c>
      <c r="O678" s="395">
        <f t="shared" si="702"/>
        <v>-6</v>
      </c>
      <c r="P678" s="289">
        <f t="shared" si="703"/>
        <v>0</v>
      </c>
      <c r="Q678" s="460">
        <f>WEEKNUM(tblResultadosNBA[[#This Row],[Fecha]],2)</f>
        <v>4</v>
      </c>
      <c r="R678" s="460" t="str">
        <f>TEXT(tblResultadosNBA[[#This Row],[Fecha]],"mmm")</f>
        <v>ene</v>
      </c>
    </row>
    <row r="679" spans="1:18">
      <c r="A679" s="445">
        <v>46046</v>
      </c>
      <c r="B679" s="331" t="s">
        <v>295</v>
      </c>
      <c r="C679" s="286" t="str">
        <f t="shared" si="694"/>
        <v>Miami Heat</v>
      </c>
      <c r="D679" s="286">
        <v>114</v>
      </c>
      <c r="E679" s="431">
        <v>147</v>
      </c>
      <c r="F679" s="332">
        <f t="shared" si="695"/>
        <v>1</v>
      </c>
      <c r="G679" s="286" t="str">
        <f t="shared" si="696"/>
        <v>Utah Jazz</v>
      </c>
      <c r="H679" s="286">
        <v>115</v>
      </c>
      <c r="I679" s="431">
        <v>116</v>
      </c>
      <c r="J679" s="332">
        <f t="shared" si="697"/>
        <v>1</v>
      </c>
      <c r="K679" s="286">
        <f t="shared" si="698"/>
        <v>229</v>
      </c>
      <c r="L679" s="431">
        <f t="shared" si="699"/>
        <v>263</v>
      </c>
      <c r="M679" s="332">
        <f t="shared" si="700"/>
        <v>1</v>
      </c>
      <c r="N679" s="432">
        <f t="shared" si="701"/>
        <v>1</v>
      </c>
      <c r="O679" s="451">
        <f t="shared" si="702"/>
        <v>-31</v>
      </c>
      <c r="P679" s="433">
        <f t="shared" si="703"/>
        <v>0</v>
      </c>
      <c r="Q679" s="460">
        <f>WEEKNUM(tblResultadosNBA[[#This Row],[Fecha]],2)</f>
        <v>4</v>
      </c>
      <c r="R679" s="460" t="str">
        <f>TEXT(tblResultadosNBA[[#This Row],[Fecha]],"mmm")</f>
        <v>ene</v>
      </c>
    </row>
    <row r="680" spans="1:18">
      <c r="A680" s="439">
        <v>46047</v>
      </c>
      <c r="B680" s="422" t="s">
        <v>893</v>
      </c>
      <c r="C680" s="341" t="str">
        <f>LEFT(B680,FIND("@",B680)-2)</f>
        <v>Sacramento Kings</v>
      </c>
      <c r="D680" s="341">
        <v>113</v>
      </c>
      <c r="E680" s="342">
        <v>116</v>
      </c>
      <c r="F680" s="333">
        <f>IF(E680&gt;D680, 1, 0)</f>
        <v>1</v>
      </c>
      <c r="G680" s="341" t="str">
        <f>MID(B680,FIND("@",B680)+2,LEN(B680)-FIND("@",B680)-1)</f>
        <v>Detroit Pistons</v>
      </c>
      <c r="H680" s="341">
        <v>116</v>
      </c>
      <c r="I680" s="342">
        <v>139</v>
      </c>
      <c r="J680" s="333">
        <f>IF(I680&gt;H680, 1, 0)</f>
        <v>1</v>
      </c>
      <c r="K680" s="341">
        <f>+D680+H680</f>
        <v>229</v>
      </c>
      <c r="L680" s="342">
        <f>E680+I680</f>
        <v>255</v>
      </c>
      <c r="M680" s="333">
        <f>IF(L680&gt;K680, 1, 0)</f>
        <v>1</v>
      </c>
      <c r="N680" s="343">
        <f>(+H680-D680)</f>
        <v>3</v>
      </c>
      <c r="O680" s="449">
        <f>I680-E680</f>
        <v>23</v>
      </c>
      <c r="P680" s="289">
        <f>IF(OR(AND(N680&gt;0,O680&gt;0),AND(N680&lt;0,O680&lt;0)),1,0)</f>
        <v>1</v>
      </c>
      <c r="Q680" s="460">
        <f>WEEKNUM(tblResultadosNBA[[#This Row],[Fecha]],2)</f>
        <v>4</v>
      </c>
      <c r="R680" s="460" t="str">
        <f>TEXT(tblResultadosNBA[[#This Row],[Fecha]],"mmm")</f>
        <v>ene</v>
      </c>
    </row>
    <row r="681" spans="1:18">
      <c r="A681" s="419">
        <v>46047</v>
      </c>
      <c r="B681" s="302" t="s">
        <v>296</v>
      </c>
      <c r="C681" s="177" t="str">
        <f t="shared" ref="C681:C685" si="704">LEFT(B681,FIND("@",B681)-2)</f>
        <v>Golden State Warriors</v>
      </c>
      <c r="D681" s="177">
        <v>116</v>
      </c>
      <c r="E681" s="336">
        <v>111</v>
      </c>
      <c r="F681" s="327">
        <f t="shared" ref="F681:F685" si="705">IF(E681&gt;D681, 1, 0)</f>
        <v>0</v>
      </c>
      <c r="G681" s="177" t="str">
        <f t="shared" ref="G681:G685" si="706">MID(B681,FIND("@",B681)+2,LEN(B681)-FIND("@",B681)-1)</f>
        <v>Minnesota Timberwolves</v>
      </c>
      <c r="H681" s="177">
        <v>119</v>
      </c>
      <c r="I681" s="336">
        <v>85</v>
      </c>
      <c r="J681" s="327">
        <f t="shared" ref="J681:J685" si="707">IF(I681&gt;H681, 1, 0)</f>
        <v>0</v>
      </c>
      <c r="K681" s="177">
        <f t="shared" ref="K681:K685" si="708">+D681+H681</f>
        <v>235</v>
      </c>
      <c r="L681" s="336">
        <f t="shared" ref="L681:L685" si="709">E681+I681</f>
        <v>196</v>
      </c>
      <c r="M681" s="327">
        <f t="shared" ref="M681:M685" si="710">IF(L681&gt;K681, 1, 0)</f>
        <v>0</v>
      </c>
      <c r="N681" s="337">
        <f t="shared" ref="N681:N685" si="711">(+H681-D681)</f>
        <v>3</v>
      </c>
      <c r="O681" s="395">
        <f t="shared" ref="O681:O685" si="712">I681-E681</f>
        <v>-26</v>
      </c>
      <c r="P681" s="289">
        <f t="shared" ref="P681:P685" si="713">IF(OR(AND(N681&gt;0,O681&gt;0),AND(N681&lt;0,O681&lt;0)),1,0)</f>
        <v>0</v>
      </c>
      <c r="Q681" s="460">
        <f>WEEKNUM(tblResultadosNBA[[#This Row],[Fecha]],2)</f>
        <v>4</v>
      </c>
      <c r="R681" s="460" t="str">
        <f>TEXT(tblResultadosNBA[[#This Row],[Fecha]],"mmm")</f>
        <v>ene</v>
      </c>
    </row>
    <row r="682" spans="1:18">
      <c r="A682" s="419">
        <v>46047</v>
      </c>
      <c r="B682" s="302" t="s">
        <v>894</v>
      </c>
      <c r="C682" s="177" t="str">
        <f t="shared" si="704"/>
        <v>Toronto Raptors</v>
      </c>
      <c r="D682" s="177">
        <v>112</v>
      </c>
      <c r="E682" s="336">
        <v>103</v>
      </c>
      <c r="F682" s="327">
        <f t="shared" si="705"/>
        <v>0</v>
      </c>
      <c r="G682" s="177" t="str">
        <f t="shared" si="706"/>
        <v>Oklahoma City Thunder</v>
      </c>
      <c r="H682" s="177">
        <v>119</v>
      </c>
      <c r="I682" s="336">
        <v>101</v>
      </c>
      <c r="J682" s="327">
        <f t="shared" si="707"/>
        <v>0</v>
      </c>
      <c r="K682" s="177">
        <f t="shared" si="708"/>
        <v>231</v>
      </c>
      <c r="L682" s="336">
        <f t="shared" si="709"/>
        <v>204</v>
      </c>
      <c r="M682" s="327">
        <f t="shared" si="710"/>
        <v>0</v>
      </c>
      <c r="N682" s="337">
        <f t="shared" si="711"/>
        <v>7</v>
      </c>
      <c r="O682" s="395">
        <f t="shared" si="712"/>
        <v>-2</v>
      </c>
      <c r="P682" s="289">
        <f t="shared" si="713"/>
        <v>0</v>
      </c>
      <c r="Q682" s="460">
        <f>WEEKNUM(tblResultadosNBA[[#This Row],[Fecha]],2)</f>
        <v>4</v>
      </c>
      <c r="R682" s="460" t="str">
        <f>TEXT(tblResultadosNBA[[#This Row],[Fecha]],"mmm")</f>
        <v>ene</v>
      </c>
    </row>
    <row r="683" spans="1:18">
      <c r="A683" s="419">
        <v>46047</v>
      </c>
      <c r="B683" s="302" t="s">
        <v>297</v>
      </c>
      <c r="C683" s="177" t="str">
        <f t="shared" si="704"/>
        <v>New Orleans Pelicans</v>
      </c>
      <c r="D683" s="177">
        <v>116</v>
      </c>
      <c r="E683" s="336">
        <v>104</v>
      </c>
      <c r="F683" s="327">
        <f t="shared" si="705"/>
        <v>0</v>
      </c>
      <c r="G683" s="177" t="str">
        <f t="shared" si="706"/>
        <v>San Antonio Spurs</v>
      </c>
      <c r="H683" s="177">
        <v>120</v>
      </c>
      <c r="I683" s="336">
        <v>95</v>
      </c>
      <c r="J683" s="327">
        <f t="shared" si="707"/>
        <v>0</v>
      </c>
      <c r="K683" s="177">
        <f t="shared" si="708"/>
        <v>236</v>
      </c>
      <c r="L683" s="336">
        <f t="shared" si="709"/>
        <v>199</v>
      </c>
      <c r="M683" s="327">
        <f t="shared" si="710"/>
        <v>0</v>
      </c>
      <c r="N683" s="337">
        <f t="shared" si="711"/>
        <v>4</v>
      </c>
      <c r="O683" s="395">
        <f t="shared" si="712"/>
        <v>-9</v>
      </c>
      <c r="P683" s="289">
        <f t="shared" si="713"/>
        <v>0</v>
      </c>
      <c r="Q683" s="460">
        <f>WEEKNUM(tblResultadosNBA[[#This Row],[Fecha]],2)</f>
        <v>4</v>
      </c>
      <c r="R683" s="460" t="str">
        <f>TEXT(tblResultadosNBA[[#This Row],[Fecha]],"mmm")</f>
        <v>ene</v>
      </c>
    </row>
    <row r="684" spans="1:18">
      <c r="A684" s="419">
        <v>46047</v>
      </c>
      <c r="B684" s="302" t="s">
        <v>298</v>
      </c>
      <c r="C684" s="177" t="str">
        <f t="shared" si="704"/>
        <v>Miami Heat</v>
      </c>
      <c r="D684" s="177">
        <v>111</v>
      </c>
      <c r="E684" s="336">
        <v>111</v>
      </c>
      <c r="F684" s="327">
        <f t="shared" si="705"/>
        <v>0</v>
      </c>
      <c r="G684" s="177" t="str">
        <f t="shared" si="706"/>
        <v>Phoenix Suns</v>
      </c>
      <c r="H684" s="177">
        <v>113</v>
      </c>
      <c r="I684" s="336">
        <v>102</v>
      </c>
      <c r="J684" s="327">
        <f t="shared" si="707"/>
        <v>0</v>
      </c>
      <c r="K684" s="177">
        <f t="shared" si="708"/>
        <v>224</v>
      </c>
      <c r="L684" s="336">
        <f t="shared" si="709"/>
        <v>213</v>
      </c>
      <c r="M684" s="327">
        <f t="shared" si="710"/>
        <v>0</v>
      </c>
      <c r="N684" s="337">
        <f t="shared" si="711"/>
        <v>2</v>
      </c>
      <c r="O684" s="395">
        <f t="shared" si="712"/>
        <v>-9</v>
      </c>
      <c r="P684" s="289">
        <f t="shared" si="713"/>
        <v>0</v>
      </c>
      <c r="Q684" s="460">
        <f>WEEKNUM(tblResultadosNBA[[#This Row],[Fecha]],2)</f>
        <v>4</v>
      </c>
      <c r="R684" s="460" t="str">
        <f>TEXT(tblResultadosNBA[[#This Row],[Fecha]],"mmm")</f>
        <v>ene</v>
      </c>
    </row>
    <row r="685" spans="1:18">
      <c r="A685" s="445">
        <v>46047</v>
      </c>
      <c r="B685" s="331" t="s">
        <v>895</v>
      </c>
      <c r="C685" s="286" t="str">
        <f t="shared" si="704"/>
        <v>Brooklyn Nets</v>
      </c>
      <c r="D685" s="286">
        <v>111</v>
      </c>
      <c r="E685" s="431">
        <v>89</v>
      </c>
      <c r="F685" s="332">
        <f t="shared" si="705"/>
        <v>0</v>
      </c>
      <c r="G685" s="286" t="str">
        <f t="shared" si="706"/>
        <v>LA Clippers</v>
      </c>
      <c r="H685" s="286">
        <v>113</v>
      </c>
      <c r="I685" s="431">
        <v>126</v>
      </c>
      <c r="J685" s="332">
        <f t="shared" si="707"/>
        <v>1</v>
      </c>
      <c r="K685" s="286">
        <f t="shared" si="708"/>
        <v>224</v>
      </c>
      <c r="L685" s="431">
        <f t="shared" si="709"/>
        <v>215</v>
      </c>
      <c r="M685" s="332">
        <f t="shared" si="710"/>
        <v>0</v>
      </c>
      <c r="N685" s="432">
        <f t="shared" si="711"/>
        <v>2</v>
      </c>
      <c r="O685" s="451">
        <f t="shared" si="712"/>
        <v>37</v>
      </c>
      <c r="P685" s="433">
        <f t="shared" si="713"/>
        <v>1</v>
      </c>
      <c r="Q685" s="460">
        <f>WEEKNUM(tblResultadosNBA[[#This Row],[Fecha]],2)</f>
        <v>4</v>
      </c>
      <c r="R685" s="460" t="str">
        <f>TEXT(tblResultadosNBA[[#This Row],[Fecha]],"mmm")</f>
        <v>ene</v>
      </c>
    </row>
    <row r="686" spans="1:18">
      <c r="A686" s="439">
        <v>46048</v>
      </c>
      <c r="B686" s="422" t="s">
        <v>299</v>
      </c>
      <c r="C686" s="341" t="str">
        <f>LEFT(B686,FIND("@",B686)-2)</f>
        <v>Indiana Pacers</v>
      </c>
      <c r="D686" s="341">
        <v>115</v>
      </c>
      <c r="E686" s="342">
        <v>116</v>
      </c>
      <c r="F686" s="333">
        <f>IF(E686&gt;D686, 1, 0)</f>
        <v>1</v>
      </c>
      <c r="G686" s="341" t="str">
        <f>MID(B686,FIND("@",B686)+2,LEN(B686)-FIND("@",B686)-1)</f>
        <v>Atlanta Hawks</v>
      </c>
      <c r="H686" s="341">
        <v>119</v>
      </c>
      <c r="I686" s="342">
        <v>132</v>
      </c>
      <c r="J686" s="333">
        <f>IF(I686&gt;H686, 1, 0)</f>
        <v>1</v>
      </c>
      <c r="K686" s="341">
        <f>+D686+H686</f>
        <v>234</v>
      </c>
      <c r="L686" s="342">
        <f>E686+I686</f>
        <v>248</v>
      </c>
      <c r="M686" s="333">
        <f>IF(L686&gt;K686, 1, 0)</f>
        <v>1</v>
      </c>
      <c r="N686" s="343">
        <f>(+H686-D686)</f>
        <v>4</v>
      </c>
      <c r="O686" s="449">
        <f>I686-E686</f>
        <v>16</v>
      </c>
      <c r="P686" s="289">
        <f>IF(OR(AND(N686&gt;0,O686&gt;0),AND(N686&lt;0,O686&lt;0)),1,0)</f>
        <v>1</v>
      </c>
      <c r="Q686" s="460">
        <f>WEEKNUM(tblResultadosNBA[[#This Row],[Fecha]],2)</f>
        <v>5</v>
      </c>
      <c r="R686" s="460" t="str">
        <f>TEXT(tblResultadosNBA[[#This Row],[Fecha]],"mmm")</f>
        <v>ene</v>
      </c>
    </row>
    <row r="687" spans="1:18">
      <c r="A687" s="419">
        <v>46048</v>
      </c>
      <c r="B687" s="302" t="s">
        <v>519</v>
      </c>
      <c r="C687" s="177" t="str">
        <f t="shared" ref="C687:C692" si="714">LEFT(B687,FIND("@",B687)-2)</f>
        <v>Philadelphia 76ers</v>
      </c>
      <c r="D687" s="177">
        <v>115</v>
      </c>
      <c r="E687" s="336">
        <v>93</v>
      </c>
      <c r="F687" s="327">
        <f t="shared" ref="F687:F692" si="715">IF(E687&gt;D687, 1, 0)</f>
        <v>0</v>
      </c>
      <c r="G687" s="177" t="str">
        <f t="shared" ref="G687:G692" si="716">MID(B687,FIND("@",B687)+2,LEN(B687)-FIND("@",B687)-1)</f>
        <v>Charlotte Hornets</v>
      </c>
      <c r="H687" s="177">
        <v>115</v>
      </c>
      <c r="I687" s="336">
        <v>130</v>
      </c>
      <c r="J687" s="327">
        <f t="shared" ref="J687:J692" si="717">IF(I687&gt;H687, 1, 0)</f>
        <v>1</v>
      </c>
      <c r="K687" s="177">
        <f t="shared" ref="K687:K692" si="718">+D687+H687</f>
        <v>230</v>
      </c>
      <c r="L687" s="336">
        <f t="shared" ref="L687:L692" si="719">E687+I687</f>
        <v>223</v>
      </c>
      <c r="M687" s="327">
        <f t="shared" ref="M687:M692" si="720">IF(L687&gt;K687, 1, 0)</f>
        <v>0</v>
      </c>
      <c r="N687" s="337">
        <f t="shared" ref="N687:N692" si="721">(+H687-D687)</f>
        <v>0</v>
      </c>
      <c r="O687" s="395">
        <f t="shared" ref="O687:O692" si="722">I687-E687</f>
        <v>37</v>
      </c>
      <c r="P687" s="289">
        <f t="shared" ref="P687:P692" si="723">IF(OR(AND(N687&gt;0,O687&gt;0),AND(N687&lt;0,O687&lt;0)),1,0)</f>
        <v>0</v>
      </c>
      <c r="Q687" s="460">
        <f>WEEKNUM(tblResultadosNBA[[#This Row],[Fecha]],2)</f>
        <v>5</v>
      </c>
      <c r="R687" s="460" t="str">
        <f>TEXT(tblResultadosNBA[[#This Row],[Fecha]],"mmm")</f>
        <v>ene</v>
      </c>
    </row>
    <row r="688" spans="1:18">
      <c r="A688" s="419">
        <v>46048</v>
      </c>
      <c r="B688" s="302" t="s">
        <v>300</v>
      </c>
      <c r="C688" s="177" t="str">
        <f t="shared" si="714"/>
        <v>Orlando Magic</v>
      </c>
      <c r="D688" s="177">
        <v>112</v>
      </c>
      <c r="E688" s="336">
        <v>98</v>
      </c>
      <c r="F688" s="327">
        <f t="shared" si="715"/>
        <v>0</v>
      </c>
      <c r="G688" s="177" t="str">
        <f t="shared" si="716"/>
        <v>Cleveland Cavaliers</v>
      </c>
      <c r="H688" s="177">
        <v>116</v>
      </c>
      <c r="I688" s="336">
        <v>114</v>
      </c>
      <c r="J688" s="327">
        <f t="shared" si="717"/>
        <v>0</v>
      </c>
      <c r="K688" s="177">
        <f t="shared" si="718"/>
        <v>228</v>
      </c>
      <c r="L688" s="336">
        <f t="shared" si="719"/>
        <v>212</v>
      </c>
      <c r="M688" s="327">
        <f t="shared" si="720"/>
        <v>0</v>
      </c>
      <c r="N688" s="337">
        <f t="shared" si="721"/>
        <v>4</v>
      </c>
      <c r="O688" s="395">
        <f t="shared" si="722"/>
        <v>16</v>
      </c>
      <c r="P688" s="289">
        <f t="shared" si="723"/>
        <v>1</v>
      </c>
      <c r="Q688" s="460">
        <f>WEEKNUM(tblResultadosNBA[[#This Row],[Fecha]],2)</f>
        <v>5</v>
      </c>
      <c r="R688" s="460" t="str">
        <f>TEXT(tblResultadosNBA[[#This Row],[Fecha]],"mmm")</f>
        <v>ene</v>
      </c>
    </row>
    <row r="689" spans="1:18">
      <c r="A689" s="419">
        <v>46048</v>
      </c>
      <c r="B689" s="302" t="s">
        <v>896</v>
      </c>
      <c r="C689" s="177" t="str">
        <f t="shared" si="714"/>
        <v>Portland Trail Blazers</v>
      </c>
      <c r="D689" s="177">
        <v>111</v>
      </c>
      <c r="E689" s="336">
        <v>94</v>
      </c>
      <c r="F689" s="327">
        <f t="shared" si="715"/>
        <v>0</v>
      </c>
      <c r="G689" s="177" t="str">
        <f t="shared" si="716"/>
        <v>Boston Celtics</v>
      </c>
      <c r="H689" s="177">
        <v>116</v>
      </c>
      <c r="I689" s="336">
        <v>102</v>
      </c>
      <c r="J689" s="327">
        <f t="shared" si="717"/>
        <v>0</v>
      </c>
      <c r="K689" s="177">
        <f t="shared" si="718"/>
        <v>227</v>
      </c>
      <c r="L689" s="336">
        <f t="shared" si="719"/>
        <v>196</v>
      </c>
      <c r="M689" s="327">
        <f t="shared" si="720"/>
        <v>0</v>
      </c>
      <c r="N689" s="337">
        <f t="shared" si="721"/>
        <v>5</v>
      </c>
      <c r="O689" s="395">
        <f t="shared" si="722"/>
        <v>8</v>
      </c>
      <c r="P689" s="289">
        <f t="shared" si="723"/>
        <v>1</v>
      </c>
      <c r="Q689" s="460">
        <f>WEEKNUM(tblResultadosNBA[[#This Row],[Fecha]],2)</f>
        <v>5</v>
      </c>
      <c r="R689" s="460" t="str">
        <f>TEXT(tblResultadosNBA[[#This Row],[Fecha]],"mmm")</f>
        <v>ene</v>
      </c>
    </row>
    <row r="690" spans="1:18">
      <c r="A690" s="419">
        <v>46048</v>
      </c>
      <c r="B690" s="302" t="s">
        <v>301</v>
      </c>
      <c r="C690" s="177" t="str">
        <f t="shared" si="714"/>
        <v>Los Angeles Lakers</v>
      </c>
      <c r="D690" s="177">
        <v>119</v>
      </c>
      <c r="E690" s="336">
        <v>129</v>
      </c>
      <c r="F690" s="327">
        <f t="shared" si="715"/>
        <v>1</v>
      </c>
      <c r="G690" s="177" t="str">
        <f t="shared" si="716"/>
        <v>Chicago Bulls</v>
      </c>
      <c r="H690" s="177">
        <v>120</v>
      </c>
      <c r="I690" s="336">
        <v>118</v>
      </c>
      <c r="J690" s="327">
        <f t="shared" si="717"/>
        <v>0</v>
      </c>
      <c r="K690" s="177">
        <f t="shared" si="718"/>
        <v>239</v>
      </c>
      <c r="L690" s="336">
        <f t="shared" si="719"/>
        <v>247</v>
      </c>
      <c r="M690" s="327">
        <f t="shared" si="720"/>
        <v>1</v>
      </c>
      <c r="N690" s="337">
        <f t="shared" si="721"/>
        <v>1</v>
      </c>
      <c r="O690" s="395">
        <f t="shared" si="722"/>
        <v>-11</v>
      </c>
      <c r="P690" s="289">
        <f t="shared" si="723"/>
        <v>0</v>
      </c>
      <c r="Q690" s="460">
        <f>WEEKNUM(tblResultadosNBA[[#This Row],[Fecha]],2)</f>
        <v>5</v>
      </c>
      <c r="R690" s="460" t="str">
        <f>TEXT(tblResultadosNBA[[#This Row],[Fecha]],"mmm")</f>
        <v>ene</v>
      </c>
    </row>
    <row r="691" spans="1:18">
      <c r="A691" s="419">
        <v>46048</v>
      </c>
      <c r="B691" s="302" t="s">
        <v>585</v>
      </c>
      <c r="C691" s="177" t="str">
        <f t="shared" si="714"/>
        <v>Memphis Grizzlies</v>
      </c>
      <c r="D691" s="177">
        <v>114</v>
      </c>
      <c r="E691" s="336">
        <v>99</v>
      </c>
      <c r="F691" s="327">
        <f t="shared" si="715"/>
        <v>0</v>
      </c>
      <c r="G691" s="177" t="str">
        <f t="shared" si="716"/>
        <v>Houston Rockets</v>
      </c>
      <c r="H691" s="177">
        <v>120</v>
      </c>
      <c r="I691" s="336">
        <v>108</v>
      </c>
      <c r="J691" s="327">
        <f t="shared" si="717"/>
        <v>0</v>
      </c>
      <c r="K691" s="177">
        <f t="shared" si="718"/>
        <v>234</v>
      </c>
      <c r="L691" s="336">
        <f t="shared" si="719"/>
        <v>207</v>
      </c>
      <c r="M691" s="327">
        <f t="shared" si="720"/>
        <v>0</v>
      </c>
      <c r="N691" s="337">
        <f t="shared" si="721"/>
        <v>6</v>
      </c>
      <c r="O691" s="395">
        <f t="shared" si="722"/>
        <v>9</v>
      </c>
      <c r="P691" s="289">
        <f t="shared" si="723"/>
        <v>1</v>
      </c>
      <c r="Q691" s="460">
        <f>WEEKNUM(tblResultadosNBA[[#This Row],[Fecha]],2)</f>
        <v>5</v>
      </c>
      <c r="R691" s="460" t="str">
        <f>TEXT(tblResultadosNBA[[#This Row],[Fecha]],"mmm")</f>
        <v>ene</v>
      </c>
    </row>
    <row r="692" spans="1:18">
      <c r="A692" s="445">
        <v>46048</v>
      </c>
      <c r="B692" s="331" t="s">
        <v>296</v>
      </c>
      <c r="C692" s="286" t="str">
        <f t="shared" si="714"/>
        <v>Golden State Warriors</v>
      </c>
      <c r="D692" s="286">
        <v>114</v>
      </c>
      <c r="E692" s="431">
        <v>83</v>
      </c>
      <c r="F692" s="332">
        <f t="shared" si="715"/>
        <v>0</v>
      </c>
      <c r="G692" s="286" t="str">
        <f t="shared" si="716"/>
        <v>Minnesota Timberwolves</v>
      </c>
      <c r="H692" s="286">
        <v>116</v>
      </c>
      <c r="I692" s="431">
        <v>108</v>
      </c>
      <c r="J692" s="332">
        <f t="shared" si="717"/>
        <v>0</v>
      </c>
      <c r="K692" s="286">
        <f t="shared" si="718"/>
        <v>230</v>
      </c>
      <c r="L692" s="431">
        <f t="shared" si="719"/>
        <v>191</v>
      </c>
      <c r="M692" s="332">
        <f t="shared" si="720"/>
        <v>0</v>
      </c>
      <c r="N692" s="432">
        <f t="shared" si="721"/>
        <v>2</v>
      </c>
      <c r="O692" s="451">
        <f t="shared" si="722"/>
        <v>25</v>
      </c>
      <c r="P692" s="433">
        <f t="shared" si="723"/>
        <v>1</v>
      </c>
      <c r="Q692" s="460">
        <f>WEEKNUM(tblResultadosNBA[[#This Row],[Fecha]],2)</f>
        <v>5</v>
      </c>
      <c r="R692" s="460" t="str">
        <f>TEXT(tblResultadosNBA[[#This Row],[Fecha]],"mmm")</f>
        <v>ene</v>
      </c>
    </row>
    <row r="693" spans="1:18">
      <c r="A693" s="439">
        <v>46049</v>
      </c>
      <c r="B693" s="422" t="s">
        <v>302</v>
      </c>
      <c r="C693" s="341" t="str">
        <f>LEFT(B693,FIND("@",B693)-2)</f>
        <v>Portland Trail Blazers</v>
      </c>
      <c r="D693" s="341">
        <v>115</v>
      </c>
      <c r="E693" s="342">
        <v>111</v>
      </c>
      <c r="F693" s="333">
        <f>IF(E693&gt;D693, 1, 0)</f>
        <v>0</v>
      </c>
      <c r="G693" s="341" t="str">
        <f>MID(B693,FIND("@",B693)+2,LEN(B693)-FIND("@",B693)-1)</f>
        <v>Washington Wizards</v>
      </c>
      <c r="H693" s="341">
        <v>113</v>
      </c>
      <c r="I693" s="342">
        <v>115</v>
      </c>
      <c r="J693" s="333">
        <f>IF(I693&gt;H693, 1, 0)</f>
        <v>1</v>
      </c>
      <c r="K693" s="341">
        <f>+D693+H693</f>
        <v>228</v>
      </c>
      <c r="L693" s="342">
        <f>E693+I693</f>
        <v>226</v>
      </c>
      <c r="M693" s="333">
        <f>IF(L693&gt;K693, 1, 0)</f>
        <v>0</v>
      </c>
      <c r="N693" s="343">
        <f>(+H693-D693)</f>
        <v>-2</v>
      </c>
      <c r="O693" s="449">
        <f>I693-E693</f>
        <v>4</v>
      </c>
      <c r="P693" s="289">
        <f>IF(OR(AND(N693&gt;0,O693&gt;0),AND(N693&lt;0,O693&lt;0)),1,0)</f>
        <v>0</v>
      </c>
      <c r="Q693" s="460">
        <f>WEEKNUM(tblResultadosNBA[[#This Row],[Fecha]],2)</f>
        <v>5</v>
      </c>
      <c r="R693" s="460" t="str">
        <f>TEXT(tblResultadosNBA[[#This Row],[Fecha]],"mmm")</f>
        <v>ene</v>
      </c>
    </row>
    <row r="694" spans="1:18">
      <c r="A694" s="419">
        <v>46049</v>
      </c>
      <c r="B694" s="302" t="s">
        <v>303</v>
      </c>
      <c r="C694" s="177" t="str">
        <f t="shared" ref="C694:C699" si="724">LEFT(B694,FIND("@",B694)-2)</f>
        <v>Sacramento Kings</v>
      </c>
      <c r="D694" s="177">
        <v>111</v>
      </c>
      <c r="E694" s="336">
        <v>87</v>
      </c>
      <c r="F694" s="327">
        <f t="shared" ref="F694:F699" si="725">IF(E694&gt;D694, 1, 0)</f>
        <v>0</v>
      </c>
      <c r="G694" s="177" t="str">
        <f t="shared" ref="G694:G699" si="726">MID(B694,FIND("@",B694)+2,LEN(B694)-FIND("@",B694)-1)</f>
        <v>New York Knicks</v>
      </c>
      <c r="H694" s="177">
        <v>119</v>
      </c>
      <c r="I694" s="336">
        <v>103</v>
      </c>
      <c r="J694" s="327">
        <f t="shared" ref="J694:J699" si="727">IF(I694&gt;H694, 1, 0)</f>
        <v>0</v>
      </c>
      <c r="K694" s="177">
        <f t="shared" ref="K694:K699" si="728">+D694+H694</f>
        <v>230</v>
      </c>
      <c r="L694" s="336">
        <f t="shared" ref="L694:L699" si="729">E694+I694</f>
        <v>190</v>
      </c>
      <c r="M694" s="327">
        <f t="shared" ref="M694:M699" si="730">IF(L694&gt;K694, 1, 0)</f>
        <v>0</v>
      </c>
      <c r="N694" s="337">
        <f t="shared" ref="N694:N699" si="731">(+H694-D694)</f>
        <v>8</v>
      </c>
      <c r="O694" s="395">
        <f t="shared" ref="O694:O699" si="732">I694-E694</f>
        <v>16</v>
      </c>
      <c r="P694" s="289">
        <f t="shared" ref="P694:P699" si="733">IF(OR(AND(N694&gt;0,O694&gt;0),AND(N694&lt;0,O694&lt;0)),1,0)</f>
        <v>1</v>
      </c>
      <c r="Q694" s="460">
        <f>WEEKNUM(tblResultadosNBA[[#This Row],[Fecha]],2)</f>
        <v>5</v>
      </c>
      <c r="R694" s="460" t="str">
        <f>TEXT(tblResultadosNBA[[#This Row],[Fecha]],"mmm")</f>
        <v>ene</v>
      </c>
    </row>
    <row r="695" spans="1:18">
      <c r="A695" s="419">
        <v>46049</v>
      </c>
      <c r="B695" s="302" t="s">
        <v>304</v>
      </c>
      <c r="C695" s="177" t="str">
        <f t="shared" si="724"/>
        <v>Milwaukee Bucks</v>
      </c>
      <c r="D695" s="177">
        <v>113</v>
      </c>
      <c r="E695" s="336">
        <v>122</v>
      </c>
      <c r="F695" s="327">
        <f t="shared" si="725"/>
        <v>1</v>
      </c>
      <c r="G695" s="177" t="str">
        <f t="shared" si="726"/>
        <v>Philadelphia 76ers</v>
      </c>
      <c r="H695" s="177">
        <v>117</v>
      </c>
      <c r="I695" s="336">
        <v>139</v>
      </c>
      <c r="J695" s="327">
        <f t="shared" si="727"/>
        <v>1</v>
      </c>
      <c r="K695" s="177">
        <f t="shared" si="728"/>
        <v>230</v>
      </c>
      <c r="L695" s="336">
        <f t="shared" si="729"/>
        <v>261</v>
      </c>
      <c r="M695" s="327">
        <f t="shared" si="730"/>
        <v>1</v>
      </c>
      <c r="N695" s="337">
        <f t="shared" si="731"/>
        <v>4</v>
      </c>
      <c r="O695" s="395">
        <f t="shared" si="732"/>
        <v>17</v>
      </c>
      <c r="P695" s="289">
        <f t="shared" si="733"/>
        <v>1</v>
      </c>
      <c r="Q695" s="460">
        <f>WEEKNUM(tblResultadosNBA[[#This Row],[Fecha]],2)</f>
        <v>5</v>
      </c>
      <c r="R695" s="460" t="str">
        <f>TEXT(tblResultadosNBA[[#This Row],[Fecha]],"mmm")</f>
        <v>ene</v>
      </c>
    </row>
    <row r="696" spans="1:18">
      <c r="A696" s="419">
        <v>46049</v>
      </c>
      <c r="B696" s="302" t="s">
        <v>305</v>
      </c>
      <c r="C696" s="177" t="str">
        <f t="shared" si="724"/>
        <v>New Orleans Pelicans</v>
      </c>
      <c r="D696" s="177">
        <v>109</v>
      </c>
      <c r="E696" s="336">
        <v>95</v>
      </c>
      <c r="F696" s="327">
        <f t="shared" si="725"/>
        <v>0</v>
      </c>
      <c r="G696" s="177" t="str">
        <f t="shared" si="726"/>
        <v>Oklahoma City Thunder</v>
      </c>
      <c r="H696" s="177">
        <v>120</v>
      </c>
      <c r="I696" s="336">
        <v>104</v>
      </c>
      <c r="J696" s="327">
        <f t="shared" si="727"/>
        <v>0</v>
      </c>
      <c r="K696" s="177">
        <f t="shared" si="728"/>
        <v>229</v>
      </c>
      <c r="L696" s="336">
        <f t="shared" si="729"/>
        <v>199</v>
      </c>
      <c r="M696" s="327">
        <f t="shared" si="730"/>
        <v>0</v>
      </c>
      <c r="N696" s="337">
        <f t="shared" si="731"/>
        <v>11</v>
      </c>
      <c r="O696" s="395">
        <f t="shared" si="732"/>
        <v>9</v>
      </c>
      <c r="P696" s="289">
        <f t="shared" si="733"/>
        <v>1</v>
      </c>
      <c r="Q696" s="460">
        <f>WEEKNUM(tblResultadosNBA[[#This Row],[Fecha]],2)</f>
        <v>5</v>
      </c>
      <c r="R696" s="460" t="str">
        <f>TEXT(tblResultadosNBA[[#This Row],[Fecha]],"mmm")</f>
        <v>ene</v>
      </c>
    </row>
    <row r="697" spans="1:18">
      <c r="A697" s="419">
        <v>46049</v>
      </c>
      <c r="B697" s="302" t="s">
        <v>897</v>
      </c>
      <c r="C697" s="177" t="str">
        <f t="shared" si="724"/>
        <v>Detroit Pistons</v>
      </c>
      <c r="D697" s="177">
        <v>112</v>
      </c>
      <c r="E697" s="336">
        <v>109</v>
      </c>
      <c r="F697" s="327">
        <f t="shared" si="725"/>
        <v>0</v>
      </c>
      <c r="G697" s="177" t="str">
        <f t="shared" si="726"/>
        <v>Denver Nuggets</v>
      </c>
      <c r="H697" s="177">
        <v>116</v>
      </c>
      <c r="I697" s="336">
        <v>107</v>
      </c>
      <c r="J697" s="327">
        <f t="shared" si="727"/>
        <v>0</v>
      </c>
      <c r="K697" s="177">
        <f t="shared" si="728"/>
        <v>228</v>
      </c>
      <c r="L697" s="336">
        <f t="shared" si="729"/>
        <v>216</v>
      </c>
      <c r="M697" s="327">
        <f t="shared" si="730"/>
        <v>0</v>
      </c>
      <c r="N697" s="337">
        <f t="shared" si="731"/>
        <v>4</v>
      </c>
      <c r="O697" s="395">
        <f t="shared" si="732"/>
        <v>-2</v>
      </c>
      <c r="P697" s="289">
        <f t="shared" si="733"/>
        <v>0</v>
      </c>
      <c r="Q697" s="460">
        <f>WEEKNUM(tblResultadosNBA[[#This Row],[Fecha]],2)</f>
        <v>5</v>
      </c>
      <c r="R697" s="460" t="str">
        <f>TEXT(tblResultadosNBA[[#This Row],[Fecha]],"mmm")</f>
        <v>ene</v>
      </c>
    </row>
    <row r="698" spans="1:18">
      <c r="A698" s="419">
        <v>46049</v>
      </c>
      <c r="B698" s="302" t="s">
        <v>898</v>
      </c>
      <c r="C698" s="177" t="str">
        <f t="shared" si="724"/>
        <v>Brooklyn Nets</v>
      </c>
      <c r="D698" s="177">
        <v>109</v>
      </c>
      <c r="E698" s="336">
        <v>102</v>
      </c>
      <c r="F698" s="327">
        <f t="shared" si="725"/>
        <v>0</v>
      </c>
      <c r="G698" s="177" t="str">
        <f t="shared" si="726"/>
        <v>Phoenix Suns</v>
      </c>
      <c r="H698" s="177">
        <v>113</v>
      </c>
      <c r="I698" s="336">
        <v>106</v>
      </c>
      <c r="J698" s="327">
        <f t="shared" si="727"/>
        <v>0</v>
      </c>
      <c r="K698" s="177">
        <f t="shared" si="728"/>
        <v>222</v>
      </c>
      <c r="L698" s="336">
        <f t="shared" si="729"/>
        <v>208</v>
      </c>
      <c r="M698" s="327">
        <f t="shared" si="730"/>
        <v>0</v>
      </c>
      <c r="N698" s="337">
        <f t="shared" si="731"/>
        <v>4</v>
      </c>
      <c r="O698" s="395">
        <f t="shared" si="732"/>
        <v>4</v>
      </c>
      <c r="P698" s="289">
        <f t="shared" si="733"/>
        <v>1</v>
      </c>
      <c r="Q698" s="460">
        <f>WEEKNUM(tblResultadosNBA[[#This Row],[Fecha]],2)</f>
        <v>5</v>
      </c>
      <c r="R698" s="460" t="str">
        <f>TEXT(tblResultadosNBA[[#This Row],[Fecha]],"mmm")</f>
        <v>ene</v>
      </c>
    </row>
    <row r="699" spans="1:18">
      <c r="A699" s="445">
        <v>46049</v>
      </c>
      <c r="B699" s="331" t="s">
        <v>306</v>
      </c>
      <c r="C699" s="286" t="str">
        <f t="shared" si="724"/>
        <v>LA Clippers</v>
      </c>
      <c r="D699" s="286">
        <v>117</v>
      </c>
      <c r="E699" s="431">
        <v>115</v>
      </c>
      <c r="F699" s="332">
        <f t="shared" si="725"/>
        <v>0</v>
      </c>
      <c r="G699" s="286" t="str">
        <f t="shared" si="726"/>
        <v>Utah Jazz</v>
      </c>
      <c r="H699" s="286">
        <v>117</v>
      </c>
      <c r="I699" s="431">
        <v>103</v>
      </c>
      <c r="J699" s="332">
        <f t="shared" si="727"/>
        <v>0</v>
      </c>
      <c r="K699" s="286">
        <f t="shared" si="728"/>
        <v>234</v>
      </c>
      <c r="L699" s="431">
        <f t="shared" si="729"/>
        <v>218</v>
      </c>
      <c r="M699" s="332">
        <f t="shared" si="730"/>
        <v>0</v>
      </c>
      <c r="N699" s="432">
        <f t="shared" si="731"/>
        <v>0</v>
      </c>
      <c r="O699" s="451">
        <f t="shared" si="732"/>
        <v>-12</v>
      </c>
      <c r="P699" s="433">
        <f t="shared" si="733"/>
        <v>0</v>
      </c>
      <c r="Q699" s="460">
        <f>WEEKNUM(tblResultadosNBA[[#This Row],[Fecha]],2)</f>
        <v>5</v>
      </c>
      <c r="R699" s="460" t="str">
        <f>TEXT(tblResultadosNBA[[#This Row],[Fecha]],"mmm")</f>
        <v>ene</v>
      </c>
    </row>
    <row r="700" spans="1:18">
      <c r="A700" s="439">
        <v>46050</v>
      </c>
      <c r="B700" s="422" t="s">
        <v>307</v>
      </c>
      <c r="C700" s="341" t="str">
        <f>LEFT(B700,FIND("@",B700)-2)</f>
        <v>Los Angeles Lakers</v>
      </c>
      <c r="D700" s="341">
        <v>114</v>
      </c>
      <c r="E700" s="342">
        <v>99</v>
      </c>
      <c r="F700" s="333">
        <f>IF(E700&gt;D700, 1, 0)</f>
        <v>0</v>
      </c>
      <c r="G700" s="341" t="str">
        <f>MID(B700,FIND("@",B700)+2,LEN(B700)-FIND("@",B700)-1)</f>
        <v>Cleveland Cavaliers</v>
      </c>
      <c r="H700" s="341">
        <v>115</v>
      </c>
      <c r="I700" s="342">
        <v>129</v>
      </c>
      <c r="J700" s="333">
        <f>IF(I700&gt;H700, 1, 0)</f>
        <v>1</v>
      </c>
      <c r="K700" s="341">
        <f>+D700+H700</f>
        <v>229</v>
      </c>
      <c r="L700" s="342">
        <f>E700+I700</f>
        <v>228</v>
      </c>
      <c r="M700" s="333">
        <f>IF(L700&gt;K700, 1, 0)</f>
        <v>0</v>
      </c>
      <c r="N700" s="343">
        <f>(+H700-D700)</f>
        <v>1</v>
      </c>
      <c r="O700" s="449">
        <f>I700-E700</f>
        <v>30</v>
      </c>
      <c r="P700" s="289">
        <f>IF(OR(AND(N700&gt;0,O700&gt;0),AND(N700&lt;0,O700&lt;0)),1,0)</f>
        <v>1</v>
      </c>
      <c r="Q700" s="460">
        <f>WEEKNUM(tblResultadosNBA[[#This Row],[Fecha]],2)</f>
        <v>5</v>
      </c>
      <c r="R700" s="460" t="str">
        <f>TEXT(tblResultadosNBA[[#This Row],[Fecha]],"mmm")</f>
        <v>ene</v>
      </c>
    </row>
    <row r="701" spans="1:18">
      <c r="A701" s="419">
        <v>46050</v>
      </c>
      <c r="B701" s="302" t="s">
        <v>308</v>
      </c>
      <c r="C701" s="177" t="str">
        <f t="shared" ref="C701:C708" si="734">LEFT(B701,FIND("@",B701)-2)</f>
        <v>Chicago Bulls</v>
      </c>
      <c r="D701" s="177">
        <v>115</v>
      </c>
      <c r="E701" s="336">
        <v>110</v>
      </c>
      <c r="F701" s="327">
        <f t="shared" ref="F701:F708" si="735">IF(E701&gt;D701, 1, 0)</f>
        <v>0</v>
      </c>
      <c r="G701" s="177" t="str">
        <f t="shared" ref="G701:G708" si="736">MID(B701,FIND("@",B701)+2,LEN(B701)-FIND("@",B701)-1)</f>
        <v>Indiana Pacers</v>
      </c>
      <c r="H701" s="177">
        <v>116</v>
      </c>
      <c r="I701" s="336">
        <v>113</v>
      </c>
      <c r="J701" s="327">
        <f t="shared" ref="J701:J708" si="737">IF(I701&gt;H701, 1, 0)</f>
        <v>0</v>
      </c>
      <c r="K701" s="177">
        <f t="shared" ref="K701:K708" si="738">+D701+H701</f>
        <v>231</v>
      </c>
      <c r="L701" s="336">
        <f t="shared" ref="L701:L708" si="739">E701+I701</f>
        <v>223</v>
      </c>
      <c r="M701" s="327">
        <f t="shared" ref="M701:M708" si="740">IF(L701&gt;K701, 1, 0)</f>
        <v>0</v>
      </c>
      <c r="N701" s="337">
        <f t="shared" ref="N701:N708" si="741">(+H701-D701)</f>
        <v>1</v>
      </c>
      <c r="O701" s="395">
        <f t="shared" ref="O701:O708" si="742">I701-E701</f>
        <v>3</v>
      </c>
      <c r="P701" s="289">
        <f t="shared" ref="P701:P708" si="743">IF(OR(AND(N701&gt;0,O701&gt;0),AND(N701&lt;0,O701&lt;0)),1,0)</f>
        <v>1</v>
      </c>
      <c r="Q701" s="460">
        <f>WEEKNUM(tblResultadosNBA[[#This Row],[Fecha]],2)</f>
        <v>5</v>
      </c>
      <c r="R701" s="460" t="str">
        <f>TEXT(tblResultadosNBA[[#This Row],[Fecha]],"mmm")</f>
        <v>ene</v>
      </c>
    </row>
    <row r="702" spans="1:18">
      <c r="A702" s="419">
        <v>46050</v>
      </c>
      <c r="B702" s="302" t="s">
        <v>309</v>
      </c>
      <c r="C702" s="177" t="str">
        <f t="shared" si="734"/>
        <v>Atlanta Hawks</v>
      </c>
      <c r="D702" s="177">
        <v>112</v>
      </c>
      <c r="E702" s="336">
        <v>117</v>
      </c>
      <c r="F702" s="327">
        <f t="shared" si="735"/>
        <v>1</v>
      </c>
      <c r="G702" s="177" t="str">
        <f t="shared" si="736"/>
        <v>Boston Celtics</v>
      </c>
      <c r="H702" s="177">
        <v>120</v>
      </c>
      <c r="I702" s="336">
        <v>106</v>
      </c>
      <c r="J702" s="327">
        <f t="shared" si="737"/>
        <v>0</v>
      </c>
      <c r="K702" s="177">
        <f t="shared" si="738"/>
        <v>232</v>
      </c>
      <c r="L702" s="336">
        <f t="shared" si="739"/>
        <v>223</v>
      </c>
      <c r="M702" s="327">
        <f t="shared" si="740"/>
        <v>0</v>
      </c>
      <c r="N702" s="337">
        <f t="shared" si="741"/>
        <v>8</v>
      </c>
      <c r="O702" s="395">
        <f t="shared" si="742"/>
        <v>-11</v>
      </c>
      <c r="P702" s="289">
        <f t="shared" si="743"/>
        <v>0</v>
      </c>
      <c r="Q702" s="460">
        <f>WEEKNUM(tblResultadosNBA[[#This Row],[Fecha]],2)</f>
        <v>5</v>
      </c>
      <c r="R702" s="460" t="str">
        <f>TEXT(tblResultadosNBA[[#This Row],[Fecha]],"mmm")</f>
        <v>ene</v>
      </c>
    </row>
    <row r="703" spans="1:18">
      <c r="A703" s="419">
        <v>46050</v>
      </c>
      <c r="B703" s="302" t="s">
        <v>310</v>
      </c>
      <c r="C703" s="177" t="str">
        <f t="shared" si="734"/>
        <v>Orlando Magic</v>
      </c>
      <c r="D703" s="177">
        <v>110</v>
      </c>
      <c r="E703" s="336">
        <v>133</v>
      </c>
      <c r="F703" s="327">
        <f t="shared" si="735"/>
        <v>1</v>
      </c>
      <c r="G703" s="177" t="str">
        <f t="shared" si="736"/>
        <v>Miami Heat</v>
      </c>
      <c r="H703" s="177">
        <v>118</v>
      </c>
      <c r="I703" s="336">
        <v>124</v>
      </c>
      <c r="J703" s="327">
        <f t="shared" si="737"/>
        <v>1</v>
      </c>
      <c r="K703" s="177">
        <f t="shared" si="738"/>
        <v>228</v>
      </c>
      <c r="L703" s="336">
        <f t="shared" si="739"/>
        <v>257</v>
      </c>
      <c r="M703" s="327">
        <f t="shared" si="740"/>
        <v>1</v>
      </c>
      <c r="N703" s="337">
        <f t="shared" si="741"/>
        <v>8</v>
      </c>
      <c r="O703" s="395">
        <f t="shared" si="742"/>
        <v>-9</v>
      </c>
      <c r="P703" s="289">
        <f t="shared" si="743"/>
        <v>0</v>
      </c>
      <c r="Q703" s="460">
        <f>WEEKNUM(tblResultadosNBA[[#This Row],[Fecha]],2)</f>
        <v>5</v>
      </c>
      <c r="R703" s="460" t="str">
        <f>TEXT(tblResultadosNBA[[#This Row],[Fecha]],"mmm")</f>
        <v>ene</v>
      </c>
    </row>
    <row r="704" spans="1:18">
      <c r="A704" s="419">
        <v>46050</v>
      </c>
      <c r="B704" s="302" t="s">
        <v>169</v>
      </c>
      <c r="C704" s="177" t="str">
        <f t="shared" si="734"/>
        <v>New York Knicks</v>
      </c>
      <c r="D704" s="177">
        <v>112</v>
      </c>
      <c r="E704" s="336">
        <v>119</v>
      </c>
      <c r="F704" s="327">
        <f t="shared" si="735"/>
        <v>1</v>
      </c>
      <c r="G704" s="177" t="str">
        <f t="shared" si="736"/>
        <v>Toronto Raptors</v>
      </c>
      <c r="H704" s="177">
        <v>111</v>
      </c>
      <c r="I704" s="336">
        <v>92</v>
      </c>
      <c r="J704" s="327">
        <f t="shared" si="737"/>
        <v>0</v>
      </c>
      <c r="K704" s="177">
        <f t="shared" si="738"/>
        <v>223</v>
      </c>
      <c r="L704" s="336">
        <f t="shared" si="739"/>
        <v>211</v>
      </c>
      <c r="M704" s="327">
        <f t="shared" si="740"/>
        <v>0</v>
      </c>
      <c r="N704" s="337">
        <f t="shared" si="741"/>
        <v>-1</v>
      </c>
      <c r="O704" s="395">
        <f t="shared" si="742"/>
        <v>-27</v>
      </c>
      <c r="P704" s="289">
        <f t="shared" si="743"/>
        <v>1</v>
      </c>
      <c r="Q704" s="460">
        <f>WEEKNUM(tblResultadosNBA[[#This Row],[Fecha]],2)</f>
        <v>5</v>
      </c>
      <c r="R704" s="460" t="str">
        <f>TEXT(tblResultadosNBA[[#This Row],[Fecha]],"mmm")</f>
        <v>ene</v>
      </c>
    </row>
    <row r="705" spans="1:18">
      <c r="A705" s="419">
        <v>46050</v>
      </c>
      <c r="B705" s="302" t="s">
        <v>899</v>
      </c>
      <c r="C705" s="177" t="str">
        <f t="shared" si="734"/>
        <v>Charlotte Hornets</v>
      </c>
      <c r="D705" s="177">
        <v>117</v>
      </c>
      <c r="E705" s="336">
        <v>112</v>
      </c>
      <c r="F705" s="327">
        <f t="shared" si="735"/>
        <v>0</v>
      </c>
      <c r="G705" s="177" t="str">
        <f t="shared" si="736"/>
        <v>Memphis Grizzlies</v>
      </c>
      <c r="H705" s="177">
        <v>117</v>
      </c>
      <c r="I705" s="336">
        <v>97</v>
      </c>
      <c r="J705" s="327">
        <f t="shared" si="737"/>
        <v>0</v>
      </c>
      <c r="K705" s="177">
        <f t="shared" si="738"/>
        <v>234</v>
      </c>
      <c r="L705" s="336">
        <f t="shared" si="739"/>
        <v>209</v>
      </c>
      <c r="M705" s="327">
        <f t="shared" si="740"/>
        <v>0</v>
      </c>
      <c r="N705" s="337">
        <f t="shared" si="741"/>
        <v>0</v>
      </c>
      <c r="O705" s="395">
        <f t="shared" si="742"/>
        <v>-15</v>
      </c>
      <c r="P705" s="289">
        <f t="shared" si="743"/>
        <v>0</v>
      </c>
      <c r="Q705" s="460">
        <f>WEEKNUM(tblResultadosNBA[[#This Row],[Fecha]],2)</f>
        <v>5</v>
      </c>
      <c r="R705" s="460" t="str">
        <f>TEXT(tblResultadosNBA[[#This Row],[Fecha]],"mmm")</f>
        <v>ene</v>
      </c>
    </row>
    <row r="706" spans="1:18">
      <c r="A706" s="419">
        <v>46050</v>
      </c>
      <c r="B706" s="302" t="s">
        <v>311</v>
      </c>
      <c r="C706" s="177" t="str">
        <f t="shared" si="734"/>
        <v>Minnesota Timberwolves</v>
      </c>
      <c r="D706" s="177">
        <v>116</v>
      </c>
      <c r="E706" s="336">
        <v>118</v>
      </c>
      <c r="F706" s="327">
        <f t="shared" si="735"/>
        <v>1</v>
      </c>
      <c r="G706" s="177" t="str">
        <f t="shared" si="736"/>
        <v>Dallas Mavericks</v>
      </c>
      <c r="H706" s="177">
        <v>117</v>
      </c>
      <c r="I706" s="336">
        <v>105</v>
      </c>
      <c r="J706" s="327">
        <f t="shared" si="737"/>
        <v>0</v>
      </c>
      <c r="K706" s="177">
        <f t="shared" si="738"/>
        <v>233</v>
      </c>
      <c r="L706" s="336">
        <f t="shared" si="739"/>
        <v>223</v>
      </c>
      <c r="M706" s="327">
        <f t="shared" si="740"/>
        <v>0</v>
      </c>
      <c r="N706" s="337">
        <f t="shared" si="741"/>
        <v>1</v>
      </c>
      <c r="O706" s="395">
        <f t="shared" si="742"/>
        <v>-13</v>
      </c>
      <c r="P706" s="289">
        <f t="shared" si="743"/>
        <v>0</v>
      </c>
      <c r="Q706" s="460">
        <f>WEEKNUM(tblResultadosNBA[[#This Row],[Fecha]],2)</f>
        <v>5</v>
      </c>
      <c r="R706" s="460" t="str">
        <f>TEXT(tblResultadosNBA[[#This Row],[Fecha]],"mmm")</f>
        <v>ene</v>
      </c>
    </row>
    <row r="707" spans="1:18">
      <c r="A707" s="419">
        <v>46050</v>
      </c>
      <c r="B707" s="302" t="s">
        <v>312</v>
      </c>
      <c r="C707" s="177" t="str">
        <f t="shared" si="734"/>
        <v>Golden State Warriors</v>
      </c>
      <c r="D707" s="177">
        <v>118</v>
      </c>
      <c r="E707" s="336">
        <v>140</v>
      </c>
      <c r="F707" s="327">
        <f t="shared" si="735"/>
        <v>1</v>
      </c>
      <c r="G707" s="177" t="str">
        <f t="shared" si="736"/>
        <v>Utah Jazz</v>
      </c>
      <c r="H707" s="177">
        <v>116</v>
      </c>
      <c r="I707" s="336">
        <v>124</v>
      </c>
      <c r="J707" s="327">
        <f t="shared" si="737"/>
        <v>1</v>
      </c>
      <c r="K707" s="177">
        <f t="shared" si="738"/>
        <v>234</v>
      </c>
      <c r="L707" s="336">
        <f t="shared" si="739"/>
        <v>264</v>
      </c>
      <c r="M707" s="327">
        <f t="shared" si="740"/>
        <v>1</v>
      </c>
      <c r="N707" s="337">
        <f t="shared" si="741"/>
        <v>-2</v>
      </c>
      <c r="O707" s="395">
        <f t="shared" si="742"/>
        <v>-16</v>
      </c>
      <c r="P707" s="289">
        <f t="shared" si="743"/>
        <v>1</v>
      </c>
      <c r="Q707" s="460">
        <f>WEEKNUM(tblResultadosNBA[[#This Row],[Fecha]],2)</f>
        <v>5</v>
      </c>
      <c r="R707" s="460" t="str">
        <f>TEXT(tblResultadosNBA[[#This Row],[Fecha]],"mmm")</f>
        <v>ene</v>
      </c>
    </row>
    <row r="708" spans="1:18">
      <c r="A708" s="445">
        <v>46050</v>
      </c>
      <c r="B708" s="331" t="s">
        <v>880</v>
      </c>
      <c r="C708" s="286" t="str">
        <f t="shared" si="734"/>
        <v>San Antonio Spurs</v>
      </c>
      <c r="D708" s="286">
        <v>113</v>
      </c>
      <c r="E708" s="431">
        <v>111</v>
      </c>
      <c r="F708" s="332">
        <f t="shared" si="735"/>
        <v>0</v>
      </c>
      <c r="G708" s="286" t="str">
        <f t="shared" si="736"/>
        <v>Houston Rockets</v>
      </c>
      <c r="H708" s="286">
        <v>116</v>
      </c>
      <c r="I708" s="431">
        <v>99</v>
      </c>
      <c r="J708" s="332">
        <f t="shared" si="737"/>
        <v>0</v>
      </c>
      <c r="K708" s="286">
        <f t="shared" si="738"/>
        <v>229</v>
      </c>
      <c r="L708" s="431">
        <f t="shared" si="739"/>
        <v>210</v>
      </c>
      <c r="M708" s="332">
        <f t="shared" si="740"/>
        <v>0</v>
      </c>
      <c r="N708" s="432">
        <f t="shared" si="741"/>
        <v>3</v>
      </c>
      <c r="O708" s="451">
        <f t="shared" si="742"/>
        <v>-12</v>
      </c>
      <c r="P708" s="433">
        <f t="shared" si="743"/>
        <v>0</v>
      </c>
      <c r="Q708" s="460">
        <f>WEEKNUM(tblResultadosNBA[[#This Row],[Fecha]],2)</f>
        <v>5</v>
      </c>
      <c r="R708" s="460" t="str">
        <f>TEXT(tblResultadosNBA[[#This Row],[Fecha]],"mmm")</f>
        <v>ene</v>
      </c>
    </row>
    <row r="709" spans="1:18">
      <c r="A709" s="439">
        <v>46051</v>
      </c>
      <c r="B709" s="422" t="s">
        <v>313</v>
      </c>
      <c r="C709" s="341" t="str">
        <f>LEFT(B709,FIND("@",B709)-2)</f>
        <v>Sacramento Kings</v>
      </c>
      <c r="D709" s="341">
        <v>109</v>
      </c>
      <c r="E709" s="342">
        <v>111</v>
      </c>
      <c r="F709" s="333">
        <f>IF(E709&gt;D709, 1, 0)</f>
        <v>1</v>
      </c>
      <c r="G709" s="341" t="str">
        <f>MID(B709,FIND("@",B709)+2,LEN(B709)-FIND("@",B709)-1)</f>
        <v>Philadelphia 76ers</v>
      </c>
      <c r="H709" s="341">
        <v>118</v>
      </c>
      <c r="I709" s="342">
        <v>113</v>
      </c>
      <c r="J709" s="333">
        <f>IF(I709&gt;H709, 1, 0)</f>
        <v>0</v>
      </c>
      <c r="K709" s="341">
        <f>+D709+H709</f>
        <v>227</v>
      </c>
      <c r="L709" s="342">
        <f>E709+I709</f>
        <v>224</v>
      </c>
      <c r="M709" s="333">
        <f>IF(L709&gt;K709, 1, 0)</f>
        <v>0</v>
      </c>
      <c r="N709" s="343">
        <f>(+H709-D709)</f>
        <v>9</v>
      </c>
      <c r="O709" s="449">
        <f>I709-E709</f>
        <v>2</v>
      </c>
      <c r="P709" s="289">
        <f>IF(OR(AND(N709&gt;0,O709&gt;0),AND(N709&lt;0,O709&lt;0)),1,0)</f>
        <v>1</v>
      </c>
      <c r="Q709" s="460">
        <f>WEEKNUM(tblResultadosNBA[[#This Row],[Fecha]],2)</f>
        <v>5</v>
      </c>
      <c r="R709" s="460" t="str">
        <f>TEXT(tblResultadosNBA[[#This Row],[Fecha]],"mmm")</f>
        <v>ene</v>
      </c>
    </row>
    <row r="710" spans="1:18">
      <c r="A710" s="439">
        <v>46051</v>
      </c>
      <c r="B710" s="302" t="s">
        <v>128</v>
      </c>
      <c r="C710" s="177" t="str">
        <f t="shared" ref="C710:C716" si="744">LEFT(B710,FIND("@",B710)-2)</f>
        <v>Milwaukee Bucks</v>
      </c>
      <c r="D710" s="177">
        <v>119</v>
      </c>
      <c r="E710" s="336">
        <v>99</v>
      </c>
      <c r="F710" s="327">
        <f t="shared" ref="F710:F716" si="745">IF(E710&gt;D710, 1, 0)</f>
        <v>0</v>
      </c>
      <c r="G710" s="177" t="str">
        <f t="shared" ref="G710:G716" si="746">MID(B710,FIND("@",B710)+2,LEN(B710)-FIND("@",B710)-1)</f>
        <v>Washington Wizards</v>
      </c>
      <c r="H710" s="177">
        <v>114</v>
      </c>
      <c r="I710" s="336">
        <v>109</v>
      </c>
      <c r="J710" s="327">
        <f t="shared" ref="J710:J716" si="747">IF(I710&gt;H710, 1, 0)</f>
        <v>0</v>
      </c>
      <c r="K710" s="177">
        <f t="shared" ref="K710:K716" si="748">+D710+H710</f>
        <v>233</v>
      </c>
      <c r="L710" s="336">
        <f t="shared" ref="L710:L716" si="749">E710+I710</f>
        <v>208</v>
      </c>
      <c r="M710" s="327">
        <f t="shared" ref="M710:M716" si="750">IF(L710&gt;K710, 1, 0)</f>
        <v>0</v>
      </c>
      <c r="N710" s="337">
        <f t="shared" ref="N710:N716" si="751">(+H710-D710)</f>
        <v>-5</v>
      </c>
      <c r="O710" s="395">
        <f t="shared" ref="O710:O716" si="752">I710-E710</f>
        <v>10</v>
      </c>
      <c r="P710" s="289">
        <f t="shared" ref="P710:P716" si="753">IF(OR(AND(N710&gt;0,O710&gt;0),AND(N710&lt;0,O710&lt;0)),1,0)</f>
        <v>0</v>
      </c>
      <c r="Q710" s="460">
        <f>WEEKNUM(tblResultadosNBA[[#This Row],[Fecha]],2)</f>
        <v>5</v>
      </c>
      <c r="R710" s="460" t="str">
        <f>TEXT(tblResultadosNBA[[#This Row],[Fecha]],"mmm")</f>
        <v>ene</v>
      </c>
    </row>
    <row r="711" spans="1:18">
      <c r="A711" s="439">
        <v>46051</v>
      </c>
      <c r="B711" s="302" t="s">
        <v>900</v>
      </c>
      <c r="C711" s="177" t="str">
        <f t="shared" si="744"/>
        <v>Houston Rockets</v>
      </c>
      <c r="D711" s="177">
        <v>118</v>
      </c>
      <c r="E711" s="336">
        <v>104</v>
      </c>
      <c r="F711" s="327">
        <f t="shared" si="745"/>
        <v>0</v>
      </c>
      <c r="G711" s="177" t="str">
        <f t="shared" si="746"/>
        <v>Atlanta Hawks</v>
      </c>
      <c r="H711" s="177">
        <v>117</v>
      </c>
      <c r="I711" s="336">
        <v>86</v>
      </c>
      <c r="J711" s="327">
        <f t="shared" si="747"/>
        <v>0</v>
      </c>
      <c r="K711" s="177">
        <f t="shared" si="748"/>
        <v>235</v>
      </c>
      <c r="L711" s="336">
        <f t="shared" si="749"/>
        <v>190</v>
      </c>
      <c r="M711" s="327">
        <f t="shared" si="750"/>
        <v>0</v>
      </c>
      <c r="N711" s="337">
        <f t="shared" si="751"/>
        <v>-1</v>
      </c>
      <c r="O711" s="395">
        <f t="shared" si="752"/>
        <v>-18</v>
      </c>
      <c r="P711" s="289">
        <f t="shared" si="753"/>
        <v>1</v>
      </c>
      <c r="Q711" s="460">
        <f>WEEKNUM(tblResultadosNBA[[#This Row],[Fecha]],2)</f>
        <v>5</v>
      </c>
      <c r="R711" s="460" t="str">
        <f>TEXT(tblResultadosNBA[[#This Row],[Fecha]],"mmm")</f>
        <v>ene</v>
      </c>
    </row>
    <row r="712" spans="1:18">
      <c r="A712" s="439">
        <v>46051</v>
      </c>
      <c r="B712" s="302" t="s">
        <v>314</v>
      </c>
      <c r="C712" s="177" t="str">
        <f t="shared" si="744"/>
        <v>Miami Heat</v>
      </c>
      <c r="D712" s="177">
        <v>112</v>
      </c>
      <c r="E712" s="336">
        <v>116</v>
      </c>
      <c r="F712" s="327">
        <f t="shared" si="745"/>
        <v>1</v>
      </c>
      <c r="G712" s="177" t="str">
        <f t="shared" si="746"/>
        <v>Chicago Bulls</v>
      </c>
      <c r="H712" s="177">
        <v>117</v>
      </c>
      <c r="I712" s="336">
        <v>113</v>
      </c>
      <c r="J712" s="327">
        <f t="shared" si="747"/>
        <v>0</v>
      </c>
      <c r="K712" s="177">
        <f t="shared" si="748"/>
        <v>229</v>
      </c>
      <c r="L712" s="336">
        <f t="shared" si="749"/>
        <v>229</v>
      </c>
      <c r="M712" s="327">
        <f t="shared" si="750"/>
        <v>0</v>
      </c>
      <c r="N712" s="337">
        <f t="shared" si="751"/>
        <v>5</v>
      </c>
      <c r="O712" s="395">
        <f t="shared" si="752"/>
        <v>-3</v>
      </c>
      <c r="P712" s="289">
        <f t="shared" si="753"/>
        <v>0</v>
      </c>
      <c r="Q712" s="460">
        <f>WEEKNUM(tblResultadosNBA[[#This Row],[Fecha]],2)</f>
        <v>5</v>
      </c>
      <c r="R712" s="460" t="str">
        <f>TEXT(tblResultadosNBA[[#This Row],[Fecha]],"mmm")</f>
        <v>ene</v>
      </c>
    </row>
    <row r="713" spans="1:18">
      <c r="A713" s="439">
        <v>46051</v>
      </c>
      <c r="B713" s="302" t="s">
        <v>315</v>
      </c>
      <c r="C713" s="177" t="str">
        <f t="shared" si="744"/>
        <v>Charlotte Hornets</v>
      </c>
      <c r="D713" s="177">
        <v>114</v>
      </c>
      <c r="E713" s="336">
        <v>123</v>
      </c>
      <c r="F713" s="327">
        <f t="shared" si="745"/>
        <v>1</v>
      </c>
      <c r="G713" s="177" t="str">
        <f t="shared" si="746"/>
        <v>Dallas Mavericks</v>
      </c>
      <c r="H713" s="177">
        <v>114</v>
      </c>
      <c r="I713" s="336">
        <v>121</v>
      </c>
      <c r="J713" s="327">
        <f t="shared" si="747"/>
        <v>1</v>
      </c>
      <c r="K713" s="177">
        <f t="shared" si="748"/>
        <v>228</v>
      </c>
      <c r="L713" s="336">
        <f t="shared" si="749"/>
        <v>244</v>
      </c>
      <c r="M713" s="327">
        <f t="shared" si="750"/>
        <v>1</v>
      </c>
      <c r="N713" s="337">
        <f t="shared" si="751"/>
        <v>0</v>
      </c>
      <c r="O713" s="395">
        <f t="shared" si="752"/>
        <v>-2</v>
      </c>
      <c r="P713" s="289">
        <f t="shared" si="753"/>
        <v>0</v>
      </c>
      <c r="Q713" s="460">
        <f>WEEKNUM(tblResultadosNBA[[#This Row],[Fecha]],2)</f>
        <v>5</v>
      </c>
      <c r="R713" s="460" t="str">
        <f>TEXT(tblResultadosNBA[[#This Row],[Fecha]],"mmm")</f>
        <v>ene</v>
      </c>
    </row>
    <row r="714" spans="1:18">
      <c r="A714" s="439">
        <v>46051</v>
      </c>
      <c r="B714" s="302" t="s">
        <v>316</v>
      </c>
      <c r="C714" s="177" t="str">
        <f t="shared" si="744"/>
        <v>Brooklyn Nets</v>
      </c>
      <c r="D714" s="177">
        <v>108</v>
      </c>
      <c r="E714" s="336">
        <v>103</v>
      </c>
      <c r="F714" s="327">
        <f t="shared" si="745"/>
        <v>0</v>
      </c>
      <c r="G714" s="177" t="str">
        <f t="shared" si="746"/>
        <v>Denver Nuggets</v>
      </c>
      <c r="H714" s="177">
        <v>116</v>
      </c>
      <c r="I714" s="336">
        <v>107</v>
      </c>
      <c r="J714" s="327">
        <f t="shared" si="747"/>
        <v>0</v>
      </c>
      <c r="K714" s="177">
        <f t="shared" si="748"/>
        <v>224</v>
      </c>
      <c r="L714" s="336">
        <f t="shared" si="749"/>
        <v>210</v>
      </c>
      <c r="M714" s="327">
        <f t="shared" si="750"/>
        <v>0</v>
      </c>
      <c r="N714" s="337">
        <f t="shared" si="751"/>
        <v>8</v>
      </c>
      <c r="O714" s="395">
        <f t="shared" si="752"/>
        <v>4</v>
      </c>
      <c r="P714" s="289">
        <f t="shared" si="753"/>
        <v>1</v>
      </c>
      <c r="Q714" s="460">
        <f>WEEKNUM(tblResultadosNBA[[#This Row],[Fecha]],2)</f>
        <v>5</v>
      </c>
      <c r="R714" s="460" t="str">
        <f>TEXT(tblResultadosNBA[[#This Row],[Fecha]],"mmm")</f>
        <v>ene</v>
      </c>
    </row>
    <row r="715" spans="1:18">
      <c r="A715" s="439">
        <v>46051</v>
      </c>
      <c r="B715" s="302" t="s">
        <v>317</v>
      </c>
      <c r="C715" s="177" t="str">
        <f t="shared" si="744"/>
        <v>Detroit Pistons</v>
      </c>
      <c r="D715" s="177">
        <v>114</v>
      </c>
      <c r="E715" s="336">
        <v>96</v>
      </c>
      <c r="F715" s="327">
        <f t="shared" si="745"/>
        <v>0</v>
      </c>
      <c r="G715" s="177" t="str">
        <f t="shared" si="746"/>
        <v>Phoenix Suns</v>
      </c>
      <c r="H715" s="177">
        <v>114</v>
      </c>
      <c r="I715" s="336">
        <v>114</v>
      </c>
      <c r="J715" s="327">
        <f t="shared" si="747"/>
        <v>0</v>
      </c>
      <c r="K715" s="177">
        <f t="shared" si="748"/>
        <v>228</v>
      </c>
      <c r="L715" s="336">
        <f t="shared" si="749"/>
        <v>210</v>
      </c>
      <c r="M715" s="327">
        <f t="shared" si="750"/>
        <v>0</v>
      </c>
      <c r="N715" s="337">
        <f t="shared" si="751"/>
        <v>0</v>
      </c>
      <c r="O715" s="395">
        <f t="shared" si="752"/>
        <v>18</v>
      </c>
      <c r="P715" s="289">
        <f t="shared" si="753"/>
        <v>0</v>
      </c>
      <c r="Q715" s="460">
        <f>WEEKNUM(tblResultadosNBA[[#This Row],[Fecha]],2)</f>
        <v>5</v>
      </c>
      <c r="R715" s="460" t="str">
        <f>TEXT(tblResultadosNBA[[#This Row],[Fecha]],"mmm")</f>
        <v>ene</v>
      </c>
    </row>
    <row r="716" spans="1:18">
      <c r="A716" s="446">
        <v>46051</v>
      </c>
      <c r="B716" s="331" t="s">
        <v>318</v>
      </c>
      <c r="C716" s="286" t="str">
        <f t="shared" si="744"/>
        <v>Oklahoma City Thunder</v>
      </c>
      <c r="D716" s="286">
        <v>115</v>
      </c>
      <c r="E716" s="431">
        <v>111</v>
      </c>
      <c r="F716" s="332">
        <f t="shared" si="745"/>
        <v>0</v>
      </c>
      <c r="G716" s="286" t="str">
        <f t="shared" si="746"/>
        <v>Minnesota Timberwolves</v>
      </c>
      <c r="H716" s="286">
        <v>112</v>
      </c>
      <c r="I716" s="431">
        <v>123</v>
      </c>
      <c r="J716" s="332">
        <f t="shared" si="747"/>
        <v>1</v>
      </c>
      <c r="K716" s="286">
        <f t="shared" si="748"/>
        <v>227</v>
      </c>
      <c r="L716" s="431">
        <f t="shared" si="749"/>
        <v>234</v>
      </c>
      <c r="M716" s="332">
        <f t="shared" si="750"/>
        <v>1</v>
      </c>
      <c r="N716" s="432">
        <f t="shared" si="751"/>
        <v>-3</v>
      </c>
      <c r="O716" s="451">
        <f t="shared" si="752"/>
        <v>12</v>
      </c>
      <c r="P716" s="433">
        <f t="shared" si="753"/>
        <v>0</v>
      </c>
      <c r="Q716" s="460">
        <f>WEEKNUM(tblResultadosNBA[[#This Row],[Fecha]],2)</f>
        <v>5</v>
      </c>
      <c r="R716" s="460" t="str">
        <f>TEXT(tblResultadosNBA[[#This Row],[Fecha]],"mmm")</f>
        <v>ene</v>
      </c>
    </row>
    <row r="717" spans="1:18">
      <c r="A717" s="439">
        <v>46052</v>
      </c>
      <c r="B717" s="422" t="s">
        <v>901</v>
      </c>
      <c r="C717" s="341" t="str">
        <f>LEFT(B717,FIND("@",B717)-2)</f>
        <v>Los Angeles Lakers</v>
      </c>
      <c r="D717" s="341">
        <v>122</v>
      </c>
      <c r="E717" s="342">
        <v>142</v>
      </c>
      <c r="F717" s="333">
        <f>IF(E717&gt;D717, 1, 0)</f>
        <v>1</v>
      </c>
      <c r="G717" s="341" t="str">
        <f>MID(B717,FIND("@",B717)+2,LEN(B717)-FIND("@",B717)-1)</f>
        <v>Washington Wizards</v>
      </c>
      <c r="H717" s="341">
        <v>116</v>
      </c>
      <c r="I717" s="342">
        <v>111</v>
      </c>
      <c r="J717" s="333">
        <f>IF(I717&gt;H717, 1, 0)</f>
        <v>0</v>
      </c>
      <c r="K717" s="341">
        <f>+D717+H717</f>
        <v>238</v>
      </c>
      <c r="L717" s="342">
        <f>E717+I717</f>
        <v>253</v>
      </c>
      <c r="M717" s="333">
        <f>IF(L717&gt;K717, 1, 0)</f>
        <v>1</v>
      </c>
      <c r="N717" s="343">
        <f>(+H717-D717)</f>
        <v>-6</v>
      </c>
      <c r="O717" s="449">
        <f>I717-E717</f>
        <v>-31</v>
      </c>
      <c r="P717" s="289">
        <f>IF(OR(AND(N717&gt;0,O717&gt;0),AND(N717&lt;0,O717&lt;0)),1,0)</f>
        <v>1</v>
      </c>
      <c r="Q717" s="460">
        <f>WEEKNUM(tblResultadosNBA[[#This Row],[Fecha]],2)</f>
        <v>5</v>
      </c>
      <c r="R717" s="460" t="str">
        <f>TEXT(tblResultadosNBA[[#This Row],[Fecha]],"mmm")</f>
        <v>ene</v>
      </c>
    </row>
    <row r="718" spans="1:18">
      <c r="A718" s="439">
        <v>46052</v>
      </c>
      <c r="B718" s="302" t="s">
        <v>902</v>
      </c>
      <c r="C718" s="177" t="str">
        <f t="shared" ref="C718:C725" si="754">LEFT(B718,FIND("@",B718)-2)</f>
        <v>Toronto Raptors</v>
      </c>
      <c r="D718" s="177">
        <v>111</v>
      </c>
      <c r="E718" s="336">
        <v>120</v>
      </c>
      <c r="F718" s="327">
        <f t="shared" ref="F718:F725" si="755">IF(E718&gt;D718, 1, 0)</f>
        <v>1</v>
      </c>
      <c r="G718" s="177" t="str">
        <f t="shared" ref="G718:G725" si="756">MID(B718,FIND("@",B718)+2,LEN(B718)-FIND("@",B718)-1)</f>
        <v>Orlando Magic</v>
      </c>
      <c r="H718" s="177">
        <v>112</v>
      </c>
      <c r="I718" s="336">
        <v>130</v>
      </c>
      <c r="J718" s="327">
        <f t="shared" ref="J718:J725" si="757">IF(I718&gt;H718, 1, 0)</f>
        <v>1</v>
      </c>
      <c r="K718" s="177">
        <f t="shared" ref="K718:K725" si="758">+D718+H718</f>
        <v>223</v>
      </c>
      <c r="L718" s="336">
        <f t="shared" ref="L718:L725" si="759">E718+I718</f>
        <v>250</v>
      </c>
      <c r="M718" s="327">
        <f t="shared" ref="M718:M725" si="760">IF(L718&gt;K718, 1, 0)</f>
        <v>1</v>
      </c>
      <c r="N718" s="337">
        <f t="shared" ref="N718:N725" si="761">(+H718-D718)</f>
        <v>1</v>
      </c>
      <c r="O718" s="395">
        <f t="shared" ref="O718:O725" si="762">I718-E718</f>
        <v>10</v>
      </c>
      <c r="P718" s="289">
        <f t="shared" ref="P718:P725" si="763">IF(OR(AND(N718&gt;0,O718&gt;0),AND(N718&lt;0,O718&lt;0)),1,0)</f>
        <v>1</v>
      </c>
      <c r="Q718" s="460">
        <f>WEEKNUM(tblResultadosNBA[[#This Row],[Fecha]],2)</f>
        <v>5</v>
      </c>
      <c r="R718" s="460" t="str">
        <f>TEXT(tblResultadosNBA[[#This Row],[Fecha]],"mmm")</f>
        <v>ene</v>
      </c>
    </row>
    <row r="719" spans="1:18">
      <c r="A719" s="439">
        <v>46052</v>
      </c>
      <c r="B719" s="302" t="s">
        <v>903</v>
      </c>
      <c r="C719" s="177" t="str">
        <f t="shared" si="754"/>
        <v>Sacramento Kings</v>
      </c>
      <c r="D719" s="177">
        <v>106</v>
      </c>
      <c r="E719" s="336">
        <v>93</v>
      </c>
      <c r="F719" s="327">
        <f t="shared" si="755"/>
        <v>0</v>
      </c>
      <c r="G719" s="177" t="str">
        <f t="shared" si="756"/>
        <v>Boston Celtics</v>
      </c>
      <c r="H719" s="177">
        <v>118</v>
      </c>
      <c r="I719" s="336">
        <v>112</v>
      </c>
      <c r="J719" s="327">
        <f t="shared" si="757"/>
        <v>0</v>
      </c>
      <c r="K719" s="177">
        <f t="shared" si="758"/>
        <v>224</v>
      </c>
      <c r="L719" s="336">
        <f t="shared" si="759"/>
        <v>205</v>
      </c>
      <c r="M719" s="327">
        <f t="shared" si="760"/>
        <v>0</v>
      </c>
      <c r="N719" s="337">
        <f t="shared" si="761"/>
        <v>12</v>
      </c>
      <c r="O719" s="395">
        <f t="shared" si="762"/>
        <v>19</v>
      </c>
      <c r="P719" s="289">
        <f t="shared" si="763"/>
        <v>1</v>
      </c>
      <c r="Q719" s="460">
        <f>WEEKNUM(tblResultadosNBA[[#This Row],[Fecha]],2)</f>
        <v>5</v>
      </c>
      <c r="R719" s="460" t="str">
        <f>TEXT(tblResultadosNBA[[#This Row],[Fecha]],"mmm")</f>
        <v>ene</v>
      </c>
    </row>
    <row r="720" spans="1:18">
      <c r="A720" s="439">
        <v>46052</v>
      </c>
      <c r="B720" s="302" t="s">
        <v>319</v>
      </c>
      <c r="C720" s="177" t="str">
        <f t="shared" si="754"/>
        <v>Portland Trail Blazers</v>
      </c>
      <c r="D720" s="177">
        <v>110</v>
      </c>
      <c r="E720" s="336">
        <v>97</v>
      </c>
      <c r="F720" s="327">
        <f t="shared" si="755"/>
        <v>0</v>
      </c>
      <c r="G720" s="177" t="str">
        <f t="shared" si="756"/>
        <v>New York Knicks</v>
      </c>
      <c r="H720" s="177">
        <v>116</v>
      </c>
      <c r="I720" s="336">
        <v>127</v>
      </c>
      <c r="J720" s="327">
        <f t="shared" si="757"/>
        <v>1</v>
      </c>
      <c r="K720" s="177">
        <f t="shared" si="758"/>
        <v>226</v>
      </c>
      <c r="L720" s="336">
        <f t="shared" si="759"/>
        <v>224</v>
      </c>
      <c r="M720" s="327">
        <f t="shared" si="760"/>
        <v>0</v>
      </c>
      <c r="N720" s="337">
        <f t="shared" si="761"/>
        <v>6</v>
      </c>
      <c r="O720" s="395">
        <f t="shared" si="762"/>
        <v>30</v>
      </c>
      <c r="P720" s="289">
        <f t="shared" si="763"/>
        <v>1</v>
      </c>
      <c r="Q720" s="460">
        <f>WEEKNUM(tblResultadosNBA[[#This Row],[Fecha]],2)</f>
        <v>5</v>
      </c>
      <c r="R720" s="460" t="str">
        <f>TEXT(tblResultadosNBA[[#This Row],[Fecha]],"mmm")</f>
        <v>ene</v>
      </c>
    </row>
    <row r="721" spans="1:18">
      <c r="A721" s="439">
        <v>46052</v>
      </c>
      <c r="B721" s="302" t="s">
        <v>108</v>
      </c>
      <c r="C721" s="177" t="str">
        <f t="shared" si="754"/>
        <v>Memphis Grizzlies</v>
      </c>
      <c r="D721" s="177">
        <v>117</v>
      </c>
      <c r="E721" s="336">
        <v>106</v>
      </c>
      <c r="F721" s="327">
        <f t="shared" si="755"/>
        <v>0</v>
      </c>
      <c r="G721" s="177" t="str">
        <f t="shared" si="756"/>
        <v>New Orleans Pelicans</v>
      </c>
      <c r="H721" s="177">
        <v>117</v>
      </c>
      <c r="I721" s="336">
        <v>114</v>
      </c>
      <c r="J721" s="327">
        <f t="shared" si="757"/>
        <v>0</v>
      </c>
      <c r="K721" s="177">
        <f t="shared" si="758"/>
        <v>234</v>
      </c>
      <c r="L721" s="336">
        <f t="shared" si="759"/>
        <v>220</v>
      </c>
      <c r="M721" s="327">
        <f t="shared" si="760"/>
        <v>0</v>
      </c>
      <c r="N721" s="337">
        <f t="shared" si="761"/>
        <v>0</v>
      </c>
      <c r="O721" s="395">
        <f t="shared" si="762"/>
        <v>8</v>
      </c>
      <c r="P721" s="289">
        <f t="shared" si="763"/>
        <v>0</v>
      </c>
      <c r="Q721" s="460">
        <f>WEEKNUM(tblResultadosNBA[[#This Row],[Fecha]],2)</f>
        <v>5</v>
      </c>
      <c r="R721" s="460" t="str">
        <f>TEXT(tblResultadosNBA[[#This Row],[Fecha]],"mmm")</f>
        <v>ene</v>
      </c>
    </row>
    <row r="722" spans="1:18">
      <c r="A722" s="439">
        <v>46052</v>
      </c>
      <c r="B722" s="302" t="s">
        <v>904</v>
      </c>
      <c r="C722" s="177" t="str">
        <f t="shared" si="754"/>
        <v>Cleveland Cavaliers</v>
      </c>
      <c r="D722" s="177">
        <v>114</v>
      </c>
      <c r="E722" s="336">
        <v>113</v>
      </c>
      <c r="F722" s="327">
        <f t="shared" si="755"/>
        <v>0</v>
      </c>
      <c r="G722" s="177" t="str">
        <f t="shared" si="756"/>
        <v>Phoenix Suns</v>
      </c>
      <c r="H722" s="177">
        <v>114</v>
      </c>
      <c r="I722" s="336">
        <v>126</v>
      </c>
      <c r="J722" s="327">
        <f t="shared" si="757"/>
        <v>1</v>
      </c>
      <c r="K722" s="177">
        <f t="shared" si="758"/>
        <v>228</v>
      </c>
      <c r="L722" s="336">
        <f t="shared" si="759"/>
        <v>239</v>
      </c>
      <c r="M722" s="327">
        <f t="shared" si="760"/>
        <v>1</v>
      </c>
      <c r="N722" s="337">
        <f t="shared" si="761"/>
        <v>0</v>
      </c>
      <c r="O722" s="395">
        <f t="shared" si="762"/>
        <v>13</v>
      </c>
      <c r="P722" s="289">
        <f t="shared" si="763"/>
        <v>0</v>
      </c>
      <c r="Q722" s="460">
        <f>WEEKNUM(tblResultadosNBA[[#This Row],[Fecha]],2)</f>
        <v>5</v>
      </c>
      <c r="R722" s="460" t="str">
        <f>TEXT(tblResultadosNBA[[#This Row],[Fecha]],"mmm")</f>
        <v>ene</v>
      </c>
    </row>
    <row r="723" spans="1:18">
      <c r="A723" s="439">
        <v>46052</v>
      </c>
      <c r="B723" s="302" t="s">
        <v>320</v>
      </c>
      <c r="C723" s="177" t="str">
        <f t="shared" si="754"/>
        <v>LA Clippers</v>
      </c>
      <c r="D723" s="177">
        <v>110</v>
      </c>
      <c r="E723" s="336">
        <v>109</v>
      </c>
      <c r="F723" s="327">
        <f t="shared" si="755"/>
        <v>0</v>
      </c>
      <c r="G723" s="177" t="str">
        <f t="shared" si="756"/>
        <v>Denver Nuggets</v>
      </c>
      <c r="H723" s="177">
        <v>112</v>
      </c>
      <c r="I723" s="336">
        <v>122</v>
      </c>
      <c r="J723" s="327">
        <f t="shared" si="757"/>
        <v>1</v>
      </c>
      <c r="K723" s="177">
        <f t="shared" si="758"/>
        <v>222</v>
      </c>
      <c r="L723" s="336">
        <f t="shared" si="759"/>
        <v>231</v>
      </c>
      <c r="M723" s="327">
        <f t="shared" si="760"/>
        <v>1</v>
      </c>
      <c r="N723" s="337">
        <f t="shared" si="761"/>
        <v>2</v>
      </c>
      <c r="O723" s="395">
        <f t="shared" si="762"/>
        <v>13</v>
      </c>
      <c r="P723" s="289">
        <f t="shared" si="763"/>
        <v>1</v>
      </c>
      <c r="Q723" s="460">
        <f>WEEKNUM(tblResultadosNBA[[#This Row],[Fecha]],2)</f>
        <v>5</v>
      </c>
      <c r="R723" s="460" t="str">
        <f>TEXT(tblResultadosNBA[[#This Row],[Fecha]],"mmm")</f>
        <v>ene</v>
      </c>
    </row>
    <row r="724" spans="1:18">
      <c r="A724" s="439">
        <v>46052</v>
      </c>
      <c r="B724" s="302" t="s">
        <v>321</v>
      </c>
      <c r="C724" s="177" t="str">
        <f t="shared" si="754"/>
        <v>Brooklyn Nets</v>
      </c>
      <c r="D724" s="177">
        <v>110</v>
      </c>
      <c r="E724" s="336">
        <v>109</v>
      </c>
      <c r="F724" s="327">
        <f t="shared" si="755"/>
        <v>0</v>
      </c>
      <c r="G724" s="177" t="str">
        <f t="shared" si="756"/>
        <v>Utah Jazz</v>
      </c>
      <c r="H724" s="177">
        <v>114</v>
      </c>
      <c r="I724" s="336">
        <v>99</v>
      </c>
      <c r="J724" s="327">
        <f t="shared" si="757"/>
        <v>0</v>
      </c>
      <c r="K724" s="177">
        <f t="shared" si="758"/>
        <v>224</v>
      </c>
      <c r="L724" s="336">
        <f t="shared" si="759"/>
        <v>208</v>
      </c>
      <c r="M724" s="327">
        <f t="shared" si="760"/>
        <v>0</v>
      </c>
      <c r="N724" s="337">
        <f t="shared" si="761"/>
        <v>4</v>
      </c>
      <c r="O724" s="395">
        <f t="shared" si="762"/>
        <v>-10</v>
      </c>
      <c r="P724" s="289">
        <f t="shared" si="763"/>
        <v>0</v>
      </c>
      <c r="Q724" s="460">
        <f>WEEKNUM(tblResultadosNBA[[#This Row],[Fecha]],2)</f>
        <v>5</v>
      </c>
      <c r="R724" s="460" t="str">
        <f>TEXT(tblResultadosNBA[[#This Row],[Fecha]],"mmm")</f>
        <v>ene</v>
      </c>
    </row>
    <row r="725" spans="1:18">
      <c r="A725" s="446">
        <v>46052</v>
      </c>
      <c r="B725" s="331" t="s">
        <v>905</v>
      </c>
      <c r="C725" s="286" t="str">
        <f t="shared" si="754"/>
        <v>Detroit Pistons</v>
      </c>
      <c r="D725" s="286">
        <v>113</v>
      </c>
      <c r="E725" s="431">
        <v>131</v>
      </c>
      <c r="F725" s="332">
        <f t="shared" si="755"/>
        <v>1</v>
      </c>
      <c r="G725" s="286" t="str">
        <f t="shared" si="756"/>
        <v>Golden State Warriors</v>
      </c>
      <c r="H725" s="286">
        <v>119</v>
      </c>
      <c r="I725" s="431">
        <v>124</v>
      </c>
      <c r="J725" s="332">
        <f t="shared" si="757"/>
        <v>1</v>
      </c>
      <c r="K725" s="286">
        <f t="shared" si="758"/>
        <v>232</v>
      </c>
      <c r="L725" s="431">
        <f t="shared" si="759"/>
        <v>255</v>
      </c>
      <c r="M725" s="332">
        <f t="shared" si="760"/>
        <v>1</v>
      </c>
      <c r="N725" s="432">
        <f t="shared" si="761"/>
        <v>6</v>
      </c>
      <c r="O725" s="451">
        <f t="shared" si="762"/>
        <v>-7</v>
      </c>
      <c r="P725" s="433">
        <f t="shared" si="763"/>
        <v>0</v>
      </c>
      <c r="Q725" s="460">
        <f>WEEKNUM(tblResultadosNBA[[#This Row],[Fecha]],2)</f>
        <v>5</v>
      </c>
      <c r="R725" s="460" t="str">
        <f>TEXT(tblResultadosNBA[[#This Row],[Fecha]],"mmm")</f>
        <v>ene</v>
      </c>
    </row>
    <row r="726" spans="1:18">
      <c r="A726" s="439">
        <v>46053</v>
      </c>
      <c r="B726" s="422" t="s">
        <v>906</v>
      </c>
      <c r="C726" s="341" t="str">
        <f>LEFT(B726,FIND("@",B726)-2)</f>
        <v>San Antonio Spurs</v>
      </c>
      <c r="D726" s="341">
        <v>119</v>
      </c>
      <c r="E726" s="342">
        <v>106</v>
      </c>
      <c r="F726" s="333">
        <f>IF(E726&gt;D726, 1, 0)</f>
        <v>0</v>
      </c>
      <c r="G726" s="341" t="str">
        <f>MID(B726,FIND("@",B726)+2,LEN(B726)-FIND("@",B726)-1)</f>
        <v>Charlotte Hornets</v>
      </c>
      <c r="H726" s="341">
        <v>113</v>
      </c>
      <c r="I726" s="342">
        <v>111</v>
      </c>
      <c r="J726" s="333">
        <f>IF(I726&gt;H726, 1, 0)</f>
        <v>0</v>
      </c>
      <c r="K726" s="341">
        <f>+D726+H726</f>
        <v>232</v>
      </c>
      <c r="L726" s="342">
        <f>E726+I726</f>
        <v>217</v>
      </c>
      <c r="M726" s="333">
        <f>IF(L726&gt;K726, 1, 0)</f>
        <v>0</v>
      </c>
      <c r="N726" s="343">
        <f>(+H726-D726)</f>
        <v>-6</v>
      </c>
      <c r="O726" s="449">
        <f>I726-E726</f>
        <v>5</v>
      </c>
      <c r="P726" s="289">
        <f>IF(OR(AND(N726&gt;0,O726&gt;0),AND(N726&lt;0,O726&lt;0)),1,0)</f>
        <v>0</v>
      </c>
      <c r="Q726" s="460">
        <f>WEEKNUM(tblResultadosNBA[[#This Row],[Fecha]],2)</f>
        <v>5</v>
      </c>
      <c r="R726" s="460" t="str">
        <f>TEXT(tblResultadosNBA[[#This Row],[Fecha]],"mmm")</f>
        <v>ene</v>
      </c>
    </row>
    <row r="727" spans="1:18">
      <c r="A727" s="439">
        <v>46053</v>
      </c>
      <c r="B727" s="302" t="s">
        <v>709</v>
      </c>
      <c r="C727" s="177" t="str">
        <f t="shared" ref="C727:C731" si="764">LEFT(B727,FIND("@",B727)-2)</f>
        <v>Atlanta Hawks</v>
      </c>
      <c r="D727" s="177">
        <v>117</v>
      </c>
      <c r="E727" s="336">
        <v>124</v>
      </c>
      <c r="F727" s="327">
        <f t="shared" ref="F727:F731" si="765">IF(E727&gt;D727, 1, 0)</f>
        <v>1</v>
      </c>
      <c r="G727" s="177" t="str">
        <f t="shared" ref="G727:G731" si="766">MID(B727,FIND("@",B727)+2,LEN(B727)-FIND("@",B727)-1)</f>
        <v>Indiana Pacers</v>
      </c>
      <c r="H727" s="177">
        <v>119</v>
      </c>
      <c r="I727" s="336">
        <v>129</v>
      </c>
      <c r="J727" s="327">
        <f t="shared" ref="J727:J731" si="767">IF(I727&gt;H727, 1, 0)</f>
        <v>1</v>
      </c>
      <c r="K727" s="177">
        <f t="shared" ref="K727:K731" si="768">+D727+H727</f>
        <v>236</v>
      </c>
      <c r="L727" s="336">
        <f t="shared" ref="L727:L731" si="769">E727+I727</f>
        <v>253</v>
      </c>
      <c r="M727" s="327">
        <f t="shared" ref="M727:M731" si="770">IF(L727&gt;K727, 1, 0)</f>
        <v>1</v>
      </c>
      <c r="N727" s="337">
        <f t="shared" ref="N727:N731" si="771">(+H727-D727)</f>
        <v>2</v>
      </c>
      <c r="O727" s="395">
        <f t="shared" ref="O727:O731" si="772">I727-E727</f>
        <v>5</v>
      </c>
      <c r="P727" s="289">
        <f t="shared" ref="P727:P731" si="773">IF(OR(AND(N727&gt;0,O727&gt;0),AND(N727&lt;0,O727&lt;0)),1,0)</f>
        <v>1</v>
      </c>
      <c r="Q727" s="460">
        <f>WEEKNUM(tblResultadosNBA[[#This Row],[Fecha]],2)</f>
        <v>5</v>
      </c>
      <c r="R727" s="460" t="str">
        <f>TEXT(tblResultadosNBA[[#This Row],[Fecha]],"mmm")</f>
        <v>ene</v>
      </c>
    </row>
    <row r="728" spans="1:18">
      <c r="A728" s="439">
        <v>46053</v>
      </c>
      <c r="B728" s="302" t="s">
        <v>322</v>
      </c>
      <c r="C728" s="177" t="str">
        <f t="shared" si="764"/>
        <v>New Orleans Pelicans</v>
      </c>
      <c r="D728" s="177">
        <v>110</v>
      </c>
      <c r="E728" s="336">
        <v>114</v>
      </c>
      <c r="F728" s="327">
        <f t="shared" si="765"/>
        <v>1</v>
      </c>
      <c r="G728" s="177" t="str">
        <f t="shared" si="766"/>
        <v>Philadelphia 76ers</v>
      </c>
      <c r="H728" s="177">
        <v>119</v>
      </c>
      <c r="I728" s="336">
        <v>124</v>
      </c>
      <c r="J728" s="327">
        <f t="shared" si="767"/>
        <v>1</v>
      </c>
      <c r="K728" s="177">
        <f t="shared" si="768"/>
        <v>229</v>
      </c>
      <c r="L728" s="336">
        <f t="shared" si="769"/>
        <v>238</v>
      </c>
      <c r="M728" s="327">
        <f t="shared" si="770"/>
        <v>1</v>
      </c>
      <c r="N728" s="337">
        <f t="shared" si="771"/>
        <v>9</v>
      </c>
      <c r="O728" s="395">
        <f t="shared" si="772"/>
        <v>10</v>
      </c>
      <c r="P728" s="289">
        <f t="shared" si="773"/>
        <v>1</v>
      </c>
      <c r="Q728" s="460">
        <f>WEEKNUM(tblResultadosNBA[[#This Row],[Fecha]],2)</f>
        <v>5</v>
      </c>
      <c r="R728" s="460" t="str">
        <f>TEXT(tblResultadosNBA[[#This Row],[Fecha]],"mmm")</f>
        <v>ene</v>
      </c>
    </row>
    <row r="729" spans="1:18">
      <c r="A729" s="439">
        <v>46053</v>
      </c>
      <c r="B729" s="302" t="s">
        <v>323</v>
      </c>
      <c r="C729" s="177" t="str">
        <f t="shared" si="764"/>
        <v>Chicago Bulls</v>
      </c>
      <c r="D729" s="177">
        <v>114</v>
      </c>
      <c r="E729" s="336">
        <v>125</v>
      </c>
      <c r="F729" s="327">
        <f t="shared" si="765"/>
        <v>1</v>
      </c>
      <c r="G729" s="177" t="str">
        <f t="shared" si="766"/>
        <v>Miami Heat</v>
      </c>
      <c r="H729" s="177">
        <v>120</v>
      </c>
      <c r="I729" s="336">
        <v>118</v>
      </c>
      <c r="J729" s="327">
        <f t="shared" si="767"/>
        <v>0</v>
      </c>
      <c r="K729" s="177">
        <f t="shared" si="768"/>
        <v>234</v>
      </c>
      <c r="L729" s="336">
        <f t="shared" si="769"/>
        <v>243</v>
      </c>
      <c r="M729" s="327">
        <f t="shared" si="770"/>
        <v>1</v>
      </c>
      <c r="N729" s="337">
        <f t="shared" si="771"/>
        <v>6</v>
      </c>
      <c r="O729" s="395">
        <f t="shared" si="772"/>
        <v>-7</v>
      </c>
      <c r="P729" s="289">
        <f t="shared" si="773"/>
        <v>0</v>
      </c>
      <c r="Q729" s="460">
        <f>WEEKNUM(tblResultadosNBA[[#This Row],[Fecha]],2)</f>
        <v>5</v>
      </c>
      <c r="R729" s="460" t="str">
        <f>TEXT(tblResultadosNBA[[#This Row],[Fecha]],"mmm")</f>
        <v>ene</v>
      </c>
    </row>
    <row r="730" spans="1:18">
      <c r="A730" s="439">
        <v>46053</v>
      </c>
      <c r="B730" s="302" t="s">
        <v>907</v>
      </c>
      <c r="C730" s="177" t="str">
        <f t="shared" si="764"/>
        <v>Minnesota Timberwolves</v>
      </c>
      <c r="D730" s="177">
        <v>120</v>
      </c>
      <c r="E730" s="336">
        <v>131</v>
      </c>
      <c r="F730" s="327">
        <f t="shared" si="765"/>
        <v>1</v>
      </c>
      <c r="G730" s="177" t="str">
        <f t="shared" si="766"/>
        <v>Memphis Grizzlies</v>
      </c>
      <c r="H730" s="177">
        <v>116</v>
      </c>
      <c r="I730" s="336">
        <v>114</v>
      </c>
      <c r="J730" s="327">
        <f t="shared" si="767"/>
        <v>0</v>
      </c>
      <c r="K730" s="177">
        <f t="shared" si="768"/>
        <v>236</v>
      </c>
      <c r="L730" s="336">
        <f t="shared" si="769"/>
        <v>245</v>
      </c>
      <c r="M730" s="327">
        <f t="shared" si="770"/>
        <v>1</v>
      </c>
      <c r="N730" s="337">
        <f t="shared" si="771"/>
        <v>-4</v>
      </c>
      <c r="O730" s="395">
        <f t="shared" si="772"/>
        <v>-17</v>
      </c>
      <c r="P730" s="289">
        <f t="shared" si="773"/>
        <v>1</v>
      </c>
      <c r="Q730" s="460">
        <f>WEEKNUM(tblResultadosNBA[[#This Row],[Fecha]],2)</f>
        <v>5</v>
      </c>
      <c r="R730" s="460" t="str">
        <f>TEXT(tblResultadosNBA[[#This Row],[Fecha]],"mmm")</f>
        <v>ene</v>
      </c>
    </row>
    <row r="731" spans="1:18">
      <c r="A731" s="446">
        <v>46053</v>
      </c>
      <c r="B731" s="331" t="s">
        <v>722</v>
      </c>
      <c r="C731" s="286" t="str">
        <f t="shared" si="764"/>
        <v>Dallas Mavericks</v>
      </c>
      <c r="D731" s="286">
        <v>111</v>
      </c>
      <c r="E731" s="431">
        <v>107</v>
      </c>
      <c r="F731" s="332">
        <f t="shared" si="765"/>
        <v>0</v>
      </c>
      <c r="G731" s="286" t="str">
        <f t="shared" si="766"/>
        <v>Houston Rockets</v>
      </c>
      <c r="H731" s="286">
        <v>116</v>
      </c>
      <c r="I731" s="431">
        <v>111</v>
      </c>
      <c r="J731" s="332">
        <f t="shared" si="767"/>
        <v>0</v>
      </c>
      <c r="K731" s="286">
        <f t="shared" si="768"/>
        <v>227</v>
      </c>
      <c r="L731" s="431">
        <f t="shared" si="769"/>
        <v>218</v>
      </c>
      <c r="M731" s="332">
        <f t="shared" si="770"/>
        <v>0</v>
      </c>
      <c r="N731" s="432">
        <f t="shared" si="771"/>
        <v>5</v>
      </c>
      <c r="O731" s="451">
        <f t="shared" si="772"/>
        <v>4</v>
      </c>
      <c r="P731" s="433">
        <f t="shared" si="773"/>
        <v>1</v>
      </c>
      <c r="Q731" s="460">
        <f>WEEKNUM(tblResultadosNBA[[#This Row],[Fecha]],2)</f>
        <v>5</v>
      </c>
      <c r="R731" s="460" t="str">
        <f>TEXT(tblResultadosNBA[[#This Row],[Fecha]],"mmm")</f>
        <v>ene</v>
      </c>
    </row>
    <row r="732" spans="1:18">
      <c r="A732" s="439">
        <v>46054</v>
      </c>
      <c r="B732" s="422" t="s">
        <v>324</v>
      </c>
      <c r="C732" s="341" t="str">
        <f>LEFT(B732,FIND("@",B732)-2)</f>
        <v>Milwaukee Bucks</v>
      </c>
      <c r="D732" s="341">
        <v>108</v>
      </c>
      <c r="E732" s="342">
        <v>79</v>
      </c>
      <c r="F732" s="333">
        <f>IF(E732&gt;D732, 1, 0)</f>
        <v>0</v>
      </c>
      <c r="G732" s="341" t="str">
        <f>MID(B732,FIND("@",B732)+2,LEN(B732)-FIND("@",B732)-1)</f>
        <v>Boston Celtics</v>
      </c>
      <c r="H732" s="341">
        <v>118</v>
      </c>
      <c r="I732" s="342">
        <v>107</v>
      </c>
      <c r="J732" s="333">
        <f>IF(I732&gt;H732, 1, 0)</f>
        <v>0</v>
      </c>
      <c r="K732" s="341">
        <f>+D732+H732</f>
        <v>226</v>
      </c>
      <c r="L732" s="342">
        <f>E732+I732</f>
        <v>186</v>
      </c>
      <c r="M732" s="333">
        <f>IF(L732&gt;K732, 1, 0)</f>
        <v>0</v>
      </c>
      <c r="N732" s="343">
        <f>(+H732-D732)</f>
        <v>10</v>
      </c>
      <c r="O732" s="449">
        <f>I732-E732</f>
        <v>28</v>
      </c>
      <c r="P732" s="289">
        <f>IF(OR(AND(N732&gt;0,O732&gt;0),AND(N732&lt;0,O732&lt;0)),1,0)</f>
        <v>1</v>
      </c>
      <c r="Q732" s="460">
        <f>WEEKNUM(tblResultadosNBA[[#This Row],[Fecha]],2)</f>
        <v>5</v>
      </c>
      <c r="R732" s="460" t="str">
        <f>TEXT(tblResultadosNBA[[#This Row],[Fecha]],"mmm")</f>
        <v>feb</v>
      </c>
    </row>
    <row r="733" spans="1:18">
      <c r="A733" s="439">
        <v>46054</v>
      </c>
      <c r="B733" s="302" t="s">
        <v>438</v>
      </c>
      <c r="C733" s="177" t="str">
        <f t="shared" ref="C733:C741" si="774">LEFT(B733,FIND("@",B733)-2)</f>
        <v>Brooklyn Nets</v>
      </c>
      <c r="D733" s="177">
        <v>110</v>
      </c>
      <c r="E733" s="336">
        <v>77</v>
      </c>
      <c r="F733" s="327">
        <f t="shared" ref="F733:F741" si="775">IF(E733&gt;D733, 1, 0)</f>
        <v>0</v>
      </c>
      <c r="G733" s="177" t="str">
        <f t="shared" ref="G733:G741" si="776">MID(B733,FIND("@",B733)+2,LEN(B733)-FIND("@",B733)-1)</f>
        <v>Detroit Pistons</v>
      </c>
      <c r="H733" s="177">
        <v>108</v>
      </c>
      <c r="I733" s="336">
        <v>130</v>
      </c>
      <c r="J733" s="327">
        <f t="shared" ref="J733:J741" si="777">IF(I733&gt;H733, 1, 0)</f>
        <v>1</v>
      </c>
      <c r="K733" s="177">
        <f t="shared" ref="K733:K741" si="778">+D733+H733</f>
        <v>218</v>
      </c>
      <c r="L733" s="336">
        <f t="shared" ref="L733:L741" si="779">E733+I733</f>
        <v>207</v>
      </c>
      <c r="M733" s="327">
        <f t="shared" ref="M733:M741" si="780">IF(L733&gt;K733, 1, 0)</f>
        <v>0</v>
      </c>
      <c r="N733" s="337">
        <f t="shared" ref="N733:N741" si="781">(+H733-D733)</f>
        <v>-2</v>
      </c>
      <c r="O733" s="395">
        <f t="shared" ref="O733:O741" si="782">I733-E733</f>
        <v>53</v>
      </c>
      <c r="P733" s="289">
        <f t="shared" ref="P733:P741" si="783">IF(OR(AND(N733&gt;0,O733&gt;0),AND(N733&lt;0,O733&lt;0)),1,0)</f>
        <v>0</v>
      </c>
      <c r="Q733" s="460">
        <f>WEEKNUM(tblResultadosNBA[[#This Row],[Fecha]],2)</f>
        <v>5</v>
      </c>
      <c r="R733" s="460" t="str">
        <f>TEXT(tblResultadosNBA[[#This Row],[Fecha]],"mmm")</f>
        <v>feb</v>
      </c>
    </row>
    <row r="734" spans="1:18">
      <c r="A734" s="439">
        <v>46054</v>
      </c>
      <c r="B734" s="302" t="s">
        <v>323</v>
      </c>
      <c r="C734" s="177" t="str">
        <f t="shared" si="774"/>
        <v>Chicago Bulls</v>
      </c>
      <c r="D734" s="177">
        <v>111</v>
      </c>
      <c r="E734" s="336">
        <v>91</v>
      </c>
      <c r="F734" s="327">
        <f t="shared" si="775"/>
        <v>0</v>
      </c>
      <c r="G734" s="177" t="str">
        <f t="shared" si="776"/>
        <v>Miami Heat</v>
      </c>
      <c r="H734" s="177">
        <v>118</v>
      </c>
      <c r="I734" s="336">
        <v>134</v>
      </c>
      <c r="J734" s="327">
        <f t="shared" si="777"/>
        <v>1</v>
      </c>
      <c r="K734" s="177">
        <f t="shared" si="778"/>
        <v>229</v>
      </c>
      <c r="L734" s="336">
        <f t="shared" si="779"/>
        <v>225</v>
      </c>
      <c r="M734" s="327">
        <f t="shared" si="780"/>
        <v>0</v>
      </c>
      <c r="N734" s="337">
        <f t="shared" si="781"/>
        <v>7</v>
      </c>
      <c r="O734" s="395">
        <f t="shared" si="782"/>
        <v>43</v>
      </c>
      <c r="P734" s="289">
        <f t="shared" si="783"/>
        <v>1</v>
      </c>
      <c r="Q734" s="460">
        <f>WEEKNUM(tblResultadosNBA[[#This Row],[Fecha]],2)</f>
        <v>5</v>
      </c>
      <c r="R734" s="460" t="str">
        <f>TEXT(tblResultadosNBA[[#This Row],[Fecha]],"mmm")</f>
        <v>feb</v>
      </c>
    </row>
    <row r="735" spans="1:18">
      <c r="A735" s="439">
        <v>46054</v>
      </c>
      <c r="B735" s="302" t="s">
        <v>325</v>
      </c>
      <c r="C735" s="177" t="str">
        <f t="shared" si="774"/>
        <v>Utah Jazz</v>
      </c>
      <c r="D735" s="177">
        <v>114</v>
      </c>
      <c r="E735" s="336">
        <v>100</v>
      </c>
      <c r="F735" s="327">
        <f t="shared" si="775"/>
        <v>0</v>
      </c>
      <c r="G735" s="177" t="str">
        <f t="shared" si="776"/>
        <v>Toronto Raptors</v>
      </c>
      <c r="H735" s="177">
        <v>120</v>
      </c>
      <c r="I735" s="336">
        <v>107</v>
      </c>
      <c r="J735" s="327">
        <f t="shared" si="777"/>
        <v>0</v>
      </c>
      <c r="K735" s="177">
        <f t="shared" si="778"/>
        <v>234</v>
      </c>
      <c r="L735" s="336">
        <f t="shared" si="779"/>
        <v>207</v>
      </c>
      <c r="M735" s="327">
        <f t="shared" si="780"/>
        <v>0</v>
      </c>
      <c r="N735" s="337">
        <f t="shared" si="781"/>
        <v>6</v>
      </c>
      <c r="O735" s="395">
        <f t="shared" si="782"/>
        <v>7</v>
      </c>
      <c r="P735" s="289">
        <f t="shared" si="783"/>
        <v>1</v>
      </c>
      <c r="Q735" s="460">
        <f>WEEKNUM(tblResultadosNBA[[#This Row],[Fecha]],2)</f>
        <v>5</v>
      </c>
      <c r="R735" s="460" t="str">
        <f>TEXT(tblResultadosNBA[[#This Row],[Fecha]],"mmm")</f>
        <v>feb</v>
      </c>
    </row>
    <row r="736" spans="1:18">
      <c r="A736" s="439">
        <v>46054</v>
      </c>
      <c r="B736" s="302" t="s">
        <v>908</v>
      </c>
      <c r="C736" s="177" t="str">
        <f t="shared" si="774"/>
        <v>Sacramento Kings</v>
      </c>
      <c r="D736" s="177">
        <v>117</v>
      </c>
      <c r="E736" s="336">
        <v>112</v>
      </c>
      <c r="F736" s="327">
        <f t="shared" si="775"/>
        <v>0</v>
      </c>
      <c r="G736" s="177" t="str">
        <f t="shared" si="776"/>
        <v>Washington Wizards</v>
      </c>
      <c r="H736" s="177">
        <v>118</v>
      </c>
      <c r="I736" s="336">
        <v>116</v>
      </c>
      <c r="J736" s="327">
        <f t="shared" si="777"/>
        <v>0</v>
      </c>
      <c r="K736" s="177">
        <f t="shared" si="778"/>
        <v>235</v>
      </c>
      <c r="L736" s="336">
        <f t="shared" si="779"/>
        <v>228</v>
      </c>
      <c r="M736" s="327">
        <f t="shared" si="780"/>
        <v>0</v>
      </c>
      <c r="N736" s="337">
        <f t="shared" si="781"/>
        <v>1</v>
      </c>
      <c r="O736" s="395">
        <f t="shared" si="782"/>
        <v>4</v>
      </c>
      <c r="P736" s="289">
        <f t="shared" si="783"/>
        <v>1</v>
      </c>
      <c r="Q736" s="460">
        <f>WEEKNUM(tblResultadosNBA[[#This Row],[Fecha]],2)</f>
        <v>5</v>
      </c>
      <c r="R736" s="460" t="str">
        <f>TEXT(tblResultadosNBA[[#This Row],[Fecha]],"mmm")</f>
        <v>feb</v>
      </c>
    </row>
    <row r="737" spans="1:18">
      <c r="A737" s="439">
        <v>46054</v>
      </c>
      <c r="B737" s="302" t="s">
        <v>326</v>
      </c>
      <c r="C737" s="177" t="str">
        <f t="shared" si="774"/>
        <v>Orlando Magic</v>
      </c>
      <c r="D737" s="177">
        <v>111</v>
      </c>
      <c r="E737" s="336">
        <v>103</v>
      </c>
      <c r="F737" s="327">
        <f t="shared" si="775"/>
        <v>0</v>
      </c>
      <c r="G737" s="177" t="str">
        <f t="shared" si="776"/>
        <v>San Antonio Spurs</v>
      </c>
      <c r="H737" s="177">
        <v>115</v>
      </c>
      <c r="I737" s="336">
        <v>112</v>
      </c>
      <c r="J737" s="327">
        <f t="shared" si="777"/>
        <v>0</v>
      </c>
      <c r="K737" s="177">
        <f t="shared" si="778"/>
        <v>226</v>
      </c>
      <c r="L737" s="336">
        <f t="shared" si="779"/>
        <v>215</v>
      </c>
      <c r="M737" s="327">
        <f t="shared" si="780"/>
        <v>0</v>
      </c>
      <c r="N737" s="337">
        <f t="shared" si="781"/>
        <v>4</v>
      </c>
      <c r="O737" s="395">
        <f t="shared" si="782"/>
        <v>9</v>
      </c>
      <c r="P737" s="289">
        <f t="shared" si="783"/>
        <v>1</v>
      </c>
      <c r="Q737" s="460">
        <f>WEEKNUM(tblResultadosNBA[[#This Row],[Fecha]],2)</f>
        <v>5</v>
      </c>
      <c r="R737" s="460" t="str">
        <f>TEXT(tblResultadosNBA[[#This Row],[Fecha]],"mmm")</f>
        <v>feb</v>
      </c>
    </row>
    <row r="738" spans="1:18">
      <c r="A738" s="439">
        <v>46054</v>
      </c>
      <c r="B738" s="302" t="s">
        <v>327</v>
      </c>
      <c r="C738" s="177" t="str">
        <f t="shared" si="774"/>
        <v>Los Angeles Lakers</v>
      </c>
      <c r="D738" s="177">
        <v>114</v>
      </c>
      <c r="E738" s="336">
        <v>100</v>
      </c>
      <c r="F738" s="327">
        <f t="shared" si="775"/>
        <v>0</v>
      </c>
      <c r="G738" s="177" t="str">
        <f t="shared" si="776"/>
        <v>New York Knicks</v>
      </c>
      <c r="H738" s="177">
        <v>115</v>
      </c>
      <c r="I738" s="336">
        <v>112</v>
      </c>
      <c r="J738" s="327">
        <f t="shared" si="777"/>
        <v>0</v>
      </c>
      <c r="K738" s="177">
        <f t="shared" si="778"/>
        <v>229</v>
      </c>
      <c r="L738" s="336">
        <f t="shared" si="779"/>
        <v>212</v>
      </c>
      <c r="M738" s="327">
        <f t="shared" si="780"/>
        <v>0</v>
      </c>
      <c r="N738" s="337">
        <f t="shared" si="781"/>
        <v>1</v>
      </c>
      <c r="O738" s="395">
        <f t="shared" si="782"/>
        <v>12</v>
      </c>
      <c r="P738" s="289">
        <f t="shared" si="783"/>
        <v>1</v>
      </c>
      <c r="Q738" s="460">
        <f>WEEKNUM(tblResultadosNBA[[#This Row],[Fecha]],2)</f>
        <v>5</v>
      </c>
      <c r="R738" s="460" t="str">
        <f>TEXT(tblResultadosNBA[[#This Row],[Fecha]],"mmm")</f>
        <v>feb</v>
      </c>
    </row>
    <row r="739" spans="1:18">
      <c r="A739" s="439">
        <v>46054</v>
      </c>
      <c r="B739" s="302" t="s">
        <v>328</v>
      </c>
      <c r="C739" s="177" t="str">
        <f t="shared" si="774"/>
        <v>LA Clippers</v>
      </c>
      <c r="D739" s="177">
        <v>113</v>
      </c>
      <c r="E739" s="336">
        <v>117</v>
      </c>
      <c r="F739" s="327">
        <f t="shared" si="775"/>
        <v>1</v>
      </c>
      <c r="G739" s="177" t="str">
        <f t="shared" si="776"/>
        <v>Phoenix Suns</v>
      </c>
      <c r="H739" s="177">
        <v>113</v>
      </c>
      <c r="I739" s="336">
        <v>93</v>
      </c>
      <c r="J739" s="327">
        <f t="shared" si="777"/>
        <v>0</v>
      </c>
      <c r="K739" s="177">
        <f t="shared" si="778"/>
        <v>226</v>
      </c>
      <c r="L739" s="336">
        <f t="shared" si="779"/>
        <v>210</v>
      </c>
      <c r="M739" s="327">
        <f t="shared" si="780"/>
        <v>0</v>
      </c>
      <c r="N739" s="337">
        <f t="shared" si="781"/>
        <v>0</v>
      </c>
      <c r="O739" s="395">
        <f t="shared" si="782"/>
        <v>-24</v>
      </c>
      <c r="P739" s="289">
        <f t="shared" si="783"/>
        <v>0</v>
      </c>
      <c r="Q739" s="460">
        <f>WEEKNUM(tblResultadosNBA[[#This Row],[Fecha]],2)</f>
        <v>5</v>
      </c>
      <c r="R739" s="460" t="str">
        <f>TEXT(tblResultadosNBA[[#This Row],[Fecha]],"mmm")</f>
        <v>feb</v>
      </c>
    </row>
    <row r="740" spans="1:18">
      <c r="A740" s="439">
        <v>46054</v>
      </c>
      <c r="B740" s="302" t="s">
        <v>909</v>
      </c>
      <c r="C740" s="177" t="str">
        <f t="shared" si="774"/>
        <v>Cleveland Cavaliers</v>
      </c>
      <c r="D740" s="177">
        <v>119</v>
      </c>
      <c r="E740" s="336">
        <v>130</v>
      </c>
      <c r="F740" s="327">
        <f t="shared" si="775"/>
        <v>1</v>
      </c>
      <c r="G740" s="177" t="str">
        <f t="shared" si="776"/>
        <v>Portland Trail Blazers</v>
      </c>
      <c r="H740" s="177">
        <v>116</v>
      </c>
      <c r="I740" s="336">
        <v>111</v>
      </c>
      <c r="J740" s="327">
        <f t="shared" si="777"/>
        <v>0</v>
      </c>
      <c r="K740" s="177">
        <f t="shared" si="778"/>
        <v>235</v>
      </c>
      <c r="L740" s="336">
        <f t="shared" si="779"/>
        <v>241</v>
      </c>
      <c r="M740" s="327">
        <f t="shared" si="780"/>
        <v>1</v>
      </c>
      <c r="N740" s="337">
        <f t="shared" si="781"/>
        <v>-3</v>
      </c>
      <c r="O740" s="395">
        <f t="shared" si="782"/>
        <v>-19</v>
      </c>
      <c r="P740" s="289">
        <f t="shared" si="783"/>
        <v>1</v>
      </c>
      <c r="Q740" s="460">
        <f>WEEKNUM(tblResultadosNBA[[#This Row],[Fecha]],2)</f>
        <v>5</v>
      </c>
      <c r="R740" s="460" t="str">
        <f>TEXT(tblResultadosNBA[[#This Row],[Fecha]],"mmm")</f>
        <v>feb</v>
      </c>
    </row>
    <row r="741" spans="1:18">
      <c r="A741" s="446">
        <v>46054</v>
      </c>
      <c r="B741" s="331" t="s">
        <v>582</v>
      </c>
      <c r="C741" s="286" t="str">
        <f t="shared" si="774"/>
        <v>Oklahoma City Thunder</v>
      </c>
      <c r="D741" s="286">
        <v>114</v>
      </c>
      <c r="E741" s="431">
        <v>121</v>
      </c>
      <c r="F741" s="332">
        <f t="shared" si="775"/>
        <v>1</v>
      </c>
      <c r="G741" s="286" t="str">
        <f t="shared" si="776"/>
        <v>Denver Nuggets</v>
      </c>
      <c r="H741" s="286">
        <v>115</v>
      </c>
      <c r="I741" s="431">
        <v>111</v>
      </c>
      <c r="J741" s="332">
        <f t="shared" si="777"/>
        <v>0</v>
      </c>
      <c r="K741" s="286">
        <f t="shared" si="778"/>
        <v>229</v>
      </c>
      <c r="L741" s="431">
        <f t="shared" si="779"/>
        <v>232</v>
      </c>
      <c r="M741" s="332">
        <f t="shared" si="780"/>
        <v>1</v>
      </c>
      <c r="N741" s="432">
        <f t="shared" si="781"/>
        <v>1</v>
      </c>
      <c r="O741" s="451">
        <f t="shared" si="782"/>
        <v>-10</v>
      </c>
      <c r="P741" s="433">
        <f t="shared" si="783"/>
        <v>0</v>
      </c>
      <c r="Q741" s="460">
        <f>WEEKNUM(tblResultadosNBA[[#This Row],[Fecha]],2)</f>
        <v>5</v>
      </c>
      <c r="R741" s="460" t="str">
        <f>TEXT(tblResultadosNBA[[#This Row],[Fecha]],"mmm")</f>
        <v>feb</v>
      </c>
    </row>
    <row r="742" spans="1:18">
      <c r="A742" s="439">
        <v>46055</v>
      </c>
      <c r="B742" s="422" t="s">
        <v>910</v>
      </c>
      <c r="C742" s="341" t="str">
        <f>LEFT(B742,FIND("@",B742)-2)</f>
        <v>New Orleans Pelicans</v>
      </c>
      <c r="D742" s="341">
        <v>117</v>
      </c>
      <c r="E742" s="342">
        <v>95</v>
      </c>
      <c r="F742" s="333">
        <f>IF(E742&gt;D742, 1, 0)</f>
        <v>0</v>
      </c>
      <c r="G742" s="341" t="str">
        <f>MID(B742,FIND("@",B742)+2,LEN(B742)-FIND("@",B742)-1)</f>
        <v>Charlotte Hornets</v>
      </c>
      <c r="H742" s="341">
        <v>120</v>
      </c>
      <c r="I742" s="342">
        <v>102</v>
      </c>
      <c r="J742" s="333">
        <f>IF(I742&gt;H742, 1, 0)</f>
        <v>0</v>
      </c>
      <c r="K742" s="341">
        <f>+D742+H742</f>
        <v>237</v>
      </c>
      <c r="L742" s="342">
        <f>E742+I742</f>
        <v>197</v>
      </c>
      <c r="M742" s="333">
        <f>IF(L742&gt;K742, 1, 0)</f>
        <v>0</v>
      </c>
      <c r="N742" s="343">
        <f>(+H742-D742)</f>
        <v>3</v>
      </c>
      <c r="O742" s="449">
        <f>I742-E742</f>
        <v>7</v>
      </c>
      <c r="P742" s="289">
        <f>IF(OR(AND(N742&gt;0,O742&gt;0),AND(N742&lt;0,O742&lt;0)),1,0)</f>
        <v>1</v>
      </c>
      <c r="Q742" s="460">
        <f>WEEKNUM(tblResultadosNBA[[#This Row],[Fecha]],2)</f>
        <v>6</v>
      </c>
      <c r="R742" s="460" t="str">
        <f>TEXT(tblResultadosNBA[[#This Row],[Fecha]],"mmm")</f>
        <v>feb</v>
      </c>
    </row>
    <row r="743" spans="1:18">
      <c r="A743" s="439">
        <v>46055</v>
      </c>
      <c r="B743" s="302" t="s">
        <v>329</v>
      </c>
      <c r="C743" s="177" t="str">
        <f t="shared" ref="C743:C745" si="784">LEFT(B743,FIND("@",B743)-2)</f>
        <v>Houston Rockets</v>
      </c>
      <c r="D743" s="177">
        <v>119</v>
      </c>
      <c r="E743" s="336">
        <v>118</v>
      </c>
      <c r="F743" s="327">
        <f t="shared" ref="F743:F745" si="785">IF(E743&gt;D743, 1, 0)</f>
        <v>0</v>
      </c>
      <c r="G743" s="177" t="str">
        <f t="shared" ref="G743:G745" si="786">MID(B743,FIND("@",B743)+2,LEN(B743)-FIND("@",B743)-1)</f>
        <v>Indiana Pacers</v>
      </c>
      <c r="H743" s="177">
        <v>111</v>
      </c>
      <c r="I743" s="336">
        <v>114</v>
      </c>
      <c r="J743" s="327">
        <f t="shared" ref="J743:J745" si="787">IF(I743&gt;H743, 1, 0)</f>
        <v>1</v>
      </c>
      <c r="K743" s="177">
        <f t="shared" ref="K743:K745" si="788">+D743+H743</f>
        <v>230</v>
      </c>
      <c r="L743" s="336">
        <f t="shared" ref="L743:L745" si="789">E743+I743</f>
        <v>232</v>
      </c>
      <c r="M743" s="327">
        <f t="shared" ref="M743:M745" si="790">IF(L743&gt;K743, 1, 0)</f>
        <v>1</v>
      </c>
      <c r="N743" s="337">
        <f t="shared" ref="N743:N745" si="791">(+H743-D743)</f>
        <v>-8</v>
      </c>
      <c r="O743" s="395">
        <f t="shared" ref="O743:O745" si="792">I743-E743</f>
        <v>-4</v>
      </c>
      <c r="P743" s="289">
        <f t="shared" ref="P743:P745" si="793">IF(OR(AND(N743&gt;0,O743&gt;0),AND(N743&lt;0,O743&lt;0)),1,0)</f>
        <v>1</v>
      </c>
      <c r="Q743" s="460">
        <f>WEEKNUM(tblResultadosNBA[[#This Row],[Fecha]],2)</f>
        <v>6</v>
      </c>
      <c r="R743" s="460" t="str">
        <f>TEXT(tblResultadosNBA[[#This Row],[Fecha]],"mmm")</f>
        <v>feb</v>
      </c>
    </row>
    <row r="744" spans="1:18">
      <c r="A744" s="439">
        <v>46055</v>
      </c>
      <c r="B744" s="302" t="s">
        <v>907</v>
      </c>
      <c r="C744" s="177" t="str">
        <f t="shared" si="784"/>
        <v>Minnesota Timberwolves</v>
      </c>
      <c r="D744" s="177">
        <v>119</v>
      </c>
      <c r="E744" s="336">
        <v>128</v>
      </c>
      <c r="F744" s="327">
        <f t="shared" si="785"/>
        <v>1</v>
      </c>
      <c r="G744" s="177" t="str">
        <f t="shared" si="786"/>
        <v>Memphis Grizzlies</v>
      </c>
      <c r="H744" s="177">
        <v>116</v>
      </c>
      <c r="I744" s="336">
        <v>137</v>
      </c>
      <c r="J744" s="327">
        <f t="shared" si="787"/>
        <v>1</v>
      </c>
      <c r="K744" s="177">
        <f t="shared" si="788"/>
        <v>235</v>
      </c>
      <c r="L744" s="336">
        <f t="shared" si="789"/>
        <v>265</v>
      </c>
      <c r="M744" s="327">
        <f t="shared" si="790"/>
        <v>1</v>
      </c>
      <c r="N744" s="337">
        <f t="shared" si="791"/>
        <v>-3</v>
      </c>
      <c r="O744" s="395">
        <f t="shared" si="792"/>
        <v>9</v>
      </c>
      <c r="P744" s="289">
        <f t="shared" si="793"/>
        <v>0</v>
      </c>
      <c r="Q744" s="460">
        <f>WEEKNUM(tblResultadosNBA[[#This Row],[Fecha]],2)</f>
        <v>6</v>
      </c>
      <c r="R744" s="460" t="str">
        <f>TEXT(tblResultadosNBA[[#This Row],[Fecha]],"mmm")</f>
        <v>feb</v>
      </c>
    </row>
    <row r="745" spans="1:18">
      <c r="A745" s="446">
        <v>46055</v>
      </c>
      <c r="B745" s="331" t="s">
        <v>330</v>
      </c>
      <c r="C745" s="286" t="str">
        <f t="shared" si="784"/>
        <v>Philadelphia 76ers</v>
      </c>
      <c r="D745" s="286">
        <v>115</v>
      </c>
      <c r="E745" s="431">
        <v>128</v>
      </c>
      <c r="F745" s="332">
        <f t="shared" si="785"/>
        <v>1</v>
      </c>
      <c r="G745" s="286" t="str">
        <f t="shared" si="786"/>
        <v>LA Clippers</v>
      </c>
      <c r="H745" s="286">
        <v>116</v>
      </c>
      <c r="I745" s="431">
        <v>113</v>
      </c>
      <c r="J745" s="332">
        <f t="shared" si="787"/>
        <v>0</v>
      </c>
      <c r="K745" s="286">
        <f t="shared" si="788"/>
        <v>231</v>
      </c>
      <c r="L745" s="431">
        <f t="shared" si="789"/>
        <v>241</v>
      </c>
      <c r="M745" s="332">
        <f t="shared" si="790"/>
        <v>1</v>
      </c>
      <c r="N745" s="432">
        <f t="shared" si="791"/>
        <v>1</v>
      </c>
      <c r="O745" s="451">
        <f t="shared" si="792"/>
        <v>-15</v>
      </c>
      <c r="P745" s="433">
        <f t="shared" si="793"/>
        <v>0</v>
      </c>
      <c r="Q745" s="460">
        <f>WEEKNUM(tblResultadosNBA[[#This Row],[Fecha]],2)</f>
        <v>6</v>
      </c>
      <c r="R745" s="460" t="str">
        <f>TEXT(tblResultadosNBA[[#This Row],[Fecha]],"mmm")</f>
        <v>feb</v>
      </c>
    </row>
    <row r="746" spans="1:18">
      <c r="A746" s="439">
        <v>46056</v>
      </c>
      <c r="B746" s="422" t="s">
        <v>331</v>
      </c>
      <c r="C746" s="341" t="str">
        <f>LEFT(B746,FIND("@",B746)-2)</f>
        <v>Denver Nuggets</v>
      </c>
      <c r="D746" s="341">
        <v>117</v>
      </c>
      <c r="E746" s="342">
        <v>121</v>
      </c>
      <c r="F746" s="333">
        <f>IF(E746&gt;D746, 1, 0)</f>
        <v>1</v>
      </c>
      <c r="G746" s="341" t="str">
        <f>MID(B746,FIND("@",B746)+2,LEN(B746)-FIND("@",B746)-1)</f>
        <v>Detroit Pistons</v>
      </c>
      <c r="H746" s="341">
        <v>112</v>
      </c>
      <c r="I746" s="342">
        <v>124</v>
      </c>
      <c r="J746" s="333">
        <f>IF(I746&gt;H746, 1, 0)</f>
        <v>1</v>
      </c>
      <c r="K746" s="341">
        <f>+D746+H746</f>
        <v>229</v>
      </c>
      <c r="L746" s="342">
        <f>E746+I746</f>
        <v>245</v>
      </c>
      <c r="M746" s="333">
        <f>IF(L746&gt;K746, 1, 0)</f>
        <v>1</v>
      </c>
      <c r="N746" s="343">
        <f>(+H746-D746)</f>
        <v>-5</v>
      </c>
      <c r="O746" s="449">
        <f>I746-E746</f>
        <v>3</v>
      </c>
      <c r="P746" s="289">
        <f>IF(OR(AND(N746&gt;0,O746&gt;0),AND(N746&lt;0,O746&lt;0)),1,0)</f>
        <v>0</v>
      </c>
      <c r="Q746" s="460">
        <f>WEEKNUM(tblResultadosNBA[[#This Row],[Fecha]],2)</f>
        <v>6</v>
      </c>
      <c r="R746" s="460" t="str">
        <f>TEXT(tblResultadosNBA[[#This Row],[Fecha]],"mmm")</f>
        <v>feb</v>
      </c>
    </row>
    <row r="747" spans="1:18">
      <c r="A747" s="439">
        <v>46056</v>
      </c>
      <c r="B747" s="302" t="s">
        <v>332</v>
      </c>
      <c r="C747" s="177" t="str">
        <f t="shared" ref="C747:C755" si="794">LEFT(B747,FIND("@",B747)-2)</f>
        <v>Utah Jazz</v>
      </c>
      <c r="D747" s="177">
        <v>118</v>
      </c>
      <c r="E747" s="336">
        <v>131</v>
      </c>
      <c r="F747" s="327">
        <f t="shared" ref="F747:F755" si="795">IF(E747&gt;D747, 1, 0)</f>
        <v>1</v>
      </c>
      <c r="G747" s="177" t="str">
        <f t="shared" ref="G747:G755" si="796">MID(B747,FIND("@",B747)+2,LEN(B747)-FIND("@",B747)-1)</f>
        <v>Indiana Pacers</v>
      </c>
      <c r="H747" s="177">
        <v>115</v>
      </c>
      <c r="I747" s="336">
        <v>122</v>
      </c>
      <c r="J747" s="327">
        <f t="shared" ref="J747:J755" si="797">IF(I747&gt;H747, 1, 0)</f>
        <v>1</v>
      </c>
      <c r="K747" s="177">
        <f t="shared" ref="K747:K755" si="798">+D747+H747</f>
        <v>233</v>
      </c>
      <c r="L747" s="336">
        <f t="shared" ref="L747:L755" si="799">E747+I747</f>
        <v>253</v>
      </c>
      <c r="M747" s="327">
        <f t="shared" ref="M747:M755" si="800">IF(L747&gt;K747, 1, 0)</f>
        <v>1</v>
      </c>
      <c r="N747" s="337">
        <f t="shared" ref="N747:N755" si="801">(+H747-D747)</f>
        <v>-3</v>
      </c>
      <c r="O747" s="395">
        <f t="shared" ref="O747:O755" si="802">I747-E747</f>
        <v>-9</v>
      </c>
      <c r="P747" s="289">
        <f t="shared" ref="P747:P755" si="803">IF(OR(AND(N747&gt;0,O747&gt;0),AND(N747&lt;0,O747&lt;0)),1,0)</f>
        <v>1</v>
      </c>
      <c r="Q747" s="460">
        <f>WEEKNUM(tblResultadosNBA[[#This Row],[Fecha]],2)</f>
        <v>6</v>
      </c>
      <c r="R747" s="460" t="str">
        <f>TEXT(tblResultadosNBA[[#This Row],[Fecha]],"mmm")</f>
        <v>feb</v>
      </c>
    </row>
    <row r="748" spans="1:18">
      <c r="A748" s="439">
        <v>46056</v>
      </c>
      <c r="B748" s="302" t="s">
        <v>911</v>
      </c>
      <c r="C748" s="177" t="str">
        <f t="shared" si="794"/>
        <v>New York Knicks</v>
      </c>
      <c r="D748" s="177">
        <v>120</v>
      </c>
      <c r="E748" s="336">
        <v>132</v>
      </c>
      <c r="F748" s="327">
        <f t="shared" si="795"/>
        <v>1</v>
      </c>
      <c r="G748" s="177" t="str">
        <f t="shared" si="796"/>
        <v>Washington Wizards</v>
      </c>
      <c r="H748" s="177">
        <v>113</v>
      </c>
      <c r="I748" s="336">
        <v>101</v>
      </c>
      <c r="J748" s="327">
        <f t="shared" si="797"/>
        <v>0</v>
      </c>
      <c r="K748" s="177">
        <f t="shared" si="798"/>
        <v>233</v>
      </c>
      <c r="L748" s="336">
        <f t="shared" si="799"/>
        <v>233</v>
      </c>
      <c r="M748" s="327">
        <f t="shared" si="800"/>
        <v>0</v>
      </c>
      <c r="N748" s="337">
        <f t="shared" si="801"/>
        <v>-7</v>
      </c>
      <c r="O748" s="395">
        <f t="shared" si="802"/>
        <v>-31</v>
      </c>
      <c r="P748" s="289">
        <f t="shared" si="803"/>
        <v>1</v>
      </c>
      <c r="Q748" s="460">
        <f>WEEKNUM(tblResultadosNBA[[#This Row],[Fecha]],2)</f>
        <v>6</v>
      </c>
      <c r="R748" s="460" t="str">
        <f>TEXT(tblResultadosNBA[[#This Row],[Fecha]],"mmm")</f>
        <v>feb</v>
      </c>
    </row>
    <row r="749" spans="1:18">
      <c r="A749" s="439">
        <v>46056</v>
      </c>
      <c r="B749" s="302" t="s">
        <v>912</v>
      </c>
      <c r="C749" s="177" t="str">
        <f t="shared" si="794"/>
        <v>Los Angeles Lakers</v>
      </c>
      <c r="D749" s="177">
        <v>115</v>
      </c>
      <c r="E749" s="336">
        <v>125</v>
      </c>
      <c r="F749" s="327">
        <f t="shared" si="795"/>
        <v>1</v>
      </c>
      <c r="G749" s="177" t="str">
        <f t="shared" si="796"/>
        <v>Brooklyn Nets</v>
      </c>
      <c r="H749" s="177">
        <v>114</v>
      </c>
      <c r="I749" s="336">
        <v>109</v>
      </c>
      <c r="J749" s="327">
        <f t="shared" si="797"/>
        <v>0</v>
      </c>
      <c r="K749" s="177">
        <f t="shared" si="798"/>
        <v>229</v>
      </c>
      <c r="L749" s="336">
        <f t="shared" si="799"/>
        <v>234</v>
      </c>
      <c r="M749" s="327">
        <f t="shared" si="800"/>
        <v>1</v>
      </c>
      <c r="N749" s="337">
        <f t="shared" si="801"/>
        <v>-1</v>
      </c>
      <c r="O749" s="395">
        <f t="shared" si="802"/>
        <v>-16</v>
      </c>
      <c r="P749" s="289">
        <f t="shared" si="803"/>
        <v>1</v>
      </c>
      <c r="Q749" s="460">
        <f>WEEKNUM(tblResultadosNBA[[#This Row],[Fecha]],2)</f>
        <v>6</v>
      </c>
      <c r="R749" s="460" t="str">
        <f>TEXT(tblResultadosNBA[[#This Row],[Fecha]],"mmm")</f>
        <v>feb</v>
      </c>
    </row>
    <row r="750" spans="1:18">
      <c r="A750" s="439">
        <v>46056</v>
      </c>
      <c r="B750" s="302" t="s">
        <v>333</v>
      </c>
      <c r="C750" s="177" t="str">
        <f t="shared" si="794"/>
        <v>Atlanta Hawks</v>
      </c>
      <c r="D750" s="177">
        <v>114</v>
      </c>
      <c r="E750" s="336">
        <v>127</v>
      </c>
      <c r="F750" s="327">
        <f t="shared" si="795"/>
        <v>1</v>
      </c>
      <c r="G750" s="177" t="str">
        <f t="shared" si="796"/>
        <v>Miami Heat</v>
      </c>
      <c r="H750" s="177">
        <v>120</v>
      </c>
      <c r="I750" s="336">
        <v>115</v>
      </c>
      <c r="J750" s="327">
        <f t="shared" si="797"/>
        <v>0</v>
      </c>
      <c r="K750" s="177">
        <f t="shared" si="798"/>
        <v>234</v>
      </c>
      <c r="L750" s="336">
        <f t="shared" si="799"/>
        <v>242</v>
      </c>
      <c r="M750" s="327">
        <f t="shared" si="800"/>
        <v>1</v>
      </c>
      <c r="N750" s="337">
        <f t="shared" si="801"/>
        <v>6</v>
      </c>
      <c r="O750" s="395">
        <f t="shared" si="802"/>
        <v>-12</v>
      </c>
      <c r="P750" s="289">
        <f t="shared" si="803"/>
        <v>0</v>
      </c>
      <c r="Q750" s="460">
        <f>WEEKNUM(tblResultadosNBA[[#This Row],[Fecha]],2)</f>
        <v>6</v>
      </c>
      <c r="R750" s="460" t="str">
        <f>TEXT(tblResultadosNBA[[#This Row],[Fecha]],"mmm")</f>
        <v>feb</v>
      </c>
    </row>
    <row r="751" spans="1:18">
      <c r="A751" s="439">
        <v>46056</v>
      </c>
      <c r="B751" s="302" t="s">
        <v>334</v>
      </c>
      <c r="C751" s="177" t="str">
        <f t="shared" si="794"/>
        <v>Boston Celtics</v>
      </c>
      <c r="D751" s="177">
        <v>114</v>
      </c>
      <c r="E751" s="336">
        <v>110</v>
      </c>
      <c r="F751" s="327">
        <f t="shared" si="795"/>
        <v>0</v>
      </c>
      <c r="G751" s="177" t="str">
        <f t="shared" si="796"/>
        <v>Dallas Mavericks</v>
      </c>
      <c r="H751" s="177">
        <v>110</v>
      </c>
      <c r="I751" s="336">
        <v>100</v>
      </c>
      <c r="J751" s="327">
        <f t="shared" si="797"/>
        <v>0</v>
      </c>
      <c r="K751" s="177">
        <f t="shared" si="798"/>
        <v>224</v>
      </c>
      <c r="L751" s="336">
        <f t="shared" si="799"/>
        <v>210</v>
      </c>
      <c r="M751" s="327">
        <f t="shared" si="800"/>
        <v>0</v>
      </c>
      <c r="N751" s="337">
        <f t="shared" si="801"/>
        <v>-4</v>
      </c>
      <c r="O751" s="395">
        <f t="shared" si="802"/>
        <v>-10</v>
      </c>
      <c r="P751" s="289">
        <f t="shared" si="803"/>
        <v>1</v>
      </c>
      <c r="Q751" s="460">
        <f>WEEKNUM(tblResultadosNBA[[#This Row],[Fecha]],2)</f>
        <v>6</v>
      </c>
      <c r="R751" s="460" t="str">
        <f>TEXT(tblResultadosNBA[[#This Row],[Fecha]],"mmm")</f>
        <v>feb</v>
      </c>
    </row>
    <row r="752" spans="1:18">
      <c r="A752" s="439">
        <v>46056</v>
      </c>
      <c r="B752" s="302" t="s">
        <v>741</v>
      </c>
      <c r="C752" s="177" t="str">
        <f t="shared" si="794"/>
        <v>Chicago Bulls</v>
      </c>
      <c r="D752" s="177">
        <v>110</v>
      </c>
      <c r="E752" s="336">
        <v>115</v>
      </c>
      <c r="F752" s="327">
        <f t="shared" si="795"/>
        <v>1</v>
      </c>
      <c r="G752" s="177" t="str">
        <f t="shared" si="796"/>
        <v>Milwaukee Bucks</v>
      </c>
      <c r="H752" s="177">
        <v>118</v>
      </c>
      <c r="I752" s="336">
        <v>131</v>
      </c>
      <c r="J752" s="327">
        <f t="shared" si="797"/>
        <v>1</v>
      </c>
      <c r="K752" s="177">
        <f t="shared" si="798"/>
        <v>228</v>
      </c>
      <c r="L752" s="336">
        <f t="shared" si="799"/>
        <v>246</v>
      </c>
      <c r="M752" s="327">
        <f t="shared" si="800"/>
        <v>1</v>
      </c>
      <c r="N752" s="337">
        <f t="shared" si="801"/>
        <v>8</v>
      </c>
      <c r="O752" s="395">
        <f t="shared" si="802"/>
        <v>16</v>
      </c>
      <c r="P752" s="289">
        <f t="shared" si="803"/>
        <v>1</v>
      </c>
      <c r="Q752" s="460">
        <f>WEEKNUM(tblResultadosNBA[[#This Row],[Fecha]],2)</f>
        <v>6</v>
      </c>
      <c r="R752" s="460" t="str">
        <f>TEXT(tblResultadosNBA[[#This Row],[Fecha]],"mmm")</f>
        <v>feb</v>
      </c>
    </row>
    <row r="753" spans="1:18">
      <c r="A753" s="439">
        <v>46056</v>
      </c>
      <c r="B753" s="302" t="s">
        <v>913</v>
      </c>
      <c r="C753" s="177" t="str">
        <f t="shared" si="794"/>
        <v>Orlando Magic</v>
      </c>
      <c r="D753" s="177">
        <v>106</v>
      </c>
      <c r="E753" s="336">
        <v>92</v>
      </c>
      <c r="F753" s="327">
        <f t="shared" si="795"/>
        <v>0</v>
      </c>
      <c r="G753" s="177" t="str">
        <f t="shared" si="796"/>
        <v>Oklahoma City Thunder</v>
      </c>
      <c r="H753" s="177">
        <v>120</v>
      </c>
      <c r="I753" s="336">
        <v>128</v>
      </c>
      <c r="J753" s="327">
        <f t="shared" si="797"/>
        <v>1</v>
      </c>
      <c r="K753" s="177">
        <f t="shared" si="798"/>
        <v>226</v>
      </c>
      <c r="L753" s="336">
        <f t="shared" si="799"/>
        <v>220</v>
      </c>
      <c r="M753" s="327">
        <f t="shared" si="800"/>
        <v>0</v>
      </c>
      <c r="N753" s="337">
        <f t="shared" si="801"/>
        <v>14</v>
      </c>
      <c r="O753" s="395">
        <f t="shared" si="802"/>
        <v>36</v>
      </c>
      <c r="P753" s="289">
        <f t="shared" si="803"/>
        <v>1</v>
      </c>
      <c r="Q753" s="460">
        <f>WEEKNUM(tblResultadosNBA[[#This Row],[Fecha]],2)</f>
        <v>6</v>
      </c>
      <c r="R753" s="460" t="str">
        <f>TEXT(tblResultadosNBA[[#This Row],[Fecha]],"mmm")</f>
        <v>feb</v>
      </c>
    </row>
    <row r="754" spans="1:18">
      <c r="A754" s="439">
        <v>46056</v>
      </c>
      <c r="B754" s="302" t="s">
        <v>914</v>
      </c>
      <c r="C754" s="177" t="str">
        <f t="shared" si="794"/>
        <v>Philadelphia 76ers</v>
      </c>
      <c r="D754" s="177">
        <v>113</v>
      </c>
      <c r="E754" s="336">
        <v>113</v>
      </c>
      <c r="F754" s="327">
        <f t="shared" si="795"/>
        <v>0</v>
      </c>
      <c r="G754" s="177" t="str">
        <f t="shared" si="796"/>
        <v>Golden State Warriors</v>
      </c>
      <c r="H754" s="177">
        <v>117</v>
      </c>
      <c r="I754" s="336">
        <v>94</v>
      </c>
      <c r="J754" s="327">
        <f t="shared" si="797"/>
        <v>0</v>
      </c>
      <c r="K754" s="177">
        <f t="shared" si="798"/>
        <v>230</v>
      </c>
      <c r="L754" s="336">
        <f t="shared" si="799"/>
        <v>207</v>
      </c>
      <c r="M754" s="327">
        <f t="shared" si="800"/>
        <v>0</v>
      </c>
      <c r="N754" s="337">
        <f t="shared" si="801"/>
        <v>4</v>
      </c>
      <c r="O754" s="395">
        <f t="shared" si="802"/>
        <v>-19</v>
      </c>
      <c r="P754" s="289">
        <f t="shared" si="803"/>
        <v>0</v>
      </c>
      <c r="Q754" s="460">
        <f>WEEKNUM(tblResultadosNBA[[#This Row],[Fecha]],2)</f>
        <v>6</v>
      </c>
      <c r="R754" s="460" t="str">
        <f>TEXT(tblResultadosNBA[[#This Row],[Fecha]],"mmm")</f>
        <v>feb</v>
      </c>
    </row>
    <row r="755" spans="1:18">
      <c r="A755" s="446">
        <v>46056</v>
      </c>
      <c r="B755" s="331" t="s">
        <v>335</v>
      </c>
      <c r="C755" s="286" t="str">
        <f t="shared" si="794"/>
        <v>Phoenix Suns</v>
      </c>
      <c r="D755" s="286">
        <v>116</v>
      </c>
      <c r="E755" s="431">
        <v>130</v>
      </c>
      <c r="F755" s="332">
        <f t="shared" si="795"/>
        <v>1</v>
      </c>
      <c r="G755" s="286" t="str">
        <f t="shared" si="796"/>
        <v>Portland Trail Blazers</v>
      </c>
      <c r="H755" s="286">
        <v>115</v>
      </c>
      <c r="I755" s="431">
        <v>125</v>
      </c>
      <c r="J755" s="332">
        <f t="shared" si="797"/>
        <v>1</v>
      </c>
      <c r="K755" s="286">
        <f t="shared" si="798"/>
        <v>231</v>
      </c>
      <c r="L755" s="431">
        <f t="shared" si="799"/>
        <v>255</v>
      </c>
      <c r="M755" s="332">
        <f t="shared" si="800"/>
        <v>1</v>
      </c>
      <c r="N755" s="432">
        <f t="shared" si="801"/>
        <v>-1</v>
      </c>
      <c r="O755" s="451">
        <f t="shared" si="802"/>
        <v>-5</v>
      </c>
      <c r="P755" s="433">
        <f t="shared" si="803"/>
        <v>1</v>
      </c>
      <c r="Q755" s="460">
        <f>WEEKNUM(tblResultadosNBA[[#This Row],[Fecha]],2)</f>
        <v>6</v>
      </c>
      <c r="R755" s="460" t="str">
        <f>TEXT(tblResultadosNBA[[#This Row],[Fecha]],"mmm")</f>
        <v>feb</v>
      </c>
    </row>
    <row r="756" spans="1:18">
      <c r="A756" s="439">
        <v>46057</v>
      </c>
      <c r="B756" s="422" t="s">
        <v>915</v>
      </c>
      <c r="C756" s="341" t="str">
        <f>LEFT(B756,FIND("@",B756)-2)</f>
        <v>Denver Nuggets</v>
      </c>
      <c r="D756" s="341">
        <v>114</v>
      </c>
      <c r="E756" s="342">
        <v>127</v>
      </c>
      <c r="F756" s="333">
        <f>IF(E756&gt;D756, 1, 0)</f>
        <v>1</v>
      </c>
      <c r="G756" s="341" t="str">
        <f>MID(B756,FIND("@",B756)+2,LEN(B756)-FIND("@",B756)-1)</f>
        <v>New York Knicks</v>
      </c>
      <c r="H756" s="341">
        <v>112</v>
      </c>
      <c r="I756" s="342">
        <v>134</v>
      </c>
      <c r="J756" s="333">
        <f>IF(I756&gt;H756, 1, 0)</f>
        <v>1</v>
      </c>
      <c r="K756" s="341">
        <f>+D756+H756</f>
        <v>226</v>
      </c>
      <c r="L756" s="342">
        <f>E756+I756</f>
        <v>261</v>
      </c>
      <c r="M756" s="333">
        <f>IF(L756&gt;K756, 1, 0)</f>
        <v>1</v>
      </c>
      <c r="N756" s="343">
        <f>(+H756-D756)</f>
        <v>-2</v>
      </c>
      <c r="O756" s="449">
        <f>I756-E756</f>
        <v>7</v>
      </c>
      <c r="P756" s="289">
        <f>IF(OR(AND(N756&gt;0,O756&gt;0),AND(N756&lt;0,O756&lt;0)),1,0)</f>
        <v>0</v>
      </c>
      <c r="Q756" s="460">
        <f>WEEKNUM(tblResultadosNBA[[#This Row],[Fecha]],2)</f>
        <v>6</v>
      </c>
      <c r="R756" s="460" t="str">
        <f>TEXT(tblResultadosNBA[[#This Row],[Fecha]],"mmm")</f>
        <v>feb</v>
      </c>
    </row>
    <row r="757" spans="1:18">
      <c r="A757" s="439">
        <v>46057</v>
      </c>
      <c r="B757" s="302" t="s">
        <v>916</v>
      </c>
      <c r="C757" s="177" t="str">
        <f t="shared" ref="C757:C762" si="804">LEFT(B757,FIND("@",B757)-2)</f>
        <v>Minnesota Timberwolves</v>
      </c>
      <c r="D757" s="177">
        <v>117</v>
      </c>
      <c r="E757" s="336">
        <v>128</v>
      </c>
      <c r="F757" s="327">
        <f t="shared" ref="F757:F762" si="805">IF(E757&gt;D757, 1, 0)</f>
        <v>1</v>
      </c>
      <c r="G757" s="177" t="str">
        <f t="shared" ref="G757:G762" si="806">MID(B757,FIND("@",B757)+2,LEN(B757)-FIND("@",B757)-1)</f>
        <v>Toronto Raptors</v>
      </c>
      <c r="H757" s="177">
        <v>119</v>
      </c>
      <c r="I757" s="336">
        <v>126</v>
      </c>
      <c r="J757" s="327">
        <f t="shared" ref="J757:J762" si="807">IF(I757&gt;H757, 1, 0)</f>
        <v>1</v>
      </c>
      <c r="K757" s="177">
        <f t="shared" ref="K757:K762" si="808">+D757+H757</f>
        <v>236</v>
      </c>
      <c r="L757" s="336">
        <f t="shared" ref="L757:L762" si="809">E757+I757</f>
        <v>254</v>
      </c>
      <c r="M757" s="327">
        <f t="shared" ref="M757:M762" si="810">IF(L757&gt;K757, 1, 0)</f>
        <v>1</v>
      </c>
      <c r="N757" s="337">
        <f t="shared" ref="N757:N762" si="811">(+H757-D757)</f>
        <v>2</v>
      </c>
      <c r="O757" s="395">
        <f t="shared" ref="O757:O762" si="812">I757-E757</f>
        <v>-2</v>
      </c>
      <c r="P757" s="289">
        <f t="shared" ref="P757:P762" si="813">IF(OR(AND(N757&gt;0,O757&gt;0),AND(N757&lt;0,O757&lt;0)),1,0)</f>
        <v>0</v>
      </c>
      <c r="Q757" s="460">
        <f>WEEKNUM(tblResultadosNBA[[#This Row],[Fecha]],2)</f>
        <v>6</v>
      </c>
      <c r="R757" s="460" t="str">
        <f>TEXT(tblResultadosNBA[[#This Row],[Fecha]],"mmm")</f>
        <v>feb</v>
      </c>
    </row>
    <row r="758" spans="1:18">
      <c r="A758" s="439">
        <v>46057</v>
      </c>
      <c r="B758" s="302" t="s">
        <v>917</v>
      </c>
      <c r="C758" s="177" t="str">
        <f t="shared" si="804"/>
        <v>Boston Celtics</v>
      </c>
      <c r="D758" s="177">
        <v>111</v>
      </c>
      <c r="E758" s="336">
        <v>114</v>
      </c>
      <c r="F758" s="327">
        <f t="shared" si="805"/>
        <v>1</v>
      </c>
      <c r="G758" s="177" t="str">
        <f t="shared" si="806"/>
        <v>Houston Rockets</v>
      </c>
      <c r="H758" s="177">
        <v>110</v>
      </c>
      <c r="I758" s="336">
        <v>93</v>
      </c>
      <c r="J758" s="327">
        <f t="shared" si="807"/>
        <v>0</v>
      </c>
      <c r="K758" s="177">
        <f t="shared" si="808"/>
        <v>221</v>
      </c>
      <c r="L758" s="336">
        <f t="shared" si="809"/>
        <v>207</v>
      </c>
      <c r="M758" s="327">
        <f t="shared" si="810"/>
        <v>0</v>
      </c>
      <c r="N758" s="337">
        <f t="shared" si="811"/>
        <v>-1</v>
      </c>
      <c r="O758" s="395">
        <f t="shared" si="812"/>
        <v>-21</v>
      </c>
      <c r="P758" s="289">
        <f t="shared" si="813"/>
        <v>1</v>
      </c>
      <c r="Q758" s="460">
        <f>WEEKNUM(tblResultadosNBA[[#This Row],[Fecha]],2)</f>
        <v>6</v>
      </c>
      <c r="R758" s="460" t="str">
        <f>TEXT(tblResultadosNBA[[#This Row],[Fecha]],"mmm")</f>
        <v>feb</v>
      </c>
    </row>
    <row r="759" spans="1:18">
      <c r="A759" s="439">
        <v>46057</v>
      </c>
      <c r="B759" s="302" t="s">
        <v>918</v>
      </c>
      <c r="C759" s="177" t="str">
        <f t="shared" si="804"/>
        <v>New Orleans Pelicans</v>
      </c>
      <c r="D759" s="177">
        <v>108</v>
      </c>
      <c r="E759" s="336">
        <v>137</v>
      </c>
      <c r="F759" s="327">
        <f t="shared" si="805"/>
        <v>1</v>
      </c>
      <c r="G759" s="177" t="str">
        <f t="shared" si="806"/>
        <v>Milwaukee Bucks</v>
      </c>
      <c r="H759" s="177">
        <v>118</v>
      </c>
      <c r="I759" s="336">
        <v>141</v>
      </c>
      <c r="J759" s="327">
        <f t="shared" si="807"/>
        <v>1</v>
      </c>
      <c r="K759" s="177">
        <f t="shared" si="808"/>
        <v>226</v>
      </c>
      <c r="L759" s="336">
        <f t="shared" si="809"/>
        <v>278</v>
      </c>
      <c r="M759" s="327">
        <f t="shared" si="810"/>
        <v>1</v>
      </c>
      <c r="N759" s="337">
        <f t="shared" si="811"/>
        <v>10</v>
      </c>
      <c r="O759" s="395">
        <f t="shared" si="812"/>
        <v>4</v>
      </c>
      <c r="P759" s="289">
        <f t="shared" si="813"/>
        <v>1</v>
      </c>
      <c r="Q759" s="460">
        <f>WEEKNUM(tblResultadosNBA[[#This Row],[Fecha]],2)</f>
        <v>6</v>
      </c>
      <c r="R759" s="460" t="str">
        <f>TEXT(tblResultadosNBA[[#This Row],[Fecha]],"mmm")</f>
        <v>feb</v>
      </c>
    </row>
    <row r="760" spans="1:18">
      <c r="A760" s="439">
        <v>46057</v>
      </c>
      <c r="B760" s="302" t="s">
        <v>218</v>
      </c>
      <c r="C760" s="177" t="str">
        <f t="shared" si="804"/>
        <v>Oklahoma City Thunder</v>
      </c>
      <c r="D760" s="177">
        <v>115</v>
      </c>
      <c r="E760" s="336">
        <v>106</v>
      </c>
      <c r="F760" s="327">
        <f t="shared" si="805"/>
        <v>0</v>
      </c>
      <c r="G760" s="177" t="str">
        <f t="shared" si="806"/>
        <v>San Antonio Spurs</v>
      </c>
      <c r="H760" s="177">
        <v>113</v>
      </c>
      <c r="I760" s="336">
        <v>116</v>
      </c>
      <c r="J760" s="327">
        <f t="shared" si="807"/>
        <v>1</v>
      </c>
      <c r="K760" s="177">
        <f t="shared" si="808"/>
        <v>228</v>
      </c>
      <c r="L760" s="336">
        <f t="shared" si="809"/>
        <v>222</v>
      </c>
      <c r="M760" s="327">
        <f t="shared" si="810"/>
        <v>0</v>
      </c>
      <c r="N760" s="337">
        <f t="shared" si="811"/>
        <v>-2</v>
      </c>
      <c r="O760" s="395">
        <f t="shared" si="812"/>
        <v>10</v>
      </c>
      <c r="P760" s="289">
        <f t="shared" si="813"/>
        <v>0</v>
      </c>
      <c r="Q760" s="460">
        <f>WEEKNUM(tblResultadosNBA[[#This Row],[Fecha]],2)</f>
        <v>6</v>
      </c>
      <c r="R760" s="460" t="str">
        <f>TEXT(tblResultadosNBA[[#This Row],[Fecha]],"mmm")</f>
        <v>feb</v>
      </c>
    </row>
    <row r="761" spans="1:18">
      <c r="A761" s="439">
        <v>46057</v>
      </c>
      <c r="B761" s="302" t="s">
        <v>124</v>
      </c>
      <c r="C761" s="177" t="str">
        <f t="shared" si="804"/>
        <v>Memphis Grizzlies</v>
      </c>
      <c r="D761" s="177">
        <v>117</v>
      </c>
      <c r="E761" s="336">
        <v>129</v>
      </c>
      <c r="F761" s="327">
        <f t="shared" si="805"/>
        <v>1</v>
      </c>
      <c r="G761" s="177" t="str">
        <f t="shared" si="806"/>
        <v>Sacramento Kings</v>
      </c>
      <c r="H761" s="177">
        <v>113</v>
      </c>
      <c r="I761" s="336">
        <v>125</v>
      </c>
      <c r="J761" s="327">
        <f t="shared" si="807"/>
        <v>1</v>
      </c>
      <c r="K761" s="177">
        <f t="shared" si="808"/>
        <v>230</v>
      </c>
      <c r="L761" s="336">
        <f t="shared" si="809"/>
        <v>254</v>
      </c>
      <c r="M761" s="327">
        <f t="shared" si="810"/>
        <v>1</v>
      </c>
      <c r="N761" s="337">
        <f t="shared" si="811"/>
        <v>-4</v>
      </c>
      <c r="O761" s="395">
        <f t="shared" si="812"/>
        <v>-4</v>
      </c>
      <c r="P761" s="289">
        <f t="shared" si="813"/>
        <v>1</v>
      </c>
      <c r="Q761" s="460">
        <f>WEEKNUM(tblResultadosNBA[[#This Row],[Fecha]],2)</f>
        <v>6</v>
      </c>
      <c r="R761" s="460" t="str">
        <f>TEXT(tblResultadosNBA[[#This Row],[Fecha]],"mmm")</f>
        <v>feb</v>
      </c>
    </row>
    <row r="762" spans="1:18">
      <c r="A762" s="446">
        <v>46057</v>
      </c>
      <c r="B762" s="331" t="s">
        <v>919</v>
      </c>
      <c r="C762" s="286" t="str">
        <f t="shared" si="804"/>
        <v>Cleveland Cavaliers</v>
      </c>
      <c r="D762" s="286">
        <v>114</v>
      </c>
      <c r="E762" s="431">
        <v>124</v>
      </c>
      <c r="F762" s="332">
        <f t="shared" si="805"/>
        <v>1</v>
      </c>
      <c r="G762" s="286" t="str">
        <f t="shared" si="806"/>
        <v>LA Clippers</v>
      </c>
      <c r="H762" s="286">
        <v>118</v>
      </c>
      <c r="I762" s="431">
        <v>91</v>
      </c>
      <c r="J762" s="332">
        <f t="shared" si="807"/>
        <v>0</v>
      </c>
      <c r="K762" s="286">
        <f t="shared" si="808"/>
        <v>232</v>
      </c>
      <c r="L762" s="431">
        <f t="shared" si="809"/>
        <v>215</v>
      </c>
      <c r="M762" s="332">
        <f t="shared" si="810"/>
        <v>0</v>
      </c>
      <c r="N762" s="432">
        <f t="shared" si="811"/>
        <v>4</v>
      </c>
      <c r="O762" s="451">
        <f t="shared" si="812"/>
        <v>-33</v>
      </c>
      <c r="P762" s="433">
        <f t="shared" si="813"/>
        <v>0</v>
      </c>
      <c r="Q762" s="460">
        <f>WEEKNUM(tblResultadosNBA[[#This Row],[Fecha]],2)</f>
        <v>6</v>
      </c>
      <c r="R762" s="460" t="str">
        <f>TEXT(tblResultadosNBA[[#This Row],[Fecha]],"mmm")</f>
        <v>feb</v>
      </c>
    </row>
    <row r="763" spans="1:18">
      <c r="A763" s="439">
        <v>46058</v>
      </c>
      <c r="B763" s="422" t="s">
        <v>20</v>
      </c>
      <c r="C763" s="341" t="str">
        <f>LEFT(B763,FIND("@",B763)-2)</f>
        <v>Washington Wizards</v>
      </c>
      <c r="D763" s="341">
        <v>112</v>
      </c>
      <c r="E763" s="342">
        <v>126</v>
      </c>
      <c r="F763" s="333">
        <f>IF(E763&gt;D763, 1, 0)</f>
        <v>1</v>
      </c>
      <c r="G763" s="341" t="str">
        <f>MID(B763,FIND("@",B763)+2,LEN(B763)-FIND("@",B763)-1)</f>
        <v>Detroit Pistons</v>
      </c>
      <c r="H763" s="341">
        <v>121</v>
      </c>
      <c r="I763" s="342">
        <v>117</v>
      </c>
      <c r="J763" s="333">
        <f>IF(I763&gt;H763, 1, 0)</f>
        <v>0</v>
      </c>
      <c r="K763" s="341">
        <f>+D763+H763</f>
        <v>233</v>
      </c>
      <c r="L763" s="342">
        <f>E763+I763</f>
        <v>243</v>
      </c>
      <c r="M763" s="333">
        <f>IF(L763&gt;K763, 1, 0)</f>
        <v>1</v>
      </c>
      <c r="N763" s="343">
        <f>(+H763-D763)</f>
        <v>9</v>
      </c>
      <c r="O763" s="449">
        <f>I763-E763</f>
        <v>-9</v>
      </c>
      <c r="P763" s="289">
        <f>IF(OR(AND(N763&gt;0,O763&gt;0),AND(N763&lt;0,O763&lt;0)),1,0)</f>
        <v>0</v>
      </c>
      <c r="Q763" s="460">
        <f>WEEKNUM(tblResultadosNBA[[#This Row],[Fecha]],2)</f>
        <v>6</v>
      </c>
      <c r="R763" s="460" t="str">
        <f>TEXT(tblResultadosNBA[[#This Row],[Fecha]],"mmm")</f>
        <v>feb</v>
      </c>
    </row>
    <row r="764" spans="1:18">
      <c r="A764" s="439">
        <v>46058</v>
      </c>
      <c r="B764" s="302" t="s">
        <v>336</v>
      </c>
      <c r="C764" s="177" t="str">
        <f t="shared" ref="C764:C770" si="814">LEFT(B764,FIND("@",B764)-2)</f>
        <v>Brooklyn Nets</v>
      </c>
      <c r="D764" s="177">
        <v>108</v>
      </c>
      <c r="E764" s="336">
        <v>98</v>
      </c>
      <c r="F764" s="327">
        <f t="shared" ref="F764:F770" si="815">IF(E764&gt;D764, 1, 0)</f>
        <v>0</v>
      </c>
      <c r="G764" s="177" t="str">
        <f t="shared" ref="G764:G770" si="816">MID(B764,FIND("@",B764)+2,LEN(B764)-FIND("@",B764)-1)</f>
        <v>Orlando Magic</v>
      </c>
      <c r="H764" s="177">
        <v>107</v>
      </c>
      <c r="I764" s="336">
        <v>118</v>
      </c>
      <c r="J764" s="327">
        <f t="shared" ref="J764:J770" si="817">IF(I764&gt;H764, 1, 0)</f>
        <v>1</v>
      </c>
      <c r="K764" s="177">
        <f t="shared" ref="K764:K770" si="818">+D764+H764</f>
        <v>215</v>
      </c>
      <c r="L764" s="336">
        <f t="shared" ref="L764:L770" si="819">E764+I764</f>
        <v>216</v>
      </c>
      <c r="M764" s="327">
        <f t="shared" ref="M764:M770" si="820">IF(L764&gt;K764, 1, 0)</f>
        <v>1</v>
      </c>
      <c r="N764" s="337">
        <f t="shared" ref="N764:N770" si="821">(+H764-D764)</f>
        <v>-1</v>
      </c>
      <c r="O764" s="395">
        <f t="shared" ref="O764:O770" si="822">I764-E764</f>
        <v>20</v>
      </c>
      <c r="P764" s="289">
        <f t="shared" ref="P764:P770" si="823">IF(OR(AND(N764&gt;0,O764&gt;0),AND(N764&lt;0,O764&lt;0)),1,0)</f>
        <v>0</v>
      </c>
      <c r="Q764" s="460">
        <f>WEEKNUM(tblResultadosNBA[[#This Row],[Fecha]],2)</f>
        <v>6</v>
      </c>
      <c r="R764" s="460" t="str">
        <f>TEXT(tblResultadosNBA[[#This Row],[Fecha]],"mmm")</f>
        <v>feb</v>
      </c>
    </row>
    <row r="765" spans="1:18">
      <c r="A765" s="439">
        <v>46058</v>
      </c>
      <c r="B765" s="302" t="s">
        <v>337</v>
      </c>
      <c r="C765" s="177" t="str">
        <f t="shared" si="814"/>
        <v>Utah Jazz</v>
      </c>
      <c r="D765" s="177">
        <v>118</v>
      </c>
      <c r="E765" s="336">
        <v>119</v>
      </c>
      <c r="F765" s="327">
        <f t="shared" si="815"/>
        <v>1</v>
      </c>
      <c r="G765" s="177" t="str">
        <f t="shared" si="816"/>
        <v>Atlanta Hawks</v>
      </c>
      <c r="H765" s="177">
        <v>119</v>
      </c>
      <c r="I765" s="336">
        <v>121</v>
      </c>
      <c r="J765" s="327">
        <f t="shared" si="817"/>
        <v>1</v>
      </c>
      <c r="K765" s="177">
        <f t="shared" si="818"/>
        <v>237</v>
      </c>
      <c r="L765" s="336">
        <f t="shared" si="819"/>
        <v>240</v>
      </c>
      <c r="M765" s="327">
        <f t="shared" si="820"/>
        <v>1</v>
      </c>
      <c r="N765" s="337">
        <f t="shared" si="821"/>
        <v>1</v>
      </c>
      <c r="O765" s="395">
        <f t="shared" si="822"/>
        <v>2</v>
      </c>
      <c r="P765" s="289">
        <f t="shared" si="823"/>
        <v>1</v>
      </c>
      <c r="Q765" s="460">
        <f>WEEKNUM(tblResultadosNBA[[#This Row],[Fecha]],2)</f>
        <v>6</v>
      </c>
      <c r="R765" s="460" t="str">
        <f>TEXT(tblResultadosNBA[[#This Row],[Fecha]],"mmm")</f>
        <v>feb</v>
      </c>
    </row>
    <row r="766" spans="1:18">
      <c r="A766" s="439">
        <v>46058</v>
      </c>
      <c r="B766" s="302" t="s">
        <v>920</v>
      </c>
      <c r="C766" s="177" t="str">
        <f t="shared" si="814"/>
        <v>Chicago Bulls</v>
      </c>
      <c r="D766" s="177">
        <v>110</v>
      </c>
      <c r="E766" s="336">
        <v>107</v>
      </c>
      <c r="F766" s="327">
        <f t="shared" si="815"/>
        <v>0</v>
      </c>
      <c r="G766" s="177" t="str">
        <f t="shared" si="816"/>
        <v>Toronto Raptors</v>
      </c>
      <c r="H766" s="177">
        <v>118</v>
      </c>
      <c r="I766" s="336">
        <v>123</v>
      </c>
      <c r="J766" s="327">
        <f t="shared" si="817"/>
        <v>1</v>
      </c>
      <c r="K766" s="177">
        <f t="shared" si="818"/>
        <v>228</v>
      </c>
      <c r="L766" s="336">
        <f t="shared" si="819"/>
        <v>230</v>
      </c>
      <c r="M766" s="327">
        <f t="shared" si="820"/>
        <v>1</v>
      </c>
      <c r="N766" s="337">
        <f t="shared" si="821"/>
        <v>8</v>
      </c>
      <c r="O766" s="395">
        <f t="shared" si="822"/>
        <v>16</v>
      </c>
      <c r="P766" s="289">
        <f t="shared" si="823"/>
        <v>1</v>
      </c>
      <c r="Q766" s="460">
        <f>WEEKNUM(tblResultadosNBA[[#This Row],[Fecha]],2)</f>
        <v>6</v>
      </c>
      <c r="R766" s="460" t="str">
        <f>TEXT(tblResultadosNBA[[#This Row],[Fecha]],"mmm")</f>
        <v>feb</v>
      </c>
    </row>
    <row r="767" spans="1:18">
      <c r="A767" s="439">
        <v>46058</v>
      </c>
      <c r="B767" s="302" t="s">
        <v>921</v>
      </c>
      <c r="C767" s="177" t="str">
        <f t="shared" si="814"/>
        <v>Charlotte Hornets</v>
      </c>
      <c r="D767" s="177">
        <v>108</v>
      </c>
      <c r="E767" s="336">
        <v>109</v>
      </c>
      <c r="F767" s="327">
        <f t="shared" si="815"/>
        <v>1</v>
      </c>
      <c r="G767" s="177" t="str">
        <f t="shared" si="816"/>
        <v>Houston Rockets</v>
      </c>
      <c r="H767" s="177">
        <v>116</v>
      </c>
      <c r="I767" s="336">
        <v>99</v>
      </c>
      <c r="J767" s="327">
        <f t="shared" si="817"/>
        <v>0</v>
      </c>
      <c r="K767" s="177">
        <f t="shared" si="818"/>
        <v>224</v>
      </c>
      <c r="L767" s="336">
        <f t="shared" si="819"/>
        <v>208</v>
      </c>
      <c r="M767" s="327">
        <f t="shared" si="820"/>
        <v>0</v>
      </c>
      <c r="N767" s="337">
        <f t="shared" si="821"/>
        <v>8</v>
      </c>
      <c r="O767" s="395">
        <f t="shared" si="822"/>
        <v>-10</v>
      </c>
      <c r="P767" s="289">
        <f t="shared" si="823"/>
        <v>0</v>
      </c>
      <c r="Q767" s="460">
        <f>WEEKNUM(tblResultadosNBA[[#This Row],[Fecha]],2)</f>
        <v>6</v>
      </c>
      <c r="R767" s="460" t="str">
        <f>TEXT(tblResultadosNBA[[#This Row],[Fecha]],"mmm")</f>
        <v>feb</v>
      </c>
    </row>
    <row r="768" spans="1:18">
      <c r="A768" s="439">
        <v>46058</v>
      </c>
      <c r="B768" s="302" t="s">
        <v>338</v>
      </c>
      <c r="C768" s="177" t="str">
        <f t="shared" si="814"/>
        <v>San Antonio Spurs</v>
      </c>
      <c r="D768" s="177">
        <v>113</v>
      </c>
      <c r="E768" s="336">
        <v>135</v>
      </c>
      <c r="F768" s="327">
        <f t="shared" si="815"/>
        <v>1</v>
      </c>
      <c r="G768" s="177" t="str">
        <f t="shared" si="816"/>
        <v>Dallas Mavericks</v>
      </c>
      <c r="H768" s="177">
        <v>112</v>
      </c>
      <c r="I768" s="336">
        <v>123</v>
      </c>
      <c r="J768" s="327">
        <f t="shared" si="817"/>
        <v>1</v>
      </c>
      <c r="K768" s="177">
        <f t="shared" si="818"/>
        <v>225</v>
      </c>
      <c r="L768" s="336">
        <f t="shared" si="819"/>
        <v>258</v>
      </c>
      <c r="M768" s="327">
        <f t="shared" si="820"/>
        <v>1</v>
      </c>
      <c r="N768" s="337">
        <f t="shared" si="821"/>
        <v>-1</v>
      </c>
      <c r="O768" s="395">
        <f t="shared" si="822"/>
        <v>-12</v>
      </c>
      <c r="P768" s="289">
        <f t="shared" si="823"/>
        <v>1</v>
      </c>
      <c r="Q768" s="460">
        <f>WEEKNUM(tblResultadosNBA[[#This Row],[Fecha]],2)</f>
        <v>6</v>
      </c>
      <c r="R768" s="460" t="str">
        <f>TEXT(tblResultadosNBA[[#This Row],[Fecha]],"mmm")</f>
        <v>feb</v>
      </c>
    </row>
    <row r="769" spans="1:18">
      <c r="A769" s="439">
        <v>46058</v>
      </c>
      <c r="B769" s="302" t="s">
        <v>193</v>
      </c>
      <c r="C769" s="177" t="str">
        <f t="shared" si="814"/>
        <v>Golden State Warriors</v>
      </c>
      <c r="D769" s="177">
        <v>115</v>
      </c>
      <c r="E769" s="336">
        <v>101</v>
      </c>
      <c r="F769" s="327">
        <f t="shared" si="815"/>
        <v>0</v>
      </c>
      <c r="G769" s="177" t="str">
        <f t="shared" si="816"/>
        <v>Phoenix Suns</v>
      </c>
      <c r="H769" s="177">
        <v>115</v>
      </c>
      <c r="I769" s="336">
        <v>97</v>
      </c>
      <c r="J769" s="327">
        <f t="shared" si="817"/>
        <v>0</v>
      </c>
      <c r="K769" s="177">
        <f t="shared" si="818"/>
        <v>230</v>
      </c>
      <c r="L769" s="336">
        <f t="shared" si="819"/>
        <v>198</v>
      </c>
      <c r="M769" s="327">
        <f t="shared" si="820"/>
        <v>0</v>
      </c>
      <c r="N769" s="337">
        <f t="shared" si="821"/>
        <v>0</v>
      </c>
      <c r="O769" s="395">
        <f t="shared" si="822"/>
        <v>-4</v>
      </c>
      <c r="P769" s="289">
        <f t="shared" si="823"/>
        <v>0</v>
      </c>
      <c r="Q769" s="460">
        <f>WEEKNUM(tblResultadosNBA[[#This Row],[Fecha]],2)</f>
        <v>6</v>
      </c>
      <c r="R769" s="460" t="str">
        <f>TEXT(tblResultadosNBA[[#This Row],[Fecha]],"mmm")</f>
        <v>feb</v>
      </c>
    </row>
    <row r="770" spans="1:18">
      <c r="A770" s="446">
        <v>46058</v>
      </c>
      <c r="B770" s="331" t="s">
        <v>339</v>
      </c>
      <c r="C770" s="286" t="str">
        <f t="shared" si="814"/>
        <v>Philadelphia 76ers</v>
      </c>
      <c r="D770" s="286">
        <v>113</v>
      </c>
      <c r="E770" s="431">
        <v>115</v>
      </c>
      <c r="F770" s="332">
        <f t="shared" si="815"/>
        <v>1</v>
      </c>
      <c r="G770" s="286" t="str">
        <f t="shared" si="816"/>
        <v>Los Angeles Lakers</v>
      </c>
      <c r="H770" s="286">
        <v>116</v>
      </c>
      <c r="I770" s="431">
        <v>119</v>
      </c>
      <c r="J770" s="332">
        <f t="shared" si="817"/>
        <v>1</v>
      </c>
      <c r="K770" s="286">
        <f t="shared" si="818"/>
        <v>229</v>
      </c>
      <c r="L770" s="431">
        <f t="shared" si="819"/>
        <v>234</v>
      </c>
      <c r="M770" s="332">
        <f t="shared" si="820"/>
        <v>1</v>
      </c>
      <c r="N770" s="432">
        <f t="shared" si="821"/>
        <v>3</v>
      </c>
      <c r="O770" s="451">
        <f t="shared" si="822"/>
        <v>4</v>
      </c>
      <c r="P770" s="433">
        <f t="shared" si="823"/>
        <v>1</v>
      </c>
      <c r="Q770" s="460">
        <f>WEEKNUM(tblResultadosNBA[[#This Row],[Fecha]],2)</f>
        <v>6</v>
      </c>
      <c r="R770" s="460" t="str">
        <f>TEXT(tblResultadosNBA[[#This Row],[Fecha]],"mmm")</f>
        <v>feb</v>
      </c>
    </row>
    <row r="771" spans="1:18">
      <c r="A771" s="439">
        <v>46059</v>
      </c>
      <c r="B771" s="422" t="s">
        <v>195</v>
      </c>
      <c r="C771" s="341" t="str">
        <f>LEFT(B771,FIND("@",B771)-2)</f>
        <v>Miami Heat</v>
      </c>
      <c r="D771" s="341">
        <v>107</v>
      </c>
      <c r="E771" s="342">
        <v>96</v>
      </c>
      <c r="F771" s="333">
        <f>IF(E771&gt;D771, 1, 0)</f>
        <v>0</v>
      </c>
      <c r="G771" s="341" t="str">
        <f>MID(B771,FIND("@",B771)+2,LEN(B771)-FIND("@",B771)-1)</f>
        <v>Boston Celtics</v>
      </c>
      <c r="H771" s="341">
        <v>114</v>
      </c>
      <c r="I771" s="342">
        <v>98</v>
      </c>
      <c r="J771" s="333">
        <f>IF(I771&gt;H771, 1, 0)</f>
        <v>0</v>
      </c>
      <c r="K771" s="341">
        <f>+D771+H771</f>
        <v>221</v>
      </c>
      <c r="L771" s="342">
        <f>E771+I771</f>
        <v>194</v>
      </c>
      <c r="M771" s="333">
        <f>IF(L771&gt;K771, 1, 0)</f>
        <v>0</v>
      </c>
      <c r="N771" s="343">
        <f>(+H771-D771)</f>
        <v>7</v>
      </c>
      <c r="O771" s="449">
        <f>I771-E771</f>
        <v>2</v>
      </c>
      <c r="P771" s="289">
        <f>IF(OR(AND(N771&gt;0,O771&gt;0),AND(N771&lt;0,O771&lt;0)),1,0)</f>
        <v>1</v>
      </c>
      <c r="Q771" s="460">
        <f>WEEKNUM(tblResultadosNBA[[#This Row],[Fecha]],2)</f>
        <v>6</v>
      </c>
      <c r="R771" s="460" t="str">
        <f>TEXT(tblResultadosNBA[[#This Row],[Fecha]],"mmm")</f>
        <v>feb</v>
      </c>
    </row>
    <row r="772" spans="1:18">
      <c r="A772" s="439">
        <v>46059</v>
      </c>
      <c r="B772" s="302" t="s">
        <v>269</v>
      </c>
      <c r="C772" s="177" t="str">
        <f t="shared" ref="C772:C776" si="824">LEFT(B772,FIND("@",B772)-2)</f>
        <v>New York Knicks</v>
      </c>
      <c r="D772" s="177">
        <v>112</v>
      </c>
      <c r="E772" s="336">
        <v>80</v>
      </c>
      <c r="F772" s="327">
        <f t="shared" ref="F772:F776" si="825">IF(E772&gt;D772, 1, 0)</f>
        <v>0</v>
      </c>
      <c r="G772" s="177" t="str">
        <f t="shared" ref="G772:G776" si="826">MID(B772,FIND("@",B772)+2,LEN(B772)-FIND("@",B772)-1)</f>
        <v>Detroit Pistons</v>
      </c>
      <c r="H772" s="177">
        <v>113</v>
      </c>
      <c r="I772" s="336">
        <v>118</v>
      </c>
      <c r="J772" s="327">
        <f t="shared" ref="J772:J776" si="827">IF(I772&gt;H772, 1, 0)</f>
        <v>1</v>
      </c>
      <c r="K772" s="177">
        <f t="shared" ref="K772:K776" si="828">+D772+H772</f>
        <v>225</v>
      </c>
      <c r="L772" s="336">
        <f t="shared" ref="L772:L776" si="829">E772+I772</f>
        <v>198</v>
      </c>
      <c r="M772" s="327">
        <f t="shared" ref="M772:M776" si="830">IF(L772&gt;K772, 1, 0)</f>
        <v>0</v>
      </c>
      <c r="N772" s="337">
        <f t="shared" ref="N772:N776" si="831">(+H772-D772)</f>
        <v>1</v>
      </c>
      <c r="O772" s="395">
        <f t="shared" ref="O772:O776" si="832">I772-E772</f>
        <v>38</v>
      </c>
      <c r="P772" s="289">
        <f t="shared" ref="P772:P776" si="833">IF(OR(AND(N772&gt;0,O772&gt;0),AND(N772&lt;0,O772&lt;0)),1,0)</f>
        <v>1</v>
      </c>
      <c r="Q772" s="460">
        <f>WEEKNUM(tblResultadosNBA[[#This Row],[Fecha]],2)</f>
        <v>6</v>
      </c>
      <c r="R772" s="460" t="str">
        <f>TEXT(tblResultadosNBA[[#This Row],[Fecha]],"mmm")</f>
        <v>feb</v>
      </c>
    </row>
    <row r="773" spans="1:18">
      <c r="A773" s="439">
        <v>46059</v>
      </c>
      <c r="B773" s="302" t="s">
        <v>471</v>
      </c>
      <c r="C773" s="177" t="str">
        <f t="shared" si="824"/>
        <v>Indiana Pacers</v>
      </c>
      <c r="D773" s="177">
        <v>108</v>
      </c>
      <c r="E773" s="336">
        <v>99</v>
      </c>
      <c r="F773" s="327">
        <f t="shared" si="825"/>
        <v>0</v>
      </c>
      <c r="G773" s="177" t="str">
        <f t="shared" si="826"/>
        <v>Milwaukee Bucks</v>
      </c>
      <c r="H773" s="177">
        <v>119</v>
      </c>
      <c r="I773" s="336">
        <v>105</v>
      </c>
      <c r="J773" s="327">
        <f t="shared" si="827"/>
        <v>0</v>
      </c>
      <c r="K773" s="177">
        <f t="shared" si="828"/>
        <v>227</v>
      </c>
      <c r="L773" s="336">
        <f t="shared" si="829"/>
        <v>204</v>
      </c>
      <c r="M773" s="327">
        <f t="shared" si="830"/>
        <v>0</v>
      </c>
      <c r="N773" s="337">
        <f t="shared" si="831"/>
        <v>11</v>
      </c>
      <c r="O773" s="395">
        <f t="shared" si="832"/>
        <v>6</v>
      </c>
      <c r="P773" s="289">
        <f t="shared" si="833"/>
        <v>1</v>
      </c>
      <c r="Q773" s="460">
        <f>WEEKNUM(tblResultadosNBA[[#This Row],[Fecha]],2)</f>
        <v>6</v>
      </c>
      <c r="R773" s="460" t="str">
        <f>TEXT(tblResultadosNBA[[#This Row],[Fecha]],"mmm")</f>
        <v>feb</v>
      </c>
    </row>
    <row r="774" spans="1:18">
      <c r="A774" s="439">
        <v>46059</v>
      </c>
      <c r="B774" s="302" t="s">
        <v>340</v>
      </c>
      <c r="C774" s="177" t="str">
        <f t="shared" si="824"/>
        <v>New Orleans Pelicans</v>
      </c>
      <c r="D774" s="177">
        <v>113</v>
      </c>
      <c r="E774" s="336">
        <v>119</v>
      </c>
      <c r="F774" s="327">
        <f t="shared" si="825"/>
        <v>1</v>
      </c>
      <c r="G774" s="177" t="str">
        <f t="shared" si="826"/>
        <v>Minnesota Timberwolves</v>
      </c>
      <c r="H774" s="177">
        <v>120</v>
      </c>
      <c r="I774" s="336">
        <v>115</v>
      </c>
      <c r="J774" s="327">
        <f t="shared" si="827"/>
        <v>0</v>
      </c>
      <c r="K774" s="177">
        <f t="shared" si="828"/>
        <v>233</v>
      </c>
      <c r="L774" s="336">
        <f t="shared" si="829"/>
        <v>234</v>
      </c>
      <c r="M774" s="327">
        <f t="shared" si="830"/>
        <v>1</v>
      </c>
      <c r="N774" s="337">
        <f t="shared" si="831"/>
        <v>7</v>
      </c>
      <c r="O774" s="395">
        <f t="shared" si="832"/>
        <v>-4</v>
      </c>
      <c r="P774" s="289">
        <f t="shared" si="833"/>
        <v>0</v>
      </c>
      <c r="Q774" s="460">
        <f>WEEKNUM(tblResultadosNBA[[#This Row],[Fecha]],2)</f>
        <v>6</v>
      </c>
      <c r="R774" s="460" t="str">
        <f>TEXT(tblResultadosNBA[[#This Row],[Fecha]],"mmm")</f>
        <v>feb</v>
      </c>
    </row>
    <row r="775" spans="1:18">
      <c r="A775" s="439">
        <v>46059</v>
      </c>
      <c r="B775" s="302" t="s">
        <v>348</v>
      </c>
      <c r="C775" s="177" t="str">
        <f t="shared" si="824"/>
        <v>Memphis Grizzlies</v>
      </c>
      <c r="D775" s="177">
        <v>117</v>
      </c>
      <c r="E775" s="336">
        <v>115</v>
      </c>
      <c r="F775" s="327">
        <f t="shared" si="825"/>
        <v>0</v>
      </c>
      <c r="G775" s="177" t="str">
        <f t="shared" si="826"/>
        <v>Portland Trail Blazers</v>
      </c>
      <c r="H775" s="177">
        <v>117</v>
      </c>
      <c r="I775" s="336">
        <v>135</v>
      </c>
      <c r="J775" s="327">
        <f t="shared" si="827"/>
        <v>1</v>
      </c>
      <c r="K775" s="177">
        <f t="shared" si="828"/>
        <v>234</v>
      </c>
      <c r="L775" s="336">
        <f t="shared" si="829"/>
        <v>250</v>
      </c>
      <c r="M775" s="327">
        <f t="shared" si="830"/>
        <v>1</v>
      </c>
      <c r="N775" s="337">
        <f t="shared" si="831"/>
        <v>0</v>
      </c>
      <c r="O775" s="395">
        <f t="shared" si="832"/>
        <v>20</v>
      </c>
      <c r="P775" s="289">
        <f t="shared" si="833"/>
        <v>0</v>
      </c>
      <c r="Q775" s="460">
        <f>WEEKNUM(tblResultadosNBA[[#This Row],[Fecha]],2)</f>
        <v>6</v>
      </c>
      <c r="R775" s="460" t="str">
        <f>TEXT(tblResultadosNBA[[#This Row],[Fecha]],"mmm")</f>
        <v>feb</v>
      </c>
    </row>
    <row r="776" spans="1:18">
      <c r="A776" s="446">
        <v>46059</v>
      </c>
      <c r="B776" s="331" t="s">
        <v>341</v>
      </c>
      <c r="C776" s="286" t="str">
        <f t="shared" si="824"/>
        <v>LA Clippers</v>
      </c>
      <c r="D776" s="286">
        <v>117</v>
      </c>
      <c r="E776" s="431">
        <v>114</v>
      </c>
      <c r="F776" s="332">
        <f t="shared" si="825"/>
        <v>0</v>
      </c>
      <c r="G776" s="286" t="str">
        <f t="shared" si="826"/>
        <v>Sacramento Kings</v>
      </c>
      <c r="H776" s="286">
        <v>115</v>
      </c>
      <c r="I776" s="431">
        <v>111</v>
      </c>
      <c r="J776" s="332">
        <f t="shared" si="827"/>
        <v>0</v>
      </c>
      <c r="K776" s="286">
        <f t="shared" si="828"/>
        <v>232</v>
      </c>
      <c r="L776" s="431">
        <f t="shared" si="829"/>
        <v>225</v>
      </c>
      <c r="M776" s="332">
        <f t="shared" si="830"/>
        <v>0</v>
      </c>
      <c r="N776" s="432">
        <f t="shared" si="831"/>
        <v>-2</v>
      </c>
      <c r="O776" s="451">
        <f t="shared" si="832"/>
        <v>-3</v>
      </c>
      <c r="P776" s="433">
        <f t="shared" si="833"/>
        <v>1</v>
      </c>
      <c r="Q776" s="460">
        <f>WEEKNUM(tblResultadosNBA[[#This Row],[Fecha]],2)</f>
        <v>6</v>
      </c>
      <c r="R776" s="460" t="str">
        <f>TEXT(tblResultadosNBA[[#This Row],[Fecha]],"mmm")</f>
        <v>feb</v>
      </c>
    </row>
    <row r="777" spans="1:18">
      <c r="A777" s="439">
        <v>46060</v>
      </c>
      <c r="B777" s="422" t="s">
        <v>342</v>
      </c>
      <c r="C777" s="341" t="str">
        <f>LEFT(B777,FIND("@",B777)-2)</f>
        <v>Washington Wizards</v>
      </c>
      <c r="D777" s="341">
        <v>111</v>
      </c>
      <c r="E777" s="342">
        <v>113</v>
      </c>
      <c r="F777" s="333">
        <f>IF(E777&gt;D777, 1, 0)</f>
        <v>1</v>
      </c>
      <c r="G777" s="341" t="str">
        <f>MID(B777,FIND("@",B777)+2,LEN(B777)-FIND("@",B777)-1)</f>
        <v>Brooklyn Nets</v>
      </c>
      <c r="H777" s="341">
        <v>119</v>
      </c>
      <c r="I777" s="342">
        <v>127</v>
      </c>
      <c r="J777" s="333">
        <f>IF(I777&gt;H777, 1, 0)</f>
        <v>1</v>
      </c>
      <c r="K777" s="341">
        <f>+D777+H777</f>
        <v>230</v>
      </c>
      <c r="L777" s="342">
        <f>E777+I777</f>
        <v>240</v>
      </c>
      <c r="M777" s="333">
        <f>IF(L777&gt;K777, 1, 0)</f>
        <v>1</v>
      </c>
      <c r="N777" s="343">
        <f>(+H777-D777)</f>
        <v>8</v>
      </c>
      <c r="O777" s="449">
        <f>I777-E777</f>
        <v>14</v>
      </c>
      <c r="P777" s="289">
        <f>IF(OR(AND(N777&gt;0,O777&gt;0),AND(N777&lt;0,O777&lt;0)),1,0)</f>
        <v>1</v>
      </c>
      <c r="Q777" s="460">
        <f>WEEKNUM(tblResultadosNBA[[#This Row],[Fecha]],2)</f>
        <v>6</v>
      </c>
      <c r="R777" s="460" t="str">
        <f>TEXT(tblResultadosNBA[[#This Row],[Fecha]],"mmm")</f>
        <v>feb</v>
      </c>
    </row>
    <row r="778" spans="1:18">
      <c r="A778" s="439">
        <v>46060</v>
      </c>
      <c r="B778" s="302" t="s">
        <v>343</v>
      </c>
      <c r="C778" s="177" t="str">
        <f t="shared" ref="C778:C786" si="834">LEFT(B778,FIND("@",B778)-2)</f>
        <v>Houston Rockets</v>
      </c>
      <c r="D778" s="177">
        <v>109</v>
      </c>
      <c r="E778" s="336">
        <v>112</v>
      </c>
      <c r="F778" s="327">
        <f t="shared" ref="F778:F786" si="835">IF(E778&gt;D778, 1, 0)</f>
        <v>1</v>
      </c>
      <c r="G778" s="177" t="str">
        <f t="shared" ref="G778:G786" si="836">MID(B778,FIND("@",B778)+2,LEN(B778)-FIND("@",B778)-1)</f>
        <v>Oklahoma City Thunder</v>
      </c>
      <c r="H778" s="177">
        <v>117</v>
      </c>
      <c r="I778" s="336">
        <v>106</v>
      </c>
      <c r="J778" s="327">
        <f t="shared" ref="J778:J786" si="837">IF(I778&gt;H778, 1, 0)</f>
        <v>0</v>
      </c>
      <c r="K778" s="177">
        <f t="shared" ref="K778:K786" si="838">+D778+H778</f>
        <v>226</v>
      </c>
      <c r="L778" s="336">
        <f t="shared" ref="L778:L786" si="839">E778+I778</f>
        <v>218</v>
      </c>
      <c r="M778" s="327">
        <f t="shared" ref="M778:M786" si="840">IF(L778&gt;K778, 1, 0)</f>
        <v>0</v>
      </c>
      <c r="N778" s="337">
        <f t="shared" ref="N778:N786" si="841">(+H778-D778)</f>
        <v>8</v>
      </c>
      <c r="O778" s="395">
        <f t="shared" ref="O778:O786" si="842">I778-E778</f>
        <v>-6</v>
      </c>
      <c r="P778" s="289">
        <f t="shared" ref="P778:P786" si="843">IF(OR(AND(N778&gt;0,O778&gt;0),AND(N778&lt;0,O778&lt;0)),1,0)</f>
        <v>0</v>
      </c>
      <c r="Q778" s="460">
        <f>WEEKNUM(tblResultadosNBA[[#This Row],[Fecha]],2)</f>
        <v>6</v>
      </c>
      <c r="R778" s="460" t="str">
        <f>TEXT(tblResultadosNBA[[#This Row],[Fecha]],"mmm")</f>
        <v>feb</v>
      </c>
    </row>
    <row r="779" spans="1:18">
      <c r="A779" s="439">
        <v>46060</v>
      </c>
      <c r="B779" s="302" t="s">
        <v>344</v>
      </c>
      <c r="C779" s="177" t="str">
        <f t="shared" si="834"/>
        <v>Dallas Mavericks</v>
      </c>
      <c r="D779" s="177">
        <v>114</v>
      </c>
      <c r="E779" s="336">
        <v>125</v>
      </c>
      <c r="F779" s="327">
        <f t="shared" si="835"/>
        <v>1</v>
      </c>
      <c r="G779" s="177" t="str">
        <f t="shared" si="836"/>
        <v>San Antonio Spurs</v>
      </c>
      <c r="H779" s="177">
        <v>118</v>
      </c>
      <c r="I779" s="336">
        <v>138</v>
      </c>
      <c r="J779" s="327">
        <f t="shared" si="837"/>
        <v>1</v>
      </c>
      <c r="K779" s="177">
        <f t="shared" si="838"/>
        <v>232</v>
      </c>
      <c r="L779" s="336">
        <f t="shared" si="839"/>
        <v>263</v>
      </c>
      <c r="M779" s="327">
        <f t="shared" si="840"/>
        <v>1</v>
      </c>
      <c r="N779" s="337">
        <f t="shared" si="841"/>
        <v>4</v>
      </c>
      <c r="O779" s="395">
        <f t="shared" si="842"/>
        <v>13</v>
      </c>
      <c r="P779" s="289">
        <f t="shared" si="843"/>
        <v>1</v>
      </c>
      <c r="Q779" s="460">
        <f>WEEKNUM(tblResultadosNBA[[#This Row],[Fecha]],2)</f>
        <v>6</v>
      </c>
      <c r="R779" s="460" t="str">
        <f>TEXT(tblResultadosNBA[[#This Row],[Fecha]],"mmm")</f>
        <v>feb</v>
      </c>
    </row>
    <row r="780" spans="1:18">
      <c r="A780" s="439">
        <v>46060</v>
      </c>
      <c r="B780" s="302" t="s">
        <v>345</v>
      </c>
      <c r="C780" s="177" t="str">
        <f t="shared" si="834"/>
        <v>Utah Jazz</v>
      </c>
      <c r="D780" s="177">
        <v>115</v>
      </c>
      <c r="E780" s="336">
        <v>117</v>
      </c>
      <c r="F780" s="327">
        <f t="shared" si="835"/>
        <v>1</v>
      </c>
      <c r="G780" s="177" t="str">
        <f t="shared" si="836"/>
        <v>Orlando Magic</v>
      </c>
      <c r="H780" s="177">
        <v>120</v>
      </c>
      <c r="I780" s="336">
        <v>120</v>
      </c>
      <c r="J780" s="327">
        <f t="shared" si="837"/>
        <v>0</v>
      </c>
      <c r="K780" s="177">
        <f t="shared" si="838"/>
        <v>235</v>
      </c>
      <c r="L780" s="336">
        <f t="shared" si="839"/>
        <v>237</v>
      </c>
      <c r="M780" s="327">
        <f t="shared" si="840"/>
        <v>1</v>
      </c>
      <c r="N780" s="337">
        <f t="shared" si="841"/>
        <v>5</v>
      </c>
      <c r="O780" s="395">
        <f t="shared" si="842"/>
        <v>3</v>
      </c>
      <c r="P780" s="289">
        <f t="shared" si="843"/>
        <v>1</v>
      </c>
      <c r="Q780" s="460">
        <f>WEEKNUM(tblResultadosNBA[[#This Row],[Fecha]],2)</f>
        <v>6</v>
      </c>
      <c r="R780" s="460" t="str">
        <f>TEXT(tblResultadosNBA[[#This Row],[Fecha]],"mmm")</f>
        <v>feb</v>
      </c>
    </row>
    <row r="781" spans="1:18">
      <c r="A781" s="439">
        <v>46060</v>
      </c>
      <c r="B781" s="302" t="s">
        <v>93</v>
      </c>
      <c r="C781" s="177" t="str">
        <f t="shared" si="834"/>
        <v>Charlotte Hornets</v>
      </c>
      <c r="D781" s="177">
        <v>115</v>
      </c>
      <c r="E781" s="336">
        <v>126</v>
      </c>
      <c r="F781" s="327">
        <f t="shared" si="835"/>
        <v>1</v>
      </c>
      <c r="G781" s="177" t="str">
        <f t="shared" si="836"/>
        <v>Atlanta Hawks</v>
      </c>
      <c r="H781" s="177">
        <v>117</v>
      </c>
      <c r="I781" s="336">
        <v>119</v>
      </c>
      <c r="J781" s="327">
        <f t="shared" si="837"/>
        <v>1</v>
      </c>
      <c r="K781" s="177">
        <f t="shared" si="838"/>
        <v>232</v>
      </c>
      <c r="L781" s="336">
        <f t="shared" si="839"/>
        <v>245</v>
      </c>
      <c r="M781" s="327">
        <f t="shared" si="840"/>
        <v>1</v>
      </c>
      <c r="N781" s="337">
        <f t="shared" si="841"/>
        <v>2</v>
      </c>
      <c r="O781" s="395">
        <f t="shared" si="842"/>
        <v>-7</v>
      </c>
      <c r="P781" s="289">
        <f t="shared" si="843"/>
        <v>0</v>
      </c>
      <c r="Q781" s="460">
        <f>WEEKNUM(tblResultadosNBA[[#This Row],[Fecha]],2)</f>
        <v>6</v>
      </c>
      <c r="R781" s="460" t="str">
        <f>TEXT(tblResultadosNBA[[#This Row],[Fecha]],"mmm")</f>
        <v>feb</v>
      </c>
    </row>
    <row r="782" spans="1:18">
      <c r="A782" s="439">
        <v>46060</v>
      </c>
      <c r="B782" s="302" t="s">
        <v>346</v>
      </c>
      <c r="C782" s="177" t="str">
        <f t="shared" si="834"/>
        <v>Denver Nuggets</v>
      </c>
      <c r="D782" s="177">
        <v>118</v>
      </c>
      <c r="E782" s="336">
        <v>136</v>
      </c>
      <c r="F782" s="327">
        <f t="shared" si="835"/>
        <v>1</v>
      </c>
      <c r="G782" s="177" t="str">
        <f t="shared" si="836"/>
        <v>Chicago Bulls</v>
      </c>
      <c r="H782" s="177">
        <v>117</v>
      </c>
      <c r="I782" s="336">
        <v>120</v>
      </c>
      <c r="J782" s="327">
        <f t="shared" si="837"/>
        <v>1</v>
      </c>
      <c r="K782" s="177">
        <f t="shared" si="838"/>
        <v>235</v>
      </c>
      <c r="L782" s="336">
        <f t="shared" si="839"/>
        <v>256</v>
      </c>
      <c r="M782" s="327">
        <f t="shared" si="840"/>
        <v>1</v>
      </c>
      <c r="N782" s="337">
        <f t="shared" si="841"/>
        <v>-1</v>
      </c>
      <c r="O782" s="395">
        <f t="shared" si="842"/>
        <v>-16</v>
      </c>
      <c r="P782" s="289">
        <f t="shared" si="843"/>
        <v>1</v>
      </c>
      <c r="Q782" s="460">
        <f>WEEKNUM(tblResultadosNBA[[#This Row],[Fecha]],2)</f>
        <v>6</v>
      </c>
      <c r="R782" s="460" t="str">
        <f>TEXT(tblResultadosNBA[[#This Row],[Fecha]],"mmm")</f>
        <v>feb</v>
      </c>
    </row>
    <row r="783" spans="1:18">
      <c r="A783" s="439">
        <v>46060</v>
      </c>
      <c r="B783" s="302" t="s">
        <v>665</v>
      </c>
      <c r="C783" s="177" t="str">
        <f t="shared" si="834"/>
        <v>Golden State Warriors</v>
      </c>
      <c r="D783" s="177">
        <v>115</v>
      </c>
      <c r="E783" s="336">
        <v>99</v>
      </c>
      <c r="F783" s="327">
        <f t="shared" si="835"/>
        <v>0</v>
      </c>
      <c r="G783" s="177" t="str">
        <f t="shared" si="836"/>
        <v>Los Angeles Lakers</v>
      </c>
      <c r="H783" s="177">
        <v>116</v>
      </c>
      <c r="I783" s="336">
        <v>105</v>
      </c>
      <c r="J783" s="327">
        <f t="shared" si="837"/>
        <v>0</v>
      </c>
      <c r="K783" s="177">
        <f t="shared" si="838"/>
        <v>231</v>
      </c>
      <c r="L783" s="336">
        <f t="shared" si="839"/>
        <v>204</v>
      </c>
      <c r="M783" s="327">
        <f t="shared" si="840"/>
        <v>0</v>
      </c>
      <c r="N783" s="337">
        <f t="shared" si="841"/>
        <v>1</v>
      </c>
      <c r="O783" s="395">
        <f t="shared" si="842"/>
        <v>6</v>
      </c>
      <c r="P783" s="289">
        <f t="shared" si="843"/>
        <v>1</v>
      </c>
      <c r="Q783" s="460">
        <f>WEEKNUM(tblResultadosNBA[[#This Row],[Fecha]],2)</f>
        <v>6</v>
      </c>
      <c r="R783" s="460" t="str">
        <f>TEXT(tblResultadosNBA[[#This Row],[Fecha]],"mmm")</f>
        <v>feb</v>
      </c>
    </row>
    <row r="784" spans="1:18">
      <c r="A784" s="439">
        <v>46060</v>
      </c>
      <c r="B784" s="302" t="s">
        <v>347</v>
      </c>
      <c r="C784" s="177" t="str">
        <f t="shared" si="834"/>
        <v>Philadelphia 76ers</v>
      </c>
      <c r="D784" s="177">
        <v>111</v>
      </c>
      <c r="E784" s="336">
        <v>109</v>
      </c>
      <c r="F784" s="327">
        <f t="shared" si="835"/>
        <v>0</v>
      </c>
      <c r="G784" s="177" t="str">
        <f t="shared" si="836"/>
        <v>Phoenix Suns</v>
      </c>
      <c r="H784" s="177">
        <v>112</v>
      </c>
      <c r="I784" s="336">
        <v>103</v>
      </c>
      <c r="J784" s="327">
        <f t="shared" si="837"/>
        <v>0</v>
      </c>
      <c r="K784" s="177">
        <f t="shared" si="838"/>
        <v>223</v>
      </c>
      <c r="L784" s="336">
        <f t="shared" si="839"/>
        <v>212</v>
      </c>
      <c r="M784" s="327">
        <f t="shared" si="840"/>
        <v>0</v>
      </c>
      <c r="N784" s="337">
        <f t="shared" si="841"/>
        <v>1</v>
      </c>
      <c r="O784" s="395">
        <f t="shared" si="842"/>
        <v>-6</v>
      </c>
      <c r="P784" s="289">
        <f t="shared" si="843"/>
        <v>0</v>
      </c>
      <c r="Q784" s="460">
        <f>WEEKNUM(tblResultadosNBA[[#This Row],[Fecha]],2)</f>
        <v>6</v>
      </c>
      <c r="R784" s="460" t="str">
        <f>TEXT(tblResultadosNBA[[#This Row],[Fecha]],"mmm")</f>
        <v>feb</v>
      </c>
    </row>
    <row r="785" spans="1:18">
      <c r="A785" s="439">
        <v>46060</v>
      </c>
      <c r="B785" s="302" t="s">
        <v>348</v>
      </c>
      <c r="C785" s="177" t="str">
        <f t="shared" si="834"/>
        <v>Memphis Grizzlies</v>
      </c>
      <c r="D785" s="177">
        <v>116</v>
      </c>
      <c r="E785" s="336">
        <v>115</v>
      </c>
      <c r="F785" s="327">
        <f t="shared" si="835"/>
        <v>0</v>
      </c>
      <c r="G785" s="177" t="str">
        <f t="shared" si="836"/>
        <v>Portland Trail Blazers</v>
      </c>
      <c r="H785" s="177">
        <v>117</v>
      </c>
      <c r="I785" s="336">
        <v>122</v>
      </c>
      <c r="J785" s="327">
        <f t="shared" si="837"/>
        <v>1</v>
      </c>
      <c r="K785" s="177">
        <f t="shared" si="838"/>
        <v>233</v>
      </c>
      <c r="L785" s="336">
        <f t="shared" si="839"/>
        <v>237</v>
      </c>
      <c r="M785" s="327">
        <f t="shared" si="840"/>
        <v>1</v>
      </c>
      <c r="N785" s="337">
        <f t="shared" si="841"/>
        <v>1</v>
      </c>
      <c r="O785" s="395">
        <f t="shared" si="842"/>
        <v>7</v>
      </c>
      <c r="P785" s="289">
        <f t="shared" si="843"/>
        <v>1</v>
      </c>
      <c r="Q785" s="460">
        <f>WEEKNUM(tblResultadosNBA[[#This Row],[Fecha]],2)</f>
        <v>6</v>
      </c>
      <c r="R785" s="460" t="str">
        <f>TEXT(tblResultadosNBA[[#This Row],[Fecha]],"mmm")</f>
        <v>feb</v>
      </c>
    </row>
    <row r="786" spans="1:18">
      <c r="A786" s="446">
        <v>46060</v>
      </c>
      <c r="B786" s="331" t="s">
        <v>349</v>
      </c>
      <c r="C786" s="286" t="str">
        <f t="shared" si="834"/>
        <v>Cleveland Cavaliers</v>
      </c>
      <c r="D786" s="286">
        <v>118</v>
      </c>
      <c r="E786" s="431">
        <v>132</v>
      </c>
      <c r="F786" s="332">
        <f t="shared" si="835"/>
        <v>1</v>
      </c>
      <c r="G786" s="286" t="str">
        <f t="shared" si="836"/>
        <v>Sacramento Kings</v>
      </c>
      <c r="H786" s="286">
        <v>112</v>
      </c>
      <c r="I786" s="431">
        <v>126</v>
      </c>
      <c r="J786" s="332">
        <f t="shared" si="837"/>
        <v>1</v>
      </c>
      <c r="K786" s="286">
        <f t="shared" si="838"/>
        <v>230</v>
      </c>
      <c r="L786" s="431">
        <f t="shared" si="839"/>
        <v>258</v>
      </c>
      <c r="M786" s="332">
        <f t="shared" si="840"/>
        <v>1</v>
      </c>
      <c r="N786" s="432">
        <f t="shared" si="841"/>
        <v>-6</v>
      </c>
      <c r="O786" s="451">
        <f t="shared" si="842"/>
        <v>-6</v>
      </c>
      <c r="P786" s="433">
        <f t="shared" si="843"/>
        <v>1</v>
      </c>
      <c r="Q786" s="460">
        <f>WEEKNUM(tblResultadosNBA[[#This Row],[Fecha]],2)</f>
        <v>6</v>
      </c>
      <c r="R786" s="460" t="str">
        <f>TEXT(tblResultadosNBA[[#This Row],[Fecha]],"mmm")</f>
        <v>feb</v>
      </c>
    </row>
    <row r="787" spans="1:18">
      <c r="A787" s="439">
        <v>46061</v>
      </c>
      <c r="B787" s="422" t="s">
        <v>134</v>
      </c>
      <c r="C787" s="341" t="str">
        <f>LEFT(B787,FIND("@",B787)-2)</f>
        <v>New York Knicks</v>
      </c>
      <c r="D787" s="341">
        <v>104</v>
      </c>
      <c r="E787" s="342">
        <v>111</v>
      </c>
      <c r="F787" s="333">
        <f>IF(E787&gt;D787, 1, 0)</f>
        <v>1</v>
      </c>
      <c r="G787" s="341" t="str">
        <f>MID(B787,FIND("@",B787)+2,LEN(B787)-FIND("@",B787)-1)</f>
        <v>Boston Celtics</v>
      </c>
      <c r="H787" s="341">
        <v>113</v>
      </c>
      <c r="I787" s="342">
        <v>89</v>
      </c>
      <c r="J787" s="333">
        <f>IF(I787&gt;H787, 1, 0)</f>
        <v>0</v>
      </c>
      <c r="K787" s="341">
        <f>+D787+H787</f>
        <v>217</v>
      </c>
      <c r="L787" s="342">
        <f>E787+I787</f>
        <v>200</v>
      </c>
      <c r="M787" s="333">
        <f>IF(L787&gt;K787, 1, 0)</f>
        <v>0</v>
      </c>
      <c r="N787" s="343">
        <f>(+H787-D787)</f>
        <v>9</v>
      </c>
      <c r="O787" s="449">
        <f>I787-E787</f>
        <v>-22</v>
      </c>
      <c r="P787" s="289">
        <f>IF(OR(AND(N787&gt;0,O787&gt;0),AND(N787&lt;0,O787&lt;0)),1,0)</f>
        <v>0</v>
      </c>
      <c r="Q787" s="460">
        <f>WEEKNUM(tblResultadosNBA[[#This Row],[Fecha]],2)</f>
        <v>6</v>
      </c>
      <c r="R787" s="460" t="str">
        <f>TEXT(tblResultadosNBA[[#This Row],[Fecha]],"mmm")</f>
        <v>feb</v>
      </c>
    </row>
    <row r="788" spans="1:18">
      <c r="A788" s="439">
        <v>46061</v>
      </c>
      <c r="B788" s="302" t="s">
        <v>350</v>
      </c>
      <c r="C788" s="177" t="str">
        <f t="shared" ref="C788:C790" si="844">LEFT(B788,FIND("@",B788)-2)</f>
        <v>Miami Heat</v>
      </c>
      <c r="D788" s="177">
        <v>118</v>
      </c>
      <c r="E788" s="336">
        <v>132</v>
      </c>
      <c r="F788" s="327">
        <f t="shared" ref="F788:F790" si="845">IF(E788&gt;D788, 1, 0)</f>
        <v>1</v>
      </c>
      <c r="G788" s="177" t="str">
        <f t="shared" ref="G788:G790" si="846">MID(B788,FIND("@",B788)+2,LEN(B788)-FIND("@",B788)-1)</f>
        <v>Washington Wizards</v>
      </c>
      <c r="H788" s="177">
        <v>113</v>
      </c>
      <c r="I788" s="336">
        <v>101</v>
      </c>
      <c r="J788" s="327">
        <f t="shared" ref="J788:J790" si="847">IF(I788&gt;H788, 1, 0)</f>
        <v>0</v>
      </c>
      <c r="K788" s="177">
        <f t="shared" ref="K788:K790" si="848">+D788+H788</f>
        <v>231</v>
      </c>
      <c r="L788" s="336">
        <f t="shared" ref="L788:L790" si="849">E788+I788</f>
        <v>233</v>
      </c>
      <c r="M788" s="327">
        <f t="shared" ref="M788:M790" si="850">IF(L788&gt;K788, 1, 0)</f>
        <v>1</v>
      </c>
      <c r="N788" s="337">
        <f t="shared" ref="N788:N790" si="851">(+H788-D788)</f>
        <v>-5</v>
      </c>
      <c r="O788" s="395">
        <f t="shared" ref="O788:O790" si="852">I788-E788</f>
        <v>-31</v>
      </c>
      <c r="P788" s="289">
        <f t="shared" ref="P788:P790" si="853">IF(OR(AND(N788&gt;0,O788&gt;0),AND(N788&lt;0,O788&lt;0)),1,0)</f>
        <v>1</v>
      </c>
      <c r="Q788" s="460">
        <f>WEEKNUM(tblResultadosNBA[[#This Row],[Fecha]],2)</f>
        <v>6</v>
      </c>
      <c r="R788" s="460" t="str">
        <f>TEXT(tblResultadosNBA[[#This Row],[Fecha]],"mmm")</f>
        <v>feb</v>
      </c>
    </row>
    <row r="789" spans="1:18">
      <c r="A789" s="439">
        <v>46061</v>
      </c>
      <c r="B789" s="302" t="s">
        <v>106</v>
      </c>
      <c r="C789" s="177" t="str">
        <f t="shared" si="844"/>
        <v>Indiana Pacers</v>
      </c>
      <c r="D789" s="177">
        <v>110</v>
      </c>
      <c r="E789" s="336">
        <v>104</v>
      </c>
      <c r="F789" s="327">
        <f t="shared" si="845"/>
        <v>0</v>
      </c>
      <c r="G789" s="177" t="str">
        <f t="shared" si="846"/>
        <v>Toronto Raptors</v>
      </c>
      <c r="H789" s="177">
        <v>118</v>
      </c>
      <c r="I789" s="336">
        <v>122</v>
      </c>
      <c r="J789" s="327">
        <f t="shared" si="847"/>
        <v>1</v>
      </c>
      <c r="K789" s="177">
        <f t="shared" si="848"/>
        <v>228</v>
      </c>
      <c r="L789" s="336">
        <f t="shared" si="849"/>
        <v>226</v>
      </c>
      <c r="M789" s="327">
        <f t="shared" si="850"/>
        <v>0</v>
      </c>
      <c r="N789" s="337">
        <f t="shared" si="851"/>
        <v>8</v>
      </c>
      <c r="O789" s="395">
        <f t="shared" si="852"/>
        <v>18</v>
      </c>
      <c r="P789" s="289">
        <f t="shared" si="853"/>
        <v>1</v>
      </c>
      <c r="Q789" s="460">
        <f>WEEKNUM(tblResultadosNBA[[#This Row],[Fecha]],2)</f>
        <v>6</v>
      </c>
      <c r="R789" s="460" t="str">
        <f>TEXT(tblResultadosNBA[[#This Row],[Fecha]],"mmm")</f>
        <v>feb</v>
      </c>
    </row>
    <row r="790" spans="1:18">
      <c r="A790" s="446">
        <v>46061</v>
      </c>
      <c r="B790" s="331" t="s">
        <v>158</v>
      </c>
      <c r="C790" s="286" t="str">
        <f t="shared" si="844"/>
        <v>LA Clippers</v>
      </c>
      <c r="D790" s="286">
        <v>114</v>
      </c>
      <c r="E790" s="431">
        <v>115</v>
      </c>
      <c r="F790" s="332">
        <f t="shared" si="845"/>
        <v>1</v>
      </c>
      <c r="G790" s="286" t="str">
        <f t="shared" si="846"/>
        <v>Minnesota Timberwolves</v>
      </c>
      <c r="H790" s="286">
        <v>118</v>
      </c>
      <c r="I790" s="431">
        <v>96</v>
      </c>
      <c r="J790" s="332">
        <f t="shared" si="847"/>
        <v>0</v>
      </c>
      <c r="K790" s="286">
        <f t="shared" si="848"/>
        <v>232</v>
      </c>
      <c r="L790" s="431">
        <f t="shared" si="849"/>
        <v>211</v>
      </c>
      <c r="M790" s="332">
        <f t="shared" si="850"/>
        <v>0</v>
      </c>
      <c r="N790" s="432">
        <f t="shared" si="851"/>
        <v>4</v>
      </c>
      <c r="O790" s="451">
        <f t="shared" si="852"/>
        <v>-19</v>
      </c>
      <c r="P790" s="433">
        <f t="shared" si="853"/>
        <v>0</v>
      </c>
      <c r="Q790" s="460">
        <f>WEEKNUM(tblResultadosNBA[[#This Row],[Fecha]],2)</f>
        <v>6</v>
      </c>
      <c r="R790" s="460" t="str">
        <f>TEXT(tblResultadosNBA[[#This Row],[Fecha]],"mmm")</f>
        <v>feb</v>
      </c>
    </row>
    <row r="791" spans="1:18">
      <c r="A791" s="439">
        <v>46062</v>
      </c>
      <c r="B791" s="422" t="s">
        <v>579</v>
      </c>
      <c r="C791" s="341" t="str">
        <f>LEFT(B791,FIND("@",B791)-2)</f>
        <v>Detroit Pistons</v>
      </c>
      <c r="D791" s="341">
        <v>115</v>
      </c>
      <c r="E791" s="342">
        <v>110</v>
      </c>
      <c r="F791" s="333">
        <f>IF(E791&gt;D791, 1, 0)</f>
        <v>0</v>
      </c>
      <c r="G791" s="341" t="str">
        <f>MID(B791,FIND("@",B791)+2,LEN(B791)-FIND("@",B791)-1)</f>
        <v>Charlotte Hornets</v>
      </c>
      <c r="H791" s="341">
        <v>111</v>
      </c>
      <c r="I791" s="342">
        <v>104</v>
      </c>
      <c r="J791" s="333">
        <f>IF(I791&gt;H791, 1, 0)</f>
        <v>0</v>
      </c>
      <c r="K791" s="341">
        <f>+D791+H791</f>
        <v>226</v>
      </c>
      <c r="L791" s="342">
        <f>E791+I791</f>
        <v>214</v>
      </c>
      <c r="M791" s="333">
        <f>IF(L791&gt;K791, 1, 0)</f>
        <v>0</v>
      </c>
      <c r="N791" s="343">
        <f>(+H791-D791)</f>
        <v>-4</v>
      </c>
      <c r="O791" s="449">
        <f>I791-E791</f>
        <v>-6</v>
      </c>
      <c r="P791" s="289">
        <f>IF(OR(AND(N791&gt;0,O791&gt;0),AND(N791&lt;0,O791&lt;0)),1,0)</f>
        <v>1</v>
      </c>
      <c r="Q791" s="460">
        <f>WEEKNUM(tblResultadosNBA[[#This Row],[Fecha]],2)</f>
        <v>7</v>
      </c>
      <c r="R791" s="460" t="str">
        <f>TEXT(tblResultadosNBA[[#This Row],[Fecha]],"mmm")</f>
        <v>feb</v>
      </c>
    </row>
    <row r="792" spans="1:18">
      <c r="A792" s="439">
        <v>46062</v>
      </c>
      <c r="B792" s="302" t="s">
        <v>280</v>
      </c>
      <c r="C792" s="177" t="str">
        <f t="shared" ref="C792:C800" si="854">LEFT(B792,FIND("@",B792)-2)</f>
        <v>Chicago Bulls</v>
      </c>
      <c r="D792" s="177">
        <v>110</v>
      </c>
      <c r="E792" s="336">
        <v>115</v>
      </c>
      <c r="F792" s="327">
        <f t="shared" ref="F792:F800" si="855">IF(E792&gt;D792, 1, 0)</f>
        <v>1</v>
      </c>
      <c r="G792" s="177" t="str">
        <f t="shared" ref="G792:G800" si="856">MID(B792,FIND("@",B792)+2,LEN(B792)-FIND("@",B792)-1)</f>
        <v>Brooklyn Nets</v>
      </c>
      <c r="H792" s="177">
        <v>114</v>
      </c>
      <c r="I792" s="336">
        <v>123</v>
      </c>
      <c r="J792" s="327">
        <f t="shared" ref="J792:J800" si="857">IF(I792&gt;H792, 1, 0)</f>
        <v>1</v>
      </c>
      <c r="K792" s="177">
        <f t="shared" ref="K792:K800" si="858">+D792+H792</f>
        <v>224</v>
      </c>
      <c r="L792" s="336">
        <f t="shared" ref="L792:L800" si="859">E792+I792</f>
        <v>238</v>
      </c>
      <c r="M792" s="327">
        <f t="shared" ref="M792:M800" si="860">IF(L792&gt;K792, 1, 0)</f>
        <v>1</v>
      </c>
      <c r="N792" s="337">
        <f t="shared" ref="N792:N800" si="861">(+H792-D792)</f>
        <v>4</v>
      </c>
      <c r="O792" s="395">
        <f t="shared" ref="O792:O800" si="862">I792-E792</f>
        <v>8</v>
      </c>
      <c r="P792" s="289">
        <f t="shared" ref="P792:P800" si="863">IF(OR(AND(N792&gt;0,O792&gt;0),AND(N792&lt;0,O792&lt;0)),1,0)</f>
        <v>1</v>
      </c>
      <c r="Q792" s="460">
        <f>WEEKNUM(tblResultadosNBA[[#This Row],[Fecha]],2)</f>
        <v>7</v>
      </c>
      <c r="R792" s="460" t="str">
        <f>TEXT(tblResultadosNBA[[#This Row],[Fecha]],"mmm")</f>
        <v>feb</v>
      </c>
    </row>
    <row r="793" spans="1:18">
      <c r="A793" s="439">
        <v>46062</v>
      </c>
      <c r="B793" s="302" t="s">
        <v>351</v>
      </c>
      <c r="C793" s="177" t="str">
        <f t="shared" si="854"/>
        <v>Utah Jazz</v>
      </c>
      <c r="D793" s="177">
        <v>115</v>
      </c>
      <c r="E793" s="336">
        <v>115</v>
      </c>
      <c r="F793" s="327">
        <f t="shared" si="855"/>
        <v>0</v>
      </c>
      <c r="G793" s="177" t="str">
        <f t="shared" si="856"/>
        <v>Miami Heat</v>
      </c>
      <c r="H793" s="177">
        <v>119</v>
      </c>
      <c r="I793" s="336">
        <v>111</v>
      </c>
      <c r="J793" s="327">
        <f t="shared" si="857"/>
        <v>0</v>
      </c>
      <c r="K793" s="177">
        <f t="shared" si="858"/>
        <v>234</v>
      </c>
      <c r="L793" s="336">
        <f t="shared" si="859"/>
        <v>226</v>
      </c>
      <c r="M793" s="327">
        <f t="shared" si="860"/>
        <v>0</v>
      </c>
      <c r="N793" s="337">
        <f t="shared" si="861"/>
        <v>4</v>
      </c>
      <c r="O793" s="395">
        <f t="shared" si="862"/>
        <v>-4</v>
      </c>
      <c r="P793" s="289">
        <f t="shared" si="863"/>
        <v>0</v>
      </c>
      <c r="Q793" s="460">
        <f>WEEKNUM(tblResultadosNBA[[#This Row],[Fecha]],2)</f>
        <v>7</v>
      </c>
      <c r="R793" s="460" t="str">
        <f>TEXT(tblResultadosNBA[[#This Row],[Fecha]],"mmm")</f>
        <v>feb</v>
      </c>
    </row>
    <row r="794" spans="1:18">
      <c r="A794" s="439">
        <v>46062</v>
      </c>
      <c r="B794" s="302" t="s">
        <v>352</v>
      </c>
      <c r="C794" s="177" t="str">
        <f t="shared" si="854"/>
        <v>Milwaukee Bucks</v>
      </c>
      <c r="D794" s="177">
        <v>113</v>
      </c>
      <c r="E794" s="336">
        <v>99</v>
      </c>
      <c r="F794" s="327">
        <f t="shared" si="855"/>
        <v>0</v>
      </c>
      <c r="G794" s="177" t="str">
        <f t="shared" si="856"/>
        <v>Orlando Magic</v>
      </c>
      <c r="H794" s="177">
        <v>116</v>
      </c>
      <c r="I794" s="336">
        <v>118</v>
      </c>
      <c r="J794" s="327">
        <f t="shared" si="857"/>
        <v>1</v>
      </c>
      <c r="K794" s="177">
        <f t="shared" si="858"/>
        <v>229</v>
      </c>
      <c r="L794" s="336">
        <f t="shared" si="859"/>
        <v>217</v>
      </c>
      <c r="M794" s="327">
        <f t="shared" si="860"/>
        <v>0</v>
      </c>
      <c r="N794" s="337">
        <f t="shared" si="861"/>
        <v>3</v>
      </c>
      <c r="O794" s="395">
        <f t="shared" si="862"/>
        <v>19</v>
      </c>
      <c r="P794" s="289">
        <f t="shared" si="863"/>
        <v>1</v>
      </c>
      <c r="Q794" s="460">
        <f>WEEKNUM(tblResultadosNBA[[#This Row],[Fecha]],2)</f>
        <v>7</v>
      </c>
      <c r="R794" s="460" t="str">
        <f>TEXT(tblResultadosNBA[[#This Row],[Fecha]],"mmm")</f>
        <v>feb</v>
      </c>
    </row>
    <row r="795" spans="1:18">
      <c r="A795" s="439">
        <v>46062</v>
      </c>
      <c r="B795" s="302" t="s">
        <v>353</v>
      </c>
      <c r="C795" s="177" t="str">
        <f t="shared" si="854"/>
        <v>Atlanta Hawks</v>
      </c>
      <c r="D795" s="177">
        <v>116</v>
      </c>
      <c r="E795" s="336">
        <v>106</v>
      </c>
      <c r="F795" s="327">
        <f t="shared" si="855"/>
        <v>0</v>
      </c>
      <c r="G795" s="177" t="str">
        <f t="shared" si="856"/>
        <v>Minnesota Timberwolves</v>
      </c>
      <c r="H795" s="177">
        <v>122</v>
      </c>
      <c r="I795" s="336">
        <v>138</v>
      </c>
      <c r="J795" s="327">
        <f t="shared" si="857"/>
        <v>1</v>
      </c>
      <c r="K795" s="177">
        <f t="shared" si="858"/>
        <v>238</v>
      </c>
      <c r="L795" s="336">
        <f t="shared" si="859"/>
        <v>244</v>
      </c>
      <c r="M795" s="327">
        <f t="shared" si="860"/>
        <v>1</v>
      </c>
      <c r="N795" s="337">
        <f t="shared" si="861"/>
        <v>6</v>
      </c>
      <c r="O795" s="395">
        <f t="shared" si="862"/>
        <v>32</v>
      </c>
      <c r="P795" s="289">
        <f t="shared" si="863"/>
        <v>1</v>
      </c>
      <c r="Q795" s="460">
        <f>WEEKNUM(tblResultadosNBA[[#This Row],[Fecha]],2)</f>
        <v>7</v>
      </c>
      <c r="R795" s="460" t="str">
        <f>TEXT(tblResultadosNBA[[#This Row],[Fecha]],"mmm")</f>
        <v>feb</v>
      </c>
    </row>
    <row r="796" spans="1:18">
      <c r="A796" s="439">
        <v>46062</v>
      </c>
      <c r="B796" s="302" t="s">
        <v>354</v>
      </c>
      <c r="C796" s="177" t="str">
        <f t="shared" si="854"/>
        <v>Sacramento Kings</v>
      </c>
      <c r="D796" s="177">
        <v>113</v>
      </c>
      <c r="E796" s="336">
        <v>94</v>
      </c>
      <c r="F796" s="327">
        <f t="shared" si="855"/>
        <v>0</v>
      </c>
      <c r="G796" s="177" t="str">
        <f t="shared" si="856"/>
        <v>New Orleans Pelicans</v>
      </c>
      <c r="H796" s="177">
        <v>120</v>
      </c>
      <c r="I796" s="336">
        <v>120</v>
      </c>
      <c r="J796" s="327">
        <f t="shared" si="857"/>
        <v>0</v>
      </c>
      <c r="K796" s="177">
        <f t="shared" si="858"/>
        <v>233</v>
      </c>
      <c r="L796" s="336">
        <f t="shared" si="859"/>
        <v>214</v>
      </c>
      <c r="M796" s="327">
        <f t="shared" si="860"/>
        <v>0</v>
      </c>
      <c r="N796" s="337">
        <f t="shared" si="861"/>
        <v>7</v>
      </c>
      <c r="O796" s="395">
        <f t="shared" si="862"/>
        <v>26</v>
      </c>
      <c r="P796" s="289">
        <f t="shared" si="863"/>
        <v>1</v>
      </c>
      <c r="Q796" s="460">
        <f>WEEKNUM(tblResultadosNBA[[#This Row],[Fecha]],2)</f>
        <v>7</v>
      </c>
      <c r="R796" s="460" t="str">
        <f>TEXT(tblResultadosNBA[[#This Row],[Fecha]],"mmm")</f>
        <v>feb</v>
      </c>
    </row>
    <row r="797" spans="1:18">
      <c r="A797" s="439">
        <v>46062</v>
      </c>
      <c r="B797" s="302" t="s">
        <v>355</v>
      </c>
      <c r="C797" s="177" t="str">
        <f t="shared" si="854"/>
        <v>Cleveland Cavaliers</v>
      </c>
      <c r="D797" s="177">
        <v>112</v>
      </c>
      <c r="E797" s="336">
        <v>119</v>
      </c>
      <c r="F797" s="327">
        <f t="shared" si="855"/>
        <v>1</v>
      </c>
      <c r="G797" s="177" t="str">
        <f t="shared" si="856"/>
        <v>Denver Nuggets</v>
      </c>
      <c r="H797" s="177">
        <v>116</v>
      </c>
      <c r="I797" s="336">
        <v>117</v>
      </c>
      <c r="J797" s="327">
        <f t="shared" si="857"/>
        <v>1</v>
      </c>
      <c r="K797" s="177">
        <f t="shared" si="858"/>
        <v>228</v>
      </c>
      <c r="L797" s="336">
        <f t="shared" si="859"/>
        <v>236</v>
      </c>
      <c r="M797" s="327">
        <f t="shared" si="860"/>
        <v>1</v>
      </c>
      <c r="N797" s="337">
        <f t="shared" si="861"/>
        <v>4</v>
      </c>
      <c r="O797" s="395">
        <f t="shared" si="862"/>
        <v>-2</v>
      </c>
      <c r="P797" s="289">
        <f t="shared" si="863"/>
        <v>0</v>
      </c>
      <c r="Q797" s="460">
        <f>WEEKNUM(tblResultadosNBA[[#This Row],[Fecha]],2)</f>
        <v>7</v>
      </c>
      <c r="R797" s="460" t="str">
        <f>TEXT(tblResultadosNBA[[#This Row],[Fecha]],"mmm")</f>
        <v>feb</v>
      </c>
    </row>
    <row r="798" spans="1:18">
      <c r="A798" s="439">
        <v>46062</v>
      </c>
      <c r="B798" s="302" t="s">
        <v>356</v>
      </c>
      <c r="C798" s="177" t="str">
        <f t="shared" si="854"/>
        <v>Memphis Grizzlies</v>
      </c>
      <c r="D798" s="177">
        <v>113</v>
      </c>
      <c r="E798" s="336">
        <v>113</v>
      </c>
      <c r="F798" s="327">
        <f t="shared" si="855"/>
        <v>0</v>
      </c>
      <c r="G798" s="177" t="str">
        <f t="shared" si="856"/>
        <v>Golden State Warriors</v>
      </c>
      <c r="H798" s="177">
        <v>119</v>
      </c>
      <c r="I798" s="336">
        <v>114</v>
      </c>
      <c r="J798" s="327">
        <f t="shared" si="857"/>
        <v>0</v>
      </c>
      <c r="K798" s="177">
        <f t="shared" si="858"/>
        <v>232</v>
      </c>
      <c r="L798" s="336">
        <f t="shared" si="859"/>
        <v>227</v>
      </c>
      <c r="M798" s="327">
        <f t="shared" si="860"/>
        <v>0</v>
      </c>
      <c r="N798" s="337">
        <f t="shared" si="861"/>
        <v>6</v>
      </c>
      <c r="O798" s="395">
        <f t="shared" si="862"/>
        <v>1</v>
      </c>
      <c r="P798" s="289">
        <f t="shared" si="863"/>
        <v>1</v>
      </c>
      <c r="Q798" s="460">
        <f>WEEKNUM(tblResultadosNBA[[#This Row],[Fecha]],2)</f>
        <v>7</v>
      </c>
      <c r="R798" s="460" t="str">
        <f>TEXT(tblResultadosNBA[[#This Row],[Fecha]],"mmm")</f>
        <v>feb</v>
      </c>
    </row>
    <row r="799" spans="1:18">
      <c r="A799" s="439">
        <v>46062</v>
      </c>
      <c r="B799" s="302" t="s">
        <v>357</v>
      </c>
      <c r="C799" s="177" t="str">
        <f t="shared" si="854"/>
        <v>Oklahoma City Thunder</v>
      </c>
      <c r="D799" s="177">
        <v>117</v>
      </c>
      <c r="E799" s="336">
        <v>119</v>
      </c>
      <c r="F799" s="327">
        <f t="shared" si="855"/>
        <v>1</v>
      </c>
      <c r="G799" s="177" t="str">
        <f t="shared" si="856"/>
        <v>Los Angeles Lakers</v>
      </c>
      <c r="H799" s="177">
        <v>116</v>
      </c>
      <c r="I799" s="336">
        <v>110</v>
      </c>
      <c r="J799" s="327">
        <f t="shared" si="857"/>
        <v>0</v>
      </c>
      <c r="K799" s="177">
        <f t="shared" si="858"/>
        <v>233</v>
      </c>
      <c r="L799" s="336">
        <f t="shared" si="859"/>
        <v>229</v>
      </c>
      <c r="M799" s="327">
        <f t="shared" si="860"/>
        <v>0</v>
      </c>
      <c r="N799" s="337">
        <f t="shared" si="861"/>
        <v>-1</v>
      </c>
      <c r="O799" s="395">
        <f t="shared" si="862"/>
        <v>-9</v>
      </c>
      <c r="P799" s="289">
        <f t="shared" si="863"/>
        <v>1</v>
      </c>
      <c r="Q799" s="460">
        <f>WEEKNUM(tblResultadosNBA[[#This Row],[Fecha]],2)</f>
        <v>7</v>
      </c>
      <c r="R799" s="460" t="str">
        <f>TEXT(tblResultadosNBA[[#This Row],[Fecha]],"mmm")</f>
        <v>feb</v>
      </c>
    </row>
    <row r="800" spans="1:18">
      <c r="A800" s="446">
        <v>46062</v>
      </c>
      <c r="B800" s="331" t="s">
        <v>922</v>
      </c>
      <c r="C800" s="286" t="str">
        <f t="shared" si="854"/>
        <v>Philadelphia 76ers</v>
      </c>
      <c r="D800" s="286">
        <v>117</v>
      </c>
      <c r="E800" s="431">
        <v>118</v>
      </c>
      <c r="F800" s="332">
        <f t="shared" si="855"/>
        <v>1</v>
      </c>
      <c r="G800" s="286" t="str">
        <f t="shared" si="856"/>
        <v>Portland Trail Blazers</v>
      </c>
      <c r="H800" s="286">
        <v>116</v>
      </c>
      <c r="I800" s="431">
        <v>135</v>
      </c>
      <c r="J800" s="332">
        <f t="shared" si="857"/>
        <v>1</v>
      </c>
      <c r="K800" s="286">
        <f t="shared" si="858"/>
        <v>233</v>
      </c>
      <c r="L800" s="431">
        <f t="shared" si="859"/>
        <v>253</v>
      </c>
      <c r="M800" s="332">
        <f t="shared" si="860"/>
        <v>1</v>
      </c>
      <c r="N800" s="432">
        <f t="shared" si="861"/>
        <v>-1</v>
      </c>
      <c r="O800" s="451">
        <f t="shared" si="862"/>
        <v>17</v>
      </c>
      <c r="P800" s="433">
        <f t="shared" si="863"/>
        <v>0</v>
      </c>
      <c r="Q800" s="460">
        <f>WEEKNUM(tblResultadosNBA[[#This Row],[Fecha]],2)</f>
        <v>7</v>
      </c>
      <c r="R800" s="460" t="str">
        <f>TEXT(tblResultadosNBA[[#This Row],[Fecha]],"mmm")</f>
        <v>feb</v>
      </c>
    </row>
    <row r="801" spans="1:18">
      <c r="A801" s="439">
        <v>46063</v>
      </c>
      <c r="B801" s="422" t="s">
        <v>923</v>
      </c>
      <c r="C801" s="341" t="str">
        <f>LEFT(B801,FIND("@",B801)-2)</f>
        <v>Indiana Pacers</v>
      </c>
      <c r="D801" s="341">
        <v>109</v>
      </c>
      <c r="E801" s="342">
        <v>137</v>
      </c>
      <c r="F801" s="333">
        <f>IF(E801&gt;D801, 1, 0)</f>
        <v>1</v>
      </c>
      <c r="G801" s="341" t="str">
        <f>MID(B801,FIND("@",B801)+2,LEN(B801)-FIND("@",B801)-1)</f>
        <v>New York Knicks</v>
      </c>
      <c r="H801" s="341">
        <v>117</v>
      </c>
      <c r="I801" s="342">
        <v>134</v>
      </c>
      <c r="J801" s="333">
        <f>IF(I801&gt;H801, 1, 0)</f>
        <v>1</v>
      </c>
      <c r="K801" s="341">
        <f>+D801+H801</f>
        <v>226</v>
      </c>
      <c r="L801" s="342">
        <f>E801+I801</f>
        <v>271</v>
      </c>
      <c r="M801" s="333">
        <f>IF(L801&gt;K801, 1, 0)</f>
        <v>1</v>
      </c>
      <c r="N801" s="343">
        <f>(+H801-D801)</f>
        <v>8</v>
      </c>
      <c r="O801" s="449">
        <f>I801-E801</f>
        <v>-3</v>
      </c>
      <c r="P801" s="289">
        <f>IF(OR(AND(N801&gt;0,O801&gt;0),AND(N801&lt;0,O801&lt;0)),1,0)</f>
        <v>0</v>
      </c>
      <c r="Q801" s="460">
        <f>WEEKNUM(tblResultadosNBA[[#This Row],[Fecha]],2)</f>
        <v>7</v>
      </c>
      <c r="R801" s="460" t="str">
        <f>TEXT(tblResultadosNBA[[#This Row],[Fecha]],"mmm")</f>
        <v>feb</v>
      </c>
    </row>
    <row r="802" spans="1:18">
      <c r="A802" s="439">
        <v>46063</v>
      </c>
      <c r="B802" s="302" t="s">
        <v>170</v>
      </c>
      <c r="C802" s="177" t="str">
        <f t="shared" ref="C802:C804" si="864">LEFT(B802,FIND("@",B802)-2)</f>
        <v>LA Clippers</v>
      </c>
      <c r="D802" s="177">
        <v>111</v>
      </c>
      <c r="E802" s="336">
        <v>95</v>
      </c>
      <c r="F802" s="327">
        <f t="shared" ref="F802:F804" si="865">IF(E802&gt;D802, 1, 0)</f>
        <v>0</v>
      </c>
      <c r="G802" s="177" t="str">
        <f t="shared" ref="G802:G804" si="866">MID(B802,FIND("@",B802)+2,LEN(B802)-FIND("@",B802)-1)</f>
        <v>Houston Rockets</v>
      </c>
      <c r="H802" s="177">
        <v>115</v>
      </c>
      <c r="I802" s="336">
        <v>102</v>
      </c>
      <c r="J802" s="327">
        <f t="shared" ref="J802:J804" si="867">IF(I802&gt;H802, 1, 0)</f>
        <v>0</v>
      </c>
      <c r="K802" s="177">
        <f t="shared" ref="K802:K804" si="868">+D802+H802</f>
        <v>226</v>
      </c>
      <c r="L802" s="336">
        <f t="shared" ref="L802:L804" si="869">E802+I802</f>
        <v>197</v>
      </c>
      <c r="M802" s="327">
        <f t="shared" ref="M802:M804" si="870">IF(L802&gt;K802, 1, 0)</f>
        <v>0</v>
      </c>
      <c r="N802" s="337">
        <f t="shared" ref="N802:N804" si="871">(+H802-D802)</f>
        <v>4</v>
      </c>
      <c r="O802" s="395">
        <f t="shared" ref="O802:O804" si="872">I802-E802</f>
        <v>7</v>
      </c>
      <c r="P802" s="289">
        <f t="shared" ref="P802:P804" si="873">IF(OR(AND(N802&gt;0,O802&gt;0),AND(N802&lt;0,O802&lt;0)),1,0)</f>
        <v>1</v>
      </c>
      <c r="Q802" s="460">
        <f>WEEKNUM(tblResultadosNBA[[#This Row],[Fecha]],2)</f>
        <v>7</v>
      </c>
      <c r="R802" s="460" t="str">
        <f>TEXT(tblResultadosNBA[[#This Row],[Fecha]],"mmm")</f>
        <v>feb</v>
      </c>
    </row>
    <row r="803" spans="1:18">
      <c r="A803" s="439">
        <v>46063</v>
      </c>
      <c r="B803" s="302" t="s">
        <v>358</v>
      </c>
      <c r="C803" s="177" t="str">
        <f t="shared" si="864"/>
        <v>Dallas Mavericks</v>
      </c>
      <c r="D803" s="177">
        <v>109</v>
      </c>
      <c r="E803" s="336">
        <v>111</v>
      </c>
      <c r="F803" s="327">
        <f t="shared" si="865"/>
        <v>1</v>
      </c>
      <c r="G803" s="177" t="str">
        <f t="shared" si="866"/>
        <v>Phoenix Suns</v>
      </c>
      <c r="H803" s="177">
        <v>115</v>
      </c>
      <c r="I803" s="336">
        <v>120</v>
      </c>
      <c r="J803" s="327">
        <f t="shared" si="867"/>
        <v>1</v>
      </c>
      <c r="K803" s="177">
        <f t="shared" si="868"/>
        <v>224</v>
      </c>
      <c r="L803" s="336">
        <f t="shared" si="869"/>
        <v>231</v>
      </c>
      <c r="M803" s="327">
        <f t="shared" si="870"/>
        <v>1</v>
      </c>
      <c r="N803" s="337">
        <f t="shared" si="871"/>
        <v>6</v>
      </c>
      <c r="O803" s="395">
        <f t="shared" si="872"/>
        <v>9</v>
      </c>
      <c r="P803" s="289">
        <f t="shared" si="873"/>
        <v>1</v>
      </c>
      <c r="Q803" s="460">
        <f>WEEKNUM(tblResultadosNBA[[#This Row],[Fecha]],2)</f>
        <v>7</v>
      </c>
      <c r="R803" s="460" t="str">
        <f>TEXT(tblResultadosNBA[[#This Row],[Fecha]],"mmm")</f>
        <v>feb</v>
      </c>
    </row>
    <row r="804" spans="1:18">
      <c r="A804" s="446">
        <v>46063</v>
      </c>
      <c r="B804" s="331" t="s">
        <v>736</v>
      </c>
      <c r="C804" s="286" t="str">
        <f t="shared" si="864"/>
        <v>San Antonio Spurs</v>
      </c>
      <c r="D804" s="286">
        <v>116</v>
      </c>
      <c r="E804" s="431">
        <v>136</v>
      </c>
      <c r="F804" s="332">
        <f t="shared" si="865"/>
        <v>1</v>
      </c>
      <c r="G804" s="286" t="str">
        <f t="shared" si="866"/>
        <v>Los Angeles Lakers</v>
      </c>
      <c r="H804" s="286">
        <v>118</v>
      </c>
      <c r="I804" s="431">
        <v>108</v>
      </c>
      <c r="J804" s="332">
        <f t="shared" si="867"/>
        <v>0</v>
      </c>
      <c r="K804" s="286">
        <f t="shared" si="868"/>
        <v>234</v>
      </c>
      <c r="L804" s="431">
        <f t="shared" si="869"/>
        <v>244</v>
      </c>
      <c r="M804" s="332">
        <f t="shared" si="870"/>
        <v>1</v>
      </c>
      <c r="N804" s="432">
        <f t="shared" si="871"/>
        <v>2</v>
      </c>
      <c r="O804" s="451">
        <f t="shared" si="872"/>
        <v>-28</v>
      </c>
      <c r="P804" s="433">
        <f t="shared" si="873"/>
        <v>0</v>
      </c>
      <c r="Q804" s="460">
        <f>WEEKNUM(tblResultadosNBA[[#This Row],[Fecha]],2)</f>
        <v>7</v>
      </c>
      <c r="R804" s="460" t="str">
        <f>TEXT(tblResultadosNBA[[#This Row],[Fecha]],"mmm")</f>
        <v>feb</v>
      </c>
    </row>
    <row r="805" spans="1:18">
      <c r="A805" s="439">
        <v>46064</v>
      </c>
      <c r="B805" s="422" t="s">
        <v>186</v>
      </c>
      <c r="C805" s="341" t="str">
        <f>LEFT(B805,FIND("@",B805)-2)</f>
        <v>Atlanta Hawks</v>
      </c>
      <c r="D805" s="341">
        <v>118</v>
      </c>
      <c r="E805" s="342">
        <v>107</v>
      </c>
      <c r="F805" s="333">
        <f>IF(E805&gt;D805, 1, 0)</f>
        <v>0</v>
      </c>
      <c r="G805" s="341" t="str">
        <f>MID(B805,FIND("@",B805)+2,LEN(B805)-FIND("@",B805)-1)</f>
        <v>Charlotte Hornets</v>
      </c>
      <c r="H805" s="341">
        <v>118</v>
      </c>
      <c r="I805" s="342">
        <v>110</v>
      </c>
      <c r="J805" s="333">
        <f>IF(I805&gt;H805, 1, 0)</f>
        <v>0</v>
      </c>
      <c r="K805" s="341">
        <f>+D805+H805</f>
        <v>236</v>
      </c>
      <c r="L805" s="342">
        <f>E805+I805</f>
        <v>217</v>
      </c>
      <c r="M805" s="333">
        <f>IF(L805&gt;K805, 1, 0)</f>
        <v>0</v>
      </c>
      <c r="N805" s="343">
        <f>(+H805-D805)</f>
        <v>0</v>
      </c>
      <c r="O805" s="449">
        <f>I805-E805</f>
        <v>3</v>
      </c>
      <c r="P805" s="289">
        <f>IF(OR(AND(N805&gt;0,O805&gt;0),AND(N805&lt;0,O805&lt;0)),1,0)</f>
        <v>0</v>
      </c>
      <c r="Q805" s="460">
        <f>WEEKNUM(tblResultadosNBA[[#This Row],[Fecha]],2)</f>
        <v>7</v>
      </c>
      <c r="R805" s="460" t="str">
        <f>TEXT(tblResultadosNBA[[#This Row],[Fecha]],"mmm")</f>
        <v>feb</v>
      </c>
    </row>
    <row r="806" spans="1:18">
      <c r="A806" s="419">
        <v>46064</v>
      </c>
      <c r="B806" s="302" t="s">
        <v>359</v>
      </c>
      <c r="C806" s="177" t="str">
        <f t="shared" ref="C806:C818" si="874">LEFT(B806,FIND("@",B806)-2)</f>
        <v>Washington Wizards</v>
      </c>
      <c r="D806" s="177">
        <v>111</v>
      </c>
      <c r="E806" s="336">
        <v>113</v>
      </c>
      <c r="F806" s="327">
        <f t="shared" ref="F806:F818" si="875">IF(E806&gt;D806, 1, 0)</f>
        <v>1</v>
      </c>
      <c r="G806" s="177" t="str">
        <f t="shared" ref="G806:G818" si="876">MID(B806,FIND("@",B806)+2,LEN(B806)-FIND("@",B806)-1)</f>
        <v>Cleveland Cavaliers</v>
      </c>
      <c r="H806" s="177">
        <v>121</v>
      </c>
      <c r="I806" s="336">
        <v>138</v>
      </c>
      <c r="J806" s="327">
        <f t="shared" ref="J806:J818" si="877">IF(I806&gt;H806, 1, 0)</f>
        <v>1</v>
      </c>
      <c r="K806" s="177">
        <f t="shared" ref="K806:K818" si="878">+D806+H806</f>
        <v>232</v>
      </c>
      <c r="L806" s="336">
        <f t="shared" ref="L806:L818" si="879">E806+I806</f>
        <v>251</v>
      </c>
      <c r="M806" s="327">
        <f t="shared" ref="M806:M818" si="880">IF(L806&gt;K806, 1, 0)</f>
        <v>1</v>
      </c>
      <c r="N806" s="337">
        <f t="shared" ref="N806:N818" si="881">(+H806-D806)</f>
        <v>10</v>
      </c>
      <c r="O806" s="395">
        <f t="shared" ref="O806:O818" si="882">I806-E806</f>
        <v>25</v>
      </c>
      <c r="P806" s="289">
        <f t="shared" ref="P806:P818" si="883">IF(OR(AND(N806&gt;0,O806&gt;0),AND(N806&lt;0,O806&lt;0)),1,0)</f>
        <v>1</v>
      </c>
      <c r="Q806" s="460">
        <f>WEEKNUM(tblResultadosNBA[[#This Row],[Fecha]],2)</f>
        <v>7</v>
      </c>
      <c r="R806" s="460" t="str">
        <f>TEXT(tblResultadosNBA[[#This Row],[Fecha]],"mmm")</f>
        <v>feb</v>
      </c>
    </row>
    <row r="807" spans="1:18">
      <c r="A807" s="419">
        <v>46064</v>
      </c>
      <c r="B807" s="302" t="s">
        <v>352</v>
      </c>
      <c r="C807" s="177" t="str">
        <f t="shared" si="874"/>
        <v>Milwaukee Bucks</v>
      </c>
      <c r="D807" s="177">
        <v>112</v>
      </c>
      <c r="E807" s="336">
        <v>116</v>
      </c>
      <c r="F807" s="327">
        <f t="shared" si="875"/>
        <v>1</v>
      </c>
      <c r="G807" s="177" t="str">
        <f t="shared" si="876"/>
        <v>Orlando Magic</v>
      </c>
      <c r="H807" s="177">
        <v>113</v>
      </c>
      <c r="I807" s="336">
        <v>108</v>
      </c>
      <c r="J807" s="327">
        <f t="shared" si="877"/>
        <v>0</v>
      </c>
      <c r="K807" s="177">
        <f t="shared" si="878"/>
        <v>225</v>
      </c>
      <c r="L807" s="336">
        <f t="shared" si="879"/>
        <v>224</v>
      </c>
      <c r="M807" s="327">
        <f t="shared" si="880"/>
        <v>0</v>
      </c>
      <c r="N807" s="337">
        <f t="shared" si="881"/>
        <v>1</v>
      </c>
      <c r="O807" s="395">
        <f t="shared" si="882"/>
        <v>-8</v>
      </c>
      <c r="P807" s="289">
        <f t="shared" si="883"/>
        <v>0</v>
      </c>
      <c r="Q807" s="460">
        <f>WEEKNUM(tblResultadosNBA[[#This Row],[Fecha]],2)</f>
        <v>7</v>
      </c>
      <c r="R807" s="460" t="str">
        <f>TEXT(tblResultadosNBA[[#This Row],[Fecha]],"mmm")</f>
        <v>feb</v>
      </c>
    </row>
    <row r="808" spans="1:18">
      <c r="A808" s="419">
        <v>46064</v>
      </c>
      <c r="B808" s="302" t="s">
        <v>360</v>
      </c>
      <c r="C808" s="177" t="str">
        <f t="shared" si="874"/>
        <v>Chicago Bulls</v>
      </c>
      <c r="D808" s="177">
        <v>105</v>
      </c>
      <c r="E808" s="336">
        <v>104</v>
      </c>
      <c r="F808" s="327">
        <f t="shared" si="875"/>
        <v>0</v>
      </c>
      <c r="G808" s="177" t="str">
        <f t="shared" si="876"/>
        <v>Boston Celtics</v>
      </c>
      <c r="H808" s="177">
        <v>116</v>
      </c>
      <c r="I808" s="336">
        <v>124</v>
      </c>
      <c r="J808" s="327">
        <f t="shared" si="877"/>
        <v>1</v>
      </c>
      <c r="K808" s="177">
        <f t="shared" si="878"/>
        <v>221</v>
      </c>
      <c r="L808" s="336">
        <f t="shared" si="879"/>
        <v>228</v>
      </c>
      <c r="M808" s="327">
        <f t="shared" si="880"/>
        <v>1</v>
      </c>
      <c r="N808" s="337">
        <f t="shared" si="881"/>
        <v>11</v>
      </c>
      <c r="O808" s="395">
        <f t="shared" si="882"/>
        <v>20</v>
      </c>
      <c r="P808" s="289">
        <f t="shared" si="883"/>
        <v>1</v>
      </c>
      <c r="Q808" s="460">
        <f>WEEKNUM(tblResultadosNBA[[#This Row],[Fecha]],2)</f>
        <v>7</v>
      </c>
      <c r="R808" s="460" t="str">
        <f>TEXT(tblResultadosNBA[[#This Row],[Fecha]],"mmm")</f>
        <v>feb</v>
      </c>
    </row>
    <row r="809" spans="1:18">
      <c r="A809" s="419">
        <v>46064</v>
      </c>
      <c r="B809" s="302" t="s">
        <v>361</v>
      </c>
      <c r="C809" s="177" t="str">
        <f t="shared" si="874"/>
        <v>Indiana Pacers</v>
      </c>
      <c r="D809" s="177">
        <v>113</v>
      </c>
      <c r="E809" s="336">
        <v>115</v>
      </c>
      <c r="F809" s="327">
        <f t="shared" si="875"/>
        <v>1</v>
      </c>
      <c r="G809" s="177" t="str">
        <f t="shared" si="876"/>
        <v>Brooklyn Nets</v>
      </c>
      <c r="H809" s="177">
        <v>117</v>
      </c>
      <c r="I809" s="336">
        <v>110</v>
      </c>
      <c r="J809" s="327">
        <f t="shared" si="877"/>
        <v>0</v>
      </c>
      <c r="K809" s="177">
        <f t="shared" si="878"/>
        <v>230</v>
      </c>
      <c r="L809" s="336">
        <f t="shared" si="879"/>
        <v>225</v>
      </c>
      <c r="M809" s="327">
        <f t="shared" si="880"/>
        <v>0</v>
      </c>
      <c r="N809" s="337">
        <f t="shared" si="881"/>
        <v>4</v>
      </c>
      <c r="O809" s="395">
        <f t="shared" si="882"/>
        <v>-5</v>
      </c>
      <c r="P809" s="289">
        <f t="shared" si="883"/>
        <v>0</v>
      </c>
      <c r="Q809" s="460">
        <f>WEEKNUM(tblResultadosNBA[[#This Row],[Fecha]],2)</f>
        <v>7</v>
      </c>
      <c r="R809" s="460" t="str">
        <f>TEXT(tblResultadosNBA[[#This Row],[Fecha]],"mmm")</f>
        <v>feb</v>
      </c>
    </row>
    <row r="810" spans="1:18">
      <c r="A810" s="419">
        <v>46064</v>
      </c>
      <c r="B810" s="302" t="s">
        <v>291</v>
      </c>
      <c r="C810" s="177" t="str">
        <f t="shared" si="874"/>
        <v>New York Knicks</v>
      </c>
      <c r="D810" s="177">
        <v>111</v>
      </c>
      <c r="E810" s="336">
        <v>138</v>
      </c>
      <c r="F810" s="327">
        <f t="shared" si="875"/>
        <v>1</v>
      </c>
      <c r="G810" s="177" t="str">
        <f t="shared" si="876"/>
        <v>Philadelphia 76ers</v>
      </c>
      <c r="H810" s="177">
        <v>111</v>
      </c>
      <c r="I810" s="336">
        <v>89</v>
      </c>
      <c r="J810" s="327">
        <f t="shared" si="877"/>
        <v>0</v>
      </c>
      <c r="K810" s="177">
        <f t="shared" si="878"/>
        <v>222</v>
      </c>
      <c r="L810" s="336">
        <f t="shared" si="879"/>
        <v>227</v>
      </c>
      <c r="M810" s="327">
        <f t="shared" si="880"/>
        <v>1</v>
      </c>
      <c r="N810" s="337">
        <f t="shared" si="881"/>
        <v>0</v>
      </c>
      <c r="O810" s="395">
        <f t="shared" si="882"/>
        <v>-49</v>
      </c>
      <c r="P810" s="289">
        <f t="shared" si="883"/>
        <v>0</v>
      </c>
      <c r="Q810" s="460">
        <f>WEEKNUM(tblResultadosNBA[[#This Row],[Fecha]],2)</f>
        <v>7</v>
      </c>
      <c r="R810" s="460" t="str">
        <f>TEXT(tblResultadosNBA[[#This Row],[Fecha]],"mmm")</f>
        <v>feb</v>
      </c>
    </row>
    <row r="811" spans="1:18">
      <c r="A811" s="419">
        <v>46064</v>
      </c>
      <c r="B811" s="302" t="s">
        <v>470</v>
      </c>
      <c r="C811" s="177" t="str">
        <f t="shared" si="874"/>
        <v>Detroit Pistons</v>
      </c>
      <c r="D811" s="177">
        <v>112</v>
      </c>
      <c r="E811" s="336">
        <v>113</v>
      </c>
      <c r="F811" s="327">
        <f t="shared" si="875"/>
        <v>1</v>
      </c>
      <c r="G811" s="177" t="str">
        <f t="shared" si="876"/>
        <v>Toronto Raptors</v>
      </c>
      <c r="H811" s="177">
        <v>114</v>
      </c>
      <c r="I811" s="336">
        <v>95</v>
      </c>
      <c r="J811" s="327">
        <f t="shared" si="877"/>
        <v>0</v>
      </c>
      <c r="K811" s="177">
        <f t="shared" si="878"/>
        <v>226</v>
      </c>
      <c r="L811" s="336">
        <f t="shared" si="879"/>
        <v>208</v>
      </c>
      <c r="M811" s="327">
        <f t="shared" si="880"/>
        <v>0</v>
      </c>
      <c r="N811" s="337">
        <f t="shared" si="881"/>
        <v>2</v>
      </c>
      <c r="O811" s="395">
        <f t="shared" si="882"/>
        <v>-18</v>
      </c>
      <c r="P811" s="289">
        <f t="shared" si="883"/>
        <v>0</v>
      </c>
      <c r="Q811" s="460">
        <f>WEEKNUM(tblResultadosNBA[[#This Row],[Fecha]],2)</f>
        <v>7</v>
      </c>
      <c r="R811" s="460" t="str">
        <f>TEXT(tblResultadosNBA[[#This Row],[Fecha]],"mmm")</f>
        <v>feb</v>
      </c>
    </row>
    <row r="812" spans="1:18">
      <c r="A812" s="419">
        <v>46064</v>
      </c>
      <c r="B812" s="302" t="s">
        <v>170</v>
      </c>
      <c r="C812" s="177" t="str">
        <f t="shared" si="874"/>
        <v>LA Clippers</v>
      </c>
      <c r="D812" s="177">
        <v>107</v>
      </c>
      <c r="E812" s="336">
        <v>105</v>
      </c>
      <c r="F812" s="327">
        <f t="shared" si="875"/>
        <v>0</v>
      </c>
      <c r="G812" s="177" t="str">
        <f t="shared" si="876"/>
        <v>Houston Rockets</v>
      </c>
      <c r="H812" s="177">
        <v>112</v>
      </c>
      <c r="I812" s="336">
        <v>102</v>
      </c>
      <c r="J812" s="327">
        <f t="shared" si="877"/>
        <v>0</v>
      </c>
      <c r="K812" s="177">
        <f t="shared" si="878"/>
        <v>219</v>
      </c>
      <c r="L812" s="336">
        <f t="shared" si="879"/>
        <v>207</v>
      </c>
      <c r="M812" s="327">
        <f t="shared" si="880"/>
        <v>0</v>
      </c>
      <c r="N812" s="337">
        <f t="shared" si="881"/>
        <v>5</v>
      </c>
      <c r="O812" s="395">
        <f t="shared" si="882"/>
        <v>-3</v>
      </c>
      <c r="P812" s="289">
        <f t="shared" si="883"/>
        <v>0</v>
      </c>
      <c r="Q812" s="460">
        <f>WEEKNUM(tblResultadosNBA[[#This Row],[Fecha]],2)</f>
        <v>7</v>
      </c>
      <c r="R812" s="460" t="str">
        <f>TEXT(tblResultadosNBA[[#This Row],[Fecha]],"mmm")</f>
        <v>feb</v>
      </c>
    </row>
    <row r="813" spans="1:18">
      <c r="A813" s="419">
        <v>46064</v>
      </c>
      <c r="B813" s="302" t="s">
        <v>362</v>
      </c>
      <c r="C813" s="177" t="str">
        <f t="shared" si="874"/>
        <v>Portland Trail Blazers</v>
      </c>
      <c r="D813" s="177">
        <v>111</v>
      </c>
      <c r="E813" s="336">
        <v>109</v>
      </c>
      <c r="F813" s="327">
        <f t="shared" si="875"/>
        <v>0</v>
      </c>
      <c r="G813" s="177" t="str">
        <f t="shared" si="876"/>
        <v>Minnesota Timberwolves</v>
      </c>
      <c r="H813" s="177">
        <v>120</v>
      </c>
      <c r="I813" s="336">
        <v>133</v>
      </c>
      <c r="J813" s="327">
        <f t="shared" si="877"/>
        <v>1</v>
      </c>
      <c r="K813" s="177">
        <f t="shared" si="878"/>
        <v>231</v>
      </c>
      <c r="L813" s="336">
        <f t="shared" si="879"/>
        <v>242</v>
      </c>
      <c r="M813" s="327">
        <f t="shared" si="880"/>
        <v>1</v>
      </c>
      <c r="N813" s="337">
        <f t="shared" si="881"/>
        <v>9</v>
      </c>
      <c r="O813" s="395">
        <f t="shared" si="882"/>
        <v>24</v>
      </c>
      <c r="P813" s="289">
        <f t="shared" si="883"/>
        <v>1</v>
      </c>
      <c r="Q813" s="460">
        <f>WEEKNUM(tblResultadosNBA[[#This Row],[Fecha]],2)</f>
        <v>7</v>
      </c>
      <c r="R813" s="460" t="str">
        <f>TEXT(tblResultadosNBA[[#This Row],[Fecha]],"mmm")</f>
        <v>feb</v>
      </c>
    </row>
    <row r="814" spans="1:18">
      <c r="A814" s="419">
        <v>46064</v>
      </c>
      <c r="B814" s="302" t="s">
        <v>363</v>
      </c>
      <c r="C814" s="177" t="str">
        <f>LEFT(B814,FIND("@",B814)-2)</f>
        <v>Miami Heat</v>
      </c>
      <c r="D814" s="177">
        <v>114</v>
      </c>
      <c r="E814" s="336">
        <v>123</v>
      </c>
      <c r="F814" s="327">
        <f>IF(E814&gt;D814, 1, 0)</f>
        <v>1</v>
      </c>
      <c r="G814" s="177" t="str">
        <f>MID(B814,FIND("@",B814)+2,LEN(B814)-FIND("@",B814)-1)</f>
        <v>New Orleans Pelicans</v>
      </c>
      <c r="H814" s="177">
        <v>115</v>
      </c>
      <c r="I814" s="336">
        <v>111</v>
      </c>
      <c r="J814" s="327">
        <f>IF(I814&gt;H814, 1, 0)</f>
        <v>0</v>
      </c>
      <c r="K814" s="177">
        <f>+D814+H814</f>
        <v>229</v>
      </c>
      <c r="L814" s="336">
        <f>E814+I814</f>
        <v>234</v>
      </c>
      <c r="M814" s="327">
        <f>IF(L814&gt;K814, 1, 0)</f>
        <v>1</v>
      </c>
      <c r="N814" s="337">
        <f>(+H814-D814)</f>
        <v>1</v>
      </c>
      <c r="O814" s="395">
        <f>I814-E814</f>
        <v>-12</v>
      </c>
      <c r="P814" s="289">
        <f>IF(OR(AND(N814&gt;0,O814&gt;0),AND(N814&lt;0,O814&lt;0)),1,0)</f>
        <v>0</v>
      </c>
      <c r="Q814" s="460">
        <f>WEEKNUM(tblResultadosNBA[[#This Row],[Fecha]],2)</f>
        <v>7</v>
      </c>
      <c r="R814" s="460" t="str">
        <f>TEXT(tblResultadosNBA[[#This Row],[Fecha]],"mmm")</f>
        <v>feb</v>
      </c>
    </row>
    <row r="815" spans="1:18">
      <c r="A815" s="419">
        <v>46064</v>
      </c>
      <c r="B815" s="302" t="s">
        <v>595</v>
      </c>
      <c r="C815" s="177" t="str">
        <f t="shared" si="874"/>
        <v>Oklahoma City Thunder</v>
      </c>
      <c r="D815" s="177">
        <v>113</v>
      </c>
      <c r="E815" s="336">
        <v>136</v>
      </c>
      <c r="F815" s="327">
        <f t="shared" si="875"/>
        <v>1</v>
      </c>
      <c r="G815" s="177" t="str">
        <f t="shared" si="876"/>
        <v>Phoenix Suns</v>
      </c>
      <c r="H815" s="177">
        <v>110</v>
      </c>
      <c r="I815" s="336">
        <v>109</v>
      </c>
      <c r="J815" s="327">
        <f t="shared" si="877"/>
        <v>0</v>
      </c>
      <c r="K815" s="177">
        <f t="shared" si="878"/>
        <v>223</v>
      </c>
      <c r="L815" s="336">
        <f t="shared" si="879"/>
        <v>245</v>
      </c>
      <c r="M815" s="327">
        <f t="shared" si="880"/>
        <v>1</v>
      </c>
      <c r="N815" s="337">
        <f t="shared" si="881"/>
        <v>-3</v>
      </c>
      <c r="O815" s="395">
        <f t="shared" si="882"/>
        <v>-27</v>
      </c>
      <c r="P815" s="289">
        <f t="shared" si="883"/>
        <v>1</v>
      </c>
      <c r="Q815" s="460">
        <f>WEEKNUM(tblResultadosNBA[[#This Row],[Fecha]],2)</f>
        <v>7</v>
      </c>
      <c r="R815" s="460" t="str">
        <f>TEXT(tblResultadosNBA[[#This Row],[Fecha]],"mmm")</f>
        <v>feb</v>
      </c>
    </row>
    <row r="816" spans="1:18">
      <c r="A816" s="419">
        <v>46064</v>
      </c>
      <c r="B816" s="302" t="s">
        <v>364</v>
      </c>
      <c r="C816" s="177" t="str">
        <f t="shared" si="874"/>
        <v>Sacramento Kings</v>
      </c>
      <c r="D816" s="177">
        <v>114</v>
      </c>
      <c r="E816" s="336">
        <v>93</v>
      </c>
      <c r="F816" s="327">
        <f t="shared" si="875"/>
        <v>0</v>
      </c>
      <c r="G816" s="177" t="str">
        <f t="shared" si="876"/>
        <v>Utah Jazz</v>
      </c>
      <c r="H816" s="177">
        <v>116</v>
      </c>
      <c r="I816" s="336">
        <v>121</v>
      </c>
      <c r="J816" s="327">
        <f t="shared" si="877"/>
        <v>1</v>
      </c>
      <c r="K816" s="177">
        <f t="shared" si="878"/>
        <v>230</v>
      </c>
      <c r="L816" s="336">
        <f t="shared" si="879"/>
        <v>214</v>
      </c>
      <c r="M816" s="327">
        <f t="shared" si="880"/>
        <v>0</v>
      </c>
      <c r="N816" s="337">
        <f t="shared" si="881"/>
        <v>2</v>
      </c>
      <c r="O816" s="395">
        <f t="shared" si="882"/>
        <v>28</v>
      </c>
      <c r="P816" s="289">
        <f t="shared" si="883"/>
        <v>1</v>
      </c>
      <c r="Q816" s="460">
        <f>WEEKNUM(tblResultadosNBA[[#This Row],[Fecha]],2)</f>
        <v>7</v>
      </c>
      <c r="R816" s="460" t="str">
        <f>TEXT(tblResultadosNBA[[#This Row],[Fecha]],"mmm")</f>
        <v>feb</v>
      </c>
    </row>
    <row r="817" spans="1:18">
      <c r="A817" s="419">
        <v>46064</v>
      </c>
      <c r="B817" s="302" t="s">
        <v>365</v>
      </c>
      <c r="C817" s="177" t="str">
        <f t="shared" si="874"/>
        <v>Memphis Grizzlies</v>
      </c>
      <c r="D817" s="177">
        <v>110</v>
      </c>
      <c r="E817" s="336">
        <v>116</v>
      </c>
      <c r="F817" s="327">
        <f t="shared" si="875"/>
        <v>1</v>
      </c>
      <c r="G817" s="177" t="str">
        <f t="shared" si="876"/>
        <v>Denver Nuggets</v>
      </c>
      <c r="H817" s="177">
        <v>117</v>
      </c>
      <c r="I817" s="336">
        <v>122</v>
      </c>
      <c r="J817" s="327">
        <f t="shared" si="877"/>
        <v>1</v>
      </c>
      <c r="K817" s="177">
        <f t="shared" si="878"/>
        <v>227</v>
      </c>
      <c r="L817" s="336">
        <f t="shared" si="879"/>
        <v>238</v>
      </c>
      <c r="M817" s="327">
        <f t="shared" si="880"/>
        <v>1</v>
      </c>
      <c r="N817" s="337">
        <f t="shared" si="881"/>
        <v>7</v>
      </c>
      <c r="O817" s="395">
        <f t="shared" si="882"/>
        <v>6</v>
      </c>
      <c r="P817" s="289">
        <f t="shared" si="883"/>
        <v>1</v>
      </c>
      <c r="Q817" s="460">
        <f>WEEKNUM(tblResultadosNBA[[#This Row],[Fecha]],2)</f>
        <v>7</v>
      </c>
      <c r="R817" s="460" t="str">
        <f>TEXT(tblResultadosNBA[[#This Row],[Fecha]],"mmm")</f>
        <v>feb</v>
      </c>
    </row>
    <row r="818" spans="1:18">
      <c r="A818" s="445">
        <v>46064</v>
      </c>
      <c r="B818" s="331" t="s">
        <v>366</v>
      </c>
      <c r="C818" s="286" t="str">
        <f t="shared" si="874"/>
        <v>San Antonio Spurs</v>
      </c>
      <c r="D818" s="286">
        <v>113</v>
      </c>
      <c r="E818" s="431">
        <v>126</v>
      </c>
      <c r="F818" s="332">
        <f t="shared" si="875"/>
        <v>1</v>
      </c>
      <c r="G818" s="286" t="str">
        <f t="shared" si="876"/>
        <v>Golden State Warriors</v>
      </c>
      <c r="H818" s="286">
        <v>120</v>
      </c>
      <c r="I818" s="431">
        <v>113</v>
      </c>
      <c r="J818" s="332">
        <f t="shared" si="877"/>
        <v>0</v>
      </c>
      <c r="K818" s="286">
        <f t="shared" si="878"/>
        <v>233</v>
      </c>
      <c r="L818" s="431">
        <f t="shared" si="879"/>
        <v>239</v>
      </c>
      <c r="M818" s="332">
        <f t="shared" si="880"/>
        <v>1</v>
      </c>
      <c r="N818" s="432">
        <f t="shared" si="881"/>
        <v>7</v>
      </c>
      <c r="O818" s="451">
        <f t="shared" si="882"/>
        <v>-13</v>
      </c>
      <c r="P818" s="433">
        <f t="shared" si="883"/>
        <v>0</v>
      </c>
      <c r="Q818" s="460">
        <f>WEEKNUM(tblResultadosNBA[[#This Row],[Fecha]],2)</f>
        <v>7</v>
      </c>
      <c r="R818" s="460" t="str">
        <f>TEXT(tblResultadosNBA[[#This Row],[Fecha]],"mmm")</f>
        <v>feb</v>
      </c>
    </row>
    <row r="819" spans="1:18">
      <c r="A819" s="439">
        <v>46065</v>
      </c>
      <c r="B819" s="422" t="s">
        <v>367</v>
      </c>
      <c r="C819" s="341" t="str">
        <f>LEFT(B819,FIND("@",B819)-2)</f>
        <v>Milwaukee Bucks</v>
      </c>
      <c r="D819" s="341">
        <v>110</v>
      </c>
      <c r="E819" s="342">
        <v>110</v>
      </c>
      <c r="F819" s="333">
        <f>IF(E819&gt;D819, 1, 0)</f>
        <v>0</v>
      </c>
      <c r="G819" s="341" t="str">
        <f>MID(B819,FIND("@",B819)+2,LEN(B819)-FIND("@",B819)-1)</f>
        <v>Oklahoma City Thunder</v>
      </c>
      <c r="H819" s="341">
        <v>117</v>
      </c>
      <c r="I819" s="342">
        <v>93</v>
      </c>
      <c r="J819" s="333">
        <f>IF(I819&gt;H819, 1, 0)</f>
        <v>0</v>
      </c>
      <c r="K819" s="341">
        <f>+D819+H819</f>
        <v>227</v>
      </c>
      <c r="L819" s="342">
        <f>E819+I819</f>
        <v>203</v>
      </c>
      <c r="M819" s="333">
        <f>IF(L819&gt;K819, 1, 0)</f>
        <v>0</v>
      </c>
      <c r="N819" s="343">
        <f>(+H819-D819)</f>
        <v>7</v>
      </c>
      <c r="O819" s="449">
        <f>I819-E819</f>
        <v>-17</v>
      </c>
      <c r="P819" s="289">
        <f>IF(OR(AND(N819&gt;0,O819&gt;0),AND(N819&lt;0,O819&lt;0)),1,0)</f>
        <v>0</v>
      </c>
      <c r="Q819" s="460">
        <f>WEEKNUM(tblResultadosNBA[[#This Row],[Fecha]],2)</f>
        <v>7</v>
      </c>
      <c r="R819" s="460" t="str">
        <f>TEXT(tblResultadosNBA[[#This Row],[Fecha]],"mmm")</f>
        <v>feb</v>
      </c>
    </row>
    <row r="820" spans="1:18">
      <c r="A820" s="419">
        <v>46065</v>
      </c>
      <c r="B820" s="302" t="s">
        <v>368</v>
      </c>
      <c r="C820" s="177" t="str">
        <f t="shared" ref="C820:C821" si="884">LEFT(B820,FIND("@",B820)-2)</f>
        <v>Portland Trail Blazers</v>
      </c>
      <c r="D820" s="177">
        <v>112</v>
      </c>
      <c r="E820" s="336">
        <v>135</v>
      </c>
      <c r="F820" s="327">
        <f t="shared" ref="F820:F821" si="885">IF(E820&gt;D820, 1, 0)</f>
        <v>1</v>
      </c>
      <c r="G820" s="177" t="str">
        <f t="shared" ref="G820:G821" si="886">MID(B820,FIND("@",B820)+2,LEN(B820)-FIND("@",B820)-1)</f>
        <v>Utah Jazz</v>
      </c>
      <c r="H820" s="177">
        <v>116</v>
      </c>
      <c r="I820" s="336">
        <v>119</v>
      </c>
      <c r="J820" s="327">
        <f t="shared" ref="J820:J821" si="887">IF(I820&gt;H820, 1, 0)</f>
        <v>1</v>
      </c>
      <c r="K820" s="177">
        <f t="shared" ref="K820:K821" si="888">+D820+H820</f>
        <v>228</v>
      </c>
      <c r="L820" s="336">
        <f t="shared" ref="L820:L821" si="889">E820+I820</f>
        <v>254</v>
      </c>
      <c r="M820" s="327">
        <f t="shared" ref="M820:M821" si="890">IF(L820&gt;K820, 1, 0)</f>
        <v>1</v>
      </c>
      <c r="N820" s="337">
        <f t="shared" ref="N820:N821" si="891">(+H820-D820)</f>
        <v>4</v>
      </c>
      <c r="O820" s="395">
        <f t="shared" ref="O820:O821" si="892">I820-E820</f>
        <v>-16</v>
      </c>
      <c r="P820" s="289">
        <f t="shared" ref="P820:P821" si="893">IF(OR(AND(N820&gt;0,O820&gt;0),AND(N820&lt;0,O820&lt;0)),1,0)</f>
        <v>0</v>
      </c>
      <c r="Q820" s="460">
        <f>WEEKNUM(tblResultadosNBA[[#This Row],[Fecha]],2)</f>
        <v>7</v>
      </c>
      <c r="R820" s="460" t="str">
        <f>TEXT(tblResultadosNBA[[#This Row],[Fecha]],"mmm")</f>
        <v>feb</v>
      </c>
    </row>
    <row r="821" spans="1:18">
      <c r="A821" s="445">
        <v>46065</v>
      </c>
      <c r="B821" s="331" t="s">
        <v>115</v>
      </c>
      <c r="C821" s="286" t="str">
        <f t="shared" si="884"/>
        <v>Dallas Mavericks</v>
      </c>
      <c r="D821" s="286">
        <v>112</v>
      </c>
      <c r="E821" s="431">
        <v>104</v>
      </c>
      <c r="F821" s="332">
        <f t="shared" si="885"/>
        <v>0</v>
      </c>
      <c r="G821" s="286" t="str">
        <f t="shared" si="886"/>
        <v>Los Angeles Lakers</v>
      </c>
      <c r="H821" s="286">
        <v>117</v>
      </c>
      <c r="I821" s="431">
        <v>124</v>
      </c>
      <c r="J821" s="332">
        <f t="shared" si="887"/>
        <v>1</v>
      </c>
      <c r="K821" s="286">
        <f t="shared" si="888"/>
        <v>229</v>
      </c>
      <c r="L821" s="431">
        <f t="shared" si="889"/>
        <v>228</v>
      </c>
      <c r="M821" s="332">
        <f t="shared" si="890"/>
        <v>0</v>
      </c>
      <c r="N821" s="432">
        <f t="shared" si="891"/>
        <v>5</v>
      </c>
      <c r="O821" s="451">
        <f t="shared" si="892"/>
        <v>20</v>
      </c>
      <c r="P821" s="433">
        <f t="shared" si="893"/>
        <v>1</v>
      </c>
      <c r="Q821" s="460">
        <f>WEEKNUM(tblResultadosNBA[[#This Row],[Fecha]],2)</f>
        <v>7</v>
      </c>
      <c r="R821" s="460" t="str">
        <f>TEXT(tblResultadosNBA[[#This Row],[Fecha]],"mmm")</f>
        <v>feb</v>
      </c>
    </row>
    <row r="822" spans="1:18">
      <c r="A822" s="439">
        <v>46072</v>
      </c>
      <c r="B822" s="422" t="s">
        <v>369</v>
      </c>
      <c r="C822" s="341" t="str">
        <f>LEFT(B822,FIND("@",B822)-2)</f>
        <v>Houston Rockets</v>
      </c>
      <c r="D822" s="341">
        <v>114</v>
      </c>
      <c r="E822" s="342">
        <v>105</v>
      </c>
      <c r="F822" s="333">
        <f>IF(E822&gt;D822, 1, 0)</f>
        <v>0</v>
      </c>
      <c r="G822" s="341" t="str">
        <f>MID(B822,FIND("@",B822)+2,LEN(B822)-FIND("@",B822)-1)</f>
        <v>Charlotte Hornets</v>
      </c>
      <c r="H822" s="341">
        <v>112</v>
      </c>
      <c r="I822" s="342">
        <v>101</v>
      </c>
      <c r="J822" s="333">
        <f>IF(I822&gt;H822, 1, 0)</f>
        <v>0</v>
      </c>
      <c r="K822" s="341">
        <f>+D822+H822</f>
        <v>226</v>
      </c>
      <c r="L822" s="342">
        <f>E822+I822</f>
        <v>206</v>
      </c>
      <c r="M822" s="333">
        <f>IF(L822&gt;K822, 1, 0)</f>
        <v>0</v>
      </c>
      <c r="N822" s="343">
        <f>(+H822-D822)</f>
        <v>-2</v>
      </c>
      <c r="O822" s="449">
        <f>I822-E822</f>
        <v>-4</v>
      </c>
      <c r="P822" s="289">
        <f>IF(OR(AND(N822&gt;0,O822&gt;0),AND(N822&lt;0,O822&lt;0)),1,0)</f>
        <v>1</v>
      </c>
      <c r="Q822" s="460">
        <f>WEEKNUM(tblResultadosNBA[[#This Row],[Fecha]],2)</f>
        <v>8</v>
      </c>
      <c r="R822" s="460" t="str">
        <f>TEXT(tblResultadosNBA[[#This Row],[Fecha]],"mmm")</f>
        <v>feb</v>
      </c>
    </row>
    <row r="823" spans="1:18">
      <c r="A823" s="419">
        <v>46072</v>
      </c>
      <c r="B823" s="302" t="s">
        <v>370</v>
      </c>
      <c r="C823" s="177" t="str">
        <f t="shared" ref="C823:C831" si="894">LEFT(B823,FIND("@",B823)-2)</f>
        <v>Brooklyn Nets</v>
      </c>
      <c r="D823" s="177">
        <v>109</v>
      </c>
      <c r="E823" s="336">
        <v>84</v>
      </c>
      <c r="F823" s="327">
        <f t="shared" ref="F823:F831" si="895">IF(E823&gt;D823, 1, 0)</f>
        <v>0</v>
      </c>
      <c r="G823" s="177" t="str">
        <f t="shared" ref="G823:G831" si="896">MID(B823,FIND("@",B823)+2,LEN(B823)-FIND("@",B823)-1)</f>
        <v>Cleveland Cavaliers</v>
      </c>
      <c r="H823" s="177">
        <v>112</v>
      </c>
      <c r="I823" s="336">
        <v>112</v>
      </c>
      <c r="J823" s="327">
        <f t="shared" ref="J823:J831" si="897">IF(I823&gt;H823, 1, 0)</f>
        <v>0</v>
      </c>
      <c r="K823" s="177">
        <f t="shared" ref="K823:K831" si="898">+D823+H823</f>
        <v>221</v>
      </c>
      <c r="L823" s="336">
        <f t="shared" ref="L823:L831" si="899">E823+I823</f>
        <v>196</v>
      </c>
      <c r="M823" s="327">
        <f t="shared" ref="M823:M831" si="900">IF(L823&gt;K823, 1, 0)</f>
        <v>0</v>
      </c>
      <c r="N823" s="337">
        <f t="shared" ref="N823:N831" si="901">(+H823-D823)</f>
        <v>3</v>
      </c>
      <c r="O823" s="395">
        <f t="shared" ref="O823:O831" si="902">I823-E823</f>
        <v>28</v>
      </c>
      <c r="P823" s="289">
        <f t="shared" ref="P823:P831" si="903">IF(OR(AND(N823&gt;0,O823&gt;0),AND(N823&lt;0,O823&lt;0)),1,0)</f>
        <v>1</v>
      </c>
      <c r="Q823" s="460">
        <f>WEEKNUM(tblResultadosNBA[[#This Row],[Fecha]],2)</f>
        <v>8</v>
      </c>
      <c r="R823" s="460" t="str">
        <f>TEXT(tblResultadosNBA[[#This Row],[Fecha]],"mmm")</f>
        <v>feb</v>
      </c>
    </row>
    <row r="824" spans="1:18">
      <c r="A824" s="419">
        <v>46072</v>
      </c>
      <c r="B824" s="302" t="s">
        <v>122</v>
      </c>
      <c r="C824" s="177" t="str">
        <f t="shared" si="894"/>
        <v>Atlanta Hawks</v>
      </c>
      <c r="D824" s="177">
        <v>113</v>
      </c>
      <c r="E824" s="336">
        <v>117</v>
      </c>
      <c r="F824" s="327">
        <f t="shared" si="895"/>
        <v>1</v>
      </c>
      <c r="G824" s="177" t="str">
        <f t="shared" si="896"/>
        <v>Philadelphia 76ers</v>
      </c>
      <c r="H824" s="177">
        <v>120</v>
      </c>
      <c r="I824" s="336">
        <v>107</v>
      </c>
      <c r="J824" s="327">
        <f t="shared" si="897"/>
        <v>0</v>
      </c>
      <c r="K824" s="177">
        <f t="shared" si="898"/>
        <v>233</v>
      </c>
      <c r="L824" s="336">
        <f t="shared" si="899"/>
        <v>224</v>
      </c>
      <c r="M824" s="327">
        <f t="shared" si="900"/>
        <v>0</v>
      </c>
      <c r="N824" s="337">
        <f t="shared" si="901"/>
        <v>7</v>
      </c>
      <c r="O824" s="395">
        <f t="shared" si="902"/>
        <v>-10</v>
      </c>
      <c r="P824" s="289">
        <f t="shared" si="903"/>
        <v>0</v>
      </c>
      <c r="Q824" s="460">
        <f>WEEKNUM(tblResultadosNBA[[#This Row],[Fecha]],2)</f>
        <v>8</v>
      </c>
      <c r="R824" s="460" t="str">
        <f>TEXT(tblResultadosNBA[[#This Row],[Fecha]],"mmm")</f>
        <v>feb</v>
      </c>
    </row>
    <row r="825" spans="1:18">
      <c r="A825" s="419">
        <v>46072</v>
      </c>
      <c r="B825" s="302" t="s">
        <v>371</v>
      </c>
      <c r="C825" s="177" t="str">
        <f t="shared" si="894"/>
        <v>Indiana Pacers</v>
      </c>
      <c r="D825" s="177">
        <v>115</v>
      </c>
      <c r="E825" s="336">
        <v>105</v>
      </c>
      <c r="F825" s="327">
        <f t="shared" si="895"/>
        <v>0</v>
      </c>
      <c r="G825" s="177" t="str">
        <f t="shared" si="896"/>
        <v>Washington Wizards</v>
      </c>
      <c r="H825" s="177">
        <v>116</v>
      </c>
      <c r="I825" s="336">
        <v>112</v>
      </c>
      <c r="J825" s="327">
        <f t="shared" si="897"/>
        <v>0</v>
      </c>
      <c r="K825" s="177">
        <f t="shared" si="898"/>
        <v>231</v>
      </c>
      <c r="L825" s="336">
        <f t="shared" si="899"/>
        <v>217</v>
      </c>
      <c r="M825" s="327">
        <f t="shared" si="900"/>
        <v>0</v>
      </c>
      <c r="N825" s="337">
        <f t="shared" si="901"/>
        <v>1</v>
      </c>
      <c r="O825" s="395">
        <f t="shared" si="902"/>
        <v>7</v>
      </c>
      <c r="P825" s="289">
        <f t="shared" si="903"/>
        <v>1</v>
      </c>
      <c r="Q825" s="460">
        <f>WEEKNUM(tblResultadosNBA[[#This Row],[Fecha]],2)</f>
        <v>8</v>
      </c>
      <c r="R825" s="460" t="str">
        <f>TEXT(tblResultadosNBA[[#This Row],[Fecha]],"mmm")</f>
        <v>feb</v>
      </c>
    </row>
    <row r="826" spans="1:18">
      <c r="A826" s="419">
        <v>46072</v>
      </c>
      <c r="B826" s="302" t="s">
        <v>372</v>
      </c>
      <c r="C826" s="177" t="str">
        <f t="shared" si="894"/>
        <v>Detroit Pistons</v>
      </c>
      <c r="D826" s="177">
        <v>112</v>
      </c>
      <c r="E826" s="336">
        <v>126</v>
      </c>
      <c r="F826" s="327">
        <f t="shared" si="895"/>
        <v>1</v>
      </c>
      <c r="G826" s="177" t="str">
        <f t="shared" si="896"/>
        <v>New York Knicks</v>
      </c>
      <c r="H826" s="177">
        <v>114</v>
      </c>
      <c r="I826" s="336">
        <v>111</v>
      </c>
      <c r="J826" s="327">
        <f t="shared" si="897"/>
        <v>0</v>
      </c>
      <c r="K826" s="177">
        <f t="shared" si="898"/>
        <v>226</v>
      </c>
      <c r="L826" s="336">
        <f t="shared" si="899"/>
        <v>237</v>
      </c>
      <c r="M826" s="327">
        <f t="shared" si="900"/>
        <v>1</v>
      </c>
      <c r="N826" s="337">
        <f t="shared" si="901"/>
        <v>2</v>
      </c>
      <c r="O826" s="395">
        <f t="shared" si="902"/>
        <v>-15</v>
      </c>
      <c r="P826" s="289">
        <f t="shared" si="903"/>
        <v>0</v>
      </c>
      <c r="Q826" s="460">
        <f>WEEKNUM(tblResultadosNBA[[#This Row],[Fecha]],2)</f>
        <v>8</v>
      </c>
      <c r="R826" s="460" t="str">
        <f>TEXT(tblResultadosNBA[[#This Row],[Fecha]],"mmm")</f>
        <v>feb</v>
      </c>
    </row>
    <row r="827" spans="1:18">
      <c r="A827" s="419">
        <v>46072</v>
      </c>
      <c r="B827" s="302" t="s">
        <v>373</v>
      </c>
      <c r="C827" s="177" t="str">
        <f t="shared" si="894"/>
        <v>Toronto Raptors</v>
      </c>
      <c r="D827" s="177">
        <v>115</v>
      </c>
      <c r="E827" s="336">
        <v>110</v>
      </c>
      <c r="F827" s="327">
        <f t="shared" si="895"/>
        <v>0</v>
      </c>
      <c r="G827" s="177" t="str">
        <f t="shared" si="896"/>
        <v>Chicago Bulls</v>
      </c>
      <c r="H827" s="177">
        <v>115</v>
      </c>
      <c r="I827" s="336">
        <v>101</v>
      </c>
      <c r="J827" s="327">
        <f t="shared" si="897"/>
        <v>0</v>
      </c>
      <c r="K827" s="177">
        <f t="shared" si="898"/>
        <v>230</v>
      </c>
      <c r="L827" s="336">
        <f t="shared" si="899"/>
        <v>211</v>
      </c>
      <c r="M827" s="327">
        <f t="shared" si="900"/>
        <v>0</v>
      </c>
      <c r="N827" s="337">
        <f t="shared" si="901"/>
        <v>0</v>
      </c>
      <c r="O827" s="395">
        <f t="shared" si="902"/>
        <v>-9</v>
      </c>
      <c r="P827" s="289">
        <f t="shared" si="903"/>
        <v>0</v>
      </c>
      <c r="Q827" s="460">
        <f>WEEKNUM(tblResultadosNBA[[#This Row],[Fecha]],2)</f>
        <v>8</v>
      </c>
      <c r="R827" s="460" t="str">
        <f>TEXT(tblResultadosNBA[[#This Row],[Fecha]],"mmm")</f>
        <v>feb</v>
      </c>
    </row>
    <row r="828" spans="1:18">
      <c r="A828" s="419">
        <v>46072</v>
      </c>
      <c r="B828" s="302" t="s">
        <v>374</v>
      </c>
      <c r="C828" s="177" t="str">
        <f t="shared" si="894"/>
        <v>Phoenix Suns</v>
      </c>
      <c r="D828" s="177">
        <v>116</v>
      </c>
      <c r="E828" s="336">
        <v>94</v>
      </c>
      <c r="F828" s="327">
        <f t="shared" si="895"/>
        <v>0</v>
      </c>
      <c r="G828" s="177" t="str">
        <f t="shared" si="896"/>
        <v>San Antonio Spurs</v>
      </c>
      <c r="H828" s="177">
        <v>117</v>
      </c>
      <c r="I828" s="336">
        <v>121</v>
      </c>
      <c r="J828" s="327">
        <f t="shared" si="897"/>
        <v>1</v>
      </c>
      <c r="K828" s="177">
        <f t="shared" si="898"/>
        <v>233</v>
      </c>
      <c r="L828" s="336">
        <f t="shared" si="899"/>
        <v>215</v>
      </c>
      <c r="M828" s="327">
        <f t="shared" si="900"/>
        <v>0</v>
      </c>
      <c r="N828" s="337">
        <f t="shared" si="901"/>
        <v>1</v>
      </c>
      <c r="O828" s="395">
        <f t="shared" si="902"/>
        <v>27</v>
      </c>
      <c r="P828" s="289">
        <f t="shared" si="903"/>
        <v>1</v>
      </c>
      <c r="Q828" s="460">
        <f>WEEKNUM(tblResultadosNBA[[#This Row],[Fecha]],2)</f>
        <v>8</v>
      </c>
      <c r="R828" s="460" t="str">
        <f>TEXT(tblResultadosNBA[[#This Row],[Fecha]],"mmm")</f>
        <v>feb</v>
      </c>
    </row>
    <row r="829" spans="1:18">
      <c r="A829" s="419">
        <v>46072</v>
      </c>
      <c r="B829" s="302" t="s">
        <v>375</v>
      </c>
      <c r="C829" s="177" t="str">
        <f t="shared" si="894"/>
        <v>Boston Celtics</v>
      </c>
      <c r="D829" s="177">
        <v>116</v>
      </c>
      <c r="E829" s="336">
        <v>121</v>
      </c>
      <c r="F829" s="327">
        <f t="shared" si="895"/>
        <v>1</v>
      </c>
      <c r="G829" s="177" t="str">
        <f t="shared" si="896"/>
        <v>Golden State Warriors</v>
      </c>
      <c r="H829" s="177">
        <v>115</v>
      </c>
      <c r="I829" s="336">
        <v>110</v>
      </c>
      <c r="J829" s="327">
        <f t="shared" si="897"/>
        <v>0</v>
      </c>
      <c r="K829" s="177">
        <f t="shared" si="898"/>
        <v>231</v>
      </c>
      <c r="L829" s="336">
        <f t="shared" si="899"/>
        <v>231</v>
      </c>
      <c r="M829" s="327">
        <f t="shared" si="900"/>
        <v>0</v>
      </c>
      <c r="N829" s="337">
        <f t="shared" si="901"/>
        <v>-1</v>
      </c>
      <c r="O829" s="395">
        <f t="shared" si="902"/>
        <v>-11</v>
      </c>
      <c r="P829" s="289">
        <f t="shared" si="903"/>
        <v>1</v>
      </c>
      <c r="Q829" s="460">
        <f>WEEKNUM(tblResultadosNBA[[#This Row],[Fecha]],2)</f>
        <v>8</v>
      </c>
      <c r="R829" s="460" t="str">
        <f>TEXT(tblResultadosNBA[[#This Row],[Fecha]],"mmm")</f>
        <v>feb</v>
      </c>
    </row>
    <row r="830" spans="1:18">
      <c r="A830" s="419">
        <v>46072</v>
      </c>
      <c r="B830" s="302" t="s">
        <v>376</v>
      </c>
      <c r="C830" s="177" t="str">
        <f t="shared" si="894"/>
        <v>Orlando Magic</v>
      </c>
      <c r="D830" s="177">
        <v>115</v>
      </c>
      <c r="E830" s="336">
        <v>131</v>
      </c>
      <c r="F830" s="327">
        <f t="shared" si="895"/>
        <v>1</v>
      </c>
      <c r="G830" s="177" t="str">
        <f t="shared" si="896"/>
        <v>Sacramento Kings</v>
      </c>
      <c r="H830" s="177">
        <v>115</v>
      </c>
      <c r="I830" s="336">
        <v>94</v>
      </c>
      <c r="J830" s="327">
        <f t="shared" si="897"/>
        <v>0</v>
      </c>
      <c r="K830" s="177">
        <f t="shared" si="898"/>
        <v>230</v>
      </c>
      <c r="L830" s="336">
        <f t="shared" si="899"/>
        <v>225</v>
      </c>
      <c r="M830" s="327">
        <f t="shared" si="900"/>
        <v>0</v>
      </c>
      <c r="N830" s="337">
        <f t="shared" si="901"/>
        <v>0</v>
      </c>
      <c r="O830" s="395">
        <f t="shared" si="902"/>
        <v>-37</v>
      </c>
      <c r="P830" s="289">
        <f t="shared" si="903"/>
        <v>0</v>
      </c>
      <c r="Q830" s="460">
        <f>WEEKNUM(tblResultadosNBA[[#This Row],[Fecha]],2)</f>
        <v>8</v>
      </c>
      <c r="R830" s="460" t="str">
        <f>TEXT(tblResultadosNBA[[#This Row],[Fecha]],"mmm")</f>
        <v>feb</v>
      </c>
    </row>
    <row r="831" spans="1:18">
      <c r="A831" s="445">
        <v>46072</v>
      </c>
      <c r="B831" s="331" t="s">
        <v>377</v>
      </c>
      <c r="C831" s="286" t="str">
        <f t="shared" si="894"/>
        <v>Denver Nuggets</v>
      </c>
      <c r="D831" s="286">
        <v>114</v>
      </c>
      <c r="E831" s="431">
        <v>114</v>
      </c>
      <c r="F831" s="332">
        <f t="shared" si="895"/>
        <v>0</v>
      </c>
      <c r="G831" s="286" t="str">
        <f t="shared" si="896"/>
        <v>LA Clippers</v>
      </c>
      <c r="H831" s="286">
        <v>112</v>
      </c>
      <c r="I831" s="431">
        <v>115</v>
      </c>
      <c r="J831" s="332">
        <f t="shared" si="897"/>
        <v>1</v>
      </c>
      <c r="K831" s="286">
        <f t="shared" si="898"/>
        <v>226</v>
      </c>
      <c r="L831" s="431">
        <f t="shared" si="899"/>
        <v>229</v>
      </c>
      <c r="M831" s="332">
        <f t="shared" si="900"/>
        <v>1</v>
      </c>
      <c r="N831" s="432">
        <f t="shared" si="901"/>
        <v>-2</v>
      </c>
      <c r="O831" s="451">
        <f t="shared" si="902"/>
        <v>1</v>
      </c>
      <c r="P831" s="433">
        <f t="shared" si="903"/>
        <v>0</v>
      </c>
      <c r="Q831" s="460">
        <f>WEEKNUM(tblResultadosNBA[[#This Row],[Fecha]],2)</f>
        <v>8</v>
      </c>
      <c r="R831" s="460" t="str">
        <f>TEXT(tblResultadosNBA[[#This Row],[Fecha]],"mmm")</f>
        <v>feb</v>
      </c>
    </row>
    <row r="832" spans="1:18">
      <c r="A832" s="439">
        <v>46073</v>
      </c>
      <c r="B832" s="422" t="s">
        <v>378</v>
      </c>
      <c r="C832" s="341" t="str">
        <f>LEFT(B832,FIND("@",B832)-2)</f>
        <v>Cleveland Cavaliers</v>
      </c>
      <c r="D832" s="341">
        <v>112</v>
      </c>
      <c r="E832" s="342">
        <v>118</v>
      </c>
      <c r="F832" s="333">
        <f>IF(E832&gt;D832, 1, 0)</f>
        <v>1</v>
      </c>
      <c r="G832" s="341" t="str">
        <f>MID(B832,FIND("@",B832)+2,LEN(B832)-FIND("@",B832)-1)</f>
        <v>Charlotte Hornets</v>
      </c>
      <c r="H832" s="341">
        <v>112</v>
      </c>
      <c r="I832" s="342">
        <v>113</v>
      </c>
      <c r="J832" s="333">
        <f>IF(I832&gt;H832, 1, 0)</f>
        <v>1</v>
      </c>
      <c r="K832" s="341">
        <f>+D832+H832</f>
        <v>224</v>
      </c>
      <c r="L832" s="342">
        <f>E832+I832</f>
        <v>231</v>
      </c>
      <c r="M832" s="333">
        <f>IF(L832&gt;K832, 1, 0)</f>
        <v>1</v>
      </c>
      <c r="N832" s="343">
        <f>(+H832-D832)</f>
        <v>0</v>
      </c>
      <c r="O832" s="449">
        <f>I832-E832</f>
        <v>-5</v>
      </c>
      <c r="P832" s="289">
        <f>IF(OR(AND(N832&gt;0,O832&gt;0),AND(N832&lt;0,O832&lt;0)),1,0)</f>
        <v>0</v>
      </c>
      <c r="Q832" s="460">
        <f>WEEKNUM(tblResultadosNBA[[#This Row],[Fecha]],2)</f>
        <v>8</v>
      </c>
      <c r="R832" s="460" t="str">
        <f>TEXT(tblResultadosNBA[[#This Row],[Fecha]],"mmm")</f>
        <v>feb</v>
      </c>
    </row>
    <row r="833" spans="1:18">
      <c r="A833" s="439">
        <v>46073</v>
      </c>
      <c r="B833" s="302" t="s">
        <v>371</v>
      </c>
      <c r="C833" s="177" t="str">
        <f t="shared" ref="C833:C840" si="904">LEFT(B833,FIND("@",B833)-2)</f>
        <v>Indiana Pacers</v>
      </c>
      <c r="D833" s="177">
        <v>115</v>
      </c>
      <c r="E833" s="336">
        <v>118</v>
      </c>
      <c r="F833" s="327">
        <f t="shared" ref="F833:F840" si="905">IF(E833&gt;D833, 1, 0)</f>
        <v>1</v>
      </c>
      <c r="G833" s="177" t="str">
        <f t="shared" ref="G833:G840" si="906">MID(B833,FIND("@",B833)+2,LEN(B833)-FIND("@",B833)-1)</f>
        <v>Washington Wizards</v>
      </c>
      <c r="H833" s="177">
        <v>116</v>
      </c>
      <c r="I833" s="336">
        <v>131</v>
      </c>
      <c r="J833" s="327">
        <f t="shared" ref="J833:J840" si="907">IF(I833&gt;H833, 1, 0)</f>
        <v>1</v>
      </c>
      <c r="K833" s="177">
        <f t="shared" ref="K833:K840" si="908">+D833+H833</f>
        <v>231</v>
      </c>
      <c r="L833" s="336">
        <f t="shared" ref="L833:L840" si="909">E833+I833</f>
        <v>249</v>
      </c>
      <c r="M833" s="327">
        <f t="shared" ref="M833:M840" si="910">IF(L833&gt;K833, 1, 0)</f>
        <v>1</v>
      </c>
      <c r="N833" s="337">
        <f t="shared" ref="N833:N840" si="911">(+H833-D833)</f>
        <v>1</v>
      </c>
      <c r="O833" s="395">
        <f t="shared" ref="O833:O840" si="912">I833-E833</f>
        <v>13</v>
      </c>
      <c r="P833" s="289">
        <f t="shared" ref="P833:P840" si="913">IF(OR(AND(N833&gt;0,O833&gt;0),AND(N833&lt;0,O833&lt;0)),1,0)</f>
        <v>1</v>
      </c>
      <c r="Q833" s="460">
        <f>WEEKNUM(tblResultadosNBA[[#This Row],[Fecha]],2)</f>
        <v>8</v>
      </c>
      <c r="R833" s="460" t="str">
        <f>TEXT(tblResultadosNBA[[#This Row],[Fecha]],"mmm")</f>
        <v>feb</v>
      </c>
    </row>
    <row r="834" spans="1:18">
      <c r="A834" s="439">
        <v>46073</v>
      </c>
      <c r="B834" s="302" t="s">
        <v>792</v>
      </c>
      <c r="C834" s="177" t="str">
        <f t="shared" si="904"/>
        <v>Utah Jazz</v>
      </c>
      <c r="D834" s="177">
        <v>118</v>
      </c>
      <c r="E834" s="336">
        <v>114</v>
      </c>
      <c r="F834" s="327">
        <f t="shared" si="905"/>
        <v>0</v>
      </c>
      <c r="G834" s="177" t="str">
        <f t="shared" si="906"/>
        <v>Memphis Grizzlies</v>
      </c>
      <c r="H834" s="177">
        <v>121</v>
      </c>
      <c r="I834" s="336">
        <v>123</v>
      </c>
      <c r="J834" s="327">
        <f t="shared" si="907"/>
        <v>1</v>
      </c>
      <c r="K834" s="177">
        <f t="shared" si="908"/>
        <v>239</v>
      </c>
      <c r="L834" s="336">
        <f t="shared" si="909"/>
        <v>237</v>
      </c>
      <c r="M834" s="327">
        <f t="shared" si="910"/>
        <v>0</v>
      </c>
      <c r="N834" s="337">
        <f t="shared" si="911"/>
        <v>3</v>
      </c>
      <c r="O834" s="395">
        <f t="shared" si="912"/>
        <v>9</v>
      </c>
      <c r="P834" s="289">
        <f t="shared" si="913"/>
        <v>1</v>
      </c>
      <c r="Q834" s="460">
        <f>WEEKNUM(tblResultadosNBA[[#This Row],[Fecha]],2)</f>
        <v>8</v>
      </c>
      <c r="R834" s="460" t="str">
        <f>TEXT(tblResultadosNBA[[#This Row],[Fecha]],"mmm")</f>
        <v>feb</v>
      </c>
    </row>
    <row r="835" spans="1:18">
      <c r="A835" s="439">
        <v>46073</v>
      </c>
      <c r="B835" s="302" t="s">
        <v>227</v>
      </c>
      <c r="C835" s="177" t="str">
        <f t="shared" si="904"/>
        <v>Miami Heat</v>
      </c>
      <c r="D835" s="177">
        <v>117</v>
      </c>
      <c r="E835" s="336">
        <v>128</v>
      </c>
      <c r="F835" s="327">
        <f t="shared" si="905"/>
        <v>1</v>
      </c>
      <c r="G835" s="177" t="str">
        <f t="shared" si="906"/>
        <v>Atlanta Hawks</v>
      </c>
      <c r="H835" s="177">
        <v>113</v>
      </c>
      <c r="I835" s="336">
        <v>97</v>
      </c>
      <c r="J835" s="327">
        <f t="shared" si="907"/>
        <v>0</v>
      </c>
      <c r="K835" s="177">
        <f t="shared" si="908"/>
        <v>230</v>
      </c>
      <c r="L835" s="336">
        <f t="shared" si="909"/>
        <v>225</v>
      </c>
      <c r="M835" s="327">
        <f t="shared" si="910"/>
        <v>0</v>
      </c>
      <c r="N835" s="337">
        <f t="shared" si="911"/>
        <v>-4</v>
      </c>
      <c r="O835" s="395">
        <f t="shared" si="912"/>
        <v>-31</v>
      </c>
      <c r="P835" s="289">
        <f t="shared" si="913"/>
        <v>1</v>
      </c>
      <c r="Q835" s="460">
        <f>WEEKNUM(tblResultadosNBA[[#This Row],[Fecha]],2)</f>
        <v>8</v>
      </c>
      <c r="R835" s="460" t="str">
        <f>TEXT(tblResultadosNBA[[#This Row],[Fecha]],"mmm")</f>
        <v>feb</v>
      </c>
    </row>
    <row r="836" spans="1:18">
      <c r="A836" s="439">
        <v>46073</v>
      </c>
      <c r="B836" s="302" t="s">
        <v>73</v>
      </c>
      <c r="C836" s="177" t="str">
        <f t="shared" si="904"/>
        <v>Dallas Mavericks</v>
      </c>
      <c r="D836" s="177">
        <v>114</v>
      </c>
      <c r="E836" s="336">
        <v>111</v>
      </c>
      <c r="F836" s="327">
        <f t="shared" si="905"/>
        <v>0</v>
      </c>
      <c r="G836" s="177" t="str">
        <f t="shared" si="906"/>
        <v>Minnesota Timberwolves</v>
      </c>
      <c r="H836" s="177">
        <v>120</v>
      </c>
      <c r="I836" s="336">
        <v>122</v>
      </c>
      <c r="J836" s="327">
        <f t="shared" si="907"/>
        <v>1</v>
      </c>
      <c r="K836" s="177">
        <f t="shared" si="908"/>
        <v>234</v>
      </c>
      <c r="L836" s="336">
        <f t="shared" si="909"/>
        <v>233</v>
      </c>
      <c r="M836" s="327">
        <f t="shared" si="910"/>
        <v>0</v>
      </c>
      <c r="N836" s="337">
        <f t="shared" si="911"/>
        <v>6</v>
      </c>
      <c r="O836" s="395">
        <f t="shared" si="912"/>
        <v>11</v>
      </c>
      <c r="P836" s="289">
        <f t="shared" si="913"/>
        <v>1</v>
      </c>
      <c r="Q836" s="460">
        <f>WEEKNUM(tblResultadosNBA[[#This Row],[Fecha]],2)</f>
        <v>8</v>
      </c>
      <c r="R836" s="460" t="str">
        <f>TEXT(tblResultadosNBA[[#This Row],[Fecha]],"mmm")</f>
        <v>feb</v>
      </c>
    </row>
    <row r="837" spans="1:18">
      <c r="A837" s="439">
        <v>46073</v>
      </c>
      <c r="B837" s="302" t="s">
        <v>379</v>
      </c>
      <c r="C837" s="177" t="str">
        <f t="shared" si="904"/>
        <v>Milwaukee Bucks</v>
      </c>
      <c r="D837" s="177">
        <v>117</v>
      </c>
      <c r="E837" s="336">
        <v>139</v>
      </c>
      <c r="F837" s="327">
        <f t="shared" si="905"/>
        <v>1</v>
      </c>
      <c r="G837" s="177" t="str">
        <f t="shared" si="906"/>
        <v>New Orleans Pelicans</v>
      </c>
      <c r="H837" s="177">
        <v>116</v>
      </c>
      <c r="I837" s="336">
        <v>118</v>
      </c>
      <c r="J837" s="327">
        <f t="shared" si="907"/>
        <v>1</v>
      </c>
      <c r="K837" s="177">
        <f t="shared" si="908"/>
        <v>233</v>
      </c>
      <c r="L837" s="336">
        <f t="shared" si="909"/>
        <v>257</v>
      </c>
      <c r="M837" s="327">
        <f t="shared" si="910"/>
        <v>1</v>
      </c>
      <c r="N837" s="337">
        <f t="shared" si="911"/>
        <v>-1</v>
      </c>
      <c r="O837" s="395">
        <f t="shared" si="912"/>
        <v>-21</v>
      </c>
      <c r="P837" s="289">
        <f t="shared" si="913"/>
        <v>1</v>
      </c>
      <c r="Q837" s="460">
        <f>WEEKNUM(tblResultadosNBA[[#This Row],[Fecha]],2)</f>
        <v>8</v>
      </c>
      <c r="R837" s="460" t="str">
        <f>TEXT(tblResultadosNBA[[#This Row],[Fecha]],"mmm")</f>
        <v>feb</v>
      </c>
    </row>
    <row r="838" spans="1:18">
      <c r="A838" s="439">
        <v>46073</v>
      </c>
      <c r="B838" s="302" t="s">
        <v>924</v>
      </c>
      <c r="C838" s="177" t="str">
        <f t="shared" si="904"/>
        <v>Brooklyn Nets</v>
      </c>
      <c r="D838" s="177">
        <v>105</v>
      </c>
      <c r="E838" s="336">
        <v>86</v>
      </c>
      <c r="F838" s="327">
        <f t="shared" si="905"/>
        <v>0</v>
      </c>
      <c r="G838" s="177" t="str">
        <f t="shared" si="906"/>
        <v>Oklahoma City Thunder</v>
      </c>
      <c r="H838" s="177">
        <v>113</v>
      </c>
      <c r="I838" s="336">
        <v>105</v>
      </c>
      <c r="J838" s="327">
        <f t="shared" si="907"/>
        <v>0</v>
      </c>
      <c r="K838" s="177">
        <f t="shared" si="908"/>
        <v>218</v>
      </c>
      <c r="L838" s="336">
        <f t="shared" si="909"/>
        <v>191</v>
      </c>
      <c r="M838" s="327">
        <f t="shared" si="910"/>
        <v>0</v>
      </c>
      <c r="N838" s="337">
        <f t="shared" si="911"/>
        <v>8</v>
      </c>
      <c r="O838" s="395">
        <f t="shared" si="912"/>
        <v>19</v>
      </c>
      <c r="P838" s="289">
        <f t="shared" si="913"/>
        <v>1</v>
      </c>
      <c r="Q838" s="460">
        <f>WEEKNUM(tblResultadosNBA[[#This Row],[Fecha]],2)</f>
        <v>8</v>
      </c>
      <c r="R838" s="460" t="str">
        <f>TEXT(tblResultadosNBA[[#This Row],[Fecha]],"mmm")</f>
        <v>feb</v>
      </c>
    </row>
    <row r="839" spans="1:18">
      <c r="A839" s="439">
        <v>46073</v>
      </c>
      <c r="B839" s="302" t="s">
        <v>780</v>
      </c>
      <c r="C839" s="177" t="str">
        <f t="shared" si="904"/>
        <v>LA Clippers</v>
      </c>
      <c r="D839" s="177">
        <v>113</v>
      </c>
      <c r="E839" s="336">
        <v>122</v>
      </c>
      <c r="F839" s="327">
        <f t="shared" si="905"/>
        <v>1</v>
      </c>
      <c r="G839" s="177" t="str">
        <f t="shared" si="906"/>
        <v>Los Angeles Lakers</v>
      </c>
      <c r="H839" s="177">
        <v>117</v>
      </c>
      <c r="I839" s="336">
        <v>125</v>
      </c>
      <c r="J839" s="327">
        <f t="shared" si="907"/>
        <v>1</v>
      </c>
      <c r="K839" s="177">
        <f t="shared" si="908"/>
        <v>230</v>
      </c>
      <c r="L839" s="336">
        <f t="shared" si="909"/>
        <v>247</v>
      </c>
      <c r="M839" s="327">
        <f t="shared" si="910"/>
        <v>1</v>
      </c>
      <c r="N839" s="337">
        <f t="shared" si="911"/>
        <v>4</v>
      </c>
      <c r="O839" s="395">
        <f t="shared" si="912"/>
        <v>3</v>
      </c>
      <c r="P839" s="289">
        <f t="shared" si="913"/>
        <v>1</v>
      </c>
      <c r="Q839" s="460">
        <f>WEEKNUM(tblResultadosNBA[[#This Row],[Fecha]],2)</f>
        <v>8</v>
      </c>
      <c r="R839" s="460" t="str">
        <f>TEXT(tblResultadosNBA[[#This Row],[Fecha]],"mmm")</f>
        <v>feb</v>
      </c>
    </row>
    <row r="840" spans="1:18">
      <c r="A840" s="446">
        <v>46073</v>
      </c>
      <c r="B840" s="331" t="s">
        <v>380</v>
      </c>
      <c r="C840" s="286" t="str">
        <f t="shared" si="904"/>
        <v>Denver Nuggets</v>
      </c>
      <c r="D840" s="286">
        <v>117</v>
      </c>
      <c r="E840" s="431">
        <v>157</v>
      </c>
      <c r="F840" s="332">
        <f t="shared" si="905"/>
        <v>1</v>
      </c>
      <c r="G840" s="286" t="str">
        <f t="shared" si="906"/>
        <v>Portland Trail Blazers</v>
      </c>
      <c r="H840" s="286">
        <v>111</v>
      </c>
      <c r="I840" s="431">
        <v>103</v>
      </c>
      <c r="J840" s="332">
        <f t="shared" si="907"/>
        <v>0</v>
      </c>
      <c r="K840" s="286">
        <f t="shared" si="908"/>
        <v>228</v>
      </c>
      <c r="L840" s="431">
        <f t="shared" si="909"/>
        <v>260</v>
      </c>
      <c r="M840" s="332">
        <f t="shared" si="910"/>
        <v>1</v>
      </c>
      <c r="N840" s="432">
        <f t="shared" si="911"/>
        <v>-6</v>
      </c>
      <c r="O840" s="451">
        <f t="shared" si="912"/>
        <v>-54</v>
      </c>
      <c r="P840" s="433">
        <f t="shared" si="913"/>
        <v>1</v>
      </c>
      <c r="Q840" s="460">
        <f>WEEKNUM(tblResultadosNBA[[#This Row],[Fecha]],2)</f>
        <v>8</v>
      </c>
      <c r="R840" s="460" t="str">
        <f>TEXT(tblResultadosNBA[[#This Row],[Fecha]],"mmm")</f>
        <v>feb</v>
      </c>
    </row>
    <row r="841" spans="1:18">
      <c r="A841" s="439">
        <v>46074</v>
      </c>
      <c r="B841" s="422" t="s">
        <v>381</v>
      </c>
      <c r="C841" s="341" t="str">
        <f>LEFT(B841,FIND("@",B841)-2)</f>
        <v>Orlando Magic</v>
      </c>
      <c r="D841" s="341">
        <v>108</v>
      </c>
      <c r="E841" s="342">
        <v>110</v>
      </c>
      <c r="F841" s="333">
        <f>IF(E841&gt;D841, 1, 0)</f>
        <v>1</v>
      </c>
      <c r="G841" s="341" t="str">
        <f>MID(B841,FIND("@",B841)+2,LEN(B841)-FIND("@",B841)-1)</f>
        <v>Phoenix Suns</v>
      </c>
      <c r="H841" s="341">
        <v>113</v>
      </c>
      <c r="I841" s="342">
        <v>113</v>
      </c>
      <c r="J841" s="333">
        <f>IF(I841&gt;H841, 1, 0)</f>
        <v>0</v>
      </c>
      <c r="K841" s="341">
        <f>+D841+H841</f>
        <v>221</v>
      </c>
      <c r="L841" s="342">
        <f>E841+I841</f>
        <v>223</v>
      </c>
      <c r="M841" s="333">
        <f>IF(L841&gt;K841, 1, 0)</f>
        <v>1</v>
      </c>
      <c r="N841" s="343">
        <f>(+H841-D841)</f>
        <v>5</v>
      </c>
      <c r="O841" s="449">
        <f>I841-E841</f>
        <v>3</v>
      </c>
      <c r="P841" s="289">
        <f>IF(OR(AND(N841&gt;0,O841&gt;0),AND(N841&lt;0,O841&lt;0)),1,0)</f>
        <v>1</v>
      </c>
      <c r="Q841" s="460">
        <f>WEEKNUM(tblResultadosNBA[[#This Row],[Fecha]],2)</f>
        <v>8</v>
      </c>
      <c r="R841" s="460" t="str">
        <f>TEXT(tblResultadosNBA[[#This Row],[Fecha]],"mmm")</f>
        <v>feb</v>
      </c>
    </row>
    <row r="842" spans="1:18">
      <c r="A842" s="439">
        <v>46074</v>
      </c>
      <c r="B842" s="302" t="s">
        <v>382</v>
      </c>
      <c r="C842" s="177" t="str">
        <f t="shared" ref="C842:C846" si="914">LEFT(B842,FIND("@",B842)-2)</f>
        <v>Philadelphia 76ers</v>
      </c>
      <c r="D842" s="177">
        <v>115</v>
      </c>
      <c r="E842" s="336">
        <v>111</v>
      </c>
      <c r="F842" s="327">
        <f t="shared" ref="F842:F846" si="915">IF(E842&gt;D842, 1, 0)</f>
        <v>0</v>
      </c>
      <c r="G842" s="177" t="str">
        <f t="shared" ref="G842:G846" si="916">MID(B842,FIND("@",B842)+2,LEN(B842)-FIND("@",B842)-1)</f>
        <v>New Orleans Pelicans</v>
      </c>
      <c r="H842" s="177">
        <v>116</v>
      </c>
      <c r="I842" s="336">
        <v>126</v>
      </c>
      <c r="J842" s="327">
        <f t="shared" ref="J842:J846" si="917">IF(I842&gt;H842, 1, 0)</f>
        <v>1</v>
      </c>
      <c r="K842" s="177">
        <f t="shared" ref="K842:K846" si="918">+D842+H842</f>
        <v>231</v>
      </c>
      <c r="L842" s="336">
        <f t="shared" ref="L842:L846" si="919">E842+I842</f>
        <v>237</v>
      </c>
      <c r="M842" s="327">
        <f t="shared" ref="M842:M846" si="920">IF(L842&gt;K842, 1, 0)</f>
        <v>1</v>
      </c>
      <c r="N842" s="337">
        <f t="shared" ref="N842:N846" si="921">(+H842-D842)</f>
        <v>1</v>
      </c>
      <c r="O842" s="395">
        <f t="shared" ref="O842:O846" si="922">I842-E842</f>
        <v>15</v>
      </c>
      <c r="P842" s="289">
        <f t="shared" ref="P842:P846" si="923">IF(OR(AND(N842&gt;0,O842&gt;0),AND(N842&lt;0,O842&lt;0)),1,0)</f>
        <v>1</v>
      </c>
      <c r="Q842" s="460">
        <f>WEEKNUM(tblResultadosNBA[[#This Row],[Fecha]],2)</f>
        <v>8</v>
      </c>
      <c r="R842" s="460" t="str">
        <f>TEXT(tblResultadosNBA[[#This Row],[Fecha]],"mmm")</f>
        <v>feb</v>
      </c>
    </row>
    <row r="843" spans="1:18">
      <c r="A843" s="439">
        <v>46074</v>
      </c>
      <c r="B843" s="302" t="s">
        <v>383</v>
      </c>
      <c r="C843" s="177" t="str">
        <f>LEFT(B843,FIND("@",B843)-2)</f>
        <v>Memphis Grizzlies</v>
      </c>
      <c r="D843" s="177">
        <v>116</v>
      </c>
      <c r="E843" s="336">
        <v>120</v>
      </c>
      <c r="F843" s="327">
        <f>IF(E843&gt;D843, 1, 0)</f>
        <v>1</v>
      </c>
      <c r="G843" s="177" t="str">
        <f>MID(B843,FIND("@",B843)+2,LEN(B843)-FIND("@",B843)-1)</f>
        <v>Miami Heat</v>
      </c>
      <c r="H843" s="177">
        <v>119</v>
      </c>
      <c r="I843" s="336">
        <v>136</v>
      </c>
      <c r="J843" s="327">
        <f>IF(I843&gt;H843, 1, 0)</f>
        <v>1</v>
      </c>
      <c r="K843" s="177">
        <f>+D843+H843</f>
        <v>235</v>
      </c>
      <c r="L843" s="336">
        <f>E843+I843</f>
        <v>256</v>
      </c>
      <c r="M843" s="327">
        <f>IF(L843&gt;K843, 1, 0)</f>
        <v>1</v>
      </c>
      <c r="N843" s="337">
        <f>(+H843-D843)</f>
        <v>3</v>
      </c>
      <c r="O843" s="395">
        <f>I843-E843</f>
        <v>16</v>
      </c>
      <c r="P843" s="289">
        <f>IF(OR(AND(N843&gt;0,O843&gt;0),AND(N843&lt;0,O843&lt;0)),1,0)</f>
        <v>1</v>
      </c>
      <c r="Q843" s="460">
        <f>WEEKNUM(tblResultadosNBA[[#This Row],[Fecha]],2)</f>
        <v>8</v>
      </c>
      <c r="R843" s="460" t="str">
        <f>TEXT(tblResultadosNBA[[#This Row],[Fecha]],"mmm")</f>
        <v>feb</v>
      </c>
    </row>
    <row r="844" spans="1:18">
      <c r="A844" s="439">
        <v>46074</v>
      </c>
      <c r="B844" s="302" t="s">
        <v>384</v>
      </c>
      <c r="C844" s="177" t="str">
        <f t="shared" si="914"/>
        <v>Detroit Pistons</v>
      </c>
      <c r="D844" s="177">
        <v>115</v>
      </c>
      <c r="E844" s="336">
        <v>126</v>
      </c>
      <c r="F844" s="327">
        <f t="shared" si="915"/>
        <v>1</v>
      </c>
      <c r="G844" s="177" t="str">
        <f t="shared" si="916"/>
        <v>Chicago Bulls</v>
      </c>
      <c r="H844" s="177">
        <v>115</v>
      </c>
      <c r="I844" s="336">
        <v>110</v>
      </c>
      <c r="J844" s="327">
        <f t="shared" si="917"/>
        <v>0</v>
      </c>
      <c r="K844" s="177">
        <f t="shared" si="918"/>
        <v>230</v>
      </c>
      <c r="L844" s="336">
        <f t="shared" si="919"/>
        <v>236</v>
      </c>
      <c r="M844" s="327">
        <f t="shared" si="920"/>
        <v>1</v>
      </c>
      <c r="N844" s="337">
        <f t="shared" si="921"/>
        <v>0</v>
      </c>
      <c r="O844" s="395">
        <f t="shared" si="922"/>
        <v>-16</v>
      </c>
      <c r="P844" s="289">
        <f t="shared" si="923"/>
        <v>0</v>
      </c>
      <c r="Q844" s="460">
        <f>WEEKNUM(tblResultadosNBA[[#This Row],[Fecha]],2)</f>
        <v>8</v>
      </c>
      <c r="R844" s="460" t="str">
        <f>TEXT(tblResultadosNBA[[#This Row],[Fecha]],"mmm")</f>
        <v>feb</v>
      </c>
    </row>
    <row r="845" spans="1:18">
      <c r="A845" s="439">
        <v>46074</v>
      </c>
      <c r="B845" s="302" t="s">
        <v>385</v>
      </c>
      <c r="C845" s="177" t="str">
        <f t="shared" si="914"/>
        <v>Sacramento Kings</v>
      </c>
      <c r="D845" s="177">
        <v>112</v>
      </c>
      <c r="E845" s="336">
        <v>122</v>
      </c>
      <c r="F845" s="327">
        <f t="shared" si="915"/>
        <v>1</v>
      </c>
      <c r="G845" s="177" t="str">
        <f t="shared" si="916"/>
        <v>San Antonio Spurs</v>
      </c>
      <c r="H845" s="177">
        <v>118</v>
      </c>
      <c r="I845" s="336">
        <v>139</v>
      </c>
      <c r="J845" s="327">
        <f t="shared" si="917"/>
        <v>1</v>
      </c>
      <c r="K845" s="177">
        <f t="shared" si="918"/>
        <v>230</v>
      </c>
      <c r="L845" s="336">
        <f t="shared" si="919"/>
        <v>261</v>
      </c>
      <c r="M845" s="327">
        <f t="shared" si="920"/>
        <v>1</v>
      </c>
      <c r="N845" s="337">
        <f t="shared" si="921"/>
        <v>6</v>
      </c>
      <c r="O845" s="395">
        <f t="shared" si="922"/>
        <v>17</v>
      </c>
      <c r="P845" s="289">
        <f t="shared" si="923"/>
        <v>1</v>
      </c>
      <c r="Q845" s="460">
        <f>WEEKNUM(tblResultadosNBA[[#This Row],[Fecha]],2)</f>
        <v>8</v>
      </c>
      <c r="R845" s="460" t="str">
        <f>TEXT(tblResultadosNBA[[#This Row],[Fecha]],"mmm")</f>
        <v>feb</v>
      </c>
    </row>
    <row r="846" spans="1:18">
      <c r="A846" s="446">
        <v>46074</v>
      </c>
      <c r="B846" s="331" t="s">
        <v>925</v>
      </c>
      <c r="C846" s="286" t="str">
        <f t="shared" si="914"/>
        <v>Houston Rockets</v>
      </c>
      <c r="D846" s="286">
        <v>111</v>
      </c>
      <c r="E846" s="431">
        <v>106</v>
      </c>
      <c r="F846" s="332">
        <f t="shared" si="915"/>
        <v>0</v>
      </c>
      <c r="G846" s="286" t="str">
        <f t="shared" si="916"/>
        <v>New York Knicks</v>
      </c>
      <c r="H846" s="286">
        <v>113</v>
      </c>
      <c r="I846" s="431">
        <v>108</v>
      </c>
      <c r="J846" s="332">
        <f t="shared" si="917"/>
        <v>0</v>
      </c>
      <c r="K846" s="286">
        <f t="shared" si="918"/>
        <v>224</v>
      </c>
      <c r="L846" s="431">
        <f t="shared" si="919"/>
        <v>214</v>
      </c>
      <c r="M846" s="332">
        <f t="shared" si="920"/>
        <v>0</v>
      </c>
      <c r="N846" s="432">
        <f t="shared" si="921"/>
        <v>2</v>
      </c>
      <c r="O846" s="451">
        <f t="shared" si="922"/>
        <v>2</v>
      </c>
      <c r="P846" s="433">
        <f t="shared" si="923"/>
        <v>1</v>
      </c>
      <c r="Q846" s="460">
        <f>WEEKNUM(tblResultadosNBA[[#This Row],[Fecha]],2)</f>
        <v>8</v>
      </c>
      <c r="R846" s="460" t="str">
        <f>TEXT(tblResultadosNBA[[#This Row],[Fecha]],"mmm")</f>
        <v>feb</v>
      </c>
    </row>
    <row r="847" spans="1:18">
      <c r="A847" s="439">
        <v>46075</v>
      </c>
      <c r="B847" s="422" t="s">
        <v>926</v>
      </c>
      <c r="C847" s="341" t="str">
        <f>LEFT(B847,FIND("@",B847)-2)</f>
        <v>Cleveland Cavaliers</v>
      </c>
      <c r="D847" s="341">
        <v>112</v>
      </c>
      <c r="E847" s="342">
        <v>113</v>
      </c>
      <c r="F847" s="333">
        <f>IF(E847&gt;D847, 1, 0)</f>
        <v>1</v>
      </c>
      <c r="G847" s="341" t="str">
        <f>MID(B847,FIND("@",B847)+2,LEN(B847)-FIND("@",B847)-1)</f>
        <v>Oklahoma City Thunder</v>
      </c>
      <c r="H847" s="341">
        <v>121</v>
      </c>
      <c r="I847" s="342">
        <v>121</v>
      </c>
      <c r="J847" s="333">
        <f>IF(I847&gt;H847, 1, 0)</f>
        <v>0</v>
      </c>
      <c r="K847" s="341">
        <f>+D847+H847</f>
        <v>233</v>
      </c>
      <c r="L847" s="342">
        <f>E847+I847</f>
        <v>234</v>
      </c>
      <c r="M847" s="333">
        <f>IF(L847&gt;K847, 1, 0)</f>
        <v>1</v>
      </c>
      <c r="N847" s="343">
        <f>(+H847-D847)</f>
        <v>9</v>
      </c>
      <c r="O847" s="449">
        <f>I847-E847</f>
        <v>8</v>
      </c>
      <c r="P847" s="289">
        <f>IF(OR(AND(N847&gt;0,O847&gt;0),AND(N847&lt;0,O847&lt;0)),1,0)</f>
        <v>1</v>
      </c>
      <c r="Q847" s="460">
        <f>WEEKNUM(tblResultadosNBA[[#This Row],[Fecha]],2)</f>
        <v>8</v>
      </c>
      <c r="R847" s="460" t="str">
        <f>TEXT(tblResultadosNBA[[#This Row],[Fecha]],"mmm")</f>
        <v>feb</v>
      </c>
    </row>
    <row r="848" spans="1:18">
      <c r="A848" s="439">
        <v>46075</v>
      </c>
      <c r="B848" s="302" t="s">
        <v>386</v>
      </c>
      <c r="C848" s="177" t="str">
        <f t="shared" ref="C848:C856" si="924">LEFT(B848,FIND("@",B848)-2)</f>
        <v>Brooklyn Nets</v>
      </c>
      <c r="D848" s="177">
        <v>108</v>
      </c>
      <c r="E848" s="336">
        <v>104</v>
      </c>
      <c r="F848" s="327">
        <f t="shared" ref="F848:F856" si="925">IF(E848&gt;D848, 1, 0)</f>
        <v>0</v>
      </c>
      <c r="G848" s="177" t="str">
        <f t="shared" ref="G848:G856" si="926">MID(B848,FIND("@",B848)+2,LEN(B848)-FIND("@",B848)-1)</f>
        <v>Atlanta Hawks</v>
      </c>
      <c r="H848" s="177">
        <v>112</v>
      </c>
      <c r="I848" s="336">
        <v>115</v>
      </c>
      <c r="J848" s="327">
        <f t="shared" ref="J848:J856" si="927">IF(I848&gt;H848, 1, 0)</f>
        <v>1</v>
      </c>
      <c r="K848" s="177">
        <f t="shared" ref="K848:K856" si="928">+D848+H848</f>
        <v>220</v>
      </c>
      <c r="L848" s="336">
        <f t="shared" ref="L848:L856" si="929">E848+I848</f>
        <v>219</v>
      </c>
      <c r="M848" s="327">
        <f t="shared" ref="M848:M856" si="930">IF(L848&gt;K848, 1, 0)</f>
        <v>0</v>
      </c>
      <c r="N848" s="337">
        <f t="shared" ref="N848:N856" si="931">(+H848-D848)</f>
        <v>4</v>
      </c>
      <c r="O848" s="395">
        <f t="shared" ref="O848:O856" si="932">I848-E848</f>
        <v>11</v>
      </c>
      <c r="P848" s="289">
        <f t="shared" ref="P848:P856" si="933">IF(OR(AND(N848&gt;0,O848&gt;0),AND(N848&lt;0,O848&lt;0)),1,0)</f>
        <v>1</v>
      </c>
      <c r="Q848" s="460">
        <f>WEEKNUM(tblResultadosNBA[[#This Row],[Fecha]],2)</f>
        <v>8</v>
      </c>
      <c r="R848" s="460" t="str">
        <f>TEXT(tblResultadosNBA[[#This Row],[Fecha]],"mmm")</f>
        <v>feb</v>
      </c>
    </row>
    <row r="849" spans="1:18">
      <c r="A849" s="439">
        <v>46075</v>
      </c>
      <c r="B849" s="302" t="s">
        <v>190</v>
      </c>
      <c r="C849" s="177" t="str">
        <f t="shared" si="924"/>
        <v>Toronto Raptors</v>
      </c>
      <c r="D849" s="177">
        <v>111</v>
      </c>
      <c r="E849" s="336">
        <v>122</v>
      </c>
      <c r="F849" s="327">
        <f t="shared" si="925"/>
        <v>1</v>
      </c>
      <c r="G849" s="177" t="str">
        <f t="shared" si="926"/>
        <v>Milwaukee Bucks</v>
      </c>
      <c r="H849" s="177">
        <v>113</v>
      </c>
      <c r="I849" s="336">
        <v>94</v>
      </c>
      <c r="J849" s="327">
        <f t="shared" si="927"/>
        <v>0</v>
      </c>
      <c r="K849" s="177">
        <f t="shared" si="928"/>
        <v>224</v>
      </c>
      <c r="L849" s="336">
        <f t="shared" si="929"/>
        <v>216</v>
      </c>
      <c r="M849" s="327">
        <f t="shared" si="930"/>
        <v>0</v>
      </c>
      <c r="N849" s="337">
        <f t="shared" si="931"/>
        <v>2</v>
      </c>
      <c r="O849" s="395">
        <f t="shared" si="932"/>
        <v>-28</v>
      </c>
      <c r="P849" s="289">
        <f t="shared" si="933"/>
        <v>0</v>
      </c>
      <c r="Q849" s="460">
        <f>WEEKNUM(tblResultadosNBA[[#This Row],[Fecha]],2)</f>
        <v>8</v>
      </c>
      <c r="R849" s="460" t="str">
        <f>TEXT(tblResultadosNBA[[#This Row],[Fecha]],"mmm")</f>
        <v>feb</v>
      </c>
    </row>
    <row r="850" spans="1:18">
      <c r="A850" s="439">
        <v>46075</v>
      </c>
      <c r="B850" s="302" t="s">
        <v>671</v>
      </c>
      <c r="C850" s="177" t="str">
        <f t="shared" si="924"/>
        <v>Denver Nuggets</v>
      </c>
      <c r="D850" s="177">
        <v>116</v>
      </c>
      <c r="E850" s="336">
        <v>117</v>
      </c>
      <c r="F850" s="327">
        <f t="shared" si="925"/>
        <v>1</v>
      </c>
      <c r="G850" s="177" t="str">
        <f t="shared" si="926"/>
        <v>Golden State Warriors</v>
      </c>
      <c r="H850" s="177">
        <v>116</v>
      </c>
      <c r="I850" s="336">
        <v>128</v>
      </c>
      <c r="J850" s="327">
        <f t="shared" si="927"/>
        <v>1</v>
      </c>
      <c r="K850" s="177">
        <f t="shared" si="928"/>
        <v>232</v>
      </c>
      <c r="L850" s="336">
        <f t="shared" si="929"/>
        <v>245</v>
      </c>
      <c r="M850" s="327">
        <f t="shared" si="930"/>
        <v>1</v>
      </c>
      <c r="N850" s="337">
        <f t="shared" si="931"/>
        <v>0</v>
      </c>
      <c r="O850" s="395">
        <f t="shared" si="932"/>
        <v>11</v>
      </c>
      <c r="P850" s="289">
        <f t="shared" si="933"/>
        <v>0</v>
      </c>
      <c r="Q850" s="460">
        <f>WEEKNUM(tblResultadosNBA[[#This Row],[Fecha]],2)</f>
        <v>8</v>
      </c>
      <c r="R850" s="460" t="str">
        <f>TEXT(tblResultadosNBA[[#This Row],[Fecha]],"mmm")</f>
        <v>feb</v>
      </c>
    </row>
    <row r="851" spans="1:18">
      <c r="A851" s="439">
        <v>46075</v>
      </c>
      <c r="B851" s="302" t="s">
        <v>387</v>
      </c>
      <c r="C851" s="177" t="str">
        <f t="shared" si="924"/>
        <v>Dallas Mavericks</v>
      </c>
      <c r="D851" s="177">
        <v>115</v>
      </c>
      <c r="E851" s="336">
        <v>134</v>
      </c>
      <c r="F851" s="327">
        <f t="shared" si="925"/>
        <v>1</v>
      </c>
      <c r="G851" s="177" t="str">
        <f t="shared" si="926"/>
        <v>Indiana Pacers</v>
      </c>
      <c r="H851" s="177">
        <v>116</v>
      </c>
      <c r="I851" s="336">
        <v>130</v>
      </c>
      <c r="J851" s="327">
        <f t="shared" si="927"/>
        <v>1</v>
      </c>
      <c r="K851" s="177">
        <f t="shared" si="928"/>
        <v>231</v>
      </c>
      <c r="L851" s="336">
        <f t="shared" si="929"/>
        <v>264</v>
      </c>
      <c r="M851" s="327">
        <f t="shared" si="930"/>
        <v>1</v>
      </c>
      <c r="N851" s="337">
        <f t="shared" si="931"/>
        <v>1</v>
      </c>
      <c r="O851" s="395">
        <f t="shared" si="932"/>
        <v>-4</v>
      </c>
      <c r="P851" s="289">
        <f t="shared" si="933"/>
        <v>0</v>
      </c>
      <c r="Q851" s="460">
        <f>WEEKNUM(tblResultadosNBA[[#This Row],[Fecha]],2)</f>
        <v>8</v>
      </c>
      <c r="R851" s="460" t="str">
        <f>TEXT(tblResultadosNBA[[#This Row],[Fecha]],"mmm")</f>
        <v>feb</v>
      </c>
    </row>
    <row r="852" spans="1:18">
      <c r="A852" s="439">
        <v>46075</v>
      </c>
      <c r="B852" s="302" t="s">
        <v>686</v>
      </c>
      <c r="C852" s="177" t="str">
        <f t="shared" si="924"/>
        <v>Charlotte Hornets</v>
      </c>
      <c r="D852" s="177">
        <v>119</v>
      </c>
      <c r="E852" s="336">
        <v>129</v>
      </c>
      <c r="F852" s="327">
        <f t="shared" si="925"/>
        <v>1</v>
      </c>
      <c r="G852" s="177" t="str">
        <f t="shared" si="926"/>
        <v>Washington Wizards</v>
      </c>
      <c r="H852" s="177">
        <v>112</v>
      </c>
      <c r="I852" s="336">
        <v>112</v>
      </c>
      <c r="J852" s="327">
        <f t="shared" si="927"/>
        <v>0</v>
      </c>
      <c r="K852" s="177">
        <f t="shared" si="928"/>
        <v>231</v>
      </c>
      <c r="L852" s="336">
        <f t="shared" si="929"/>
        <v>241</v>
      </c>
      <c r="M852" s="327">
        <f t="shared" si="930"/>
        <v>1</v>
      </c>
      <c r="N852" s="337">
        <f t="shared" si="931"/>
        <v>-7</v>
      </c>
      <c r="O852" s="395">
        <f t="shared" si="932"/>
        <v>-17</v>
      </c>
      <c r="P852" s="289">
        <f t="shared" si="933"/>
        <v>1</v>
      </c>
      <c r="Q852" s="460">
        <f>WEEKNUM(tblResultadosNBA[[#This Row],[Fecha]],2)</f>
        <v>8</v>
      </c>
      <c r="R852" s="460" t="str">
        <f>TEXT(tblResultadosNBA[[#This Row],[Fecha]],"mmm")</f>
        <v>feb</v>
      </c>
    </row>
    <row r="853" spans="1:18">
      <c r="A853" s="439">
        <v>46075</v>
      </c>
      <c r="B853" s="302" t="s">
        <v>388</v>
      </c>
      <c r="C853" s="177" t="str">
        <f t="shared" si="924"/>
        <v>Boston Celtics</v>
      </c>
      <c r="D853" s="177">
        <v>112</v>
      </c>
      <c r="E853" s="336">
        <v>111</v>
      </c>
      <c r="F853" s="327">
        <f t="shared" si="925"/>
        <v>0</v>
      </c>
      <c r="G853" s="177" t="str">
        <f t="shared" si="926"/>
        <v>Los Angeles Lakers</v>
      </c>
      <c r="H853" s="177">
        <v>113</v>
      </c>
      <c r="I853" s="336">
        <v>89</v>
      </c>
      <c r="J853" s="327">
        <f t="shared" si="927"/>
        <v>0</v>
      </c>
      <c r="K853" s="177">
        <f t="shared" si="928"/>
        <v>225</v>
      </c>
      <c r="L853" s="336">
        <f t="shared" si="929"/>
        <v>200</v>
      </c>
      <c r="M853" s="327">
        <f t="shared" si="930"/>
        <v>0</v>
      </c>
      <c r="N853" s="337">
        <f t="shared" si="931"/>
        <v>1</v>
      </c>
      <c r="O853" s="395">
        <f t="shared" si="932"/>
        <v>-22</v>
      </c>
      <c r="P853" s="289">
        <f t="shared" si="933"/>
        <v>0</v>
      </c>
      <c r="Q853" s="460">
        <f>WEEKNUM(tblResultadosNBA[[#This Row],[Fecha]],2)</f>
        <v>8</v>
      </c>
      <c r="R853" s="460" t="str">
        <f>TEXT(tblResultadosNBA[[#This Row],[Fecha]],"mmm")</f>
        <v>feb</v>
      </c>
    </row>
    <row r="854" spans="1:18">
      <c r="A854" s="439">
        <v>46075</v>
      </c>
      <c r="B854" s="302" t="s">
        <v>389</v>
      </c>
      <c r="C854" s="177" t="str">
        <f t="shared" si="924"/>
        <v>Philadelphia 76ers</v>
      </c>
      <c r="D854" s="177">
        <v>111</v>
      </c>
      <c r="E854" s="336">
        <v>135</v>
      </c>
      <c r="F854" s="327">
        <f t="shared" si="925"/>
        <v>1</v>
      </c>
      <c r="G854" s="177" t="str">
        <f t="shared" si="926"/>
        <v>Minnesota Timberwolves</v>
      </c>
      <c r="H854" s="177">
        <v>118</v>
      </c>
      <c r="I854" s="336">
        <v>108</v>
      </c>
      <c r="J854" s="327">
        <f t="shared" si="927"/>
        <v>0</v>
      </c>
      <c r="K854" s="177">
        <f t="shared" si="928"/>
        <v>229</v>
      </c>
      <c r="L854" s="336">
        <f t="shared" si="929"/>
        <v>243</v>
      </c>
      <c r="M854" s="327">
        <f t="shared" si="930"/>
        <v>1</v>
      </c>
      <c r="N854" s="337">
        <f t="shared" si="931"/>
        <v>7</v>
      </c>
      <c r="O854" s="395">
        <f t="shared" si="932"/>
        <v>-27</v>
      </c>
      <c r="P854" s="289">
        <f t="shared" si="933"/>
        <v>0</v>
      </c>
      <c r="Q854" s="460">
        <f>WEEKNUM(tblResultadosNBA[[#This Row],[Fecha]],2)</f>
        <v>8</v>
      </c>
      <c r="R854" s="460" t="str">
        <f>TEXT(tblResultadosNBA[[#This Row],[Fecha]],"mmm")</f>
        <v>feb</v>
      </c>
    </row>
    <row r="855" spans="1:18">
      <c r="A855" s="439">
        <v>46075</v>
      </c>
      <c r="B855" s="302" t="s">
        <v>390</v>
      </c>
      <c r="C855" s="177" t="str">
        <f t="shared" si="924"/>
        <v>New York Knicks</v>
      </c>
      <c r="D855" s="177">
        <v>114</v>
      </c>
      <c r="E855" s="336">
        <v>105</v>
      </c>
      <c r="F855" s="327">
        <f t="shared" si="925"/>
        <v>0</v>
      </c>
      <c r="G855" s="177" t="str">
        <f t="shared" si="926"/>
        <v>Chicago Bulls</v>
      </c>
      <c r="H855" s="177">
        <v>115</v>
      </c>
      <c r="I855" s="336">
        <v>99</v>
      </c>
      <c r="J855" s="327">
        <f t="shared" si="927"/>
        <v>0</v>
      </c>
      <c r="K855" s="177">
        <f t="shared" si="928"/>
        <v>229</v>
      </c>
      <c r="L855" s="336">
        <f t="shared" si="929"/>
        <v>204</v>
      </c>
      <c r="M855" s="327">
        <f t="shared" si="930"/>
        <v>0</v>
      </c>
      <c r="N855" s="337">
        <f t="shared" si="931"/>
        <v>1</v>
      </c>
      <c r="O855" s="395">
        <f t="shared" si="932"/>
        <v>-6</v>
      </c>
      <c r="P855" s="289">
        <f t="shared" si="933"/>
        <v>0</v>
      </c>
      <c r="Q855" s="460">
        <f>WEEKNUM(tblResultadosNBA[[#This Row],[Fecha]],2)</f>
        <v>8</v>
      </c>
      <c r="R855" s="460" t="str">
        <f>TEXT(tblResultadosNBA[[#This Row],[Fecha]],"mmm")</f>
        <v>feb</v>
      </c>
    </row>
    <row r="856" spans="1:18">
      <c r="A856" s="439">
        <v>46075</v>
      </c>
      <c r="B856" s="302" t="s">
        <v>588</v>
      </c>
      <c r="C856" s="177" t="str">
        <f t="shared" si="924"/>
        <v>Portland Trail Blazers</v>
      </c>
      <c r="D856" s="177">
        <v>110</v>
      </c>
      <c r="E856" s="336">
        <v>92</v>
      </c>
      <c r="F856" s="327">
        <f t="shared" si="925"/>
        <v>0</v>
      </c>
      <c r="G856" s="177" t="str">
        <f t="shared" si="926"/>
        <v>Phoenix Suns</v>
      </c>
      <c r="H856" s="177">
        <v>115</v>
      </c>
      <c r="I856" s="336">
        <v>77</v>
      </c>
      <c r="J856" s="327">
        <f t="shared" si="927"/>
        <v>0</v>
      </c>
      <c r="K856" s="177">
        <f t="shared" si="928"/>
        <v>225</v>
      </c>
      <c r="L856" s="336">
        <f t="shared" si="929"/>
        <v>169</v>
      </c>
      <c r="M856" s="327">
        <f t="shared" si="930"/>
        <v>0</v>
      </c>
      <c r="N856" s="337">
        <f t="shared" si="931"/>
        <v>5</v>
      </c>
      <c r="O856" s="395">
        <f t="shared" si="932"/>
        <v>-15</v>
      </c>
      <c r="P856" s="289">
        <f t="shared" si="933"/>
        <v>0</v>
      </c>
      <c r="Q856" s="460">
        <f>WEEKNUM(tblResultadosNBA[[#This Row],[Fecha]],2)</f>
        <v>8</v>
      </c>
      <c r="R856" s="460" t="str">
        <f>TEXT(tblResultadosNBA[[#This Row],[Fecha]],"mmm")</f>
        <v>feb</v>
      </c>
    </row>
    <row r="857" spans="1:18">
      <c r="A857" s="446">
        <v>46075</v>
      </c>
      <c r="B857" s="331" t="s">
        <v>391</v>
      </c>
      <c r="C857" s="286" t="str">
        <f>LEFT(B857,FIND("@",B857)-2)</f>
        <v>Orlando Magic</v>
      </c>
      <c r="D857" s="286">
        <v>108</v>
      </c>
      <c r="E857" s="431">
        <v>111</v>
      </c>
      <c r="F857" s="332">
        <f>IF(E857&gt;D857, 1, 0)</f>
        <v>1</v>
      </c>
      <c r="G857" s="286" t="str">
        <f>MID(B857,FIND("@",B857)+2,LEN(B857)-FIND("@",B857)-1)</f>
        <v>LA Clippers</v>
      </c>
      <c r="H857" s="286">
        <v>117</v>
      </c>
      <c r="I857" s="431">
        <v>109</v>
      </c>
      <c r="J857" s="332">
        <f>IF(I857&gt;H857, 1, 0)</f>
        <v>0</v>
      </c>
      <c r="K857" s="286">
        <f>+D857+H857</f>
        <v>225</v>
      </c>
      <c r="L857" s="431">
        <f>E857+I857</f>
        <v>220</v>
      </c>
      <c r="M857" s="332">
        <f>IF(L857&gt;K857, 1, 0)</f>
        <v>0</v>
      </c>
      <c r="N857" s="432">
        <f>(+H857-D857)</f>
        <v>9</v>
      </c>
      <c r="O857" s="451">
        <f>I857-E857</f>
        <v>-2</v>
      </c>
      <c r="P857" s="433">
        <f>IF(OR(AND(N857&gt;0,O857&gt;0),AND(N857&lt;0,O857&lt;0)),1,0)</f>
        <v>0</v>
      </c>
      <c r="Q857" s="460">
        <f>WEEKNUM(tblResultadosNBA[[#This Row],[Fecha]],2)</f>
        <v>8</v>
      </c>
      <c r="R857" s="460" t="str">
        <f>TEXT(tblResultadosNBA[[#This Row],[Fecha]],"mmm")</f>
        <v>feb</v>
      </c>
    </row>
    <row r="858" spans="1:18">
      <c r="A858" s="439">
        <v>46076</v>
      </c>
      <c r="B858" s="422" t="s">
        <v>927</v>
      </c>
      <c r="C858" s="341" t="str">
        <f>LEFT(B858,FIND("@",B858)-2)</f>
        <v>San Antonio Spurs</v>
      </c>
      <c r="D858" s="341">
        <v>117</v>
      </c>
      <c r="E858" s="342">
        <v>114</v>
      </c>
      <c r="F858" s="333">
        <f>IF(E858&gt;D858, 1, 0)</f>
        <v>0</v>
      </c>
      <c r="G858" s="341" t="str">
        <f>MID(B858,FIND("@",B858)+2,LEN(B858)-FIND("@",B858)-1)</f>
        <v>Detroit Pistons</v>
      </c>
      <c r="H858" s="341">
        <v>116</v>
      </c>
      <c r="I858" s="342">
        <v>103</v>
      </c>
      <c r="J858" s="333">
        <f>IF(I858&gt;H858, 1, 0)</f>
        <v>0</v>
      </c>
      <c r="K858" s="341">
        <f>+D858+H858</f>
        <v>233</v>
      </c>
      <c r="L858" s="342">
        <f>E858+I858</f>
        <v>217</v>
      </c>
      <c r="M858" s="333">
        <f>IF(L858&gt;K858, 1, 0)</f>
        <v>0</v>
      </c>
      <c r="N858" s="343">
        <f>(+H858-D858)</f>
        <v>-1</v>
      </c>
      <c r="O858" s="449">
        <f>I858-E858</f>
        <v>-11</v>
      </c>
      <c r="P858" s="289">
        <f>IF(OR(AND(N858&gt;0,O858&gt;0),AND(N858&lt;0,O858&lt;0)),1,0)</f>
        <v>1</v>
      </c>
      <c r="Q858" s="460">
        <f>WEEKNUM(tblResultadosNBA[[#This Row],[Fecha]],2)</f>
        <v>9</v>
      </c>
      <c r="R858" s="460" t="str">
        <f>TEXT(tblResultadosNBA[[#This Row],[Fecha]],"mmm")</f>
        <v>feb</v>
      </c>
    </row>
    <row r="859" spans="1:18">
      <c r="A859" s="439">
        <v>46076</v>
      </c>
      <c r="B859" s="302" t="s">
        <v>83</v>
      </c>
      <c r="C859" s="177" t="str">
        <f t="shared" ref="C859:C860" si="934">LEFT(B859,FIND("@",B859)-2)</f>
        <v>Sacramento Kings</v>
      </c>
      <c r="D859" s="177">
        <v>110</v>
      </c>
      <c r="E859" s="336">
        <v>123</v>
      </c>
      <c r="F859" s="327">
        <f t="shared" ref="F859:F860" si="935">IF(E859&gt;D859, 1, 0)</f>
        <v>1</v>
      </c>
      <c r="G859" s="177" t="str">
        <f t="shared" ref="G859:G860" si="936">MID(B859,FIND("@",B859)+2,LEN(B859)-FIND("@",B859)-1)</f>
        <v>Memphis Grizzlies</v>
      </c>
      <c r="H859" s="177">
        <v>119</v>
      </c>
      <c r="I859" s="336">
        <v>114</v>
      </c>
      <c r="J859" s="327">
        <f t="shared" ref="J859:J860" si="937">IF(I859&gt;H859, 1, 0)</f>
        <v>0</v>
      </c>
      <c r="K859" s="177">
        <f t="shared" ref="K859:K860" si="938">+D859+H859</f>
        <v>229</v>
      </c>
      <c r="L859" s="336">
        <f t="shared" ref="L859:L860" si="939">E859+I859</f>
        <v>237</v>
      </c>
      <c r="M859" s="327">
        <f t="shared" ref="M859:M860" si="940">IF(L859&gt;K859, 1, 0)</f>
        <v>1</v>
      </c>
      <c r="N859" s="337">
        <f t="shared" ref="N859:N860" si="941">(+H859-D859)</f>
        <v>9</v>
      </c>
      <c r="O859" s="395">
        <f t="shared" ref="O859:O860" si="942">I859-E859</f>
        <v>-9</v>
      </c>
      <c r="P859" s="289">
        <f t="shared" ref="P859:P860" si="943">IF(OR(AND(N859&gt;0,O859&gt;0),AND(N859&lt;0,O859&lt;0)),1,0)</f>
        <v>0</v>
      </c>
      <c r="Q859" s="460">
        <f>WEEKNUM(tblResultadosNBA[[#This Row],[Fecha]],2)</f>
        <v>9</v>
      </c>
      <c r="R859" s="460" t="str">
        <f>TEXT(tblResultadosNBA[[#This Row],[Fecha]],"mmm")</f>
        <v>feb</v>
      </c>
    </row>
    <row r="860" spans="1:18">
      <c r="A860" s="446">
        <v>46076</v>
      </c>
      <c r="B860" s="331" t="s">
        <v>554</v>
      </c>
      <c r="C860" s="286" t="str">
        <f t="shared" si="934"/>
        <v>Utah Jazz</v>
      </c>
      <c r="D860" s="286">
        <v>113</v>
      </c>
      <c r="E860" s="431">
        <v>105</v>
      </c>
      <c r="F860" s="332">
        <f t="shared" si="935"/>
        <v>0</v>
      </c>
      <c r="G860" s="286" t="str">
        <f t="shared" si="936"/>
        <v>Houston Rockets</v>
      </c>
      <c r="H860" s="286">
        <v>115</v>
      </c>
      <c r="I860" s="431">
        <v>125</v>
      </c>
      <c r="J860" s="332">
        <f t="shared" si="937"/>
        <v>1</v>
      </c>
      <c r="K860" s="286">
        <f t="shared" si="938"/>
        <v>228</v>
      </c>
      <c r="L860" s="431">
        <f t="shared" si="939"/>
        <v>230</v>
      </c>
      <c r="M860" s="332">
        <f t="shared" si="940"/>
        <v>1</v>
      </c>
      <c r="N860" s="432">
        <f t="shared" si="941"/>
        <v>2</v>
      </c>
      <c r="O860" s="451">
        <f t="shared" si="942"/>
        <v>20</v>
      </c>
      <c r="P860" s="433">
        <f t="shared" si="943"/>
        <v>1</v>
      </c>
      <c r="Q860" s="460">
        <f>WEEKNUM(tblResultadosNBA[[#This Row],[Fecha]],2)</f>
        <v>9</v>
      </c>
      <c r="R860" s="460" t="str">
        <f>TEXT(tblResultadosNBA[[#This Row],[Fecha]],"mmm")</f>
        <v>feb</v>
      </c>
    </row>
    <row r="861" spans="1:18">
      <c r="A861" s="439">
        <v>46077</v>
      </c>
      <c r="B861" s="422" t="s">
        <v>392</v>
      </c>
      <c r="C861" s="341" t="str">
        <f>LEFT(B861,FIND("@",B861)-2)</f>
        <v>Philadelphia 76ers</v>
      </c>
      <c r="D861" s="341">
        <v>116</v>
      </c>
      <c r="E861" s="342">
        <v>135</v>
      </c>
      <c r="F861" s="333">
        <f>IF(E861&gt;D861, 1, 0)</f>
        <v>1</v>
      </c>
      <c r="G861" s="341" t="str">
        <f>MID(B861,FIND("@",B861)+2,LEN(B861)-FIND("@",B861)-1)</f>
        <v>Indiana Pacers</v>
      </c>
      <c r="H861" s="341">
        <v>115</v>
      </c>
      <c r="I861" s="342">
        <v>114</v>
      </c>
      <c r="J861" s="333">
        <f>IF(I861&gt;H861, 1, 0)</f>
        <v>0</v>
      </c>
      <c r="K861" s="341">
        <f>+D861+H861</f>
        <v>231</v>
      </c>
      <c r="L861" s="342">
        <f>E861+I861</f>
        <v>249</v>
      </c>
      <c r="M861" s="333">
        <f>IF(L861&gt;K861, 1, 0)</f>
        <v>1</v>
      </c>
      <c r="N861" s="343">
        <f>(+H861-D861)</f>
        <v>-1</v>
      </c>
      <c r="O861" s="449">
        <f>I861-E861</f>
        <v>-21</v>
      </c>
      <c r="P861" s="289">
        <f>IF(OR(AND(N861&gt;0,O861&gt;0),AND(N861&lt;0,O861&lt;0)),1,0)</f>
        <v>1</v>
      </c>
      <c r="Q861" s="460">
        <f>WEEKNUM(tblResultadosNBA[[#This Row],[Fecha]],2)</f>
        <v>9</v>
      </c>
      <c r="R861" s="460" t="str">
        <f>TEXT(tblResultadosNBA[[#This Row],[Fecha]],"mmm")</f>
        <v>feb</v>
      </c>
    </row>
    <row r="862" spans="1:18">
      <c r="A862" s="439">
        <v>46077</v>
      </c>
      <c r="B862" s="302" t="s">
        <v>403</v>
      </c>
      <c r="C862" s="177" t="str">
        <f t="shared" ref="C862:C871" si="944">LEFT(B862,FIND("@",B862)-2)</f>
        <v>Washington Wizards</v>
      </c>
      <c r="D862" s="177">
        <v>116</v>
      </c>
      <c r="E862" s="336">
        <v>98</v>
      </c>
      <c r="F862" s="327">
        <f t="shared" ref="F862:F871" si="945">IF(E862&gt;D862, 1, 0)</f>
        <v>0</v>
      </c>
      <c r="G862" s="177" t="str">
        <f t="shared" ref="G862:G871" si="946">MID(B862,FIND("@",B862)+2,LEN(B862)-FIND("@",B862)-1)</f>
        <v>Atlanta Hawks</v>
      </c>
      <c r="H862" s="177">
        <v>122</v>
      </c>
      <c r="I862" s="336">
        <v>119</v>
      </c>
      <c r="J862" s="327">
        <f t="shared" ref="J862:J871" si="947">IF(I862&gt;H862, 1, 0)</f>
        <v>0</v>
      </c>
      <c r="K862" s="177">
        <f t="shared" ref="K862:K871" si="948">+D862+H862</f>
        <v>238</v>
      </c>
      <c r="L862" s="336">
        <f t="shared" ref="L862:L871" si="949">E862+I862</f>
        <v>217</v>
      </c>
      <c r="M862" s="327">
        <f t="shared" ref="M862:M871" si="950">IF(L862&gt;K862, 1, 0)</f>
        <v>0</v>
      </c>
      <c r="N862" s="337">
        <f t="shared" ref="N862:N871" si="951">(+H862-D862)</f>
        <v>6</v>
      </c>
      <c r="O862" s="395">
        <f t="shared" ref="O862:O871" si="952">I862-E862</f>
        <v>21</v>
      </c>
      <c r="P862" s="289">
        <f t="shared" ref="P862:P871" si="953">IF(OR(AND(N862&gt;0,O862&gt;0),AND(N862&lt;0,O862&lt;0)),1,0)</f>
        <v>1</v>
      </c>
      <c r="Q862" s="460">
        <f>WEEKNUM(tblResultadosNBA[[#This Row],[Fecha]],2)</f>
        <v>9</v>
      </c>
      <c r="R862" s="460" t="str">
        <f>TEXT(tblResultadosNBA[[#This Row],[Fecha]],"mmm")</f>
        <v>feb</v>
      </c>
    </row>
    <row r="863" spans="1:18">
      <c r="A863" s="439">
        <v>46077</v>
      </c>
      <c r="B863" s="302" t="s">
        <v>928</v>
      </c>
      <c r="C863" s="177" t="str">
        <f t="shared" si="944"/>
        <v>Dallas Mavericks</v>
      </c>
      <c r="D863" s="177">
        <v>114</v>
      </c>
      <c r="E863" s="336">
        <v>123</v>
      </c>
      <c r="F863" s="327">
        <f t="shared" si="945"/>
        <v>1</v>
      </c>
      <c r="G863" s="177" t="str">
        <f t="shared" si="946"/>
        <v>Brooklyn Nets</v>
      </c>
      <c r="H863" s="177">
        <v>113</v>
      </c>
      <c r="I863" s="336">
        <v>114</v>
      </c>
      <c r="J863" s="327">
        <f t="shared" si="947"/>
        <v>1</v>
      </c>
      <c r="K863" s="177">
        <f t="shared" si="948"/>
        <v>227</v>
      </c>
      <c r="L863" s="336">
        <f t="shared" si="949"/>
        <v>237</v>
      </c>
      <c r="M863" s="327">
        <f t="shared" si="950"/>
        <v>1</v>
      </c>
      <c r="N863" s="337">
        <f t="shared" si="951"/>
        <v>-1</v>
      </c>
      <c r="O863" s="395">
        <f t="shared" si="952"/>
        <v>-9</v>
      </c>
      <c r="P863" s="289">
        <f t="shared" si="953"/>
        <v>1</v>
      </c>
      <c r="Q863" s="460">
        <f>WEEKNUM(tblResultadosNBA[[#This Row],[Fecha]],2)</f>
        <v>9</v>
      </c>
      <c r="R863" s="460" t="str">
        <f>TEXT(tblResultadosNBA[[#This Row],[Fecha]],"mmm")</f>
        <v>feb</v>
      </c>
    </row>
    <row r="864" spans="1:18">
      <c r="A864" s="439">
        <v>46077</v>
      </c>
      <c r="B864" s="302" t="s">
        <v>929</v>
      </c>
      <c r="C864" s="177" t="str">
        <f t="shared" si="944"/>
        <v>Oklahoma City Thunder</v>
      </c>
      <c r="D864" s="177">
        <v>115</v>
      </c>
      <c r="E864" s="336">
        <v>116</v>
      </c>
      <c r="F864" s="327">
        <f t="shared" si="945"/>
        <v>1</v>
      </c>
      <c r="G864" s="177" t="str">
        <f t="shared" si="946"/>
        <v>Toronto Raptors</v>
      </c>
      <c r="H864" s="177">
        <v>111</v>
      </c>
      <c r="I864" s="336">
        <v>107</v>
      </c>
      <c r="J864" s="327">
        <f t="shared" si="947"/>
        <v>0</v>
      </c>
      <c r="K864" s="177">
        <f t="shared" si="948"/>
        <v>226</v>
      </c>
      <c r="L864" s="336">
        <f t="shared" si="949"/>
        <v>223</v>
      </c>
      <c r="M864" s="327">
        <f t="shared" si="950"/>
        <v>0</v>
      </c>
      <c r="N864" s="337">
        <f t="shared" si="951"/>
        <v>-4</v>
      </c>
      <c r="O864" s="395">
        <f t="shared" si="952"/>
        <v>-9</v>
      </c>
      <c r="P864" s="289">
        <f t="shared" si="953"/>
        <v>1</v>
      </c>
      <c r="Q864" s="460">
        <f>WEEKNUM(tblResultadosNBA[[#This Row],[Fecha]],2)</f>
        <v>9</v>
      </c>
      <c r="R864" s="460" t="str">
        <f>TEXT(tblResultadosNBA[[#This Row],[Fecha]],"mmm")</f>
        <v>feb</v>
      </c>
    </row>
    <row r="865" spans="1:18">
      <c r="A865" s="439">
        <v>46077</v>
      </c>
      <c r="B865" s="302" t="s">
        <v>393</v>
      </c>
      <c r="C865" s="177" t="str">
        <f t="shared" si="944"/>
        <v>New York Knicks</v>
      </c>
      <c r="D865" s="177">
        <v>112</v>
      </c>
      <c r="E865" s="336">
        <v>94</v>
      </c>
      <c r="F865" s="327">
        <f t="shared" si="945"/>
        <v>0</v>
      </c>
      <c r="G865" s="177" t="str">
        <f t="shared" si="946"/>
        <v>Cleveland Cavaliers</v>
      </c>
      <c r="H865" s="177">
        <v>112</v>
      </c>
      <c r="I865" s="336">
        <v>109</v>
      </c>
      <c r="J865" s="327">
        <f t="shared" si="947"/>
        <v>0</v>
      </c>
      <c r="K865" s="177">
        <f t="shared" si="948"/>
        <v>224</v>
      </c>
      <c r="L865" s="336">
        <f t="shared" si="949"/>
        <v>203</v>
      </c>
      <c r="M865" s="327">
        <f t="shared" si="950"/>
        <v>0</v>
      </c>
      <c r="N865" s="337">
        <f t="shared" si="951"/>
        <v>0</v>
      </c>
      <c r="O865" s="395">
        <f t="shared" si="952"/>
        <v>15</v>
      </c>
      <c r="P865" s="289">
        <f t="shared" si="953"/>
        <v>0</v>
      </c>
      <c r="Q865" s="460">
        <f>WEEKNUM(tblResultadosNBA[[#This Row],[Fecha]],2)</f>
        <v>9</v>
      </c>
      <c r="R865" s="460" t="str">
        <f>TEXT(tblResultadosNBA[[#This Row],[Fecha]],"mmm")</f>
        <v>feb</v>
      </c>
    </row>
    <row r="866" spans="1:18">
      <c r="A866" s="439">
        <v>46077</v>
      </c>
      <c r="B866" s="302" t="s">
        <v>394</v>
      </c>
      <c r="C866" s="177" t="str">
        <f t="shared" si="944"/>
        <v>Charlotte Hornets</v>
      </c>
      <c r="D866" s="177">
        <v>116</v>
      </c>
      <c r="E866" s="336">
        <v>131</v>
      </c>
      <c r="F866" s="327">
        <f t="shared" si="945"/>
        <v>1</v>
      </c>
      <c r="G866" s="177" t="str">
        <f t="shared" si="946"/>
        <v>Chicago Bulls</v>
      </c>
      <c r="H866" s="177">
        <v>116</v>
      </c>
      <c r="I866" s="336">
        <v>99</v>
      </c>
      <c r="J866" s="327">
        <f t="shared" si="947"/>
        <v>0</v>
      </c>
      <c r="K866" s="177">
        <f t="shared" si="948"/>
        <v>232</v>
      </c>
      <c r="L866" s="336">
        <f t="shared" si="949"/>
        <v>230</v>
      </c>
      <c r="M866" s="327">
        <f t="shared" si="950"/>
        <v>0</v>
      </c>
      <c r="N866" s="337">
        <f t="shared" si="951"/>
        <v>0</v>
      </c>
      <c r="O866" s="395">
        <f t="shared" si="952"/>
        <v>-32</v>
      </c>
      <c r="P866" s="289">
        <f t="shared" si="953"/>
        <v>0</v>
      </c>
      <c r="Q866" s="460">
        <f>WEEKNUM(tblResultadosNBA[[#This Row],[Fecha]],2)</f>
        <v>9</v>
      </c>
      <c r="R866" s="460" t="str">
        <f>TEXT(tblResultadosNBA[[#This Row],[Fecha]],"mmm")</f>
        <v>feb</v>
      </c>
    </row>
    <row r="867" spans="1:18">
      <c r="A867" s="439">
        <v>46077</v>
      </c>
      <c r="B867" s="302" t="s">
        <v>395</v>
      </c>
      <c r="C867" s="177" t="str">
        <f t="shared" si="944"/>
        <v>Miami Heat</v>
      </c>
      <c r="D867" s="177">
        <v>111</v>
      </c>
      <c r="E867" s="336">
        <v>117</v>
      </c>
      <c r="F867" s="327">
        <f t="shared" si="945"/>
        <v>1</v>
      </c>
      <c r="G867" s="177" t="str">
        <f t="shared" si="946"/>
        <v>Milwaukee Bucks</v>
      </c>
      <c r="H867" s="177">
        <v>116</v>
      </c>
      <c r="I867" s="336">
        <v>128</v>
      </c>
      <c r="J867" s="327">
        <f t="shared" si="947"/>
        <v>1</v>
      </c>
      <c r="K867" s="177">
        <f t="shared" si="948"/>
        <v>227</v>
      </c>
      <c r="L867" s="336">
        <f t="shared" si="949"/>
        <v>245</v>
      </c>
      <c r="M867" s="327">
        <f t="shared" si="950"/>
        <v>1</v>
      </c>
      <c r="N867" s="337">
        <f t="shared" si="951"/>
        <v>5</v>
      </c>
      <c r="O867" s="395">
        <f t="shared" si="952"/>
        <v>11</v>
      </c>
      <c r="P867" s="289">
        <f t="shared" si="953"/>
        <v>1</v>
      </c>
      <c r="Q867" s="460">
        <f>WEEKNUM(tblResultadosNBA[[#This Row],[Fecha]],2)</f>
        <v>9</v>
      </c>
      <c r="R867" s="460" t="str">
        <f>TEXT(tblResultadosNBA[[#This Row],[Fecha]],"mmm")</f>
        <v>feb</v>
      </c>
    </row>
    <row r="868" spans="1:18">
      <c r="A868" s="439">
        <v>46077</v>
      </c>
      <c r="B868" s="302" t="s">
        <v>67</v>
      </c>
      <c r="C868" s="177" t="str">
        <f t="shared" si="944"/>
        <v>Golden State Warriors</v>
      </c>
      <c r="D868" s="177">
        <v>120</v>
      </c>
      <c r="E868" s="336">
        <v>109</v>
      </c>
      <c r="F868" s="327">
        <f t="shared" si="945"/>
        <v>0</v>
      </c>
      <c r="G868" s="177" t="str">
        <f t="shared" si="946"/>
        <v>New Orleans Pelicans</v>
      </c>
      <c r="H868" s="177">
        <v>114</v>
      </c>
      <c r="I868" s="336">
        <v>113</v>
      </c>
      <c r="J868" s="327">
        <f t="shared" si="947"/>
        <v>0</v>
      </c>
      <c r="K868" s="177">
        <f t="shared" si="948"/>
        <v>234</v>
      </c>
      <c r="L868" s="336">
        <f t="shared" si="949"/>
        <v>222</v>
      </c>
      <c r="M868" s="327">
        <f t="shared" si="950"/>
        <v>0</v>
      </c>
      <c r="N868" s="337">
        <f t="shared" si="951"/>
        <v>-6</v>
      </c>
      <c r="O868" s="395">
        <f t="shared" si="952"/>
        <v>4</v>
      </c>
      <c r="P868" s="289">
        <f t="shared" si="953"/>
        <v>0</v>
      </c>
      <c r="Q868" s="460">
        <f>WEEKNUM(tblResultadosNBA[[#This Row],[Fecha]],2)</f>
        <v>9</v>
      </c>
      <c r="R868" s="460" t="str">
        <f>TEXT(tblResultadosNBA[[#This Row],[Fecha]],"mmm")</f>
        <v>feb</v>
      </c>
    </row>
    <row r="869" spans="1:18">
      <c r="A869" s="439">
        <v>46077</v>
      </c>
      <c r="B869" s="302" t="s">
        <v>396</v>
      </c>
      <c r="C869" s="177" t="str">
        <f t="shared" si="944"/>
        <v>Boston Celtics</v>
      </c>
      <c r="D869" s="177">
        <v>109</v>
      </c>
      <c r="E869" s="336">
        <v>97</v>
      </c>
      <c r="F869" s="327">
        <f t="shared" si="945"/>
        <v>0</v>
      </c>
      <c r="G869" s="177" t="str">
        <f t="shared" si="946"/>
        <v>Phoenix Suns</v>
      </c>
      <c r="H869" s="177">
        <v>109</v>
      </c>
      <c r="I869" s="336">
        <v>81</v>
      </c>
      <c r="J869" s="327">
        <f t="shared" si="947"/>
        <v>0</v>
      </c>
      <c r="K869" s="177">
        <f t="shared" si="948"/>
        <v>218</v>
      </c>
      <c r="L869" s="336">
        <f t="shared" si="949"/>
        <v>178</v>
      </c>
      <c r="M869" s="327">
        <f t="shared" si="950"/>
        <v>0</v>
      </c>
      <c r="N869" s="337">
        <f t="shared" si="951"/>
        <v>0</v>
      </c>
      <c r="O869" s="395">
        <f t="shared" si="952"/>
        <v>-16</v>
      </c>
      <c r="P869" s="289">
        <f t="shared" si="953"/>
        <v>0</v>
      </c>
      <c r="Q869" s="460">
        <f>WEEKNUM(tblResultadosNBA[[#This Row],[Fecha]],2)</f>
        <v>9</v>
      </c>
      <c r="R869" s="460" t="str">
        <f>TEXT(tblResultadosNBA[[#This Row],[Fecha]],"mmm")</f>
        <v>feb</v>
      </c>
    </row>
    <row r="870" spans="1:18">
      <c r="A870" s="439">
        <v>46077</v>
      </c>
      <c r="B870" s="302" t="s">
        <v>669</v>
      </c>
      <c r="C870" s="177" t="str">
        <f t="shared" si="944"/>
        <v>Minnesota Timberwolves</v>
      </c>
      <c r="D870" s="177">
        <v>121</v>
      </c>
      <c r="E870" s="336">
        <v>124</v>
      </c>
      <c r="F870" s="327">
        <f t="shared" si="945"/>
        <v>1</v>
      </c>
      <c r="G870" s="177" t="str">
        <f t="shared" si="946"/>
        <v>Portland Trail Blazers</v>
      </c>
      <c r="H870" s="177">
        <v>118</v>
      </c>
      <c r="I870" s="336">
        <v>121</v>
      </c>
      <c r="J870" s="327">
        <f t="shared" si="947"/>
        <v>1</v>
      </c>
      <c r="K870" s="177">
        <f t="shared" si="948"/>
        <v>239</v>
      </c>
      <c r="L870" s="336">
        <f t="shared" si="949"/>
        <v>245</v>
      </c>
      <c r="M870" s="327">
        <f t="shared" si="950"/>
        <v>1</v>
      </c>
      <c r="N870" s="337">
        <f t="shared" si="951"/>
        <v>-3</v>
      </c>
      <c r="O870" s="395">
        <f t="shared" si="952"/>
        <v>-3</v>
      </c>
      <c r="P870" s="289">
        <f t="shared" si="953"/>
        <v>1</v>
      </c>
      <c r="Q870" s="460">
        <f>WEEKNUM(tblResultadosNBA[[#This Row],[Fecha]],2)</f>
        <v>9</v>
      </c>
      <c r="R870" s="460" t="str">
        <f>TEXT(tblResultadosNBA[[#This Row],[Fecha]],"mmm")</f>
        <v>feb</v>
      </c>
    </row>
    <row r="871" spans="1:18">
      <c r="A871" s="446">
        <v>46077</v>
      </c>
      <c r="B871" s="331" t="s">
        <v>397</v>
      </c>
      <c r="C871" s="286" t="str">
        <f t="shared" si="944"/>
        <v>Orlando Magic</v>
      </c>
      <c r="D871" s="286">
        <v>109</v>
      </c>
      <c r="E871" s="431">
        <v>110</v>
      </c>
      <c r="F871" s="332">
        <f t="shared" si="945"/>
        <v>1</v>
      </c>
      <c r="G871" s="286" t="str">
        <f t="shared" si="946"/>
        <v>Los Angeles Lakers</v>
      </c>
      <c r="H871" s="286">
        <v>119</v>
      </c>
      <c r="I871" s="431">
        <v>109</v>
      </c>
      <c r="J871" s="332">
        <f t="shared" si="947"/>
        <v>0</v>
      </c>
      <c r="K871" s="286">
        <f t="shared" si="948"/>
        <v>228</v>
      </c>
      <c r="L871" s="431">
        <f t="shared" si="949"/>
        <v>219</v>
      </c>
      <c r="M871" s="332">
        <f t="shared" si="950"/>
        <v>0</v>
      </c>
      <c r="N871" s="432">
        <f t="shared" si="951"/>
        <v>10</v>
      </c>
      <c r="O871" s="451">
        <f t="shared" si="952"/>
        <v>-1</v>
      </c>
      <c r="P871" s="433">
        <f t="shared" si="953"/>
        <v>0</v>
      </c>
      <c r="Q871" s="460">
        <f>WEEKNUM(tblResultadosNBA[[#This Row],[Fecha]],2)</f>
        <v>9</v>
      </c>
      <c r="R871" s="460" t="str">
        <f>TEXT(tblResultadosNBA[[#This Row],[Fecha]],"mmm")</f>
        <v>feb</v>
      </c>
    </row>
    <row r="872" spans="1:18">
      <c r="A872" s="439">
        <v>46078</v>
      </c>
      <c r="B872" s="422" t="s">
        <v>930</v>
      </c>
      <c r="C872" s="341" t="str">
        <f>LEFT(B872,FIND("@",B872)-2)</f>
        <v>Oklahoma City Thunder</v>
      </c>
      <c r="D872" s="341">
        <v>114</v>
      </c>
      <c r="E872" s="342">
        <v>116</v>
      </c>
      <c r="F872" s="333">
        <f>IF(E872&gt;D872, 1, 0)</f>
        <v>1</v>
      </c>
      <c r="G872" s="341" t="str">
        <f>MID(B872,FIND("@",B872)+2,LEN(B872)-FIND("@",B872)-1)</f>
        <v>Detroit Pistons</v>
      </c>
      <c r="H872" s="341">
        <v>114</v>
      </c>
      <c r="I872" s="342">
        <v>124</v>
      </c>
      <c r="J872" s="333">
        <f>IF(I872&gt;H872, 1, 0)</f>
        <v>1</v>
      </c>
      <c r="K872" s="341">
        <f>+D872+H872</f>
        <v>228</v>
      </c>
      <c r="L872" s="342">
        <f>E872+I872</f>
        <v>240</v>
      </c>
      <c r="M872" s="333">
        <f>IF(L872&gt;K872, 1, 0)</f>
        <v>1</v>
      </c>
      <c r="N872" s="343">
        <f>(+H872-D872)</f>
        <v>0</v>
      </c>
      <c r="O872" s="449">
        <f>I872-E872</f>
        <v>8</v>
      </c>
      <c r="P872" s="289">
        <f>IF(OR(AND(N872&gt;0,O872&gt;0),AND(N872&lt;0,O872&lt;0)),1,0)</f>
        <v>0</v>
      </c>
      <c r="Q872" s="460">
        <f>WEEKNUM(tblResultadosNBA[[#This Row],[Fecha]],2)</f>
        <v>9</v>
      </c>
      <c r="R872" s="460" t="str">
        <f>TEXT(tblResultadosNBA[[#This Row],[Fecha]],"mmm")</f>
        <v>feb</v>
      </c>
    </row>
    <row r="873" spans="1:18">
      <c r="A873" s="439">
        <v>46078</v>
      </c>
      <c r="B873" s="302" t="s">
        <v>398</v>
      </c>
      <c r="C873" s="177" t="str">
        <f t="shared" ref="C873:C877" si="954">LEFT(B873,FIND("@",B873)-2)</f>
        <v>San Antonio Spurs</v>
      </c>
      <c r="D873" s="177">
        <v>113</v>
      </c>
      <c r="E873" s="336">
        <v>110</v>
      </c>
      <c r="F873" s="327">
        <f t="shared" ref="F873:F877" si="955">IF(E873&gt;D873, 1, 0)</f>
        <v>0</v>
      </c>
      <c r="G873" s="177" t="str">
        <f t="shared" ref="G873:G877" si="956">MID(B873,FIND("@",B873)+2,LEN(B873)-FIND("@",B873)-1)</f>
        <v>Toronto Raptors</v>
      </c>
      <c r="H873" s="177">
        <v>112</v>
      </c>
      <c r="I873" s="336">
        <v>107</v>
      </c>
      <c r="J873" s="327">
        <f t="shared" ref="J873:J877" si="957">IF(I873&gt;H873, 1, 0)</f>
        <v>0</v>
      </c>
      <c r="K873" s="177">
        <f t="shared" ref="K873:K877" si="958">+D873+H873</f>
        <v>225</v>
      </c>
      <c r="L873" s="336">
        <f t="shared" ref="L873:L877" si="959">E873+I873</f>
        <v>217</v>
      </c>
      <c r="M873" s="327">
        <f t="shared" ref="M873:M877" si="960">IF(L873&gt;K873, 1, 0)</f>
        <v>0</v>
      </c>
      <c r="N873" s="337">
        <f t="shared" ref="N873:N877" si="961">(+H873-D873)</f>
        <v>-1</v>
      </c>
      <c r="O873" s="395">
        <f t="shared" ref="O873:O877" si="962">I873-E873</f>
        <v>-3</v>
      </c>
      <c r="P873" s="289">
        <f t="shared" ref="P873:P877" si="963">IF(OR(AND(N873&gt;0,O873&gt;0),AND(N873&lt;0,O873&lt;0)),1,0)</f>
        <v>1</v>
      </c>
      <c r="Q873" s="460">
        <f>WEEKNUM(tblResultadosNBA[[#This Row],[Fecha]],2)</f>
        <v>9</v>
      </c>
      <c r="R873" s="460" t="str">
        <f>TEXT(tblResultadosNBA[[#This Row],[Fecha]],"mmm")</f>
        <v>feb</v>
      </c>
    </row>
    <row r="874" spans="1:18">
      <c r="A874" s="439">
        <v>46078</v>
      </c>
      <c r="B874" s="302" t="s">
        <v>399</v>
      </c>
      <c r="C874" s="177" t="str">
        <f t="shared" si="954"/>
        <v>Golden State Warriors</v>
      </c>
      <c r="D874" s="177">
        <v>115</v>
      </c>
      <c r="E874" s="336">
        <v>133</v>
      </c>
      <c r="F874" s="327">
        <f t="shared" si="955"/>
        <v>1</v>
      </c>
      <c r="G874" s="177" t="str">
        <f t="shared" si="956"/>
        <v>Memphis Grizzlies</v>
      </c>
      <c r="H874" s="177">
        <v>115</v>
      </c>
      <c r="I874" s="336">
        <v>112</v>
      </c>
      <c r="J874" s="327">
        <f t="shared" si="957"/>
        <v>0</v>
      </c>
      <c r="K874" s="177">
        <f t="shared" si="958"/>
        <v>230</v>
      </c>
      <c r="L874" s="336">
        <f t="shared" si="959"/>
        <v>245</v>
      </c>
      <c r="M874" s="327">
        <f t="shared" si="960"/>
        <v>1</v>
      </c>
      <c r="N874" s="337">
        <f t="shared" si="961"/>
        <v>0</v>
      </c>
      <c r="O874" s="395">
        <f t="shared" si="962"/>
        <v>-21</v>
      </c>
      <c r="P874" s="289">
        <f t="shared" si="963"/>
        <v>0</v>
      </c>
      <c r="Q874" s="460">
        <f>WEEKNUM(tblResultadosNBA[[#This Row],[Fecha]],2)</f>
        <v>9</v>
      </c>
      <c r="R874" s="460" t="str">
        <f>TEXT(tblResultadosNBA[[#This Row],[Fecha]],"mmm")</f>
        <v>feb</v>
      </c>
    </row>
    <row r="875" spans="1:18">
      <c r="A875" s="439">
        <v>46078</v>
      </c>
      <c r="B875" s="302" t="s">
        <v>142</v>
      </c>
      <c r="C875" s="177" t="str">
        <f t="shared" si="954"/>
        <v>Sacramento Kings</v>
      </c>
      <c r="D875" s="177">
        <v>109</v>
      </c>
      <c r="E875" s="336">
        <v>97</v>
      </c>
      <c r="F875" s="327">
        <f t="shared" si="955"/>
        <v>0</v>
      </c>
      <c r="G875" s="177" t="str">
        <f t="shared" si="956"/>
        <v>Houston Rockets</v>
      </c>
      <c r="H875" s="177">
        <v>118</v>
      </c>
      <c r="I875" s="336">
        <v>128</v>
      </c>
      <c r="J875" s="327">
        <f t="shared" si="957"/>
        <v>1</v>
      </c>
      <c r="K875" s="177">
        <f t="shared" si="958"/>
        <v>227</v>
      </c>
      <c r="L875" s="336">
        <f t="shared" si="959"/>
        <v>225</v>
      </c>
      <c r="M875" s="327">
        <f t="shared" si="960"/>
        <v>0</v>
      </c>
      <c r="N875" s="337">
        <f t="shared" si="961"/>
        <v>9</v>
      </c>
      <c r="O875" s="395">
        <f t="shared" si="962"/>
        <v>31</v>
      </c>
      <c r="P875" s="289">
        <f t="shared" si="963"/>
        <v>1</v>
      </c>
      <c r="Q875" s="460">
        <f>WEEKNUM(tblResultadosNBA[[#This Row],[Fecha]],2)</f>
        <v>9</v>
      </c>
      <c r="R875" s="460" t="str">
        <f>TEXT(tblResultadosNBA[[#This Row],[Fecha]],"mmm")</f>
        <v>feb</v>
      </c>
    </row>
    <row r="876" spans="1:18">
      <c r="A876" s="439">
        <v>46078</v>
      </c>
      <c r="B876" s="302" t="s">
        <v>400</v>
      </c>
      <c r="C876" s="177" t="str">
        <f t="shared" si="954"/>
        <v>Cleveland Cavaliers</v>
      </c>
      <c r="D876" s="177">
        <v>110</v>
      </c>
      <c r="E876" s="336">
        <v>116</v>
      </c>
      <c r="F876" s="327">
        <f t="shared" si="955"/>
        <v>1</v>
      </c>
      <c r="G876" s="177" t="str">
        <f t="shared" si="956"/>
        <v>Milwaukee Bucks</v>
      </c>
      <c r="H876" s="177">
        <v>118</v>
      </c>
      <c r="I876" s="336">
        <v>118</v>
      </c>
      <c r="J876" s="327">
        <f t="shared" si="957"/>
        <v>0</v>
      </c>
      <c r="K876" s="177">
        <f t="shared" si="958"/>
        <v>228</v>
      </c>
      <c r="L876" s="336">
        <f t="shared" si="959"/>
        <v>234</v>
      </c>
      <c r="M876" s="327">
        <f t="shared" si="960"/>
        <v>1</v>
      </c>
      <c r="N876" s="337">
        <f t="shared" si="961"/>
        <v>8</v>
      </c>
      <c r="O876" s="395">
        <f t="shared" si="962"/>
        <v>2</v>
      </c>
      <c r="P876" s="289">
        <f t="shared" si="963"/>
        <v>1</v>
      </c>
      <c r="Q876" s="460">
        <f>WEEKNUM(tblResultadosNBA[[#This Row],[Fecha]],2)</f>
        <v>9</v>
      </c>
      <c r="R876" s="460" t="str">
        <f>TEXT(tblResultadosNBA[[#This Row],[Fecha]],"mmm")</f>
        <v>feb</v>
      </c>
    </row>
    <row r="877" spans="1:18">
      <c r="A877" s="446">
        <v>46078</v>
      </c>
      <c r="B877" s="331" t="s">
        <v>401</v>
      </c>
      <c r="C877" s="286" t="str">
        <f t="shared" si="954"/>
        <v>Boston Celtics</v>
      </c>
      <c r="D877" s="286">
        <v>110</v>
      </c>
      <c r="E877" s="431">
        <v>84</v>
      </c>
      <c r="F877" s="332">
        <f t="shared" si="955"/>
        <v>0</v>
      </c>
      <c r="G877" s="286" t="str">
        <f t="shared" si="956"/>
        <v>Denver Nuggets</v>
      </c>
      <c r="H877" s="286">
        <v>111</v>
      </c>
      <c r="I877" s="431">
        <v>103</v>
      </c>
      <c r="J877" s="332">
        <f t="shared" si="957"/>
        <v>0</v>
      </c>
      <c r="K877" s="286">
        <f t="shared" si="958"/>
        <v>221</v>
      </c>
      <c r="L877" s="431">
        <f t="shared" si="959"/>
        <v>187</v>
      </c>
      <c r="M877" s="332">
        <f t="shared" si="960"/>
        <v>0</v>
      </c>
      <c r="N877" s="432">
        <f t="shared" si="961"/>
        <v>1</v>
      </c>
      <c r="O877" s="451">
        <f t="shared" si="962"/>
        <v>19</v>
      </c>
      <c r="P877" s="433">
        <f t="shared" si="963"/>
        <v>1</v>
      </c>
      <c r="Q877" s="460">
        <f>WEEKNUM(tblResultadosNBA[[#This Row],[Fecha]],2)</f>
        <v>9</v>
      </c>
      <c r="R877" s="460" t="str">
        <f>TEXT(tblResultadosNBA[[#This Row],[Fecha]],"mmm")</f>
        <v>feb</v>
      </c>
    </row>
    <row r="878" spans="1:18">
      <c r="A878" s="439">
        <v>46079</v>
      </c>
      <c r="B878" s="422" t="s">
        <v>80</v>
      </c>
      <c r="C878" s="341" t="str">
        <f>LEFT(B878,FIND("@",B878)-2)</f>
        <v>Charlotte Hornets</v>
      </c>
      <c r="D878" s="341">
        <v>116</v>
      </c>
      <c r="E878" s="342">
        <v>133</v>
      </c>
      <c r="F878" s="333">
        <f>IF(E878&gt;D878, 1, 0)</f>
        <v>1</v>
      </c>
      <c r="G878" s="341" t="str">
        <f>MID(B878,FIND("@",B878)+2,LEN(B878)-FIND("@",B878)-1)</f>
        <v>Indiana Pacers</v>
      </c>
      <c r="H878" s="341">
        <v>114</v>
      </c>
      <c r="I878" s="342">
        <v>109</v>
      </c>
      <c r="J878" s="333">
        <f>IF(I878&gt;H878, 1, 0)</f>
        <v>0</v>
      </c>
      <c r="K878" s="341">
        <f>+D878+H878</f>
        <v>230</v>
      </c>
      <c r="L878" s="342">
        <f>E878+I878</f>
        <v>242</v>
      </c>
      <c r="M878" s="333">
        <f>IF(L878&gt;K878, 1, 0)</f>
        <v>1</v>
      </c>
      <c r="N878" s="343">
        <f>(+H878-D878)</f>
        <v>-2</v>
      </c>
      <c r="O878" s="449">
        <f>I878-E878</f>
        <v>-24</v>
      </c>
      <c r="P878" s="289">
        <f>IF(OR(AND(N878&gt;0,O878&gt;0),AND(N878&lt;0,O878&lt;0)),1,0)</f>
        <v>1</v>
      </c>
      <c r="Q878" s="460">
        <f>WEEKNUM(tblResultadosNBA[[#This Row],[Fecha]],2)</f>
        <v>9</v>
      </c>
      <c r="R878" s="460" t="str">
        <f>TEXT(tblResultadosNBA[[#This Row],[Fecha]],"mmm")</f>
        <v>feb</v>
      </c>
    </row>
    <row r="879" spans="1:18">
      <c r="A879" s="439">
        <v>46079</v>
      </c>
      <c r="B879" s="302" t="s">
        <v>402</v>
      </c>
      <c r="C879" s="177" t="str">
        <f t="shared" ref="C879:C885" si="964">LEFT(B879,FIND("@",B879)-2)</f>
        <v>Miami Heat</v>
      </c>
      <c r="D879" s="177">
        <v>112</v>
      </c>
      <c r="E879" s="336">
        <v>117</v>
      </c>
      <c r="F879" s="327">
        <f t="shared" ref="F879:F885" si="965">IF(E879&gt;D879, 1, 0)</f>
        <v>1</v>
      </c>
      <c r="G879" s="177" t="str">
        <f t="shared" ref="G879:G885" si="966">MID(B879,FIND("@",B879)+2,LEN(B879)-FIND("@",B879)-1)</f>
        <v>Philadelphia 76ers</v>
      </c>
      <c r="H879" s="177">
        <v>114</v>
      </c>
      <c r="I879" s="336">
        <v>124</v>
      </c>
      <c r="J879" s="327">
        <f t="shared" ref="J879:J885" si="967">IF(I879&gt;H879, 1, 0)</f>
        <v>1</v>
      </c>
      <c r="K879" s="177">
        <f t="shared" ref="K879:K885" si="968">+D879+H879</f>
        <v>226</v>
      </c>
      <c r="L879" s="336">
        <f t="shared" ref="L879:L885" si="969">E879+I879</f>
        <v>241</v>
      </c>
      <c r="M879" s="327">
        <f t="shared" ref="M879:M885" si="970">IF(L879&gt;K879, 1, 0)</f>
        <v>1</v>
      </c>
      <c r="N879" s="337">
        <f t="shared" ref="N879:N885" si="971">(+H879-D879)</f>
        <v>2</v>
      </c>
      <c r="O879" s="395">
        <f t="shared" ref="O879:O885" si="972">I879-E879</f>
        <v>7</v>
      </c>
      <c r="P879" s="289">
        <f t="shared" ref="P879:P885" si="973">IF(OR(AND(N879&gt;0,O879&gt;0),AND(N879&lt;0,O879&lt;0)),1,0)</f>
        <v>1</v>
      </c>
      <c r="Q879" s="460">
        <f>WEEKNUM(tblResultadosNBA[[#This Row],[Fecha]],2)</f>
        <v>9</v>
      </c>
      <c r="R879" s="460" t="str">
        <f>TEXT(tblResultadosNBA[[#This Row],[Fecha]],"mmm")</f>
        <v>feb</v>
      </c>
    </row>
    <row r="880" spans="1:18">
      <c r="A880" s="439">
        <v>46079</v>
      </c>
      <c r="B880" s="302" t="s">
        <v>403</v>
      </c>
      <c r="C880" s="177" t="str">
        <f t="shared" si="964"/>
        <v>Washington Wizards</v>
      </c>
      <c r="D880" s="177">
        <v>115</v>
      </c>
      <c r="E880" s="336">
        <v>96</v>
      </c>
      <c r="F880" s="327">
        <f t="shared" si="965"/>
        <v>0</v>
      </c>
      <c r="G880" s="177" t="str">
        <f t="shared" si="966"/>
        <v>Atlanta Hawks</v>
      </c>
      <c r="H880" s="177">
        <v>121</v>
      </c>
      <c r="I880" s="336">
        <v>126</v>
      </c>
      <c r="J880" s="327">
        <f t="shared" si="967"/>
        <v>1</v>
      </c>
      <c r="K880" s="177">
        <f t="shared" si="968"/>
        <v>236</v>
      </c>
      <c r="L880" s="336">
        <f t="shared" si="969"/>
        <v>222</v>
      </c>
      <c r="M880" s="327">
        <f t="shared" si="970"/>
        <v>0</v>
      </c>
      <c r="N880" s="337">
        <f t="shared" si="971"/>
        <v>6</v>
      </c>
      <c r="O880" s="395">
        <f t="shared" si="972"/>
        <v>30</v>
      </c>
      <c r="P880" s="289">
        <f t="shared" si="973"/>
        <v>1</v>
      </c>
      <c r="Q880" s="460">
        <f>WEEKNUM(tblResultadosNBA[[#This Row],[Fecha]],2)</f>
        <v>9</v>
      </c>
      <c r="R880" s="460" t="str">
        <f>TEXT(tblResultadosNBA[[#This Row],[Fecha]],"mmm")</f>
        <v>feb</v>
      </c>
    </row>
    <row r="881" spans="1:18">
      <c r="A881" s="439">
        <v>46079</v>
      </c>
      <c r="B881" s="302" t="s">
        <v>404</v>
      </c>
      <c r="C881" s="177" t="str">
        <f t="shared" si="964"/>
        <v>San Antonio Spurs</v>
      </c>
      <c r="D881" s="177">
        <v>115</v>
      </c>
      <c r="E881" s="336">
        <v>126</v>
      </c>
      <c r="F881" s="327">
        <f t="shared" si="965"/>
        <v>1</v>
      </c>
      <c r="G881" s="177" t="str">
        <f t="shared" si="966"/>
        <v>Brooklyn Nets</v>
      </c>
      <c r="H881" s="177">
        <v>110</v>
      </c>
      <c r="I881" s="336">
        <v>110</v>
      </c>
      <c r="J881" s="327">
        <f t="shared" si="967"/>
        <v>0</v>
      </c>
      <c r="K881" s="177">
        <f t="shared" si="968"/>
        <v>225</v>
      </c>
      <c r="L881" s="336">
        <f t="shared" si="969"/>
        <v>236</v>
      </c>
      <c r="M881" s="327">
        <f t="shared" si="970"/>
        <v>1</v>
      </c>
      <c r="N881" s="337">
        <f t="shared" si="971"/>
        <v>-5</v>
      </c>
      <c r="O881" s="395">
        <f t="shared" si="972"/>
        <v>-16</v>
      </c>
      <c r="P881" s="289">
        <f t="shared" si="973"/>
        <v>1</v>
      </c>
      <c r="Q881" s="460">
        <f>WEEKNUM(tblResultadosNBA[[#This Row],[Fecha]],2)</f>
        <v>9</v>
      </c>
      <c r="R881" s="460" t="str">
        <f>TEXT(tblResultadosNBA[[#This Row],[Fecha]],"mmm")</f>
        <v>feb</v>
      </c>
    </row>
    <row r="882" spans="1:18">
      <c r="A882" s="439">
        <v>46079</v>
      </c>
      <c r="B882" s="302" t="s">
        <v>931</v>
      </c>
      <c r="C882" s="177" t="str">
        <f t="shared" si="964"/>
        <v>Houston Rockets</v>
      </c>
      <c r="D882" s="177">
        <v>113</v>
      </c>
      <c r="E882" s="336">
        <v>113</v>
      </c>
      <c r="F882" s="327">
        <f t="shared" si="965"/>
        <v>0</v>
      </c>
      <c r="G882" s="177" t="str">
        <f t="shared" si="966"/>
        <v>Orlando Magic</v>
      </c>
      <c r="H882" s="177">
        <v>110</v>
      </c>
      <c r="I882" s="336">
        <v>108</v>
      </c>
      <c r="J882" s="327">
        <f t="shared" si="967"/>
        <v>0</v>
      </c>
      <c r="K882" s="177">
        <f t="shared" si="968"/>
        <v>223</v>
      </c>
      <c r="L882" s="336">
        <f t="shared" si="969"/>
        <v>221</v>
      </c>
      <c r="M882" s="327">
        <f t="shared" si="970"/>
        <v>0</v>
      </c>
      <c r="N882" s="337">
        <f t="shared" si="971"/>
        <v>-3</v>
      </c>
      <c r="O882" s="395">
        <f t="shared" si="972"/>
        <v>-5</v>
      </c>
      <c r="P882" s="289">
        <f t="shared" si="973"/>
        <v>1</v>
      </c>
      <c r="Q882" s="460">
        <f>WEEKNUM(tblResultadosNBA[[#This Row],[Fecha]],2)</f>
        <v>9</v>
      </c>
      <c r="R882" s="460" t="str">
        <f>TEXT(tblResultadosNBA[[#This Row],[Fecha]],"mmm")</f>
        <v>feb</v>
      </c>
    </row>
    <row r="883" spans="1:18">
      <c r="A883" s="439">
        <v>46079</v>
      </c>
      <c r="B883" s="302" t="s">
        <v>405</v>
      </c>
      <c r="C883" s="177" t="str">
        <f t="shared" si="964"/>
        <v>Portland Trail Blazers</v>
      </c>
      <c r="D883" s="177">
        <v>115</v>
      </c>
      <c r="E883" s="336">
        <v>121</v>
      </c>
      <c r="F883" s="327">
        <f t="shared" si="965"/>
        <v>1</v>
      </c>
      <c r="G883" s="177" t="str">
        <f t="shared" si="966"/>
        <v>Chicago Bulls</v>
      </c>
      <c r="H883" s="177">
        <v>118</v>
      </c>
      <c r="I883" s="336">
        <v>112</v>
      </c>
      <c r="J883" s="327">
        <f t="shared" si="967"/>
        <v>0</v>
      </c>
      <c r="K883" s="177">
        <f t="shared" si="968"/>
        <v>233</v>
      </c>
      <c r="L883" s="336">
        <f t="shared" si="969"/>
        <v>233</v>
      </c>
      <c r="M883" s="327">
        <f t="shared" si="970"/>
        <v>0</v>
      </c>
      <c r="N883" s="337">
        <f t="shared" si="971"/>
        <v>3</v>
      </c>
      <c r="O883" s="395">
        <f t="shared" si="972"/>
        <v>-9</v>
      </c>
      <c r="P883" s="289">
        <f t="shared" si="973"/>
        <v>0</v>
      </c>
      <c r="Q883" s="460">
        <f>WEEKNUM(tblResultadosNBA[[#This Row],[Fecha]],2)</f>
        <v>9</v>
      </c>
      <c r="R883" s="460" t="str">
        <f>TEXT(tblResultadosNBA[[#This Row],[Fecha]],"mmm")</f>
        <v>feb</v>
      </c>
    </row>
    <row r="884" spans="1:18">
      <c r="A884" s="439">
        <v>46079</v>
      </c>
      <c r="B884" s="302" t="s">
        <v>406</v>
      </c>
      <c r="C884" s="177" t="str">
        <f t="shared" si="964"/>
        <v>Sacramento Kings</v>
      </c>
      <c r="D884" s="177">
        <v>110</v>
      </c>
      <c r="E884" s="336">
        <v>130</v>
      </c>
      <c r="F884" s="327">
        <f t="shared" si="965"/>
        <v>1</v>
      </c>
      <c r="G884" s="177" t="str">
        <f t="shared" si="966"/>
        <v>Dallas Mavericks</v>
      </c>
      <c r="H884" s="177">
        <v>117</v>
      </c>
      <c r="I884" s="336">
        <v>121</v>
      </c>
      <c r="J884" s="327">
        <f t="shared" si="967"/>
        <v>1</v>
      </c>
      <c r="K884" s="177">
        <f t="shared" si="968"/>
        <v>227</v>
      </c>
      <c r="L884" s="336">
        <f t="shared" si="969"/>
        <v>251</v>
      </c>
      <c r="M884" s="327">
        <f t="shared" si="970"/>
        <v>1</v>
      </c>
      <c r="N884" s="337">
        <f t="shared" si="971"/>
        <v>7</v>
      </c>
      <c r="O884" s="395">
        <f t="shared" si="972"/>
        <v>-9</v>
      </c>
      <c r="P884" s="289">
        <f t="shared" si="973"/>
        <v>0</v>
      </c>
      <c r="Q884" s="460">
        <f>WEEKNUM(tblResultadosNBA[[#This Row],[Fecha]],2)</f>
        <v>9</v>
      </c>
      <c r="R884" s="460" t="str">
        <f>TEXT(tblResultadosNBA[[#This Row],[Fecha]],"mmm")</f>
        <v>feb</v>
      </c>
    </row>
    <row r="885" spans="1:18">
      <c r="A885" s="439">
        <v>46079</v>
      </c>
      <c r="B885" s="302" t="s">
        <v>219</v>
      </c>
      <c r="C885" s="177" t="str">
        <f t="shared" si="964"/>
        <v>Los Angeles Lakers</v>
      </c>
      <c r="D885" s="177">
        <v>111</v>
      </c>
      <c r="E885" s="336">
        <v>110</v>
      </c>
      <c r="F885" s="327">
        <f t="shared" si="965"/>
        <v>0</v>
      </c>
      <c r="G885" s="177" t="str">
        <f t="shared" si="966"/>
        <v>Phoenix Suns</v>
      </c>
      <c r="H885" s="177">
        <v>114</v>
      </c>
      <c r="I885" s="336">
        <v>113</v>
      </c>
      <c r="J885" s="327">
        <f t="shared" si="967"/>
        <v>0</v>
      </c>
      <c r="K885" s="177">
        <f t="shared" si="968"/>
        <v>225</v>
      </c>
      <c r="L885" s="336">
        <f t="shared" si="969"/>
        <v>223</v>
      </c>
      <c r="M885" s="327">
        <f t="shared" si="970"/>
        <v>0</v>
      </c>
      <c r="N885" s="337">
        <f t="shared" si="971"/>
        <v>3</v>
      </c>
      <c r="O885" s="395">
        <f t="shared" si="972"/>
        <v>3</v>
      </c>
      <c r="P885" s="289">
        <f t="shared" si="973"/>
        <v>1</v>
      </c>
      <c r="Q885" s="460">
        <f>WEEKNUM(tblResultadosNBA[[#This Row],[Fecha]],2)</f>
        <v>9</v>
      </c>
      <c r="R885" s="460" t="str">
        <f>TEXT(tblResultadosNBA[[#This Row],[Fecha]],"mmm")</f>
        <v>feb</v>
      </c>
    </row>
    <row r="886" spans="1:18">
      <c r="A886" s="439">
        <v>46079</v>
      </c>
      <c r="B886" s="302" t="s">
        <v>407</v>
      </c>
      <c r="C886" s="177" t="str">
        <f t="shared" ref="C886:C887" si="974">LEFT(B886,FIND("@",B886)-2)</f>
        <v>New Orleans Pelicans</v>
      </c>
      <c r="D886" s="177">
        <v>118</v>
      </c>
      <c r="E886" s="336">
        <v>129</v>
      </c>
      <c r="F886" s="327">
        <f t="shared" ref="F886:F887" si="975">IF(E886&gt;D886, 1, 0)</f>
        <v>1</v>
      </c>
      <c r="G886" s="177" t="str">
        <f t="shared" ref="G886:G887" si="976">MID(B886,FIND("@",B886)+2,LEN(B886)-FIND("@",B886)-1)</f>
        <v>Utah Jazz</v>
      </c>
      <c r="H886" s="177">
        <v>119</v>
      </c>
      <c r="I886" s="336">
        <v>118</v>
      </c>
      <c r="J886" s="327">
        <f t="shared" ref="J886:J887" si="977">IF(I886&gt;H886, 1, 0)</f>
        <v>0</v>
      </c>
      <c r="K886" s="177">
        <f t="shared" ref="K886:K887" si="978">+D886+H886</f>
        <v>237</v>
      </c>
      <c r="L886" s="336">
        <f t="shared" ref="L886:L887" si="979">E886+I886</f>
        <v>247</v>
      </c>
      <c r="M886" s="327">
        <f t="shared" ref="M886:M887" si="980">IF(L886&gt;K886, 1, 0)</f>
        <v>1</v>
      </c>
      <c r="N886" s="337">
        <f t="shared" ref="N886:N887" si="981">(+H886-D886)</f>
        <v>1</v>
      </c>
      <c r="O886" s="395">
        <f t="shared" ref="O886:O887" si="982">I886-E886</f>
        <v>-11</v>
      </c>
      <c r="P886" s="289">
        <f t="shared" ref="P886:P887" si="983">IF(OR(AND(N886&gt;0,O886&gt;0),AND(N886&lt;0,O886&lt;0)),1,0)</f>
        <v>0</v>
      </c>
      <c r="Q886" s="460">
        <f>WEEKNUM(tblResultadosNBA[[#This Row],[Fecha]],2)</f>
        <v>9</v>
      </c>
      <c r="R886" s="460" t="str">
        <f>TEXT(tblResultadosNBA[[#This Row],[Fecha]],"mmm")</f>
        <v>feb</v>
      </c>
    </row>
    <row r="887" spans="1:18">
      <c r="A887" s="446">
        <v>46079</v>
      </c>
      <c r="B887" s="331" t="s">
        <v>455</v>
      </c>
      <c r="C887" s="286" t="str">
        <f t="shared" si="974"/>
        <v>Minnesota Timberwolves</v>
      </c>
      <c r="D887" s="286">
        <v>114</v>
      </c>
      <c r="E887" s="431">
        <v>94</v>
      </c>
      <c r="F887" s="332">
        <f t="shared" si="975"/>
        <v>0</v>
      </c>
      <c r="G887" s="286" t="str">
        <f t="shared" si="976"/>
        <v>LA Clippers</v>
      </c>
      <c r="H887" s="286">
        <v>118</v>
      </c>
      <c r="I887" s="431">
        <v>88</v>
      </c>
      <c r="J887" s="332">
        <f t="shared" si="977"/>
        <v>0</v>
      </c>
      <c r="K887" s="286">
        <f t="shared" si="978"/>
        <v>232</v>
      </c>
      <c r="L887" s="431">
        <f t="shared" si="979"/>
        <v>182</v>
      </c>
      <c r="M887" s="332">
        <f t="shared" si="980"/>
        <v>0</v>
      </c>
      <c r="N887" s="432">
        <f t="shared" si="981"/>
        <v>4</v>
      </c>
      <c r="O887" s="451">
        <f t="shared" si="982"/>
        <v>-6</v>
      </c>
      <c r="P887" s="433">
        <f t="shared" si="983"/>
        <v>0</v>
      </c>
      <c r="Q887" s="460">
        <f>WEEKNUM(tblResultadosNBA[[#This Row],[Fecha]],2)</f>
        <v>9</v>
      </c>
      <c r="R887" s="460" t="str">
        <f>TEXT(tblResultadosNBA[[#This Row],[Fecha]],"mmm")</f>
        <v>feb</v>
      </c>
    </row>
    <row r="888" spans="1:18">
      <c r="A888" s="439">
        <v>46080</v>
      </c>
      <c r="B888" s="422" t="s">
        <v>408</v>
      </c>
      <c r="C888" s="341" t="str">
        <f>LEFT(B888,FIND("@",B888)-2)</f>
        <v>Cleveland Cavaliers</v>
      </c>
      <c r="D888" s="341">
        <v>114</v>
      </c>
      <c r="E888" s="342">
        <v>119</v>
      </c>
      <c r="F888" s="333">
        <f>IF(E888&gt;D888, 1, 0)</f>
        <v>1</v>
      </c>
      <c r="G888" s="341" t="str">
        <f>MID(B888,FIND("@",B888)+2,LEN(B888)-FIND("@",B888)-1)</f>
        <v>Detroit Pistons</v>
      </c>
      <c r="H888" s="341">
        <v>113</v>
      </c>
      <c r="I888" s="342">
        <v>122</v>
      </c>
      <c r="J888" s="333">
        <f>IF(I888&gt;H888, 1, 0)</f>
        <v>1</v>
      </c>
      <c r="K888" s="341">
        <f>+D888+H888</f>
        <v>227</v>
      </c>
      <c r="L888" s="342">
        <f>E888+I888</f>
        <v>241</v>
      </c>
      <c r="M888" s="333">
        <f>IF(L888&gt;K888, 1, 0)</f>
        <v>1</v>
      </c>
      <c r="N888" s="343">
        <f>(+H888-D888)</f>
        <v>-1</v>
      </c>
      <c r="O888" s="449">
        <f>I888-E888</f>
        <v>3</v>
      </c>
      <c r="P888" s="289">
        <f>IF(OR(AND(N888&gt;0,O888&gt;0),AND(N888&lt;0,O888&lt;0)),1,0)</f>
        <v>0</v>
      </c>
      <c r="Q888" s="460">
        <f>WEEKNUM(tblResultadosNBA[[#This Row],[Fecha]],2)</f>
        <v>9</v>
      </c>
      <c r="R888" s="460" t="str">
        <f>TEXT(tblResultadosNBA[[#This Row],[Fecha]],"mmm")</f>
        <v>feb</v>
      </c>
    </row>
    <row r="889" spans="1:18">
      <c r="A889" s="439">
        <v>46080</v>
      </c>
      <c r="B889" s="302" t="s">
        <v>770</v>
      </c>
      <c r="C889" s="177" t="str">
        <f t="shared" ref="C889:C892" si="984">LEFT(B889,FIND("@",B889)-2)</f>
        <v>Brooklyn Nets</v>
      </c>
      <c r="D889" s="177">
        <v>104</v>
      </c>
      <c r="E889" s="336">
        <v>111</v>
      </c>
      <c r="F889" s="327">
        <f t="shared" ref="F889:F892" si="985">IF(E889&gt;D889, 1, 0)</f>
        <v>1</v>
      </c>
      <c r="G889" s="177" t="str">
        <f t="shared" ref="G889:G892" si="986">MID(B889,FIND("@",B889)+2,LEN(B889)-FIND("@",B889)-1)</f>
        <v>Boston Celtics</v>
      </c>
      <c r="H889" s="177">
        <v>112</v>
      </c>
      <c r="I889" s="336">
        <v>148</v>
      </c>
      <c r="J889" s="327">
        <f t="shared" ref="J889:J892" si="987">IF(I889&gt;H889, 1, 0)</f>
        <v>1</v>
      </c>
      <c r="K889" s="177">
        <f t="shared" ref="K889:K892" si="988">+D889+H889</f>
        <v>216</v>
      </c>
      <c r="L889" s="336">
        <f t="shared" ref="L889:L892" si="989">E889+I889</f>
        <v>259</v>
      </c>
      <c r="M889" s="327">
        <f t="shared" ref="M889:M892" si="990">IF(L889&gt;K889, 1, 0)</f>
        <v>1</v>
      </c>
      <c r="N889" s="337">
        <f t="shared" ref="N889:N892" si="991">(+H889-D889)</f>
        <v>8</v>
      </c>
      <c r="O889" s="395">
        <f t="shared" ref="O889:O892" si="992">I889-E889</f>
        <v>37</v>
      </c>
      <c r="P889" s="289">
        <f t="shared" ref="P889:P892" si="993">IF(OR(AND(N889&gt;0,O889&gt;0),AND(N889&lt;0,O889&lt;0)),1,0)</f>
        <v>1</v>
      </c>
      <c r="Q889" s="460">
        <f>WEEKNUM(tblResultadosNBA[[#This Row],[Fecha]],2)</f>
        <v>9</v>
      </c>
      <c r="R889" s="460" t="str">
        <f>TEXT(tblResultadosNBA[[#This Row],[Fecha]],"mmm")</f>
        <v>feb</v>
      </c>
    </row>
    <row r="890" spans="1:18">
      <c r="A890" s="439">
        <v>46080</v>
      </c>
      <c r="B890" s="302" t="s">
        <v>698</v>
      </c>
      <c r="C890" s="177" t="str">
        <f t="shared" si="984"/>
        <v>New York Knicks</v>
      </c>
      <c r="D890" s="177">
        <v>110</v>
      </c>
      <c r="E890" s="336">
        <v>127</v>
      </c>
      <c r="F890" s="327">
        <f t="shared" si="985"/>
        <v>1</v>
      </c>
      <c r="G890" s="177" t="str">
        <f t="shared" si="986"/>
        <v>Milwaukee Bucks</v>
      </c>
      <c r="H890" s="177">
        <v>115</v>
      </c>
      <c r="I890" s="336">
        <v>98</v>
      </c>
      <c r="J890" s="327">
        <f t="shared" si="987"/>
        <v>0</v>
      </c>
      <c r="K890" s="177">
        <f t="shared" si="988"/>
        <v>225</v>
      </c>
      <c r="L890" s="336">
        <f t="shared" si="989"/>
        <v>225</v>
      </c>
      <c r="M890" s="327">
        <f t="shared" si="990"/>
        <v>0</v>
      </c>
      <c r="N890" s="337">
        <f t="shared" si="991"/>
        <v>5</v>
      </c>
      <c r="O890" s="395">
        <f t="shared" si="992"/>
        <v>-29</v>
      </c>
      <c r="P890" s="289">
        <f t="shared" si="993"/>
        <v>0</v>
      </c>
      <c r="Q890" s="460">
        <f>WEEKNUM(tblResultadosNBA[[#This Row],[Fecha]],2)</f>
        <v>9</v>
      </c>
      <c r="R890" s="460" t="str">
        <f>TEXT(tblResultadosNBA[[#This Row],[Fecha]],"mmm")</f>
        <v>feb</v>
      </c>
    </row>
    <row r="891" spans="1:18">
      <c r="A891" s="439">
        <v>46080</v>
      </c>
      <c r="B891" s="302" t="s">
        <v>92</v>
      </c>
      <c r="C891" s="177" t="str">
        <f t="shared" si="984"/>
        <v>Memphis Grizzlies</v>
      </c>
      <c r="D891" s="177">
        <v>115</v>
      </c>
      <c r="E891" s="336">
        <v>124</v>
      </c>
      <c r="F891" s="327">
        <f t="shared" si="985"/>
        <v>1</v>
      </c>
      <c r="G891" s="177" t="str">
        <f t="shared" si="986"/>
        <v>Dallas Mavericks</v>
      </c>
      <c r="H891" s="177">
        <v>115</v>
      </c>
      <c r="I891" s="336">
        <v>105</v>
      </c>
      <c r="J891" s="327">
        <f t="shared" si="987"/>
        <v>0</v>
      </c>
      <c r="K891" s="177">
        <f t="shared" si="988"/>
        <v>230</v>
      </c>
      <c r="L891" s="336">
        <f t="shared" si="989"/>
        <v>229</v>
      </c>
      <c r="M891" s="327">
        <f t="shared" si="990"/>
        <v>0</v>
      </c>
      <c r="N891" s="337">
        <f t="shared" si="991"/>
        <v>0</v>
      </c>
      <c r="O891" s="395">
        <f t="shared" si="992"/>
        <v>-19</v>
      </c>
      <c r="P891" s="289">
        <f t="shared" si="993"/>
        <v>0</v>
      </c>
      <c r="Q891" s="460">
        <f>WEEKNUM(tblResultadosNBA[[#This Row],[Fecha]],2)</f>
        <v>9</v>
      </c>
      <c r="R891" s="460" t="str">
        <f>TEXT(tblResultadosNBA[[#This Row],[Fecha]],"mmm")</f>
        <v>feb</v>
      </c>
    </row>
    <row r="892" spans="1:18">
      <c r="A892" s="446">
        <v>46080</v>
      </c>
      <c r="B892" s="331" t="s">
        <v>409</v>
      </c>
      <c r="C892" s="286" t="str">
        <f t="shared" si="984"/>
        <v>Denver Nuggets</v>
      </c>
      <c r="D892" s="286">
        <v>111</v>
      </c>
      <c r="E892" s="431">
        <v>121</v>
      </c>
      <c r="F892" s="332">
        <f t="shared" si="985"/>
        <v>1</v>
      </c>
      <c r="G892" s="286" t="str">
        <f t="shared" si="986"/>
        <v>Oklahoma City Thunder</v>
      </c>
      <c r="H892" s="286">
        <v>117</v>
      </c>
      <c r="I892" s="431">
        <v>127</v>
      </c>
      <c r="J892" s="332">
        <f t="shared" si="987"/>
        <v>1</v>
      </c>
      <c r="K892" s="286">
        <f t="shared" si="988"/>
        <v>228</v>
      </c>
      <c r="L892" s="431">
        <f t="shared" si="989"/>
        <v>248</v>
      </c>
      <c r="M892" s="332">
        <f t="shared" si="990"/>
        <v>1</v>
      </c>
      <c r="N892" s="432">
        <f t="shared" si="991"/>
        <v>6</v>
      </c>
      <c r="O892" s="451">
        <f t="shared" si="992"/>
        <v>6</v>
      </c>
      <c r="P892" s="433">
        <f t="shared" si="993"/>
        <v>1</v>
      </c>
      <c r="Q892" s="460">
        <f>WEEKNUM(tblResultadosNBA[[#This Row],[Fecha]],2)</f>
        <v>9</v>
      </c>
      <c r="R892" s="460" t="str">
        <f>TEXT(tblResultadosNBA[[#This Row],[Fecha]],"mmm")</f>
        <v>feb</v>
      </c>
    </row>
    <row r="893" spans="1:18">
      <c r="A893" s="439">
        <v>46081</v>
      </c>
      <c r="B893" s="422" t="s">
        <v>410</v>
      </c>
      <c r="C893" s="341" t="str">
        <f>LEFT(B893,FIND("@",B893)-2)</f>
        <v>Portland Trail Blazers</v>
      </c>
      <c r="D893" s="341">
        <v>112</v>
      </c>
      <c r="E893" s="342">
        <v>93</v>
      </c>
      <c r="F893" s="333">
        <f>IF(E893&gt;D893, 1, 0)</f>
        <v>0</v>
      </c>
      <c r="G893" s="341" t="str">
        <f>MID(B893,FIND("@",B893)+2,LEN(B893)-FIND("@",B893)-1)</f>
        <v>Charlotte Hornets</v>
      </c>
      <c r="H893" s="341">
        <v>114</v>
      </c>
      <c r="I893" s="342">
        <v>109</v>
      </c>
      <c r="J893" s="333">
        <f>IF(I893&gt;H893, 1, 0)</f>
        <v>0</v>
      </c>
      <c r="K893" s="341">
        <f>+D893+H893</f>
        <v>226</v>
      </c>
      <c r="L893" s="342">
        <f>E893+I893</f>
        <v>202</v>
      </c>
      <c r="M893" s="333">
        <f>IF(L893&gt;K893, 1, 0)</f>
        <v>0</v>
      </c>
      <c r="N893" s="343">
        <f>(+H893-D893)</f>
        <v>2</v>
      </c>
      <c r="O893" s="449">
        <f>I893-E893</f>
        <v>16</v>
      </c>
      <c r="P893" s="289">
        <f>IF(OR(AND(N893&gt;0,O893&gt;0),AND(N893&lt;0,O893&lt;0)),1,0)</f>
        <v>1</v>
      </c>
      <c r="Q893" s="460">
        <f>WEEKNUM(tblResultadosNBA[[#This Row],[Fecha]],2)</f>
        <v>9</v>
      </c>
      <c r="R893" s="460" t="str">
        <f>TEXT(tblResultadosNBA[[#This Row],[Fecha]],"mmm")</f>
        <v>feb</v>
      </c>
    </row>
    <row r="894" spans="1:18">
      <c r="A894" s="439">
        <v>46081</v>
      </c>
      <c r="B894" s="302" t="s">
        <v>411</v>
      </c>
      <c r="C894" s="177" t="str">
        <f t="shared" ref="C894:C897" si="994">LEFT(B894,FIND("@",B894)-2)</f>
        <v>Houston Rockets</v>
      </c>
      <c r="D894" s="177">
        <v>111</v>
      </c>
      <c r="E894" s="336">
        <v>105</v>
      </c>
      <c r="F894" s="327">
        <f t="shared" ref="F894:F897" si="995">IF(E894&gt;D894, 1, 0)</f>
        <v>0</v>
      </c>
      <c r="G894" s="177" t="str">
        <f t="shared" ref="G894:G897" si="996">MID(B894,FIND("@",B894)+2,LEN(B894)-FIND("@",B894)-1)</f>
        <v>Miami Heat</v>
      </c>
      <c r="H894" s="177">
        <v>114</v>
      </c>
      <c r="I894" s="336">
        <v>115</v>
      </c>
      <c r="J894" s="327">
        <f t="shared" ref="J894:J897" si="997">IF(I894&gt;H894, 1, 0)</f>
        <v>1</v>
      </c>
      <c r="K894" s="177">
        <f t="shared" ref="K894:K897" si="998">+D894+H894</f>
        <v>225</v>
      </c>
      <c r="L894" s="336">
        <f t="shared" ref="L894:L897" si="999">E894+I894</f>
        <v>220</v>
      </c>
      <c r="M894" s="327">
        <f t="shared" ref="M894:M897" si="1000">IF(L894&gt;K894, 1, 0)</f>
        <v>0</v>
      </c>
      <c r="N894" s="337">
        <f t="shared" ref="N894:N897" si="1001">(+H894-D894)</f>
        <v>3</v>
      </c>
      <c r="O894" s="395">
        <f t="shared" ref="O894:O897" si="1002">I894-E894</f>
        <v>10</v>
      </c>
      <c r="P894" s="289">
        <f t="shared" ref="P894:P897" si="1003">IF(OR(AND(N894&gt;0,O894&gt;0),AND(N894&lt;0,O894&lt;0)),1,0)</f>
        <v>1</v>
      </c>
      <c r="Q894" s="460">
        <f>WEEKNUM(tblResultadosNBA[[#This Row],[Fecha]],2)</f>
        <v>9</v>
      </c>
      <c r="R894" s="460" t="str">
        <f>TEXT(tblResultadosNBA[[#This Row],[Fecha]],"mmm")</f>
        <v>feb</v>
      </c>
    </row>
    <row r="895" spans="1:18">
      <c r="A895" s="439">
        <v>46081</v>
      </c>
      <c r="B895" s="302" t="s">
        <v>228</v>
      </c>
      <c r="C895" s="177" t="str">
        <f t="shared" si="994"/>
        <v>Toronto Raptors</v>
      </c>
      <c r="D895" s="177">
        <v>118</v>
      </c>
      <c r="E895" s="336">
        <v>134</v>
      </c>
      <c r="F895" s="327">
        <f t="shared" si="995"/>
        <v>1</v>
      </c>
      <c r="G895" s="177" t="str">
        <f t="shared" si="996"/>
        <v>Washington Wizards</v>
      </c>
      <c r="H895" s="177">
        <v>111</v>
      </c>
      <c r="I895" s="336">
        <v>125</v>
      </c>
      <c r="J895" s="327">
        <f t="shared" si="997"/>
        <v>1</v>
      </c>
      <c r="K895" s="177">
        <f t="shared" si="998"/>
        <v>229</v>
      </c>
      <c r="L895" s="336">
        <f t="shared" si="999"/>
        <v>259</v>
      </c>
      <c r="M895" s="327">
        <f t="shared" si="1000"/>
        <v>1</v>
      </c>
      <c r="N895" s="337">
        <f t="shared" si="1001"/>
        <v>-7</v>
      </c>
      <c r="O895" s="395">
        <f t="shared" si="1002"/>
        <v>-9</v>
      </c>
      <c r="P895" s="289">
        <f t="shared" si="1003"/>
        <v>1</v>
      </c>
      <c r="Q895" s="460">
        <f>WEEKNUM(tblResultadosNBA[[#This Row],[Fecha]],2)</f>
        <v>9</v>
      </c>
      <c r="R895" s="460" t="str">
        <f>TEXT(tblResultadosNBA[[#This Row],[Fecha]],"mmm")</f>
        <v>feb</v>
      </c>
    </row>
    <row r="896" spans="1:18">
      <c r="A896" s="439">
        <v>46081</v>
      </c>
      <c r="B896" s="302" t="s">
        <v>578</v>
      </c>
      <c r="C896" s="177" t="str">
        <f t="shared" si="994"/>
        <v>Los Angeles Lakers</v>
      </c>
      <c r="D896" s="177">
        <v>113</v>
      </c>
      <c r="E896" s="336">
        <v>129</v>
      </c>
      <c r="F896" s="327">
        <f t="shared" si="995"/>
        <v>1</v>
      </c>
      <c r="G896" s="177" t="str">
        <f t="shared" si="996"/>
        <v>Golden State Warriors</v>
      </c>
      <c r="H896" s="177">
        <v>118</v>
      </c>
      <c r="I896" s="336">
        <v>101</v>
      </c>
      <c r="J896" s="327">
        <f t="shared" si="997"/>
        <v>0</v>
      </c>
      <c r="K896" s="177">
        <f t="shared" si="998"/>
        <v>231</v>
      </c>
      <c r="L896" s="336">
        <f t="shared" si="999"/>
        <v>230</v>
      </c>
      <c r="M896" s="327">
        <f t="shared" si="1000"/>
        <v>0</v>
      </c>
      <c r="N896" s="337">
        <f t="shared" si="1001"/>
        <v>5</v>
      </c>
      <c r="O896" s="395">
        <f t="shared" si="1002"/>
        <v>-28</v>
      </c>
      <c r="P896" s="289">
        <f t="shared" si="1003"/>
        <v>0</v>
      </c>
      <c r="Q896" s="460">
        <f>WEEKNUM(tblResultadosNBA[[#This Row],[Fecha]],2)</f>
        <v>9</v>
      </c>
      <c r="R896" s="460" t="str">
        <f>TEXT(tblResultadosNBA[[#This Row],[Fecha]],"mmm")</f>
        <v>feb</v>
      </c>
    </row>
    <row r="897" spans="1:18">
      <c r="A897" s="446">
        <v>46081</v>
      </c>
      <c r="B897" s="331" t="s">
        <v>407</v>
      </c>
      <c r="C897" s="286" t="str">
        <f t="shared" si="994"/>
        <v>New Orleans Pelicans</v>
      </c>
      <c r="D897" s="286">
        <v>117</v>
      </c>
      <c r="E897" s="431">
        <v>115</v>
      </c>
      <c r="F897" s="332">
        <f t="shared" si="995"/>
        <v>0</v>
      </c>
      <c r="G897" s="286" t="str">
        <f t="shared" si="996"/>
        <v>Utah Jazz</v>
      </c>
      <c r="H897" s="286">
        <v>119</v>
      </c>
      <c r="I897" s="431">
        <v>105</v>
      </c>
      <c r="J897" s="332">
        <f t="shared" si="997"/>
        <v>0</v>
      </c>
      <c r="K897" s="286">
        <f t="shared" si="998"/>
        <v>236</v>
      </c>
      <c r="L897" s="431">
        <f t="shared" si="999"/>
        <v>220</v>
      </c>
      <c r="M897" s="332">
        <f t="shared" si="1000"/>
        <v>0</v>
      </c>
      <c r="N897" s="432">
        <f t="shared" si="1001"/>
        <v>2</v>
      </c>
      <c r="O897" s="451">
        <f t="shared" si="1002"/>
        <v>-10</v>
      </c>
      <c r="P897" s="433">
        <f t="shared" si="1003"/>
        <v>0</v>
      </c>
      <c r="Q897" s="460">
        <f>WEEKNUM(tblResultadosNBA[[#This Row],[Fecha]],2)</f>
        <v>9</v>
      </c>
      <c r="R897" s="460" t="str">
        <f>TEXT(tblResultadosNBA[[#This Row],[Fecha]],"mmm")</f>
        <v>feb</v>
      </c>
    </row>
    <row r="898" spans="1:18">
      <c r="A898" s="439">
        <v>46082</v>
      </c>
      <c r="B898" s="422" t="s">
        <v>412</v>
      </c>
      <c r="C898" s="341" t="str">
        <f>LEFT(B898,FIND("@",B898)-2)</f>
        <v>San Antonio Spurs</v>
      </c>
      <c r="D898" s="341">
        <v>113</v>
      </c>
      <c r="E898" s="342">
        <v>89</v>
      </c>
      <c r="F898" s="333">
        <f>IF(E898&gt;D898, 1, 0)</f>
        <v>0</v>
      </c>
      <c r="G898" s="341" t="str">
        <f>MID(B898,FIND("@",B898)+2,LEN(B898)-FIND("@",B898)-1)</f>
        <v>New York Knicks</v>
      </c>
      <c r="H898" s="341">
        <v>114</v>
      </c>
      <c r="I898" s="342">
        <v>114</v>
      </c>
      <c r="J898" s="333">
        <f>IF(I898&gt;H898, 1, 0)</f>
        <v>0</v>
      </c>
      <c r="K898" s="341">
        <f>+D898+H898</f>
        <v>227</v>
      </c>
      <c r="L898" s="342">
        <f>E898+I898</f>
        <v>203</v>
      </c>
      <c r="M898" s="333">
        <f>IF(L898&gt;K898, 1, 0)</f>
        <v>0</v>
      </c>
      <c r="N898" s="343">
        <f>(+H898-D898)</f>
        <v>1</v>
      </c>
      <c r="O898" s="449">
        <f>I898-E898</f>
        <v>25</v>
      </c>
      <c r="P898" s="289">
        <f>IF(OR(AND(N898&gt;0,O898&gt;0),AND(N898&lt;0,O898&lt;0)),1,0)</f>
        <v>1</v>
      </c>
      <c r="Q898" s="460">
        <f>WEEKNUM(tblResultadosNBA[[#This Row],[Fecha]],2)</f>
        <v>9</v>
      </c>
      <c r="R898" s="460" t="str">
        <f>TEXT(tblResultadosNBA[[#This Row],[Fecha]],"mmm")</f>
        <v>mar</v>
      </c>
    </row>
    <row r="899" spans="1:18">
      <c r="A899" s="439">
        <v>46082</v>
      </c>
      <c r="B899" s="302" t="s">
        <v>673</v>
      </c>
      <c r="C899" s="177" t="str">
        <f t="shared" ref="C899:C905" si="1004">LEFT(B899,FIND("@",B899)-2)</f>
        <v>Cleveland Cavaliers</v>
      </c>
      <c r="D899" s="177">
        <v>114</v>
      </c>
      <c r="E899" s="336">
        <v>106</v>
      </c>
      <c r="F899" s="327">
        <f t="shared" ref="F899:F905" si="1005">IF(E899&gt;D899, 1, 0)</f>
        <v>0</v>
      </c>
      <c r="G899" s="177" t="str">
        <f t="shared" ref="G899:G905" si="1006">MID(B899,FIND("@",B899)+2,LEN(B899)-FIND("@",B899)-1)</f>
        <v>Brooklyn Nets</v>
      </c>
      <c r="H899" s="177">
        <v>110</v>
      </c>
      <c r="I899" s="336">
        <v>102</v>
      </c>
      <c r="J899" s="327">
        <f t="shared" ref="J899:J905" si="1007">IF(I899&gt;H899, 1, 0)</f>
        <v>0</v>
      </c>
      <c r="K899" s="177">
        <f t="shared" ref="K899:K905" si="1008">+D899+H899</f>
        <v>224</v>
      </c>
      <c r="L899" s="336">
        <f t="shared" ref="L899:L905" si="1009">E899+I899</f>
        <v>208</v>
      </c>
      <c r="M899" s="327">
        <f t="shared" ref="M899:M905" si="1010">IF(L899&gt;K899, 1, 0)</f>
        <v>0</v>
      </c>
      <c r="N899" s="337">
        <f t="shared" ref="N899:N905" si="1011">(+H899-D899)</f>
        <v>-4</v>
      </c>
      <c r="O899" s="395">
        <f t="shared" ref="O899:O905" si="1012">I899-E899</f>
        <v>-4</v>
      </c>
      <c r="P899" s="289">
        <f t="shared" ref="P899:P905" si="1013">IF(OR(AND(N899&gt;0,O899&gt;0),AND(N899&lt;0,O899&lt;0)),1,0)</f>
        <v>1</v>
      </c>
      <c r="Q899" s="460">
        <f>WEEKNUM(tblResultadosNBA[[#This Row],[Fecha]],2)</f>
        <v>9</v>
      </c>
      <c r="R899" s="460" t="str">
        <f>TEXT(tblResultadosNBA[[#This Row],[Fecha]],"mmm")</f>
        <v>mar</v>
      </c>
    </row>
    <row r="900" spans="1:18">
      <c r="A900" s="439">
        <v>46082</v>
      </c>
      <c r="B900" s="302" t="s">
        <v>235</v>
      </c>
      <c r="C900" s="177" t="str">
        <f t="shared" si="1004"/>
        <v>Milwaukee Bucks</v>
      </c>
      <c r="D900" s="177">
        <v>118</v>
      </c>
      <c r="E900" s="336">
        <v>97</v>
      </c>
      <c r="F900" s="327">
        <f t="shared" si="1005"/>
        <v>0</v>
      </c>
      <c r="G900" s="177" t="str">
        <f t="shared" si="1006"/>
        <v>Chicago Bulls</v>
      </c>
      <c r="H900" s="177">
        <v>116</v>
      </c>
      <c r="I900" s="336">
        <v>120</v>
      </c>
      <c r="J900" s="327">
        <f t="shared" si="1007"/>
        <v>1</v>
      </c>
      <c r="K900" s="177">
        <f t="shared" si="1008"/>
        <v>234</v>
      </c>
      <c r="L900" s="336">
        <f t="shared" si="1009"/>
        <v>217</v>
      </c>
      <c r="M900" s="327">
        <f t="shared" si="1010"/>
        <v>0</v>
      </c>
      <c r="N900" s="337">
        <f t="shared" si="1011"/>
        <v>-2</v>
      </c>
      <c r="O900" s="395">
        <f t="shared" si="1012"/>
        <v>23</v>
      </c>
      <c r="P900" s="289">
        <f t="shared" si="1013"/>
        <v>0</v>
      </c>
      <c r="Q900" s="460">
        <f>WEEKNUM(tblResultadosNBA[[#This Row],[Fecha]],2)</f>
        <v>9</v>
      </c>
      <c r="R900" s="460" t="str">
        <f>TEXT(tblResultadosNBA[[#This Row],[Fecha]],"mmm")</f>
        <v>mar</v>
      </c>
    </row>
    <row r="901" spans="1:18">
      <c r="A901" s="439">
        <v>46082</v>
      </c>
      <c r="B901" s="302" t="s">
        <v>413</v>
      </c>
      <c r="C901" s="177" t="str">
        <f t="shared" si="1004"/>
        <v>Minnesota Timberwolves</v>
      </c>
      <c r="D901" s="177">
        <v>113</v>
      </c>
      <c r="E901" s="336">
        <v>117</v>
      </c>
      <c r="F901" s="327">
        <f t="shared" si="1005"/>
        <v>1</v>
      </c>
      <c r="G901" s="177" t="str">
        <f t="shared" si="1006"/>
        <v>Denver Nuggets</v>
      </c>
      <c r="H901" s="177">
        <v>115</v>
      </c>
      <c r="I901" s="336">
        <v>108</v>
      </c>
      <c r="J901" s="327">
        <f t="shared" si="1007"/>
        <v>0</v>
      </c>
      <c r="K901" s="177">
        <f t="shared" si="1008"/>
        <v>228</v>
      </c>
      <c r="L901" s="336">
        <f t="shared" si="1009"/>
        <v>225</v>
      </c>
      <c r="M901" s="327">
        <f t="shared" si="1010"/>
        <v>0</v>
      </c>
      <c r="N901" s="337">
        <f t="shared" si="1011"/>
        <v>2</v>
      </c>
      <c r="O901" s="395">
        <f t="shared" si="1012"/>
        <v>-9</v>
      </c>
      <c r="P901" s="289">
        <f t="shared" si="1013"/>
        <v>0</v>
      </c>
      <c r="Q901" s="460">
        <f>WEEKNUM(tblResultadosNBA[[#This Row],[Fecha]],2)</f>
        <v>9</v>
      </c>
      <c r="R901" s="460" t="str">
        <f>TEXT(tblResultadosNBA[[#This Row],[Fecha]],"mmm")</f>
        <v>mar</v>
      </c>
    </row>
    <row r="902" spans="1:18">
      <c r="A902" s="439">
        <v>46082</v>
      </c>
      <c r="B902" s="302" t="s">
        <v>414</v>
      </c>
      <c r="C902" s="177" t="str">
        <f t="shared" si="1004"/>
        <v>Memphis Grizzlies</v>
      </c>
      <c r="D902" s="177">
        <v>116</v>
      </c>
      <c r="E902" s="336">
        <v>125</v>
      </c>
      <c r="F902" s="327">
        <f t="shared" si="1005"/>
        <v>1</v>
      </c>
      <c r="G902" s="177" t="str">
        <f t="shared" si="1006"/>
        <v>Indiana Pacers</v>
      </c>
      <c r="H902" s="177">
        <v>117</v>
      </c>
      <c r="I902" s="336">
        <v>106</v>
      </c>
      <c r="J902" s="327">
        <f t="shared" si="1007"/>
        <v>0</v>
      </c>
      <c r="K902" s="177">
        <f t="shared" si="1008"/>
        <v>233</v>
      </c>
      <c r="L902" s="336">
        <f t="shared" si="1009"/>
        <v>231</v>
      </c>
      <c r="M902" s="327">
        <f t="shared" si="1010"/>
        <v>0</v>
      </c>
      <c r="N902" s="337">
        <f t="shared" si="1011"/>
        <v>1</v>
      </c>
      <c r="O902" s="395">
        <f t="shared" si="1012"/>
        <v>-19</v>
      </c>
      <c r="P902" s="289">
        <f t="shared" si="1013"/>
        <v>0</v>
      </c>
      <c r="Q902" s="460">
        <f>WEEKNUM(tblResultadosNBA[[#This Row],[Fecha]],2)</f>
        <v>9</v>
      </c>
      <c r="R902" s="460" t="str">
        <f>TEXT(tblResultadosNBA[[#This Row],[Fecha]],"mmm")</f>
        <v>mar</v>
      </c>
    </row>
    <row r="903" spans="1:18">
      <c r="A903" s="439">
        <v>46082</v>
      </c>
      <c r="B903" s="302" t="s">
        <v>415</v>
      </c>
      <c r="C903" s="177" t="str">
        <f t="shared" si="1004"/>
        <v>Portland Trail Blazers</v>
      </c>
      <c r="D903" s="177">
        <v>113</v>
      </c>
      <c r="E903" s="336">
        <v>101</v>
      </c>
      <c r="F903" s="327">
        <f t="shared" si="1005"/>
        <v>0</v>
      </c>
      <c r="G903" s="177" t="str">
        <f t="shared" si="1006"/>
        <v>Atlanta Hawks</v>
      </c>
      <c r="H903" s="177">
        <v>116</v>
      </c>
      <c r="I903" s="336">
        <v>135</v>
      </c>
      <c r="J903" s="327">
        <f t="shared" si="1007"/>
        <v>1</v>
      </c>
      <c r="K903" s="177">
        <f t="shared" si="1008"/>
        <v>229</v>
      </c>
      <c r="L903" s="336">
        <f t="shared" si="1009"/>
        <v>236</v>
      </c>
      <c r="M903" s="327">
        <f t="shared" si="1010"/>
        <v>1</v>
      </c>
      <c r="N903" s="337">
        <f t="shared" si="1011"/>
        <v>3</v>
      </c>
      <c r="O903" s="395">
        <f t="shared" si="1012"/>
        <v>34</v>
      </c>
      <c r="P903" s="289">
        <f t="shared" si="1013"/>
        <v>1</v>
      </c>
      <c r="Q903" s="460">
        <f>WEEKNUM(tblResultadosNBA[[#This Row],[Fecha]],2)</f>
        <v>9</v>
      </c>
      <c r="R903" s="460" t="str">
        <f>TEXT(tblResultadosNBA[[#This Row],[Fecha]],"mmm")</f>
        <v>mar</v>
      </c>
    </row>
    <row r="904" spans="1:18">
      <c r="A904" s="439">
        <v>46082</v>
      </c>
      <c r="B904" s="302" t="s">
        <v>416</v>
      </c>
      <c r="C904" s="177" t="str">
        <f t="shared" si="1004"/>
        <v>Detroit Pistons</v>
      </c>
      <c r="D904" s="177">
        <v>113</v>
      </c>
      <c r="E904" s="336">
        <v>106</v>
      </c>
      <c r="F904" s="327">
        <f t="shared" si="1005"/>
        <v>0</v>
      </c>
      <c r="G904" s="177" t="str">
        <f t="shared" si="1006"/>
        <v>Orlando Magic</v>
      </c>
      <c r="H904" s="177">
        <v>111</v>
      </c>
      <c r="I904" s="336">
        <v>92</v>
      </c>
      <c r="J904" s="327">
        <f t="shared" si="1007"/>
        <v>0</v>
      </c>
      <c r="K904" s="177">
        <f t="shared" si="1008"/>
        <v>224</v>
      </c>
      <c r="L904" s="336">
        <f t="shared" si="1009"/>
        <v>198</v>
      </c>
      <c r="M904" s="327">
        <f t="shared" si="1010"/>
        <v>0</v>
      </c>
      <c r="N904" s="337">
        <f t="shared" si="1011"/>
        <v>-2</v>
      </c>
      <c r="O904" s="395">
        <f t="shared" si="1012"/>
        <v>-14</v>
      </c>
      <c r="P904" s="289">
        <f t="shared" si="1013"/>
        <v>1</v>
      </c>
      <c r="Q904" s="460">
        <f>WEEKNUM(tblResultadosNBA[[#This Row],[Fecha]],2)</f>
        <v>9</v>
      </c>
      <c r="R904" s="460" t="str">
        <f>TEXT(tblResultadosNBA[[#This Row],[Fecha]],"mmm")</f>
        <v>mar</v>
      </c>
    </row>
    <row r="905" spans="1:18">
      <c r="A905" s="439">
        <v>46082</v>
      </c>
      <c r="B905" s="302" t="s">
        <v>417</v>
      </c>
      <c r="C905" s="177" t="str">
        <f t="shared" si="1004"/>
        <v>Philadelphia 76ers</v>
      </c>
      <c r="D905" s="177">
        <v>107</v>
      </c>
      <c r="E905" s="336">
        <v>98</v>
      </c>
      <c r="F905" s="327">
        <f t="shared" si="1005"/>
        <v>0</v>
      </c>
      <c r="G905" s="177" t="str">
        <f t="shared" si="1006"/>
        <v>Boston Celtics</v>
      </c>
      <c r="H905" s="177">
        <v>114</v>
      </c>
      <c r="I905" s="336">
        <v>114</v>
      </c>
      <c r="J905" s="327">
        <f t="shared" si="1007"/>
        <v>0</v>
      </c>
      <c r="K905" s="177">
        <f t="shared" si="1008"/>
        <v>221</v>
      </c>
      <c r="L905" s="336">
        <f t="shared" si="1009"/>
        <v>212</v>
      </c>
      <c r="M905" s="327">
        <f t="shared" si="1010"/>
        <v>0</v>
      </c>
      <c r="N905" s="337">
        <f t="shared" si="1011"/>
        <v>7</v>
      </c>
      <c r="O905" s="395">
        <f t="shared" si="1012"/>
        <v>16</v>
      </c>
      <c r="P905" s="289">
        <f t="shared" si="1013"/>
        <v>1</v>
      </c>
      <c r="Q905" s="460">
        <f>WEEKNUM(tblResultadosNBA[[#This Row],[Fecha]],2)</f>
        <v>9</v>
      </c>
      <c r="R905" s="460" t="str">
        <f>TEXT(tblResultadosNBA[[#This Row],[Fecha]],"mmm")</f>
        <v>mar</v>
      </c>
    </row>
    <row r="906" spans="1:18">
      <c r="A906" s="439">
        <v>46082</v>
      </c>
      <c r="B906" s="302" t="s">
        <v>418</v>
      </c>
      <c r="C906" s="177" t="str">
        <f t="shared" ref="C906:C908" si="1014">LEFT(B906,FIND("@",B906)-2)</f>
        <v>Oklahoma City Thunder</v>
      </c>
      <c r="D906" s="177">
        <v>116</v>
      </c>
      <c r="E906" s="336">
        <v>100</v>
      </c>
      <c r="F906" s="327">
        <f t="shared" ref="F906:F908" si="1015">IF(E906&gt;D906, 1, 0)</f>
        <v>0</v>
      </c>
      <c r="G906" s="177" t="str">
        <f t="shared" ref="G906:G908" si="1016">MID(B906,FIND("@",B906)+2,LEN(B906)-FIND("@",B906)-1)</f>
        <v>Dallas Mavericks</v>
      </c>
      <c r="H906" s="177">
        <v>111</v>
      </c>
      <c r="I906" s="336">
        <v>87</v>
      </c>
      <c r="J906" s="327">
        <f t="shared" ref="J906:J908" si="1017">IF(I906&gt;H906, 1, 0)</f>
        <v>0</v>
      </c>
      <c r="K906" s="177">
        <f t="shared" ref="K906:K908" si="1018">+D906+H906</f>
        <v>227</v>
      </c>
      <c r="L906" s="336">
        <f t="shared" ref="L906:L908" si="1019">E906+I906</f>
        <v>187</v>
      </c>
      <c r="M906" s="327">
        <f t="shared" ref="M906:M908" si="1020">IF(L906&gt;K906, 1, 0)</f>
        <v>0</v>
      </c>
      <c r="N906" s="337">
        <f t="shared" ref="N906:N908" si="1021">(+H906-D906)</f>
        <v>-5</v>
      </c>
      <c r="O906" s="395">
        <f t="shared" ref="O906:O908" si="1022">I906-E906</f>
        <v>-13</v>
      </c>
      <c r="P906" s="289">
        <f t="shared" ref="P906:P908" si="1023">IF(OR(AND(N906&gt;0,O906&gt;0),AND(N906&lt;0,O906&lt;0)),1,0)</f>
        <v>1</v>
      </c>
      <c r="Q906" s="460">
        <f>WEEKNUM(tblResultadosNBA[[#This Row],[Fecha]],2)</f>
        <v>9</v>
      </c>
      <c r="R906" s="460" t="str">
        <f>TEXT(tblResultadosNBA[[#This Row],[Fecha]],"mmm")</f>
        <v>mar</v>
      </c>
    </row>
    <row r="907" spans="1:18">
      <c r="A907" s="439">
        <v>46082</v>
      </c>
      <c r="B907" s="302" t="s">
        <v>711</v>
      </c>
      <c r="C907" s="177" t="str">
        <f t="shared" si="1014"/>
        <v>New Orleans Pelicans</v>
      </c>
      <c r="D907" s="177">
        <v>110</v>
      </c>
      <c r="E907" s="336">
        <v>117</v>
      </c>
      <c r="F907" s="327">
        <f t="shared" si="1015"/>
        <v>1</v>
      </c>
      <c r="G907" s="177" t="str">
        <f t="shared" si="1016"/>
        <v>LA Clippers</v>
      </c>
      <c r="H907" s="177">
        <v>117</v>
      </c>
      <c r="I907" s="336">
        <v>137</v>
      </c>
      <c r="J907" s="327">
        <f t="shared" si="1017"/>
        <v>1</v>
      </c>
      <c r="K907" s="177">
        <f t="shared" si="1018"/>
        <v>227</v>
      </c>
      <c r="L907" s="336">
        <f t="shared" si="1019"/>
        <v>254</v>
      </c>
      <c r="M907" s="327">
        <f t="shared" si="1020"/>
        <v>1</v>
      </c>
      <c r="N907" s="337">
        <f t="shared" si="1021"/>
        <v>7</v>
      </c>
      <c r="O907" s="395">
        <f t="shared" si="1022"/>
        <v>20</v>
      </c>
      <c r="P907" s="289">
        <f t="shared" si="1023"/>
        <v>1</v>
      </c>
      <c r="Q907" s="460">
        <f>WEEKNUM(tblResultadosNBA[[#This Row],[Fecha]],2)</f>
        <v>9</v>
      </c>
      <c r="R907" s="460" t="str">
        <f>TEXT(tblResultadosNBA[[#This Row],[Fecha]],"mmm")</f>
        <v>mar</v>
      </c>
    </row>
    <row r="908" spans="1:18">
      <c r="A908" s="446">
        <v>46082</v>
      </c>
      <c r="B908" s="331" t="s">
        <v>242</v>
      </c>
      <c r="C908" s="286" t="str">
        <f t="shared" si="1014"/>
        <v>Sacramento Kings</v>
      </c>
      <c r="D908" s="286">
        <v>114</v>
      </c>
      <c r="E908" s="431">
        <v>104</v>
      </c>
      <c r="F908" s="332">
        <f t="shared" si="1015"/>
        <v>0</v>
      </c>
      <c r="G908" s="286" t="str">
        <f t="shared" si="1016"/>
        <v>Los Angeles Lakers</v>
      </c>
      <c r="H908" s="286">
        <v>117</v>
      </c>
      <c r="I908" s="431">
        <v>128</v>
      </c>
      <c r="J908" s="332">
        <f t="shared" si="1017"/>
        <v>1</v>
      </c>
      <c r="K908" s="286">
        <f t="shared" si="1018"/>
        <v>231</v>
      </c>
      <c r="L908" s="431">
        <f t="shared" si="1019"/>
        <v>232</v>
      </c>
      <c r="M908" s="332">
        <f t="shared" si="1020"/>
        <v>1</v>
      </c>
      <c r="N908" s="432">
        <f t="shared" si="1021"/>
        <v>3</v>
      </c>
      <c r="O908" s="451">
        <f t="shared" si="1022"/>
        <v>24</v>
      </c>
      <c r="P908" s="433">
        <f t="shared" si="1023"/>
        <v>1</v>
      </c>
      <c r="Q908" s="460">
        <f>WEEKNUM(tblResultadosNBA[[#This Row],[Fecha]],2)</f>
        <v>9</v>
      </c>
      <c r="R908" s="460" t="str">
        <f>TEXT(tblResultadosNBA[[#This Row],[Fecha]],"mmm")</f>
        <v>mar</v>
      </c>
    </row>
    <row r="909" spans="1:18">
      <c r="A909" s="439">
        <v>46083</v>
      </c>
      <c r="B909" s="422" t="s">
        <v>932</v>
      </c>
      <c r="C909" s="341" t="str">
        <f>LEFT(B909,FIND("@",B909)-2)</f>
        <v>Houston Rockets</v>
      </c>
      <c r="D909" s="341">
        <v>118</v>
      </c>
      <c r="E909" s="342">
        <v>123</v>
      </c>
      <c r="F909" s="333">
        <f>IF(E909&gt;D909, 1, 0)</f>
        <v>1</v>
      </c>
      <c r="G909" s="341" t="str">
        <f>MID(B909,FIND("@",B909)+2,LEN(B909)-FIND("@",B909)-1)</f>
        <v>Washington Wizards</v>
      </c>
      <c r="H909" s="341">
        <v>112</v>
      </c>
      <c r="I909" s="342">
        <v>118</v>
      </c>
      <c r="J909" s="333">
        <f>IF(I909&gt;H909, 1, 0)</f>
        <v>1</v>
      </c>
      <c r="K909" s="341">
        <f>+D909+H909</f>
        <v>230</v>
      </c>
      <c r="L909" s="342">
        <f>E909+I909</f>
        <v>241</v>
      </c>
      <c r="M909" s="333">
        <f>IF(L909&gt;K909, 1, 0)</f>
        <v>1</v>
      </c>
      <c r="N909" s="343">
        <f>(+H909-D909)</f>
        <v>-6</v>
      </c>
      <c r="O909" s="449">
        <f>I909-E909</f>
        <v>-5</v>
      </c>
      <c r="P909" s="289">
        <f>IF(OR(AND(N909&gt;0,O909&gt;0),AND(N909&lt;0,O909&lt;0)),1,0)</f>
        <v>1</v>
      </c>
      <c r="Q909" s="460">
        <f>WEEKNUM(tblResultadosNBA[[#This Row],[Fecha]],2)</f>
        <v>10</v>
      </c>
      <c r="R909" s="460" t="str">
        <f>TEXT(tblResultadosNBA[[#This Row],[Fecha]],"mmm")</f>
        <v>mar</v>
      </c>
    </row>
    <row r="910" spans="1:18">
      <c r="A910" s="439">
        <v>46083</v>
      </c>
      <c r="B910" s="302" t="s">
        <v>171</v>
      </c>
      <c r="C910" s="177" t="str">
        <f t="shared" ref="C910:C912" si="1024">LEFT(B910,FIND("@",B910)-2)</f>
        <v>Boston Celtics</v>
      </c>
      <c r="D910" s="177">
        <v>112</v>
      </c>
      <c r="E910" s="336">
        <v>108</v>
      </c>
      <c r="F910" s="327">
        <f t="shared" ref="F910:F912" si="1025">IF(E910&gt;D910, 1, 0)</f>
        <v>0</v>
      </c>
      <c r="G910" s="177" t="str">
        <f t="shared" ref="G910:G912" si="1026">MID(B910,FIND("@",B910)+2,LEN(B910)-FIND("@",B910)-1)</f>
        <v>Milwaukee Bucks</v>
      </c>
      <c r="H910" s="177">
        <v>109</v>
      </c>
      <c r="I910" s="336">
        <v>81</v>
      </c>
      <c r="J910" s="327">
        <f t="shared" ref="J910:J912" si="1027">IF(I910&gt;H910, 1, 0)</f>
        <v>0</v>
      </c>
      <c r="K910" s="177">
        <f t="shared" ref="K910:K912" si="1028">+D910+H910</f>
        <v>221</v>
      </c>
      <c r="L910" s="336">
        <f t="shared" ref="L910:L912" si="1029">E910+I910</f>
        <v>189</v>
      </c>
      <c r="M910" s="327">
        <f t="shared" ref="M910:M912" si="1030">IF(L910&gt;K910, 1, 0)</f>
        <v>0</v>
      </c>
      <c r="N910" s="337">
        <f t="shared" ref="N910:N912" si="1031">(+H910-D910)</f>
        <v>-3</v>
      </c>
      <c r="O910" s="395">
        <f t="shared" ref="O910:O912" si="1032">I910-E910</f>
        <v>-27</v>
      </c>
      <c r="P910" s="289">
        <f t="shared" ref="P910:P912" si="1033">IF(OR(AND(N910&gt;0,O910&gt;0),AND(N910&lt;0,O910&lt;0)),1,0)</f>
        <v>1</v>
      </c>
      <c r="Q910" s="460">
        <f>WEEKNUM(tblResultadosNBA[[#This Row],[Fecha]],2)</f>
        <v>10</v>
      </c>
      <c r="R910" s="460" t="str">
        <f>TEXT(tblResultadosNBA[[#This Row],[Fecha]],"mmm")</f>
        <v>mar</v>
      </c>
    </row>
    <row r="911" spans="1:18">
      <c r="A911" s="439">
        <v>46083</v>
      </c>
      <c r="B911" s="302" t="s">
        <v>419</v>
      </c>
      <c r="C911" s="177" t="str">
        <f t="shared" si="1024"/>
        <v>Denver Nuggets</v>
      </c>
      <c r="D911" s="177">
        <v>117</v>
      </c>
      <c r="E911" s="336">
        <v>128</v>
      </c>
      <c r="F911" s="327">
        <f t="shared" si="1025"/>
        <v>1</v>
      </c>
      <c r="G911" s="177" t="str">
        <f t="shared" si="1026"/>
        <v>Utah Jazz</v>
      </c>
      <c r="H911" s="177">
        <v>112</v>
      </c>
      <c r="I911" s="336">
        <v>125</v>
      </c>
      <c r="J911" s="327">
        <f t="shared" si="1027"/>
        <v>1</v>
      </c>
      <c r="K911" s="177">
        <f t="shared" si="1028"/>
        <v>229</v>
      </c>
      <c r="L911" s="336">
        <f t="shared" si="1029"/>
        <v>253</v>
      </c>
      <c r="M911" s="327">
        <f t="shared" si="1030"/>
        <v>1</v>
      </c>
      <c r="N911" s="337">
        <f t="shared" si="1031"/>
        <v>-5</v>
      </c>
      <c r="O911" s="395">
        <f t="shared" si="1032"/>
        <v>-3</v>
      </c>
      <c r="P911" s="289">
        <f t="shared" si="1033"/>
        <v>1</v>
      </c>
      <c r="Q911" s="460">
        <f>WEEKNUM(tblResultadosNBA[[#This Row],[Fecha]],2)</f>
        <v>10</v>
      </c>
      <c r="R911" s="460" t="str">
        <f>TEXT(tblResultadosNBA[[#This Row],[Fecha]],"mmm")</f>
        <v>mar</v>
      </c>
    </row>
    <row r="912" spans="1:18">
      <c r="A912" s="446">
        <v>46083</v>
      </c>
      <c r="B912" s="331" t="s">
        <v>420</v>
      </c>
      <c r="C912" s="286" t="str">
        <f t="shared" si="1024"/>
        <v>LA Clippers</v>
      </c>
      <c r="D912" s="286">
        <v>112</v>
      </c>
      <c r="E912" s="431">
        <v>114</v>
      </c>
      <c r="F912" s="332">
        <f t="shared" si="1025"/>
        <v>1</v>
      </c>
      <c r="G912" s="286" t="str">
        <f t="shared" si="1026"/>
        <v>Golden State Warriors</v>
      </c>
      <c r="H912" s="286">
        <v>115</v>
      </c>
      <c r="I912" s="431">
        <v>101</v>
      </c>
      <c r="J912" s="332">
        <f t="shared" si="1027"/>
        <v>0</v>
      </c>
      <c r="K912" s="286">
        <f t="shared" si="1028"/>
        <v>227</v>
      </c>
      <c r="L912" s="431">
        <f t="shared" si="1029"/>
        <v>215</v>
      </c>
      <c r="M912" s="332">
        <f t="shared" si="1030"/>
        <v>0</v>
      </c>
      <c r="N912" s="432">
        <f t="shared" si="1031"/>
        <v>3</v>
      </c>
      <c r="O912" s="451">
        <f t="shared" si="1032"/>
        <v>-13</v>
      </c>
      <c r="P912" s="433">
        <f t="shared" si="1033"/>
        <v>0</v>
      </c>
      <c r="Q912" s="460">
        <f>WEEKNUM(tblResultadosNBA[[#This Row],[Fecha]],2)</f>
        <v>10</v>
      </c>
      <c r="R912" s="460" t="str">
        <f>TEXT(tblResultadosNBA[[#This Row],[Fecha]],"mmm")</f>
        <v>mar</v>
      </c>
    </row>
    <row r="913" spans="1:18">
      <c r="A913" s="439">
        <v>46084</v>
      </c>
      <c r="B913" s="422" t="s">
        <v>421</v>
      </c>
      <c r="C913" s="341" t="str">
        <f>LEFT(B913,FIND("@",B913)-2)</f>
        <v>Dallas Mavericks</v>
      </c>
      <c r="D913" s="341">
        <v>111</v>
      </c>
      <c r="E913" s="342">
        <v>90</v>
      </c>
      <c r="F913" s="333">
        <f>IF(E913&gt;D913, 1, 0)</f>
        <v>0</v>
      </c>
      <c r="G913" s="341" t="str">
        <f>MID(B913,FIND("@",B913)+2,LEN(B913)-FIND("@",B913)-1)</f>
        <v>Charlotte Hornets</v>
      </c>
      <c r="H913" s="341">
        <v>114</v>
      </c>
      <c r="I913" s="342">
        <v>117</v>
      </c>
      <c r="J913" s="333">
        <f>IF(I913&gt;H913, 1, 0)</f>
        <v>1</v>
      </c>
      <c r="K913" s="341">
        <f>+D913+H913</f>
        <v>225</v>
      </c>
      <c r="L913" s="342">
        <f>E913+I913</f>
        <v>207</v>
      </c>
      <c r="M913" s="333">
        <f>IF(L913&gt;K913, 1, 0)</f>
        <v>0</v>
      </c>
      <c r="N913" s="343">
        <f>(+H913-D913)</f>
        <v>3</v>
      </c>
      <c r="O913" s="449">
        <f>I913-E913</f>
        <v>27</v>
      </c>
      <c r="P913" s="289">
        <f>IF(OR(AND(N913&gt;0,O913&gt;0),AND(N913&lt;0,O913&lt;0)),1,0)</f>
        <v>1</v>
      </c>
      <c r="Q913" s="460">
        <f>WEEKNUM(tblResultadosNBA[[#This Row],[Fecha]],2)</f>
        <v>10</v>
      </c>
      <c r="R913" s="460" t="str">
        <f>TEXT(tblResultadosNBA[[#This Row],[Fecha]],"mmm")</f>
        <v>mar</v>
      </c>
    </row>
    <row r="914" spans="1:18">
      <c r="A914" s="439">
        <v>46084</v>
      </c>
      <c r="B914" s="302" t="s">
        <v>264</v>
      </c>
      <c r="C914" s="177" t="str">
        <f t="shared" ref="C914:C921" si="1034">LEFT(B914,FIND("@",B914)-2)</f>
        <v>Detroit Pistons</v>
      </c>
      <c r="D914" s="177">
        <v>115</v>
      </c>
      <c r="E914" s="336">
        <v>109</v>
      </c>
      <c r="F914" s="327">
        <f t="shared" ref="F914:F921" si="1035">IF(E914&gt;D914, 1, 0)</f>
        <v>0</v>
      </c>
      <c r="G914" s="177" t="str">
        <f t="shared" ref="G914:G921" si="1036">MID(B914,FIND("@",B914)+2,LEN(B914)-FIND("@",B914)-1)</f>
        <v>Cleveland Cavaliers</v>
      </c>
      <c r="H914" s="177">
        <v>117</v>
      </c>
      <c r="I914" s="336">
        <v>113</v>
      </c>
      <c r="J914" s="327">
        <f t="shared" ref="J914:J921" si="1037">IF(I914&gt;H914, 1, 0)</f>
        <v>0</v>
      </c>
      <c r="K914" s="177">
        <f t="shared" ref="K914:K921" si="1038">+D914+H914</f>
        <v>232</v>
      </c>
      <c r="L914" s="336">
        <f t="shared" ref="L914:L921" si="1039">E914+I914</f>
        <v>222</v>
      </c>
      <c r="M914" s="327">
        <f t="shared" ref="M914:M921" si="1040">IF(L914&gt;K914, 1, 0)</f>
        <v>0</v>
      </c>
      <c r="N914" s="337">
        <f t="shared" ref="N914:N921" si="1041">(+H914-D914)</f>
        <v>2</v>
      </c>
      <c r="O914" s="395">
        <f t="shared" ref="O914:O921" si="1042">I914-E914</f>
        <v>4</v>
      </c>
      <c r="P914" s="289">
        <f t="shared" ref="P914:P921" si="1043">IF(OR(AND(N914&gt;0,O914&gt;0),AND(N914&lt;0,O914&lt;0)),1,0)</f>
        <v>1</v>
      </c>
      <c r="Q914" s="460">
        <f>WEEKNUM(tblResultadosNBA[[#This Row],[Fecha]],2)</f>
        <v>10</v>
      </c>
      <c r="R914" s="460" t="str">
        <f>TEXT(tblResultadosNBA[[#This Row],[Fecha]],"mmm")</f>
        <v>mar</v>
      </c>
    </row>
    <row r="915" spans="1:18">
      <c r="A915" s="439">
        <v>46084</v>
      </c>
      <c r="B915" s="302" t="s">
        <v>456</v>
      </c>
      <c r="C915" s="177" t="str">
        <f t="shared" si="1034"/>
        <v>Washington Wizards</v>
      </c>
      <c r="D915" s="177">
        <v>110</v>
      </c>
      <c r="E915" s="336">
        <v>109</v>
      </c>
      <c r="F915" s="327">
        <f t="shared" si="1035"/>
        <v>0</v>
      </c>
      <c r="G915" s="177" t="str">
        <f t="shared" si="1036"/>
        <v>Orlando Magic</v>
      </c>
      <c r="H915" s="177">
        <v>120</v>
      </c>
      <c r="I915" s="336">
        <v>126</v>
      </c>
      <c r="J915" s="327">
        <f t="shared" si="1037"/>
        <v>1</v>
      </c>
      <c r="K915" s="177">
        <f t="shared" si="1038"/>
        <v>230</v>
      </c>
      <c r="L915" s="336">
        <f t="shared" si="1039"/>
        <v>235</v>
      </c>
      <c r="M915" s="327">
        <f t="shared" si="1040"/>
        <v>1</v>
      </c>
      <c r="N915" s="337">
        <f t="shared" si="1041"/>
        <v>10</v>
      </c>
      <c r="O915" s="395">
        <f t="shared" si="1042"/>
        <v>17</v>
      </c>
      <c r="P915" s="289">
        <f t="shared" si="1043"/>
        <v>1</v>
      </c>
      <c r="Q915" s="460">
        <f>WEEKNUM(tblResultadosNBA[[#This Row],[Fecha]],2)</f>
        <v>10</v>
      </c>
      <c r="R915" s="460" t="str">
        <f>TEXT(tblResultadosNBA[[#This Row],[Fecha]],"mmm")</f>
        <v>mar</v>
      </c>
    </row>
    <row r="916" spans="1:18">
      <c r="A916" s="439">
        <v>46084</v>
      </c>
      <c r="B916" s="302" t="s">
        <v>422</v>
      </c>
      <c r="C916" s="177" t="str">
        <f t="shared" si="1034"/>
        <v>Brooklyn Nets</v>
      </c>
      <c r="D916" s="177">
        <v>109</v>
      </c>
      <c r="E916" s="336">
        <v>98</v>
      </c>
      <c r="F916" s="327">
        <f t="shared" si="1035"/>
        <v>0</v>
      </c>
      <c r="G916" s="177" t="str">
        <f t="shared" si="1036"/>
        <v>Miami Heat</v>
      </c>
      <c r="H916" s="177">
        <v>111</v>
      </c>
      <c r="I916" s="336">
        <v>124</v>
      </c>
      <c r="J916" s="327">
        <f t="shared" si="1037"/>
        <v>1</v>
      </c>
      <c r="K916" s="177">
        <f t="shared" si="1038"/>
        <v>220</v>
      </c>
      <c r="L916" s="336">
        <f t="shared" si="1039"/>
        <v>222</v>
      </c>
      <c r="M916" s="327">
        <f t="shared" si="1040"/>
        <v>1</v>
      </c>
      <c r="N916" s="337">
        <f t="shared" si="1041"/>
        <v>2</v>
      </c>
      <c r="O916" s="395">
        <f t="shared" si="1042"/>
        <v>26</v>
      </c>
      <c r="P916" s="289">
        <f t="shared" si="1043"/>
        <v>1</v>
      </c>
      <c r="Q916" s="460">
        <f>WEEKNUM(tblResultadosNBA[[#This Row],[Fecha]],2)</f>
        <v>10</v>
      </c>
      <c r="R916" s="460" t="str">
        <f>TEXT(tblResultadosNBA[[#This Row],[Fecha]],"mmm")</f>
        <v>mar</v>
      </c>
    </row>
    <row r="917" spans="1:18">
      <c r="A917" s="439">
        <v>46084</v>
      </c>
      <c r="B917" s="302" t="s">
        <v>169</v>
      </c>
      <c r="C917" s="177" t="str">
        <f t="shared" si="1034"/>
        <v>New York Knicks</v>
      </c>
      <c r="D917" s="177">
        <v>109</v>
      </c>
      <c r="E917" s="336">
        <v>111</v>
      </c>
      <c r="F917" s="327">
        <f t="shared" si="1035"/>
        <v>1</v>
      </c>
      <c r="G917" s="177" t="str">
        <f t="shared" si="1036"/>
        <v>Toronto Raptors</v>
      </c>
      <c r="H917" s="177">
        <v>110</v>
      </c>
      <c r="I917" s="336">
        <v>95</v>
      </c>
      <c r="J917" s="327">
        <f t="shared" si="1037"/>
        <v>0</v>
      </c>
      <c r="K917" s="177">
        <f t="shared" si="1038"/>
        <v>219</v>
      </c>
      <c r="L917" s="336">
        <f t="shared" si="1039"/>
        <v>206</v>
      </c>
      <c r="M917" s="327">
        <f t="shared" si="1040"/>
        <v>0</v>
      </c>
      <c r="N917" s="337">
        <f t="shared" si="1041"/>
        <v>1</v>
      </c>
      <c r="O917" s="395">
        <f t="shared" si="1042"/>
        <v>-16</v>
      </c>
      <c r="P917" s="289">
        <f t="shared" si="1043"/>
        <v>0</v>
      </c>
      <c r="Q917" s="460">
        <f>WEEKNUM(tblResultadosNBA[[#This Row],[Fecha]],2)</f>
        <v>10</v>
      </c>
      <c r="R917" s="460" t="str">
        <f>TEXT(tblResultadosNBA[[#This Row],[Fecha]],"mmm")</f>
        <v>mar</v>
      </c>
    </row>
    <row r="918" spans="1:18">
      <c r="A918" s="439">
        <v>46084</v>
      </c>
      <c r="B918" s="302" t="s">
        <v>423</v>
      </c>
      <c r="C918" s="177" t="str">
        <f t="shared" si="1034"/>
        <v>San Antonio Spurs</v>
      </c>
      <c r="D918" s="177">
        <v>113</v>
      </c>
      <c r="E918" s="336">
        <v>131</v>
      </c>
      <c r="F918" s="327">
        <f t="shared" si="1035"/>
        <v>1</v>
      </c>
      <c r="G918" s="177" t="str">
        <f t="shared" si="1036"/>
        <v>Philadelphia 76ers</v>
      </c>
      <c r="H918" s="177">
        <v>112</v>
      </c>
      <c r="I918" s="336">
        <v>91</v>
      </c>
      <c r="J918" s="327">
        <f t="shared" si="1037"/>
        <v>0</v>
      </c>
      <c r="K918" s="177">
        <f t="shared" si="1038"/>
        <v>225</v>
      </c>
      <c r="L918" s="336">
        <f t="shared" si="1039"/>
        <v>222</v>
      </c>
      <c r="M918" s="327">
        <f t="shared" si="1040"/>
        <v>0</v>
      </c>
      <c r="N918" s="337">
        <f t="shared" si="1041"/>
        <v>-1</v>
      </c>
      <c r="O918" s="395">
        <f t="shared" si="1042"/>
        <v>-40</v>
      </c>
      <c r="P918" s="289">
        <f t="shared" si="1043"/>
        <v>1</v>
      </c>
      <c r="Q918" s="460">
        <f>WEEKNUM(tblResultadosNBA[[#This Row],[Fecha]],2)</f>
        <v>10</v>
      </c>
      <c r="R918" s="460" t="str">
        <f>TEXT(tblResultadosNBA[[#This Row],[Fecha]],"mmm")</f>
        <v>mar</v>
      </c>
    </row>
    <row r="919" spans="1:18">
      <c r="A919" s="439">
        <v>46084</v>
      </c>
      <c r="B919" s="302" t="s">
        <v>933</v>
      </c>
      <c r="C919" s="177" t="str">
        <f t="shared" si="1034"/>
        <v>Oklahoma City Thunder</v>
      </c>
      <c r="D919" s="177">
        <v>121</v>
      </c>
      <c r="E919" s="336">
        <v>116</v>
      </c>
      <c r="F919" s="327">
        <f t="shared" si="1035"/>
        <v>0</v>
      </c>
      <c r="G919" s="177" t="str">
        <f t="shared" si="1036"/>
        <v>Chicago Bulls</v>
      </c>
      <c r="H919" s="177">
        <v>113</v>
      </c>
      <c r="I919" s="336">
        <v>108</v>
      </c>
      <c r="J919" s="327">
        <f t="shared" si="1037"/>
        <v>0</v>
      </c>
      <c r="K919" s="177">
        <f t="shared" si="1038"/>
        <v>234</v>
      </c>
      <c r="L919" s="336">
        <f t="shared" si="1039"/>
        <v>224</v>
      </c>
      <c r="M919" s="327">
        <f t="shared" si="1040"/>
        <v>0</v>
      </c>
      <c r="N919" s="337">
        <f t="shared" si="1041"/>
        <v>-8</v>
      </c>
      <c r="O919" s="395">
        <f t="shared" si="1042"/>
        <v>-8</v>
      </c>
      <c r="P919" s="289">
        <f t="shared" si="1043"/>
        <v>1</v>
      </c>
      <c r="Q919" s="460">
        <f>WEEKNUM(tblResultadosNBA[[#This Row],[Fecha]],2)</f>
        <v>10</v>
      </c>
      <c r="R919" s="460" t="str">
        <f>TEXT(tblResultadosNBA[[#This Row],[Fecha]],"mmm")</f>
        <v>mar</v>
      </c>
    </row>
    <row r="920" spans="1:18">
      <c r="A920" s="439">
        <v>46084</v>
      </c>
      <c r="B920" s="302" t="s">
        <v>185</v>
      </c>
      <c r="C920" s="177" t="str">
        <f t="shared" si="1034"/>
        <v>Memphis Grizzlies</v>
      </c>
      <c r="D920" s="177">
        <v>113</v>
      </c>
      <c r="E920" s="336">
        <v>110</v>
      </c>
      <c r="F920" s="327">
        <f t="shared" si="1035"/>
        <v>0</v>
      </c>
      <c r="G920" s="177" t="str">
        <f t="shared" si="1036"/>
        <v>Minnesota Timberwolves</v>
      </c>
      <c r="H920" s="177">
        <v>119</v>
      </c>
      <c r="I920" s="336">
        <v>117</v>
      </c>
      <c r="J920" s="327">
        <f t="shared" si="1037"/>
        <v>0</v>
      </c>
      <c r="K920" s="177">
        <f t="shared" si="1038"/>
        <v>232</v>
      </c>
      <c r="L920" s="336">
        <f t="shared" si="1039"/>
        <v>227</v>
      </c>
      <c r="M920" s="327">
        <f t="shared" si="1040"/>
        <v>0</v>
      </c>
      <c r="N920" s="337">
        <f t="shared" si="1041"/>
        <v>6</v>
      </c>
      <c r="O920" s="395">
        <f t="shared" si="1042"/>
        <v>7</v>
      </c>
      <c r="P920" s="289">
        <f t="shared" si="1043"/>
        <v>1</v>
      </c>
      <c r="Q920" s="460">
        <f>WEEKNUM(tblResultadosNBA[[#This Row],[Fecha]],2)</f>
        <v>10</v>
      </c>
      <c r="R920" s="460" t="str">
        <f>TEXT(tblResultadosNBA[[#This Row],[Fecha]],"mmm")</f>
        <v>mar</v>
      </c>
    </row>
    <row r="921" spans="1:18">
      <c r="A921" s="439">
        <v>46084</v>
      </c>
      <c r="B921" s="302" t="s">
        <v>424</v>
      </c>
      <c r="C921" s="177" t="str">
        <f t="shared" si="1034"/>
        <v>New Orleans Pelicans</v>
      </c>
      <c r="D921" s="177">
        <v>113</v>
      </c>
      <c r="E921" s="336">
        <v>101</v>
      </c>
      <c r="F921" s="327">
        <f t="shared" si="1035"/>
        <v>0</v>
      </c>
      <c r="G921" s="177" t="str">
        <f t="shared" si="1036"/>
        <v>Los Angeles Lakers</v>
      </c>
      <c r="H921" s="177">
        <v>122</v>
      </c>
      <c r="I921" s="336">
        <v>110</v>
      </c>
      <c r="J921" s="327">
        <f t="shared" si="1037"/>
        <v>0</v>
      </c>
      <c r="K921" s="177">
        <f t="shared" si="1038"/>
        <v>235</v>
      </c>
      <c r="L921" s="336">
        <f t="shared" si="1039"/>
        <v>211</v>
      </c>
      <c r="M921" s="327">
        <f t="shared" si="1040"/>
        <v>0</v>
      </c>
      <c r="N921" s="337">
        <f t="shared" si="1041"/>
        <v>9</v>
      </c>
      <c r="O921" s="395">
        <f t="shared" si="1042"/>
        <v>9</v>
      </c>
      <c r="P921" s="289">
        <f t="shared" si="1043"/>
        <v>1</v>
      </c>
      <c r="Q921" s="460">
        <f>WEEKNUM(tblResultadosNBA[[#This Row],[Fecha]],2)</f>
        <v>10</v>
      </c>
      <c r="R921" s="460" t="str">
        <f>TEXT(tblResultadosNBA[[#This Row],[Fecha]],"mmm")</f>
        <v>mar</v>
      </c>
    </row>
    <row r="922" spans="1:18">
      <c r="A922" s="446">
        <v>46084</v>
      </c>
      <c r="B922" s="331" t="s">
        <v>110</v>
      </c>
      <c r="C922" s="286" t="str">
        <f>LEFT(B922,FIND("@",B922)-2)</f>
        <v>Phoenix Suns</v>
      </c>
      <c r="D922" s="286">
        <v>118</v>
      </c>
      <c r="E922" s="431">
        <v>114</v>
      </c>
      <c r="F922" s="332">
        <f>IF(E922&gt;D922, 1, 0)</f>
        <v>0</v>
      </c>
      <c r="G922" s="286" t="str">
        <f>MID(B922,FIND("@",B922)+2,LEN(B922)-FIND("@",B922)-1)</f>
        <v>Sacramento Kings</v>
      </c>
      <c r="H922" s="286">
        <v>111</v>
      </c>
      <c r="I922" s="431">
        <v>103</v>
      </c>
      <c r="J922" s="332">
        <f>IF(I922&gt;H922, 1, 0)</f>
        <v>0</v>
      </c>
      <c r="K922" s="286">
        <f>+D922+H922</f>
        <v>229</v>
      </c>
      <c r="L922" s="431">
        <f>E922+I922</f>
        <v>217</v>
      </c>
      <c r="M922" s="332">
        <f>IF(L922&gt;K922, 1, 0)</f>
        <v>0</v>
      </c>
      <c r="N922" s="432">
        <f>(+H922-D922)</f>
        <v>-7</v>
      </c>
      <c r="O922" s="451">
        <f>I922-E922</f>
        <v>-11</v>
      </c>
      <c r="P922" s="433">
        <f>IF(OR(AND(N922&gt;0,O922&gt;0),AND(N922&lt;0,O922&lt;0)),1,0)</f>
        <v>1</v>
      </c>
      <c r="Q922" s="460">
        <f>WEEKNUM(tblResultadosNBA[[#This Row],[Fecha]],2)</f>
        <v>10</v>
      </c>
      <c r="R922" s="460" t="str">
        <f>TEXT(tblResultadosNBA[[#This Row],[Fecha]],"mmm")</f>
        <v>mar</v>
      </c>
    </row>
    <row r="923" spans="1:18">
      <c r="A923" s="439">
        <v>46085</v>
      </c>
      <c r="B923" s="422" t="s">
        <v>934</v>
      </c>
      <c r="C923" s="341" t="str">
        <f>LEFT(B923,FIND("@",B923)-2)</f>
        <v>Oklahoma City Thunder</v>
      </c>
      <c r="D923" s="341">
        <v>112</v>
      </c>
      <c r="E923" s="342">
        <v>103</v>
      </c>
      <c r="F923" s="333">
        <f>IF(E923&gt;D923, 1, 0)</f>
        <v>0</v>
      </c>
      <c r="G923" s="341" t="str">
        <f>MID(B923,FIND("@",B923)+2,LEN(B923)-FIND("@",B923)-1)</f>
        <v>New York Knicks</v>
      </c>
      <c r="H923" s="341">
        <v>113</v>
      </c>
      <c r="I923" s="342">
        <v>100</v>
      </c>
      <c r="J923" s="333">
        <f>IF(I923&gt;H923, 1, 0)</f>
        <v>0</v>
      </c>
      <c r="K923" s="341">
        <f>+D923+H923</f>
        <v>225</v>
      </c>
      <c r="L923" s="342">
        <f>E923+I923</f>
        <v>203</v>
      </c>
      <c r="M923" s="333">
        <f>IF(L923&gt;K923, 1, 0)</f>
        <v>0</v>
      </c>
      <c r="N923" s="343">
        <f>(+H923-D923)</f>
        <v>1</v>
      </c>
      <c r="O923" s="449">
        <f>I923-E923</f>
        <v>-3</v>
      </c>
      <c r="P923" s="289">
        <f>IF(OR(AND(N923&gt;0,O923&gt;0),AND(N923&lt;0,O923&lt;0)),1,0)</f>
        <v>0</v>
      </c>
      <c r="Q923" s="460">
        <f>WEEKNUM(tblResultadosNBA[[#This Row],[Fecha]],2)</f>
        <v>10</v>
      </c>
      <c r="R923" s="460" t="str">
        <f>TEXT(tblResultadosNBA[[#This Row],[Fecha]],"mmm")</f>
        <v>mar</v>
      </c>
    </row>
    <row r="924" spans="1:18">
      <c r="A924" s="439">
        <v>46085</v>
      </c>
      <c r="B924" s="302" t="s">
        <v>569</v>
      </c>
      <c r="C924" s="177" t="str">
        <f t="shared" ref="C924:C928" si="1044">LEFT(B924,FIND("@",B924)-2)</f>
        <v>Charlotte Hornets</v>
      </c>
      <c r="D924" s="177">
        <v>104</v>
      </c>
      <c r="E924" s="336">
        <v>118</v>
      </c>
      <c r="F924" s="327">
        <f t="shared" ref="F924:F928" si="1045">IF(E924&gt;D924, 1, 0)</f>
        <v>1</v>
      </c>
      <c r="G924" s="177" t="str">
        <f t="shared" ref="G924:G928" si="1046">MID(B924,FIND("@",B924)+2,LEN(B924)-FIND("@",B924)-1)</f>
        <v>Boston Celtics</v>
      </c>
      <c r="H924" s="177">
        <v>117</v>
      </c>
      <c r="I924" s="336">
        <v>89</v>
      </c>
      <c r="J924" s="327">
        <f t="shared" ref="J924:J928" si="1047">IF(I924&gt;H924, 1, 0)</f>
        <v>0</v>
      </c>
      <c r="K924" s="177">
        <f t="shared" ref="K924:K928" si="1048">+D924+H924</f>
        <v>221</v>
      </c>
      <c r="L924" s="336">
        <f t="shared" ref="L924:L928" si="1049">E924+I924</f>
        <v>207</v>
      </c>
      <c r="M924" s="327">
        <f t="shared" ref="M924:M928" si="1050">IF(L924&gt;K924, 1, 0)</f>
        <v>0</v>
      </c>
      <c r="N924" s="337">
        <f t="shared" ref="N924:N928" si="1051">(+H924-D924)</f>
        <v>13</v>
      </c>
      <c r="O924" s="395">
        <f t="shared" ref="O924:O928" si="1052">I924-E924</f>
        <v>-29</v>
      </c>
      <c r="P924" s="289">
        <f t="shared" ref="P924:P928" si="1053">IF(OR(AND(N924&gt;0,O924&gt;0),AND(N924&lt;0,O924&lt;0)),1,0)</f>
        <v>0</v>
      </c>
      <c r="Q924" s="460">
        <f>WEEKNUM(tblResultadosNBA[[#This Row],[Fecha]],2)</f>
        <v>10</v>
      </c>
      <c r="R924" s="460" t="str">
        <f>TEXT(tblResultadosNBA[[#This Row],[Fecha]],"mmm")</f>
        <v>mar</v>
      </c>
    </row>
    <row r="925" spans="1:18">
      <c r="A925" s="439">
        <v>46085</v>
      </c>
      <c r="B925" s="302" t="s">
        <v>425</v>
      </c>
      <c r="C925" s="177" t="str">
        <f t="shared" si="1044"/>
        <v>Utah Jazz</v>
      </c>
      <c r="D925" s="177">
        <v>114</v>
      </c>
      <c r="E925" s="336">
        <v>102</v>
      </c>
      <c r="F925" s="327">
        <f t="shared" si="1045"/>
        <v>0</v>
      </c>
      <c r="G925" s="177" t="str">
        <f t="shared" si="1046"/>
        <v>Philadelphia 76ers</v>
      </c>
      <c r="H925" s="177">
        <v>118</v>
      </c>
      <c r="I925" s="336">
        <v>106</v>
      </c>
      <c r="J925" s="327">
        <f t="shared" si="1047"/>
        <v>0</v>
      </c>
      <c r="K925" s="177">
        <f t="shared" si="1048"/>
        <v>232</v>
      </c>
      <c r="L925" s="336">
        <f t="shared" si="1049"/>
        <v>208</v>
      </c>
      <c r="M925" s="327">
        <f t="shared" si="1050"/>
        <v>0</v>
      </c>
      <c r="N925" s="337">
        <f t="shared" si="1051"/>
        <v>4</v>
      </c>
      <c r="O925" s="395">
        <f t="shared" si="1052"/>
        <v>4</v>
      </c>
      <c r="P925" s="289">
        <f t="shared" si="1053"/>
        <v>1</v>
      </c>
      <c r="Q925" s="460">
        <f>WEEKNUM(tblResultadosNBA[[#This Row],[Fecha]],2)</f>
        <v>10</v>
      </c>
      <c r="R925" s="460" t="str">
        <f>TEXT(tblResultadosNBA[[#This Row],[Fecha]],"mmm")</f>
        <v>mar</v>
      </c>
    </row>
    <row r="926" spans="1:18">
      <c r="A926" s="439">
        <v>46085</v>
      </c>
      <c r="B926" s="302" t="s">
        <v>162</v>
      </c>
      <c r="C926" s="177" t="str">
        <f t="shared" si="1044"/>
        <v>Portland Trail Blazers</v>
      </c>
      <c r="D926" s="177">
        <v>112</v>
      </c>
      <c r="E926" s="336">
        <v>122</v>
      </c>
      <c r="F926" s="327">
        <f t="shared" si="1045"/>
        <v>1</v>
      </c>
      <c r="G926" s="177" t="str">
        <f t="shared" si="1046"/>
        <v>Memphis Grizzlies</v>
      </c>
      <c r="H926" s="177">
        <v>114</v>
      </c>
      <c r="I926" s="336">
        <v>114</v>
      </c>
      <c r="J926" s="327">
        <f t="shared" si="1047"/>
        <v>0</v>
      </c>
      <c r="K926" s="177">
        <f t="shared" si="1048"/>
        <v>226</v>
      </c>
      <c r="L926" s="336">
        <f t="shared" si="1049"/>
        <v>236</v>
      </c>
      <c r="M926" s="327">
        <f t="shared" si="1050"/>
        <v>1</v>
      </c>
      <c r="N926" s="337">
        <f t="shared" si="1051"/>
        <v>2</v>
      </c>
      <c r="O926" s="395">
        <f t="shared" si="1052"/>
        <v>-8</v>
      </c>
      <c r="P926" s="289">
        <f t="shared" si="1053"/>
        <v>0</v>
      </c>
      <c r="Q926" s="460">
        <f>WEEKNUM(tblResultadosNBA[[#This Row],[Fecha]],2)</f>
        <v>10</v>
      </c>
      <c r="R926" s="460" t="str">
        <f>TEXT(tblResultadosNBA[[#This Row],[Fecha]],"mmm")</f>
        <v>mar</v>
      </c>
    </row>
    <row r="927" spans="1:18">
      <c r="A927" s="439">
        <v>46085</v>
      </c>
      <c r="B927" s="302" t="s">
        <v>426</v>
      </c>
      <c r="C927" s="177" t="str">
        <f t="shared" si="1044"/>
        <v>Atlanta Hawks</v>
      </c>
      <c r="D927" s="177">
        <v>111</v>
      </c>
      <c r="E927" s="336">
        <v>131</v>
      </c>
      <c r="F927" s="327">
        <f t="shared" si="1045"/>
        <v>1</v>
      </c>
      <c r="G927" s="177" t="str">
        <f t="shared" si="1046"/>
        <v>Milwaukee Bucks</v>
      </c>
      <c r="H927" s="177">
        <v>121</v>
      </c>
      <c r="I927" s="336">
        <v>113</v>
      </c>
      <c r="J927" s="327">
        <f t="shared" si="1047"/>
        <v>0</v>
      </c>
      <c r="K927" s="177">
        <f t="shared" si="1048"/>
        <v>232</v>
      </c>
      <c r="L927" s="336">
        <f t="shared" si="1049"/>
        <v>244</v>
      </c>
      <c r="M927" s="327">
        <f t="shared" si="1050"/>
        <v>1</v>
      </c>
      <c r="N927" s="337">
        <f t="shared" si="1051"/>
        <v>10</v>
      </c>
      <c r="O927" s="395">
        <f t="shared" si="1052"/>
        <v>-18</v>
      </c>
      <c r="P927" s="289">
        <f t="shared" si="1053"/>
        <v>0</v>
      </c>
      <c r="Q927" s="460">
        <f>WEEKNUM(tblResultadosNBA[[#This Row],[Fecha]],2)</f>
        <v>10</v>
      </c>
      <c r="R927" s="460" t="str">
        <f>TEXT(tblResultadosNBA[[#This Row],[Fecha]],"mmm")</f>
        <v>mar</v>
      </c>
    </row>
    <row r="928" spans="1:18">
      <c r="A928" s="446">
        <v>46085</v>
      </c>
      <c r="B928" s="331" t="s">
        <v>427</v>
      </c>
      <c r="C928" s="286" t="str">
        <f t="shared" si="1044"/>
        <v>Indiana Pacers</v>
      </c>
      <c r="D928" s="286">
        <v>111</v>
      </c>
      <c r="E928" s="431">
        <v>107</v>
      </c>
      <c r="F928" s="332">
        <f t="shared" si="1045"/>
        <v>0</v>
      </c>
      <c r="G928" s="286" t="str">
        <f t="shared" si="1046"/>
        <v>LA Clippers</v>
      </c>
      <c r="H928" s="286">
        <v>118</v>
      </c>
      <c r="I928" s="431">
        <v>130</v>
      </c>
      <c r="J928" s="332">
        <f t="shared" si="1047"/>
        <v>1</v>
      </c>
      <c r="K928" s="286">
        <f t="shared" si="1048"/>
        <v>229</v>
      </c>
      <c r="L928" s="431">
        <f t="shared" si="1049"/>
        <v>237</v>
      </c>
      <c r="M928" s="332">
        <f t="shared" si="1050"/>
        <v>1</v>
      </c>
      <c r="N928" s="432">
        <f t="shared" si="1051"/>
        <v>7</v>
      </c>
      <c r="O928" s="451">
        <f t="shared" si="1052"/>
        <v>23</v>
      </c>
      <c r="P928" s="433">
        <f t="shared" si="1053"/>
        <v>1</v>
      </c>
      <c r="Q928" s="460">
        <f>WEEKNUM(tblResultadosNBA[[#This Row],[Fecha]],2)</f>
        <v>10</v>
      </c>
      <c r="R928" s="460" t="str">
        <f>TEXT(tblResultadosNBA[[#This Row],[Fecha]],"mmm")</f>
        <v>mar</v>
      </c>
    </row>
    <row r="929" spans="1:18">
      <c r="A929" s="439">
        <v>46086</v>
      </c>
      <c r="B929" s="422" t="s">
        <v>428</v>
      </c>
      <c r="C929" s="341" t="str">
        <f>LEFT(B929,FIND("@",B929)-2)</f>
        <v>Dallas Mavericks</v>
      </c>
      <c r="D929" s="341">
        <v>112</v>
      </c>
      <c r="E929" s="342">
        <v>114</v>
      </c>
      <c r="F929" s="333">
        <f>IF(E929&gt;D929, 1, 0)</f>
        <v>1</v>
      </c>
      <c r="G929" s="341" t="str">
        <f>MID(B929,FIND("@",B929)+2,LEN(B929)-FIND("@",B929)-1)</f>
        <v>Orlando Magic</v>
      </c>
      <c r="H929" s="341">
        <v>115</v>
      </c>
      <c r="I929" s="342">
        <v>115</v>
      </c>
      <c r="J929" s="333">
        <f>IF(I929&gt;H929, 1, 0)</f>
        <v>0</v>
      </c>
      <c r="K929" s="341">
        <f>+D929+H929</f>
        <v>227</v>
      </c>
      <c r="L929" s="342">
        <f>E929+I929</f>
        <v>229</v>
      </c>
      <c r="M929" s="333">
        <f>IF(L929&gt;K929, 1, 0)</f>
        <v>1</v>
      </c>
      <c r="N929" s="343">
        <f>(+H929-D929)</f>
        <v>3</v>
      </c>
      <c r="O929" s="449">
        <f>I929-E929</f>
        <v>1</v>
      </c>
      <c r="P929" s="289">
        <f>IF(OR(AND(N929&gt;0,O929&gt;0),AND(N929&lt;0,O929&lt;0)),1,0)</f>
        <v>1</v>
      </c>
      <c r="Q929" s="460">
        <f>WEEKNUM(tblResultadosNBA[[#This Row],[Fecha]],2)</f>
        <v>10</v>
      </c>
      <c r="R929" s="460" t="str">
        <f>TEXT(tblResultadosNBA[[#This Row],[Fecha]],"mmm")</f>
        <v>mar</v>
      </c>
    </row>
    <row r="930" spans="1:18">
      <c r="A930" s="439">
        <v>46086</v>
      </c>
      <c r="B930" s="302" t="s">
        <v>429</v>
      </c>
      <c r="C930" s="177" t="str">
        <f t="shared" ref="C930:C937" si="1054">LEFT(B930,FIND("@",B930)-2)</f>
        <v>Utah Jazz</v>
      </c>
      <c r="D930" s="177">
        <v>120</v>
      </c>
      <c r="E930" s="336">
        <v>122</v>
      </c>
      <c r="F930" s="327">
        <f t="shared" ref="F930:F937" si="1055">IF(E930&gt;D930, 1, 0)</f>
        <v>1</v>
      </c>
      <c r="G930" s="177" t="str">
        <f t="shared" ref="G930:G937" si="1056">MID(B930,FIND("@",B930)+2,LEN(B930)-FIND("@",B930)-1)</f>
        <v>Washington Wizards</v>
      </c>
      <c r="H930" s="177">
        <v>117</v>
      </c>
      <c r="I930" s="336">
        <v>112</v>
      </c>
      <c r="J930" s="327">
        <f t="shared" ref="J930:J937" si="1057">IF(I930&gt;H930, 1, 0)</f>
        <v>0</v>
      </c>
      <c r="K930" s="177">
        <f t="shared" ref="K930:K937" si="1058">+D930+H930</f>
        <v>237</v>
      </c>
      <c r="L930" s="336">
        <f t="shared" ref="L930:L937" si="1059">E930+I930</f>
        <v>234</v>
      </c>
      <c r="M930" s="327">
        <f t="shared" ref="M930:M937" si="1060">IF(L930&gt;K930, 1, 0)</f>
        <v>0</v>
      </c>
      <c r="N930" s="337">
        <f t="shared" ref="N930:N937" si="1061">(+H930-D930)</f>
        <v>-3</v>
      </c>
      <c r="O930" s="395">
        <f t="shared" ref="O930:O937" si="1062">I930-E930</f>
        <v>-10</v>
      </c>
      <c r="P930" s="289">
        <f t="shared" ref="P930:P937" si="1063">IF(OR(AND(N930&gt;0,O930&gt;0),AND(N930&lt;0,O930&lt;0)),1,0)</f>
        <v>1</v>
      </c>
      <c r="Q930" s="460">
        <f>WEEKNUM(tblResultadosNBA[[#This Row],[Fecha]],2)</f>
        <v>10</v>
      </c>
      <c r="R930" s="460" t="str">
        <f>TEXT(tblResultadosNBA[[#This Row],[Fecha]],"mmm")</f>
        <v>mar</v>
      </c>
    </row>
    <row r="931" spans="1:18">
      <c r="A931" s="439">
        <v>46086</v>
      </c>
      <c r="B931" s="302" t="s">
        <v>422</v>
      </c>
      <c r="C931" s="177" t="str">
        <f t="shared" si="1054"/>
        <v>Brooklyn Nets</v>
      </c>
      <c r="D931" s="177">
        <v>108</v>
      </c>
      <c r="E931" s="336">
        <v>110</v>
      </c>
      <c r="F931" s="327">
        <f t="shared" si="1055"/>
        <v>1</v>
      </c>
      <c r="G931" s="177" t="str">
        <f t="shared" si="1056"/>
        <v>Miami Heat</v>
      </c>
      <c r="H931" s="177">
        <v>113</v>
      </c>
      <c r="I931" s="336">
        <v>126</v>
      </c>
      <c r="J931" s="327">
        <f t="shared" si="1057"/>
        <v>1</v>
      </c>
      <c r="K931" s="177">
        <f t="shared" si="1058"/>
        <v>221</v>
      </c>
      <c r="L931" s="336">
        <f t="shared" si="1059"/>
        <v>236</v>
      </c>
      <c r="M931" s="327">
        <f t="shared" si="1060"/>
        <v>1</v>
      </c>
      <c r="N931" s="337">
        <f t="shared" si="1061"/>
        <v>5</v>
      </c>
      <c r="O931" s="395">
        <f t="shared" si="1062"/>
        <v>16</v>
      </c>
      <c r="P931" s="289">
        <f t="shared" si="1063"/>
        <v>1</v>
      </c>
      <c r="Q931" s="460">
        <f>WEEKNUM(tblResultadosNBA[[#This Row],[Fecha]],2)</f>
        <v>10</v>
      </c>
      <c r="R931" s="460" t="str">
        <f>TEXT(tblResultadosNBA[[#This Row],[Fecha]],"mmm")</f>
        <v>mar</v>
      </c>
    </row>
    <row r="932" spans="1:18">
      <c r="A932" s="439">
        <v>46086</v>
      </c>
      <c r="B932" s="302" t="s">
        <v>430</v>
      </c>
      <c r="C932" s="177" t="str">
        <f t="shared" si="1054"/>
        <v>Golden State Warriors</v>
      </c>
      <c r="D932" s="177">
        <v>115</v>
      </c>
      <c r="E932" s="336">
        <v>115</v>
      </c>
      <c r="F932" s="327">
        <f t="shared" si="1055"/>
        <v>0</v>
      </c>
      <c r="G932" s="177" t="str">
        <f t="shared" si="1056"/>
        <v>Houston Rockets</v>
      </c>
      <c r="H932" s="177">
        <v>115</v>
      </c>
      <c r="I932" s="336">
        <v>113</v>
      </c>
      <c r="J932" s="327">
        <f t="shared" si="1057"/>
        <v>0</v>
      </c>
      <c r="K932" s="177">
        <f t="shared" si="1058"/>
        <v>230</v>
      </c>
      <c r="L932" s="336">
        <f t="shared" si="1059"/>
        <v>228</v>
      </c>
      <c r="M932" s="327">
        <f t="shared" si="1060"/>
        <v>0</v>
      </c>
      <c r="N932" s="337">
        <f t="shared" si="1061"/>
        <v>0</v>
      </c>
      <c r="O932" s="395">
        <f t="shared" si="1062"/>
        <v>-2</v>
      </c>
      <c r="P932" s="289">
        <f t="shared" si="1063"/>
        <v>0</v>
      </c>
      <c r="Q932" s="460">
        <f>WEEKNUM(tblResultadosNBA[[#This Row],[Fecha]],2)</f>
        <v>10</v>
      </c>
      <c r="R932" s="460" t="str">
        <f>TEXT(tblResultadosNBA[[#This Row],[Fecha]],"mmm")</f>
        <v>mar</v>
      </c>
    </row>
    <row r="933" spans="1:18">
      <c r="A933" s="439">
        <v>46086</v>
      </c>
      <c r="B933" s="302" t="s">
        <v>935</v>
      </c>
      <c r="C933" s="177" t="str">
        <f t="shared" si="1054"/>
        <v>Toronto Raptors</v>
      </c>
      <c r="D933" s="177">
        <v>114</v>
      </c>
      <c r="E933" s="336">
        <v>107</v>
      </c>
      <c r="F933" s="327">
        <f t="shared" si="1055"/>
        <v>0</v>
      </c>
      <c r="G933" s="177" t="str">
        <f t="shared" si="1056"/>
        <v>Minnesota Timberwolves</v>
      </c>
      <c r="H933" s="177">
        <v>118</v>
      </c>
      <c r="I933" s="336">
        <v>115</v>
      </c>
      <c r="J933" s="327">
        <f t="shared" si="1057"/>
        <v>0</v>
      </c>
      <c r="K933" s="177">
        <f t="shared" si="1058"/>
        <v>232</v>
      </c>
      <c r="L933" s="336">
        <f t="shared" si="1059"/>
        <v>222</v>
      </c>
      <c r="M933" s="327">
        <f t="shared" si="1060"/>
        <v>0</v>
      </c>
      <c r="N933" s="337">
        <f t="shared" si="1061"/>
        <v>4</v>
      </c>
      <c r="O933" s="395">
        <f t="shared" si="1062"/>
        <v>8</v>
      </c>
      <c r="P933" s="289">
        <f t="shared" si="1063"/>
        <v>1</v>
      </c>
      <c r="Q933" s="460">
        <f>WEEKNUM(tblResultadosNBA[[#This Row],[Fecha]],2)</f>
        <v>10</v>
      </c>
      <c r="R933" s="460" t="str">
        <f>TEXT(tblResultadosNBA[[#This Row],[Fecha]],"mmm")</f>
        <v>mar</v>
      </c>
    </row>
    <row r="934" spans="1:18">
      <c r="A934" s="439">
        <v>46086</v>
      </c>
      <c r="B934" s="302" t="s">
        <v>431</v>
      </c>
      <c r="C934" s="177" t="str">
        <f t="shared" si="1054"/>
        <v>Detroit Pistons</v>
      </c>
      <c r="D934" s="177">
        <v>115</v>
      </c>
      <c r="E934" s="336">
        <v>106</v>
      </c>
      <c r="F934" s="327">
        <f t="shared" si="1055"/>
        <v>0</v>
      </c>
      <c r="G934" s="177" t="str">
        <f t="shared" si="1056"/>
        <v>San Antonio Spurs</v>
      </c>
      <c r="H934" s="177">
        <v>116</v>
      </c>
      <c r="I934" s="336">
        <v>121</v>
      </c>
      <c r="J934" s="327">
        <f t="shared" si="1057"/>
        <v>1</v>
      </c>
      <c r="K934" s="177">
        <f t="shared" si="1058"/>
        <v>231</v>
      </c>
      <c r="L934" s="336">
        <f t="shared" si="1059"/>
        <v>227</v>
      </c>
      <c r="M934" s="327">
        <f t="shared" si="1060"/>
        <v>0</v>
      </c>
      <c r="N934" s="337">
        <f t="shared" si="1061"/>
        <v>1</v>
      </c>
      <c r="O934" s="395">
        <f t="shared" si="1062"/>
        <v>15</v>
      </c>
      <c r="P934" s="289">
        <f t="shared" si="1063"/>
        <v>1</v>
      </c>
      <c r="Q934" s="460">
        <f>WEEKNUM(tblResultadosNBA[[#This Row],[Fecha]],2)</f>
        <v>10</v>
      </c>
      <c r="R934" s="460" t="str">
        <f>TEXT(tblResultadosNBA[[#This Row],[Fecha]],"mmm")</f>
        <v>mar</v>
      </c>
    </row>
    <row r="935" spans="1:18">
      <c r="A935" s="439">
        <v>46086</v>
      </c>
      <c r="B935" s="302" t="s">
        <v>936</v>
      </c>
      <c r="C935" s="177" t="str">
        <f t="shared" si="1054"/>
        <v>Chicago Bulls</v>
      </c>
      <c r="D935" s="177">
        <v>110</v>
      </c>
      <c r="E935" s="336">
        <v>105</v>
      </c>
      <c r="F935" s="327">
        <f t="shared" si="1055"/>
        <v>0</v>
      </c>
      <c r="G935" s="177" t="str">
        <f t="shared" si="1056"/>
        <v>Phoenix Suns</v>
      </c>
      <c r="H935" s="177">
        <v>116</v>
      </c>
      <c r="I935" s="336">
        <v>103</v>
      </c>
      <c r="J935" s="327">
        <f t="shared" si="1057"/>
        <v>0</v>
      </c>
      <c r="K935" s="177">
        <f t="shared" si="1058"/>
        <v>226</v>
      </c>
      <c r="L935" s="336">
        <f t="shared" si="1059"/>
        <v>208</v>
      </c>
      <c r="M935" s="327">
        <f t="shared" si="1060"/>
        <v>0</v>
      </c>
      <c r="N935" s="337">
        <f t="shared" si="1061"/>
        <v>6</v>
      </c>
      <c r="O935" s="395">
        <f t="shared" si="1062"/>
        <v>-2</v>
      </c>
      <c r="P935" s="289">
        <f t="shared" si="1063"/>
        <v>0</v>
      </c>
      <c r="Q935" s="460">
        <f>WEEKNUM(tblResultadosNBA[[#This Row],[Fecha]],2)</f>
        <v>10</v>
      </c>
      <c r="R935" s="460" t="str">
        <f>TEXT(tblResultadosNBA[[#This Row],[Fecha]],"mmm")</f>
        <v>mar</v>
      </c>
    </row>
    <row r="936" spans="1:18">
      <c r="A936" s="439">
        <v>46086</v>
      </c>
      <c r="B936" s="302" t="s">
        <v>284</v>
      </c>
      <c r="C936" s="177" t="str">
        <f t="shared" si="1054"/>
        <v>Los Angeles Lakers</v>
      </c>
      <c r="D936" s="177">
        <v>112</v>
      </c>
      <c r="E936" s="336">
        <v>113</v>
      </c>
      <c r="F936" s="327">
        <f t="shared" si="1055"/>
        <v>1</v>
      </c>
      <c r="G936" s="177" t="str">
        <f t="shared" si="1056"/>
        <v>Denver Nuggets</v>
      </c>
      <c r="H936" s="177">
        <v>118</v>
      </c>
      <c r="I936" s="336">
        <v>120</v>
      </c>
      <c r="J936" s="327">
        <f t="shared" si="1057"/>
        <v>1</v>
      </c>
      <c r="K936" s="177">
        <f t="shared" si="1058"/>
        <v>230</v>
      </c>
      <c r="L936" s="336">
        <f t="shared" si="1059"/>
        <v>233</v>
      </c>
      <c r="M936" s="327">
        <f t="shared" si="1060"/>
        <v>1</v>
      </c>
      <c r="N936" s="337">
        <f t="shared" si="1061"/>
        <v>6</v>
      </c>
      <c r="O936" s="395">
        <f t="shared" si="1062"/>
        <v>7</v>
      </c>
      <c r="P936" s="289">
        <f t="shared" si="1063"/>
        <v>1</v>
      </c>
      <c r="Q936" s="460">
        <f>WEEKNUM(tblResultadosNBA[[#This Row],[Fecha]],2)</f>
        <v>10</v>
      </c>
      <c r="R936" s="460" t="str">
        <f>TEXT(tblResultadosNBA[[#This Row],[Fecha]],"mmm")</f>
        <v>mar</v>
      </c>
    </row>
    <row r="937" spans="1:18">
      <c r="A937" s="446">
        <v>46086</v>
      </c>
      <c r="B937" s="331" t="s">
        <v>432</v>
      </c>
      <c r="C937" s="286" t="str">
        <f t="shared" si="1054"/>
        <v>New Orleans Pelicans</v>
      </c>
      <c r="D937" s="286">
        <v>117</v>
      </c>
      <c r="E937" s="431">
        <v>133</v>
      </c>
      <c r="F937" s="332">
        <f t="shared" si="1055"/>
        <v>1</v>
      </c>
      <c r="G937" s="286" t="str">
        <f t="shared" si="1056"/>
        <v>Sacramento Kings</v>
      </c>
      <c r="H937" s="286">
        <v>119</v>
      </c>
      <c r="I937" s="431">
        <v>123</v>
      </c>
      <c r="J937" s="332">
        <f t="shared" si="1057"/>
        <v>1</v>
      </c>
      <c r="K937" s="286">
        <f t="shared" si="1058"/>
        <v>236</v>
      </c>
      <c r="L937" s="431">
        <f t="shared" si="1059"/>
        <v>256</v>
      </c>
      <c r="M937" s="332">
        <f t="shared" si="1060"/>
        <v>1</v>
      </c>
      <c r="N937" s="432">
        <f t="shared" si="1061"/>
        <v>2</v>
      </c>
      <c r="O937" s="451">
        <f t="shared" si="1062"/>
        <v>-10</v>
      </c>
      <c r="P937" s="433">
        <f t="shared" si="1063"/>
        <v>0</v>
      </c>
      <c r="Q937" s="460">
        <f>WEEKNUM(tblResultadosNBA[[#This Row],[Fecha]],2)</f>
        <v>10</v>
      </c>
      <c r="R937" s="460" t="str">
        <f>TEXT(tblResultadosNBA[[#This Row],[Fecha]],"mmm")</f>
        <v>mar</v>
      </c>
    </row>
    <row r="938" spans="1:18">
      <c r="A938" s="439">
        <v>46087</v>
      </c>
      <c r="B938" s="422" t="s">
        <v>433</v>
      </c>
      <c r="C938" s="341" t="str">
        <f>LEFT(B938,FIND("@",B938)-2)</f>
        <v>Dallas Mavericks</v>
      </c>
      <c r="D938" s="341">
        <v>104</v>
      </c>
      <c r="E938" s="342">
        <v>100</v>
      </c>
      <c r="F938" s="333">
        <f>IF(E938&gt;D938, 1, 0)</f>
        <v>0</v>
      </c>
      <c r="G938" s="341" t="str">
        <f>MID(B938,FIND("@",B938)+2,LEN(B938)-FIND("@",B938)-1)</f>
        <v>Boston Celtics</v>
      </c>
      <c r="H938" s="341">
        <v>115</v>
      </c>
      <c r="I938" s="342">
        <v>120</v>
      </c>
      <c r="J938" s="333">
        <f>IF(I938&gt;H938, 1, 0)</f>
        <v>1</v>
      </c>
      <c r="K938" s="341">
        <f>+D938+H938</f>
        <v>219</v>
      </c>
      <c r="L938" s="342">
        <f>E938+I938</f>
        <v>220</v>
      </c>
      <c r="M938" s="333">
        <f>IF(L938&gt;K938, 1, 0)</f>
        <v>1</v>
      </c>
      <c r="N938" s="343">
        <f>(+H938-D938)</f>
        <v>11</v>
      </c>
      <c r="O938" s="449">
        <f>I938-E938</f>
        <v>20</v>
      </c>
      <c r="P938" s="289">
        <f>IF(OR(AND(N938&gt;0,O938&gt;0),AND(N938&lt;0,O938&lt;0)),1,0)</f>
        <v>1</v>
      </c>
      <c r="Q938" s="460">
        <f>WEEKNUM(tblResultadosNBA[[#This Row],[Fecha]],2)</f>
        <v>10</v>
      </c>
      <c r="R938" s="460" t="str">
        <f>TEXT(tblResultadosNBA[[#This Row],[Fecha]],"mmm")</f>
        <v>mar</v>
      </c>
    </row>
    <row r="939" spans="1:18">
      <c r="A939" s="439">
        <v>46087</v>
      </c>
      <c r="B939" s="302" t="s">
        <v>434</v>
      </c>
      <c r="C939" s="177" t="str">
        <f t="shared" ref="C939:C944" si="1064">LEFT(B939,FIND("@",B939)-2)</f>
        <v>Miami Heat</v>
      </c>
      <c r="D939" s="177">
        <v>112</v>
      </c>
      <c r="E939" s="336">
        <v>128</v>
      </c>
      <c r="F939" s="327">
        <f t="shared" ref="F939:F944" si="1065">IF(E939&gt;D939, 1, 0)</f>
        <v>1</v>
      </c>
      <c r="G939" s="177" t="str">
        <f t="shared" ref="G939:G944" si="1066">MID(B939,FIND("@",B939)+2,LEN(B939)-FIND("@",B939)-1)</f>
        <v>Charlotte Hornets</v>
      </c>
      <c r="H939" s="177">
        <v>113</v>
      </c>
      <c r="I939" s="336">
        <v>120</v>
      </c>
      <c r="J939" s="327">
        <f t="shared" ref="J939:J944" si="1067">IF(I939&gt;H939, 1, 0)</f>
        <v>1</v>
      </c>
      <c r="K939" s="177">
        <f t="shared" ref="K939:K944" si="1068">+D939+H939</f>
        <v>225</v>
      </c>
      <c r="L939" s="336">
        <f t="shared" ref="L939:L944" si="1069">E939+I939</f>
        <v>248</v>
      </c>
      <c r="M939" s="327">
        <f t="shared" ref="M939:M944" si="1070">IF(L939&gt;K939, 1, 0)</f>
        <v>1</v>
      </c>
      <c r="N939" s="337">
        <f t="shared" ref="N939:N944" si="1071">(+H939-D939)</f>
        <v>1</v>
      </c>
      <c r="O939" s="395">
        <f t="shared" ref="O939:O944" si="1072">I939-E939</f>
        <v>-8</v>
      </c>
      <c r="P939" s="289">
        <f t="shared" ref="P939:P944" si="1073">IF(OR(AND(N939&gt;0,O939&gt;0),AND(N939&lt;0,O939&lt;0)),1,0)</f>
        <v>0</v>
      </c>
      <c r="Q939" s="460">
        <f>WEEKNUM(tblResultadosNBA[[#This Row],[Fecha]],2)</f>
        <v>10</v>
      </c>
      <c r="R939" s="460" t="str">
        <f>TEXT(tblResultadosNBA[[#This Row],[Fecha]],"mmm")</f>
        <v>mar</v>
      </c>
    </row>
    <row r="940" spans="1:18">
      <c r="A940" s="439">
        <v>46087</v>
      </c>
      <c r="B940" s="302" t="s">
        <v>55</v>
      </c>
      <c r="C940" s="177" t="str">
        <f t="shared" si="1064"/>
        <v>Portland Trail Blazers</v>
      </c>
      <c r="D940" s="177">
        <v>109</v>
      </c>
      <c r="E940" s="336">
        <v>99</v>
      </c>
      <c r="F940" s="327">
        <f t="shared" si="1065"/>
        <v>0</v>
      </c>
      <c r="G940" s="177" t="str">
        <f t="shared" si="1066"/>
        <v>Houston Rockets</v>
      </c>
      <c r="H940" s="177">
        <v>115</v>
      </c>
      <c r="I940" s="336">
        <v>106</v>
      </c>
      <c r="J940" s="327">
        <f t="shared" si="1067"/>
        <v>0</v>
      </c>
      <c r="K940" s="177">
        <f t="shared" si="1068"/>
        <v>224</v>
      </c>
      <c r="L940" s="336">
        <f t="shared" si="1069"/>
        <v>205</v>
      </c>
      <c r="M940" s="327">
        <f t="shared" si="1070"/>
        <v>0</v>
      </c>
      <c r="N940" s="337">
        <f t="shared" si="1071"/>
        <v>6</v>
      </c>
      <c r="O940" s="395">
        <f t="shared" si="1072"/>
        <v>7</v>
      </c>
      <c r="P940" s="289">
        <f t="shared" si="1073"/>
        <v>1</v>
      </c>
      <c r="Q940" s="460">
        <f>WEEKNUM(tblResultadosNBA[[#This Row],[Fecha]],2)</f>
        <v>10</v>
      </c>
      <c r="R940" s="460" t="str">
        <f>TEXT(tblResultadosNBA[[#This Row],[Fecha]],"mmm")</f>
        <v>mar</v>
      </c>
    </row>
    <row r="941" spans="1:18">
      <c r="A941" s="439">
        <v>46087</v>
      </c>
      <c r="B941" s="302" t="s">
        <v>435</v>
      </c>
      <c r="C941" s="177" t="str">
        <f t="shared" si="1064"/>
        <v>New York Knicks</v>
      </c>
      <c r="D941" s="177">
        <v>112</v>
      </c>
      <c r="E941" s="336">
        <v>142</v>
      </c>
      <c r="F941" s="327">
        <f t="shared" si="1065"/>
        <v>1</v>
      </c>
      <c r="G941" s="177" t="str">
        <f t="shared" si="1066"/>
        <v>Denver Nuggets</v>
      </c>
      <c r="H941" s="177">
        <v>111</v>
      </c>
      <c r="I941" s="336">
        <v>103</v>
      </c>
      <c r="J941" s="327">
        <f t="shared" si="1067"/>
        <v>0</v>
      </c>
      <c r="K941" s="177">
        <f t="shared" si="1068"/>
        <v>223</v>
      </c>
      <c r="L941" s="336">
        <f t="shared" si="1069"/>
        <v>245</v>
      </c>
      <c r="M941" s="327">
        <f t="shared" si="1070"/>
        <v>1</v>
      </c>
      <c r="N941" s="337">
        <f t="shared" si="1071"/>
        <v>-1</v>
      </c>
      <c r="O941" s="395">
        <f t="shared" si="1072"/>
        <v>-39</v>
      </c>
      <c r="P941" s="289">
        <f t="shared" si="1073"/>
        <v>1</v>
      </c>
      <c r="Q941" s="460">
        <f>WEEKNUM(tblResultadosNBA[[#This Row],[Fecha]],2)</f>
        <v>10</v>
      </c>
      <c r="R941" s="460" t="str">
        <f>TEXT(tblResultadosNBA[[#This Row],[Fecha]],"mmm")</f>
        <v>mar</v>
      </c>
    </row>
    <row r="942" spans="1:18">
      <c r="A942" s="439">
        <v>46087</v>
      </c>
      <c r="B942" s="302" t="s">
        <v>23</v>
      </c>
      <c r="C942" s="177" t="str">
        <f t="shared" si="1064"/>
        <v>New Orleans Pelicans</v>
      </c>
      <c r="D942" s="177">
        <v>108</v>
      </c>
      <c r="E942" s="336">
        <v>116</v>
      </c>
      <c r="F942" s="327">
        <f t="shared" si="1065"/>
        <v>1</v>
      </c>
      <c r="G942" s="177" t="str">
        <f t="shared" si="1066"/>
        <v>Phoenix Suns</v>
      </c>
      <c r="H942" s="177">
        <v>114</v>
      </c>
      <c r="I942" s="336">
        <v>118</v>
      </c>
      <c r="J942" s="327">
        <f t="shared" si="1067"/>
        <v>1</v>
      </c>
      <c r="K942" s="177">
        <f t="shared" si="1068"/>
        <v>222</v>
      </c>
      <c r="L942" s="336">
        <f t="shared" si="1069"/>
        <v>234</v>
      </c>
      <c r="M942" s="327">
        <f t="shared" si="1070"/>
        <v>1</v>
      </c>
      <c r="N942" s="337">
        <f t="shared" si="1071"/>
        <v>6</v>
      </c>
      <c r="O942" s="395">
        <f t="shared" si="1072"/>
        <v>2</v>
      </c>
      <c r="P942" s="289">
        <f t="shared" si="1073"/>
        <v>1</v>
      </c>
      <c r="Q942" s="460">
        <f>WEEKNUM(tblResultadosNBA[[#This Row],[Fecha]],2)</f>
        <v>10</v>
      </c>
      <c r="R942" s="460" t="str">
        <f>TEXT(tblResultadosNBA[[#This Row],[Fecha]],"mmm")</f>
        <v>mar</v>
      </c>
    </row>
    <row r="943" spans="1:18">
      <c r="A943" s="439">
        <v>46087</v>
      </c>
      <c r="B943" s="302" t="s">
        <v>436</v>
      </c>
      <c r="C943" s="177" t="str">
        <f t="shared" si="1064"/>
        <v>LA Clippers</v>
      </c>
      <c r="D943" s="177">
        <v>117</v>
      </c>
      <c r="E943" s="336">
        <v>112</v>
      </c>
      <c r="F943" s="327">
        <f t="shared" si="1065"/>
        <v>0</v>
      </c>
      <c r="G943" s="177" t="str">
        <f t="shared" si="1066"/>
        <v>San Antonio Spurs</v>
      </c>
      <c r="H943" s="177">
        <v>119</v>
      </c>
      <c r="I943" s="336">
        <v>116</v>
      </c>
      <c r="J943" s="327">
        <f t="shared" si="1067"/>
        <v>0</v>
      </c>
      <c r="K943" s="177">
        <f t="shared" si="1068"/>
        <v>236</v>
      </c>
      <c r="L943" s="336">
        <f t="shared" si="1069"/>
        <v>228</v>
      </c>
      <c r="M943" s="327">
        <f t="shared" si="1070"/>
        <v>0</v>
      </c>
      <c r="N943" s="337">
        <f t="shared" si="1071"/>
        <v>2</v>
      </c>
      <c r="O943" s="395">
        <f t="shared" si="1072"/>
        <v>4</v>
      </c>
      <c r="P943" s="289">
        <f t="shared" si="1073"/>
        <v>1</v>
      </c>
      <c r="Q943" s="460">
        <f>WEEKNUM(tblResultadosNBA[[#This Row],[Fecha]],2)</f>
        <v>10</v>
      </c>
      <c r="R943" s="460" t="str">
        <f>TEXT(tblResultadosNBA[[#This Row],[Fecha]],"mmm")</f>
        <v>mar</v>
      </c>
    </row>
    <row r="944" spans="1:18">
      <c r="A944" s="446">
        <v>46087</v>
      </c>
      <c r="B944" s="331" t="s">
        <v>437</v>
      </c>
      <c r="C944" s="286" t="str">
        <f t="shared" si="1064"/>
        <v>Indiana Pacers</v>
      </c>
      <c r="D944" s="286">
        <v>114</v>
      </c>
      <c r="E944" s="431">
        <v>117</v>
      </c>
      <c r="F944" s="332">
        <f t="shared" si="1065"/>
        <v>1</v>
      </c>
      <c r="G944" s="286" t="str">
        <f t="shared" si="1066"/>
        <v>Los Angeles Lakers</v>
      </c>
      <c r="H944" s="286">
        <v>118</v>
      </c>
      <c r="I944" s="431">
        <v>128</v>
      </c>
      <c r="J944" s="332">
        <f t="shared" si="1067"/>
        <v>1</v>
      </c>
      <c r="K944" s="286">
        <f t="shared" si="1068"/>
        <v>232</v>
      </c>
      <c r="L944" s="431">
        <f t="shared" si="1069"/>
        <v>245</v>
      </c>
      <c r="M944" s="332">
        <f t="shared" si="1070"/>
        <v>1</v>
      </c>
      <c r="N944" s="432">
        <f t="shared" si="1071"/>
        <v>4</v>
      </c>
      <c r="O944" s="451">
        <f t="shared" si="1072"/>
        <v>11</v>
      </c>
      <c r="P944" s="433">
        <f t="shared" si="1073"/>
        <v>1</v>
      </c>
      <c r="Q944" s="460">
        <f>WEEKNUM(tblResultadosNBA[[#This Row],[Fecha]],2)</f>
        <v>10</v>
      </c>
      <c r="R944" s="460" t="str">
        <f>TEXT(tblResultadosNBA[[#This Row],[Fecha]],"mmm")</f>
        <v>mar</v>
      </c>
    </row>
    <row r="945" spans="1:18">
      <c r="A945" s="439">
        <v>46088</v>
      </c>
      <c r="B945" s="422" t="s">
        <v>937</v>
      </c>
      <c r="C945" s="341" t="str">
        <f>LEFT(B945,FIND("@",B945)-2)</f>
        <v>Orlando Magic</v>
      </c>
      <c r="D945" s="341">
        <v>111</v>
      </c>
      <c r="E945" s="342">
        <v>119</v>
      </c>
      <c r="F945" s="333">
        <f>IF(E945&gt;D945, 1, 0)</f>
        <v>1</v>
      </c>
      <c r="G945" s="341" t="str">
        <f>MID(B945,FIND("@",B945)+2,LEN(B945)-FIND("@",B945)-1)</f>
        <v>Minnesota Timberwolves</v>
      </c>
      <c r="H945" s="341">
        <v>119</v>
      </c>
      <c r="I945" s="342">
        <v>92</v>
      </c>
      <c r="J945" s="333">
        <f>IF(I945&gt;H945, 1, 0)</f>
        <v>0</v>
      </c>
      <c r="K945" s="341">
        <f>+D945+H945</f>
        <v>230</v>
      </c>
      <c r="L945" s="342">
        <f>E945+I945</f>
        <v>211</v>
      </c>
      <c r="M945" s="333">
        <f>IF(L945&gt;K945, 1, 0)</f>
        <v>0</v>
      </c>
      <c r="N945" s="343">
        <f>(+H945-D945)</f>
        <v>8</v>
      </c>
      <c r="O945" s="449">
        <f>I945-E945</f>
        <v>-27</v>
      </c>
      <c r="P945" s="289">
        <f>IF(OR(AND(N945&gt;0,O945&gt;0),AND(N945&lt;0,O945&lt;0)),1,0)</f>
        <v>0</v>
      </c>
      <c r="Q945" s="460">
        <f>WEEKNUM(tblResultadosNBA[[#This Row],[Fecha]],2)</f>
        <v>10</v>
      </c>
      <c r="R945" s="460" t="str">
        <f>TEXT(tblResultadosNBA[[#This Row],[Fecha]],"mmm")</f>
        <v>mar</v>
      </c>
    </row>
    <row r="946" spans="1:18">
      <c r="A946" s="439">
        <v>46088</v>
      </c>
      <c r="B946" s="302" t="s">
        <v>438</v>
      </c>
      <c r="C946" s="177" t="str">
        <f t="shared" ref="C946:C950" si="1074">LEFT(B946,FIND("@",B946)-2)</f>
        <v>Brooklyn Nets</v>
      </c>
      <c r="D946" s="177">
        <v>113</v>
      </c>
      <c r="E946" s="336">
        <v>107</v>
      </c>
      <c r="F946" s="327">
        <f t="shared" ref="F946:F950" si="1075">IF(E946&gt;D946, 1, 0)</f>
        <v>0</v>
      </c>
      <c r="G946" s="177" t="str">
        <f t="shared" ref="G946:G950" si="1076">MID(B946,FIND("@",B946)+2,LEN(B946)-FIND("@",B946)-1)</f>
        <v>Detroit Pistons</v>
      </c>
      <c r="H946" s="177">
        <v>112</v>
      </c>
      <c r="I946" s="336">
        <v>105</v>
      </c>
      <c r="J946" s="327">
        <f t="shared" ref="J946:J950" si="1077">IF(I946&gt;H946, 1, 0)</f>
        <v>0</v>
      </c>
      <c r="K946" s="177">
        <f t="shared" ref="K946:K950" si="1078">+D946+H946</f>
        <v>225</v>
      </c>
      <c r="L946" s="336">
        <f t="shared" ref="L946:L950" si="1079">E946+I946</f>
        <v>212</v>
      </c>
      <c r="M946" s="327">
        <f t="shared" ref="M946:M950" si="1080">IF(L946&gt;K946, 1, 0)</f>
        <v>0</v>
      </c>
      <c r="N946" s="337">
        <f t="shared" ref="N946:N950" si="1081">(+H946-D946)</f>
        <v>-1</v>
      </c>
      <c r="O946" s="395">
        <f t="shared" ref="O946:O950" si="1082">I946-E946</f>
        <v>-2</v>
      </c>
      <c r="P946" s="289">
        <f t="shared" ref="P946:P950" si="1083">IF(OR(AND(N946&gt;0,O946&gt;0),AND(N946&lt;0,O946&lt;0)),1,0)</f>
        <v>1</v>
      </c>
      <c r="Q946" s="460">
        <f>WEEKNUM(tblResultadosNBA[[#This Row],[Fecha]],2)</f>
        <v>10</v>
      </c>
      <c r="R946" s="460" t="str">
        <f>TEXT(tblResultadosNBA[[#This Row],[Fecha]],"mmm")</f>
        <v>mar</v>
      </c>
    </row>
    <row r="947" spans="1:18">
      <c r="A947" s="439">
        <v>46088</v>
      </c>
      <c r="B947" s="302" t="s">
        <v>178</v>
      </c>
      <c r="C947" s="177" t="str">
        <f t="shared" si="1074"/>
        <v>Philadelphia 76ers</v>
      </c>
      <c r="D947" s="177">
        <v>117</v>
      </c>
      <c r="E947" s="336">
        <v>116</v>
      </c>
      <c r="F947" s="327">
        <f t="shared" si="1075"/>
        <v>0</v>
      </c>
      <c r="G947" s="177" t="str">
        <f t="shared" si="1076"/>
        <v>Atlanta Hawks</v>
      </c>
      <c r="H947" s="177">
        <v>118</v>
      </c>
      <c r="I947" s="336">
        <v>125</v>
      </c>
      <c r="J947" s="327">
        <f t="shared" si="1077"/>
        <v>1</v>
      </c>
      <c r="K947" s="177">
        <f t="shared" si="1078"/>
        <v>235</v>
      </c>
      <c r="L947" s="336">
        <f t="shared" si="1079"/>
        <v>241</v>
      </c>
      <c r="M947" s="327">
        <f t="shared" si="1080"/>
        <v>1</v>
      </c>
      <c r="N947" s="337">
        <f t="shared" si="1081"/>
        <v>1</v>
      </c>
      <c r="O947" s="395">
        <f t="shared" si="1082"/>
        <v>9</v>
      </c>
      <c r="P947" s="289">
        <f t="shared" si="1083"/>
        <v>1</v>
      </c>
      <c r="Q947" s="460">
        <f>WEEKNUM(tblResultadosNBA[[#This Row],[Fecha]],2)</f>
        <v>10</v>
      </c>
      <c r="R947" s="460" t="str">
        <f>TEXT(tblResultadosNBA[[#This Row],[Fecha]],"mmm")</f>
        <v>mar</v>
      </c>
    </row>
    <row r="948" spans="1:18">
      <c r="A948" s="439">
        <v>46088</v>
      </c>
      <c r="B948" s="302" t="s">
        <v>154</v>
      </c>
      <c r="C948" s="177" t="str">
        <f t="shared" si="1074"/>
        <v>LA Clippers</v>
      </c>
      <c r="D948" s="177">
        <v>115</v>
      </c>
      <c r="E948" s="336">
        <v>123</v>
      </c>
      <c r="F948" s="327">
        <f t="shared" si="1075"/>
        <v>1</v>
      </c>
      <c r="G948" s="177" t="str">
        <f t="shared" si="1076"/>
        <v>Memphis Grizzlies</v>
      </c>
      <c r="H948" s="177">
        <v>116</v>
      </c>
      <c r="I948" s="336">
        <v>120</v>
      </c>
      <c r="J948" s="327">
        <f t="shared" si="1077"/>
        <v>1</v>
      </c>
      <c r="K948" s="177">
        <f t="shared" si="1078"/>
        <v>231</v>
      </c>
      <c r="L948" s="336">
        <f t="shared" si="1079"/>
        <v>243</v>
      </c>
      <c r="M948" s="327">
        <f t="shared" si="1080"/>
        <v>1</v>
      </c>
      <c r="N948" s="337">
        <f t="shared" si="1081"/>
        <v>1</v>
      </c>
      <c r="O948" s="395">
        <f t="shared" si="1082"/>
        <v>-3</v>
      </c>
      <c r="P948" s="289">
        <f t="shared" si="1083"/>
        <v>0</v>
      </c>
      <c r="Q948" s="460">
        <f>WEEKNUM(tblResultadosNBA[[#This Row],[Fecha]],2)</f>
        <v>10</v>
      </c>
      <c r="R948" s="460" t="str">
        <f>TEXT(tblResultadosNBA[[#This Row],[Fecha]],"mmm")</f>
        <v>mar</v>
      </c>
    </row>
    <row r="949" spans="1:18">
      <c r="A949" s="439">
        <v>46088</v>
      </c>
      <c r="B949" s="302" t="s">
        <v>439</v>
      </c>
      <c r="C949" s="177" t="str">
        <f t="shared" si="1074"/>
        <v>Utah Jazz</v>
      </c>
      <c r="D949" s="177">
        <v>110</v>
      </c>
      <c r="E949" s="336">
        <v>99</v>
      </c>
      <c r="F949" s="327">
        <f t="shared" si="1075"/>
        <v>0</v>
      </c>
      <c r="G949" s="177" t="str">
        <f t="shared" si="1076"/>
        <v>Milwaukee Bucks</v>
      </c>
      <c r="H949" s="177">
        <v>121</v>
      </c>
      <c r="I949" s="336">
        <v>113</v>
      </c>
      <c r="J949" s="327">
        <f t="shared" si="1077"/>
        <v>0</v>
      </c>
      <c r="K949" s="177">
        <f t="shared" si="1078"/>
        <v>231</v>
      </c>
      <c r="L949" s="336">
        <f t="shared" si="1079"/>
        <v>212</v>
      </c>
      <c r="M949" s="327">
        <f t="shared" si="1080"/>
        <v>0</v>
      </c>
      <c r="N949" s="337">
        <f t="shared" si="1081"/>
        <v>11</v>
      </c>
      <c r="O949" s="395">
        <f t="shared" si="1082"/>
        <v>14</v>
      </c>
      <c r="P949" s="289">
        <f t="shared" si="1083"/>
        <v>1</v>
      </c>
      <c r="Q949" s="460">
        <f>WEEKNUM(tblResultadosNBA[[#This Row],[Fecha]],2)</f>
        <v>10</v>
      </c>
      <c r="R949" s="460" t="str">
        <f>TEXT(tblResultadosNBA[[#This Row],[Fecha]],"mmm")</f>
        <v>mar</v>
      </c>
    </row>
    <row r="950" spans="1:18">
      <c r="A950" s="446">
        <v>46088</v>
      </c>
      <c r="B950" s="331" t="s">
        <v>33</v>
      </c>
      <c r="C950" s="286" t="str">
        <f t="shared" si="1074"/>
        <v>Golden State Warriors</v>
      </c>
      <c r="D950" s="286">
        <v>110</v>
      </c>
      <c r="E950" s="431">
        <v>97</v>
      </c>
      <c r="F950" s="332">
        <f t="shared" si="1075"/>
        <v>0</v>
      </c>
      <c r="G950" s="286" t="str">
        <f t="shared" si="1076"/>
        <v>Oklahoma City Thunder</v>
      </c>
      <c r="H950" s="286">
        <v>117</v>
      </c>
      <c r="I950" s="431">
        <v>104</v>
      </c>
      <c r="J950" s="332">
        <f t="shared" si="1077"/>
        <v>0</v>
      </c>
      <c r="K950" s="286">
        <f t="shared" si="1078"/>
        <v>227</v>
      </c>
      <c r="L950" s="431">
        <f t="shared" si="1079"/>
        <v>201</v>
      </c>
      <c r="M950" s="332">
        <f t="shared" si="1080"/>
        <v>0</v>
      </c>
      <c r="N950" s="432">
        <f t="shared" si="1081"/>
        <v>7</v>
      </c>
      <c r="O950" s="451">
        <f t="shared" si="1082"/>
        <v>7</v>
      </c>
      <c r="P950" s="433">
        <f t="shared" si="1083"/>
        <v>1</v>
      </c>
      <c r="Q950" s="460">
        <f>WEEKNUM(tblResultadosNBA[[#This Row],[Fecha]],2)</f>
        <v>10</v>
      </c>
      <c r="R950" s="460" t="str">
        <f>TEXT(tblResultadosNBA[[#This Row],[Fecha]],"mmm")</f>
        <v>mar</v>
      </c>
    </row>
    <row r="951" spans="1:18">
      <c r="A951" s="439">
        <v>46089</v>
      </c>
      <c r="B951" s="422" t="s">
        <v>782</v>
      </c>
      <c r="C951" s="341" t="str">
        <f>LEFT(B951,FIND("@",B951)-2)</f>
        <v>Boston Celtics</v>
      </c>
      <c r="D951" s="341">
        <v>115</v>
      </c>
      <c r="E951" s="342">
        <v>109</v>
      </c>
      <c r="F951" s="333">
        <f>IF(E951&gt;D951, 1, 0)</f>
        <v>0</v>
      </c>
      <c r="G951" s="341" t="str">
        <f>MID(B951,FIND("@",B951)+2,LEN(B951)-FIND("@",B951)-1)</f>
        <v>Cleveland Cavaliers</v>
      </c>
      <c r="H951" s="341">
        <v>111</v>
      </c>
      <c r="I951" s="342">
        <v>98</v>
      </c>
      <c r="J951" s="333">
        <f>IF(I951&gt;H951, 1, 0)</f>
        <v>0</v>
      </c>
      <c r="K951" s="341">
        <f>+D951+H951</f>
        <v>226</v>
      </c>
      <c r="L951" s="342">
        <f>E951+I951</f>
        <v>207</v>
      </c>
      <c r="M951" s="333">
        <f>IF(L951&gt;K951, 1, 0)</f>
        <v>0</v>
      </c>
      <c r="N951" s="343">
        <f>(+H951-D951)</f>
        <v>-4</v>
      </c>
      <c r="O951" s="449">
        <f>I951-E951</f>
        <v>-11</v>
      </c>
      <c r="P951" s="289">
        <f>IF(OR(AND(N951&gt;0,O951&gt;0),AND(N951&lt;0,O951&lt;0)),1,0)</f>
        <v>1</v>
      </c>
      <c r="Q951" s="460">
        <f>WEEKNUM(tblResultadosNBA[[#This Row],[Fecha]],2)</f>
        <v>10</v>
      </c>
      <c r="R951" s="460" t="str">
        <f>TEXT(tblResultadosNBA[[#This Row],[Fecha]],"mmm")</f>
        <v>mar</v>
      </c>
    </row>
    <row r="952" spans="1:18">
      <c r="A952" s="439">
        <v>46089</v>
      </c>
      <c r="B952" s="302" t="s">
        <v>938</v>
      </c>
      <c r="C952" s="177" t="str">
        <f t="shared" ref="C952:C960" si="1084">LEFT(B952,FIND("@",B952)-2)</f>
        <v>New York Knicks</v>
      </c>
      <c r="D952" s="177">
        <v>113</v>
      </c>
      <c r="E952" s="336">
        <v>97</v>
      </c>
      <c r="F952" s="327">
        <f t="shared" ref="F952:F958" si="1085">IF(E952&gt;D952, 1, 0)</f>
        <v>0</v>
      </c>
      <c r="G952" s="177" t="str">
        <f t="shared" ref="G952:G958" si="1086">MID(B952,FIND("@",B952)+2,LEN(B952)-FIND("@",B952)-1)</f>
        <v>Los Angeles Lakers</v>
      </c>
      <c r="H952" s="177">
        <v>116</v>
      </c>
      <c r="I952" s="336">
        <v>110</v>
      </c>
      <c r="J952" s="327">
        <f t="shared" ref="J952:J958" si="1087">IF(I952&gt;H952, 1, 0)</f>
        <v>0</v>
      </c>
      <c r="K952" s="177">
        <f t="shared" ref="K952:K958" si="1088">+D952+H952</f>
        <v>229</v>
      </c>
      <c r="L952" s="336">
        <f t="shared" ref="L952:L958" si="1089">E952+I952</f>
        <v>207</v>
      </c>
      <c r="M952" s="327">
        <f t="shared" ref="M952:M958" si="1090">IF(L952&gt;K952, 1, 0)</f>
        <v>0</v>
      </c>
      <c r="N952" s="337">
        <f t="shared" ref="N952:N958" si="1091">(+H952-D952)</f>
        <v>3</v>
      </c>
      <c r="O952" s="395">
        <f t="shared" ref="O952:O958" si="1092">I952-E952</f>
        <v>13</v>
      </c>
      <c r="P952" s="289">
        <f t="shared" ref="P952:P958" si="1093">IF(OR(AND(N952&gt;0,O952&gt;0),AND(N952&lt;0,O952&lt;0)),1,0)</f>
        <v>1</v>
      </c>
      <c r="Q952" s="460">
        <f>WEEKNUM(tblResultadosNBA[[#This Row],[Fecha]],2)</f>
        <v>10</v>
      </c>
      <c r="R952" s="460" t="str">
        <f>TEXT(tblResultadosNBA[[#This Row],[Fecha]],"mmm")</f>
        <v>mar</v>
      </c>
    </row>
    <row r="953" spans="1:18">
      <c r="A953" s="439">
        <v>46089</v>
      </c>
      <c r="B953" s="302" t="s">
        <v>440</v>
      </c>
      <c r="C953" s="177" t="str">
        <f t="shared" si="1084"/>
        <v>Detroit Pistons</v>
      </c>
      <c r="D953" s="177">
        <v>111</v>
      </c>
      <c r="E953" s="336">
        <v>110</v>
      </c>
      <c r="F953" s="327">
        <f t="shared" si="1085"/>
        <v>0</v>
      </c>
      <c r="G953" s="177" t="str">
        <f t="shared" si="1086"/>
        <v>Miami Heat</v>
      </c>
      <c r="H953" s="177">
        <v>115</v>
      </c>
      <c r="I953" s="336">
        <v>121</v>
      </c>
      <c r="J953" s="327">
        <f t="shared" si="1087"/>
        <v>1</v>
      </c>
      <c r="K953" s="177">
        <f t="shared" si="1088"/>
        <v>226</v>
      </c>
      <c r="L953" s="336">
        <f t="shared" si="1089"/>
        <v>231</v>
      </c>
      <c r="M953" s="327">
        <f t="shared" si="1090"/>
        <v>1</v>
      </c>
      <c r="N953" s="337">
        <f t="shared" si="1091"/>
        <v>4</v>
      </c>
      <c r="O953" s="395">
        <f t="shared" si="1092"/>
        <v>11</v>
      </c>
      <c r="P953" s="289">
        <f t="shared" si="1093"/>
        <v>1</v>
      </c>
      <c r="Q953" s="460">
        <f>WEEKNUM(tblResultadosNBA[[#This Row],[Fecha]],2)</f>
        <v>10</v>
      </c>
      <c r="R953" s="460" t="str">
        <f>TEXT(tblResultadosNBA[[#This Row],[Fecha]],"mmm")</f>
        <v>mar</v>
      </c>
    </row>
    <row r="954" spans="1:18">
      <c r="A954" s="439">
        <v>46089</v>
      </c>
      <c r="B954" s="302" t="s">
        <v>441</v>
      </c>
      <c r="C954" s="177" t="str">
        <f t="shared" si="1084"/>
        <v>Dallas Mavericks</v>
      </c>
      <c r="D954" s="177">
        <v>108</v>
      </c>
      <c r="E954" s="336">
        <v>92</v>
      </c>
      <c r="F954" s="327">
        <f t="shared" si="1085"/>
        <v>0</v>
      </c>
      <c r="G954" s="177" t="str">
        <f t="shared" si="1086"/>
        <v>Toronto Raptors</v>
      </c>
      <c r="H954" s="177">
        <v>114</v>
      </c>
      <c r="I954" s="336">
        <v>122</v>
      </c>
      <c r="J954" s="327">
        <f t="shared" si="1087"/>
        <v>1</v>
      </c>
      <c r="K954" s="177">
        <f t="shared" si="1088"/>
        <v>222</v>
      </c>
      <c r="L954" s="336">
        <f t="shared" si="1089"/>
        <v>214</v>
      </c>
      <c r="M954" s="327">
        <f t="shared" si="1090"/>
        <v>0</v>
      </c>
      <c r="N954" s="337">
        <f t="shared" si="1091"/>
        <v>6</v>
      </c>
      <c r="O954" s="395">
        <f t="shared" si="1092"/>
        <v>30</v>
      </c>
      <c r="P954" s="289">
        <f t="shared" si="1093"/>
        <v>1</v>
      </c>
      <c r="Q954" s="460">
        <f>WEEKNUM(tblResultadosNBA[[#This Row],[Fecha]],2)</f>
        <v>10</v>
      </c>
      <c r="R954" s="460" t="str">
        <f>TEXT(tblResultadosNBA[[#This Row],[Fecha]],"mmm")</f>
        <v>mar</v>
      </c>
    </row>
    <row r="955" spans="1:18">
      <c r="A955" s="439">
        <v>46089</v>
      </c>
      <c r="B955" s="302" t="s">
        <v>442</v>
      </c>
      <c r="C955" s="177" t="str">
        <f t="shared" si="1084"/>
        <v>Washington Wizards</v>
      </c>
      <c r="D955" s="177">
        <v>113</v>
      </c>
      <c r="E955" s="336">
        <v>118</v>
      </c>
      <c r="F955" s="327">
        <f t="shared" si="1085"/>
        <v>1</v>
      </c>
      <c r="G955" s="177" t="str">
        <f t="shared" si="1086"/>
        <v>New Orleans Pelicans</v>
      </c>
      <c r="H955" s="177">
        <v>121</v>
      </c>
      <c r="I955" s="336">
        <v>138</v>
      </c>
      <c r="J955" s="327">
        <f t="shared" si="1087"/>
        <v>1</v>
      </c>
      <c r="K955" s="177">
        <f t="shared" si="1088"/>
        <v>234</v>
      </c>
      <c r="L955" s="336">
        <f t="shared" si="1089"/>
        <v>256</v>
      </c>
      <c r="M955" s="327">
        <f t="shared" si="1090"/>
        <v>1</v>
      </c>
      <c r="N955" s="337">
        <f t="shared" si="1091"/>
        <v>8</v>
      </c>
      <c r="O955" s="395">
        <f t="shared" si="1092"/>
        <v>20</v>
      </c>
      <c r="P955" s="289">
        <f t="shared" si="1093"/>
        <v>1</v>
      </c>
      <c r="Q955" s="460">
        <f>WEEKNUM(tblResultadosNBA[[#This Row],[Fecha]],2)</f>
        <v>10</v>
      </c>
      <c r="R955" s="460" t="str">
        <f>TEXT(tblResultadosNBA[[#This Row],[Fecha]],"mmm")</f>
        <v>mar</v>
      </c>
    </row>
    <row r="956" spans="1:18">
      <c r="A956" s="439">
        <v>46089</v>
      </c>
      <c r="B956" s="302" t="s">
        <v>939</v>
      </c>
      <c r="C956" s="177" t="str">
        <f t="shared" si="1084"/>
        <v>Orlando Magic</v>
      </c>
      <c r="D956" s="177">
        <v>109</v>
      </c>
      <c r="E956" s="336">
        <v>130</v>
      </c>
      <c r="F956" s="327">
        <f t="shared" si="1085"/>
        <v>1</v>
      </c>
      <c r="G956" s="177" t="str">
        <f t="shared" si="1086"/>
        <v>Milwaukee Bucks</v>
      </c>
      <c r="H956" s="177">
        <v>116</v>
      </c>
      <c r="I956" s="336">
        <v>91</v>
      </c>
      <c r="J956" s="327">
        <f t="shared" si="1087"/>
        <v>0</v>
      </c>
      <c r="K956" s="177">
        <f t="shared" si="1088"/>
        <v>225</v>
      </c>
      <c r="L956" s="336">
        <f t="shared" si="1089"/>
        <v>221</v>
      </c>
      <c r="M956" s="327">
        <f t="shared" si="1090"/>
        <v>0</v>
      </c>
      <c r="N956" s="337">
        <f t="shared" si="1091"/>
        <v>7</v>
      </c>
      <c r="O956" s="395">
        <f t="shared" si="1092"/>
        <v>-39</v>
      </c>
      <c r="P956" s="289">
        <f t="shared" si="1093"/>
        <v>0</v>
      </c>
      <c r="Q956" s="460">
        <f>WEEKNUM(tblResultadosNBA[[#This Row],[Fecha]],2)</f>
        <v>10</v>
      </c>
      <c r="R956" s="460" t="str">
        <f>TEXT(tblResultadosNBA[[#This Row],[Fecha]],"mmm")</f>
        <v>mar</v>
      </c>
    </row>
    <row r="957" spans="1:18">
      <c r="A957" s="439">
        <v>46089</v>
      </c>
      <c r="B957" s="302" t="s">
        <v>740</v>
      </c>
      <c r="C957" s="177" t="str">
        <f t="shared" si="1084"/>
        <v>Houston Rockets</v>
      </c>
      <c r="D957" s="177">
        <v>115</v>
      </c>
      <c r="E957" s="336">
        <v>120</v>
      </c>
      <c r="F957" s="327">
        <f t="shared" si="1085"/>
        <v>1</v>
      </c>
      <c r="G957" s="177" t="str">
        <f t="shared" si="1086"/>
        <v>San Antonio Spurs</v>
      </c>
      <c r="H957" s="177">
        <v>116</v>
      </c>
      <c r="I957" s="336">
        <v>145</v>
      </c>
      <c r="J957" s="327">
        <f t="shared" si="1087"/>
        <v>1</v>
      </c>
      <c r="K957" s="177">
        <f t="shared" si="1088"/>
        <v>231</v>
      </c>
      <c r="L957" s="336">
        <f t="shared" si="1089"/>
        <v>265</v>
      </c>
      <c r="M957" s="327">
        <f t="shared" si="1090"/>
        <v>1</v>
      </c>
      <c r="N957" s="337">
        <f t="shared" si="1091"/>
        <v>1</v>
      </c>
      <c r="O957" s="395">
        <f t="shared" si="1092"/>
        <v>25</v>
      </c>
      <c r="P957" s="289">
        <f t="shared" si="1093"/>
        <v>1</v>
      </c>
      <c r="Q957" s="460">
        <f>WEEKNUM(tblResultadosNBA[[#This Row],[Fecha]],2)</f>
        <v>10</v>
      </c>
      <c r="R957" s="460" t="str">
        <f>TEXT(tblResultadosNBA[[#This Row],[Fecha]],"mmm")</f>
        <v>mar</v>
      </c>
    </row>
    <row r="958" spans="1:18">
      <c r="A958" s="439">
        <v>46089</v>
      </c>
      <c r="B958" s="302" t="s">
        <v>443</v>
      </c>
      <c r="C958" s="177" t="str">
        <f t="shared" si="1084"/>
        <v>Indiana Pacers</v>
      </c>
      <c r="D958" s="177">
        <v>116</v>
      </c>
      <c r="E958" s="336">
        <v>111</v>
      </c>
      <c r="F958" s="327">
        <f t="shared" si="1085"/>
        <v>0</v>
      </c>
      <c r="G958" s="177" t="str">
        <f t="shared" si="1086"/>
        <v>Portland Trail Blazers</v>
      </c>
      <c r="H958" s="177">
        <v>118</v>
      </c>
      <c r="I958" s="336">
        <v>131</v>
      </c>
      <c r="J958" s="327">
        <f t="shared" si="1087"/>
        <v>1</v>
      </c>
      <c r="K958" s="177">
        <f t="shared" si="1088"/>
        <v>234</v>
      </c>
      <c r="L958" s="336">
        <f t="shared" si="1089"/>
        <v>242</v>
      </c>
      <c r="M958" s="327">
        <f t="shared" si="1090"/>
        <v>1</v>
      </c>
      <c r="N958" s="337">
        <f t="shared" si="1091"/>
        <v>2</v>
      </c>
      <c r="O958" s="395">
        <f t="shared" si="1092"/>
        <v>20</v>
      </c>
      <c r="P958" s="289">
        <f t="shared" si="1093"/>
        <v>1</v>
      </c>
      <c r="Q958" s="460">
        <f>WEEKNUM(tblResultadosNBA[[#This Row],[Fecha]],2)</f>
        <v>10</v>
      </c>
      <c r="R958" s="460" t="str">
        <f>TEXT(tblResultadosNBA[[#This Row],[Fecha]],"mmm")</f>
        <v>mar</v>
      </c>
    </row>
    <row r="959" spans="1:18">
      <c r="A959" s="439">
        <v>46089</v>
      </c>
      <c r="B959" s="302" t="s">
        <v>444</v>
      </c>
      <c r="C959" s="177" t="str">
        <f>LEFT(B959,FIND("@",B959)-2)</f>
        <v>Chicago Bulls</v>
      </c>
      <c r="D959" s="177">
        <v>115</v>
      </c>
      <c r="E959" s="336">
        <v>110</v>
      </c>
      <c r="F959" s="327">
        <f t="shared" ref="F959:F960" si="1094">IF(E959&gt;D959, 1, 0)</f>
        <v>0</v>
      </c>
      <c r="G959" s="177" t="str">
        <f t="shared" ref="G959:G960" si="1095">MID(B959,FIND("@",B959)+2,LEN(B959)-FIND("@",B959)-1)</f>
        <v>Sacramento Kings</v>
      </c>
      <c r="H959" s="177">
        <v>118</v>
      </c>
      <c r="I959" s="336">
        <v>126</v>
      </c>
      <c r="J959" s="327">
        <f t="shared" ref="J959:J960" si="1096">IF(I959&gt;H959, 1, 0)</f>
        <v>1</v>
      </c>
      <c r="K959" s="177">
        <f t="shared" ref="K959:K960" si="1097">+D959+H959</f>
        <v>233</v>
      </c>
      <c r="L959" s="336">
        <f t="shared" ref="L959:L960" si="1098">E959+I959</f>
        <v>236</v>
      </c>
      <c r="M959" s="327">
        <f t="shared" ref="M959:M960" si="1099">IF(L959&gt;K959, 1, 0)</f>
        <v>1</v>
      </c>
      <c r="N959" s="337">
        <f t="shared" ref="N959:N960" si="1100">(+H959-D959)</f>
        <v>3</v>
      </c>
      <c r="O959" s="395">
        <f t="shared" ref="O959:O960" si="1101">I959-E959</f>
        <v>16</v>
      </c>
      <c r="P959" s="289">
        <f t="shared" ref="P959:P960" si="1102">IF(OR(AND(N959&gt;0,O959&gt;0),AND(N959&lt;0,O959&lt;0)),1,0)</f>
        <v>1</v>
      </c>
      <c r="Q959" s="460">
        <f>WEEKNUM(tblResultadosNBA[[#This Row],[Fecha]],2)</f>
        <v>10</v>
      </c>
      <c r="R959" s="460" t="str">
        <f>TEXT(tblResultadosNBA[[#This Row],[Fecha]],"mmm")</f>
        <v>mar</v>
      </c>
    </row>
    <row r="960" spans="1:18">
      <c r="A960" s="446">
        <v>46089</v>
      </c>
      <c r="B960" s="331" t="s">
        <v>445</v>
      </c>
      <c r="C960" s="286" t="str">
        <f t="shared" si="1084"/>
        <v>Charlotte Hornets</v>
      </c>
      <c r="D960" s="286">
        <v>107</v>
      </c>
      <c r="E960" s="431">
        <v>99</v>
      </c>
      <c r="F960" s="332">
        <f t="shared" si="1094"/>
        <v>0</v>
      </c>
      <c r="G960" s="286" t="str">
        <f t="shared" si="1095"/>
        <v>Phoenix Suns</v>
      </c>
      <c r="H960" s="286">
        <v>113</v>
      </c>
      <c r="I960" s="431">
        <v>111</v>
      </c>
      <c r="J960" s="332">
        <f t="shared" si="1096"/>
        <v>0</v>
      </c>
      <c r="K960" s="286">
        <f t="shared" si="1097"/>
        <v>220</v>
      </c>
      <c r="L960" s="431">
        <f t="shared" si="1098"/>
        <v>210</v>
      </c>
      <c r="M960" s="332">
        <f t="shared" si="1099"/>
        <v>0</v>
      </c>
      <c r="N960" s="432">
        <f t="shared" si="1100"/>
        <v>6</v>
      </c>
      <c r="O960" s="451">
        <f t="shared" si="1101"/>
        <v>12</v>
      </c>
      <c r="P960" s="433">
        <f t="shared" si="1102"/>
        <v>1</v>
      </c>
      <c r="Q960" s="460">
        <f>WEEKNUM(tblResultadosNBA[[#This Row],[Fecha]],2)</f>
        <v>10</v>
      </c>
      <c r="R960" s="460" t="str">
        <f>TEXT(tblResultadosNBA[[#This Row],[Fecha]],"mmm")</f>
        <v>mar</v>
      </c>
    </row>
    <row r="961" spans="1:18">
      <c r="A961" s="439">
        <v>46090</v>
      </c>
      <c r="B961" s="422" t="s">
        <v>730</v>
      </c>
      <c r="C961" s="341" t="str">
        <f>LEFT(B961,FIND("@",B961)-2)</f>
        <v>Philadelphia 76ers</v>
      </c>
      <c r="D961" s="341">
        <v>113</v>
      </c>
      <c r="E961" s="342">
        <v>101</v>
      </c>
      <c r="F961" s="333">
        <f>IF(E961&gt;D961, 1, 0)</f>
        <v>0</v>
      </c>
      <c r="G961" s="341" t="str">
        <f>MID(B961,FIND("@",B961)+2,LEN(B961)-FIND("@",B961)-1)</f>
        <v>Cleveland Cavaliers</v>
      </c>
      <c r="H961" s="341">
        <v>117</v>
      </c>
      <c r="I961" s="342">
        <v>115</v>
      </c>
      <c r="J961" s="333">
        <f>IF(I961&gt;H961, 1, 0)</f>
        <v>0</v>
      </c>
      <c r="K961" s="341">
        <f>+D961+H961</f>
        <v>230</v>
      </c>
      <c r="L961" s="342">
        <f>E961+I961</f>
        <v>216</v>
      </c>
      <c r="M961" s="333">
        <f>IF(L961&gt;K961, 1, 0)</f>
        <v>0</v>
      </c>
      <c r="N961" s="343">
        <f>(+H961-D961)</f>
        <v>4</v>
      </c>
      <c r="O961" s="449">
        <f>I961-E961</f>
        <v>14</v>
      </c>
      <c r="P961" s="289">
        <f>IF(OR(AND(N961&gt;0,O961&gt;0),AND(N961&lt;0,O961&lt;0)),1,0)</f>
        <v>1</v>
      </c>
      <c r="Q961" s="460">
        <f>WEEKNUM(tblResultadosNBA[[#This Row],[Fecha]],2)</f>
        <v>11</v>
      </c>
      <c r="R961" s="460" t="str">
        <f>TEXT(tblResultadosNBA[[#This Row],[Fecha]],"mmm")</f>
        <v>mar</v>
      </c>
    </row>
    <row r="962" spans="1:18">
      <c r="A962" s="439">
        <v>46090</v>
      </c>
      <c r="B962" s="302" t="s">
        <v>940</v>
      </c>
      <c r="C962" s="177" t="str">
        <f t="shared" ref="C962:C965" si="1103">LEFT(B962,FIND("@",B962)-2)</f>
        <v>Memphis Grizzlies</v>
      </c>
      <c r="D962" s="177">
        <v>115</v>
      </c>
      <c r="E962" s="336">
        <v>115</v>
      </c>
      <c r="F962" s="327">
        <f t="shared" ref="F962:F965" si="1104">IF(E962&gt;D962, 1, 0)</f>
        <v>0</v>
      </c>
      <c r="G962" s="177" t="str">
        <f t="shared" ref="G962:G965" si="1105">MID(B962,FIND("@",B962)+2,LEN(B962)-FIND("@",B962)-1)</f>
        <v>Brooklyn Nets</v>
      </c>
      <c r="H962" s="177">
        <v>116</v>
      </c>
      <c r="I962" s="336">
        <v>126</v>
      </c>
      <c r="J962" s="327">
        <f t="shared" ref="J962:J965" si="1106">IF(I962&gt;H962, 1, 0)</f>
        <v>1</v>
      </c>
      <c r="K962" s="177">
        <f t="shared" ref="K962:K965" si="1107">+D962+H962</f>
        <v>231</v>
      </c>
      <c r="L962" s="336">
        <f t="shared" ref="L962:L965" si="1108">E962+I962</f>
        <v>241</v>
      </c>
      <c r="M962" s="327">
        <f t="shared" ref="M962:M965" si="1109">IF(L962&gt;K962, 1, 0)</f>
        <v>1</v>
      </c>
      <c r="N962" s="337">
        <f t="shared" ref="N962:N965" si="1110">(+H962-D962)</f>
        <v>1</v>
      </c>
      <c r="O962" s="395">
        <f t="shared" ref="O962:O965" si="1111">I962-E962</f>
        <v>11</v>
      </c>
      <c r="P962" s="289">
        <f t="shared" ref="P962:P965" si="1112">IF(OR(AND(N962&gt;0,O962&gt;0),AND(N962&lt;0,O962&lt;0)),1,0)</f>
        <v>1</v>
      </c>
      <c r="Q962" s="460">
        <f>WEEKNUM(tblResultadosNBA[[#This Row],[Fecha]],2)</f>
        <v>11</v>
      </c>
      <c r="R962" s="460" t="str">
        <f>TEXT(tblResultadosNBA[[#This Row],[Fecha]],"mmm")</f>
        <v>mar</v>
      </c>
    </row>
    <row r="963" spans="1:18">
      <c r="A963" s="439">
        <v>46090</v>
      </c>
      <c r="B963" s="302" t="s">
        <v>409</v>
      </c>
      <c r="C963" s="177" t="str">
        <f t="shared" si="1103"/>
        <v>Denver Nuggets</v>
      </c>
      <c r="D963" s="177">
        <v>112</v>
      </c>
      <c r="E963" s="336">
        <v>126</v>
      </c>
      <c r="F963" s="327">
        <f t="shared" si="1104"/>
        <v>1</v>
      </c>
      <c r="G963" s="177" t="str">
        <f t="shared" si="1105"/>
        <v>Oklahoma City Thunder</v>
      </c>
      <c r="H963" s="177">
        <v>118</v>
      </c>
      <c r="I963" s="336">
        <v>129</v>
      </c>
      <c r="J963" s="327">
        <f t="shared" si="1106"/>
        <v>1</v>
      </c>
      <c r="K963" s="177">
        <f t="shared" si="1107"/>
        <v>230</v>
      </c>
      <c r="L963" s="336">
        <f t="shared" si="1108"/>
        <v>255</v>
      </c>
      <c r="M963" s="327">
        <f t="shared" si="1109"/>
        <v>1</v>
      </c>
      <c r="N963" s="337">
        <f t="shared" si="1110"/>
        <v>6</v>
      </c>
      <c r="O963" s="395">
        <f t="shared" si="1111"/>
        <v>3</v>
      </c>
      <c r="P963" s="289">
        <f t="shared" si="1112"/>
        <v>1</v>
      </c>
      <c r="Q963" s="460">
        <f>WEEKNUM(tblResultadosNBA[[#This Row],[Fecha]],2)</f>
        <v>11</v>
      </c>
      <c r="R963" s="460" t="str">
        <f>TEXT(tblResultadosNBA[[#This Row],[Fecha]],"mmm")</f>
        <v>mar</v>
      </c>
    </row>
    <row r="964" spans="1:18">
      <c r="A964" s="439">
        <v>46090</v>
      </c>
      <c r="B964" s="302" t="s">
        <v>312</v>
      </c>
      <c r="C964" s="177" t="str">
        <f t="shared" si="1103"/>
        <v>Golden State Warriors</v>
      </c>
      <c r="D964" s="177">
        <v>117</v>
      </c>
      <c r="E964" s="336">
        <v>116</v>
      </c>
      <c r="F964" s="327">
        <f t="shared" si="1104"/>
        <v>0</v>
      </c>
      <c r="G964" s="177" t="str">
        <f t="shared" si="1105"/>
        <v>Utah Jazz</v>
      </c>
      <c r="H964" s="177">
        <v>116</v>
      </c>
      <c r="I964" s="336">
        <v>119</v>
      </c>
      <c r="J964" s="327">
        <f t="shared" si="1106"/>
        <v>1</v>
      </c>
      <c r="K964" s="177">
        <f t="shared" si="1107"/>
        <v>233</v>
      </c>
      <c r="L964" s="336">
        <f t="shared" si="1108"/>
        <v>235</v>
      </c>
      <c r="M964" s="327">
        <f t="shared" si="1109"/>
        <v>1</v>
      </c>
      <c r="N964" s="337">
        <f t="shared" si="1110"/>
        <v>-1</v>
      </c>
      <c r="O964" s="395">
        <f t="shared" si="1111"/>
        <v>3</v>
      </c>
      <c r="P964" s="289">
        <f t="shared" si="1112"/>
        <v>0</v>
      </c>
      <c r="Q964" s="460">
        <f>WEEKNUM(tblResultadosNBA[[#This Row],[Fecha]],2)</f>
        <v>11</v>
      </c>
      <c r="R964" s="460" t="str">
        <f>TEXT(tblResultadosNBA[[#This Row],[Fecha]],"mmm")</f>
        <v>mar</v>
      </c>
    </row>
    <row r="965" spans="1:18">
      <c r="A965" s="446">
        <v>46090</v>
      </c>
      <c r="B965" s="331" t="s">
        <v>941</v>
      </c>
      <c r="C965" s="286" t="str">
        <f t="shared" si="1103"/>
        <v>New York Knicks</v>
      </c>
      <c r="D965" s="286">
        <v>110</v>
      </c>
      <c r="E965" s="431">
        <v>118</v>
      </c>
      <c r="F965" s="332">
        <f t="shared" si="1104"/>
        <v>1</v>
      </c>
      <c r="G965" s="286" t="str">
        <f t="shared" si="1105"/>
        <v>LA Clippers</v>
      </c>
      <c r="H965" s="286">
        <v>112</v>
      </c>
      <c r="I965" s="431">
        <v>126</v>
      </c>
      <c r="J965" s="332">
        <f t="shared" si="1106"/>
        <v>1</v>
      </c>
      <c r="K965" s="286">
        <f t="shared" si="1107"/>
        <v>222</v>
      </c>
      <c r="L965" s="431">
        <f t="shared" si="1108"/>
        <v>244</v>
      </c>
      <c r="M965" s="332">
        <f t="shared" si="1109"/>
        <v>1</v>
      </c>
      <c r="N965" s="432">
        <f t="shared" si="1110"/>
        <v>2</v>
      </c>
      <c r="O965" s="451">
        <f t="shared" si="1111"/>
        <v>8</v>
      </c>
      <c r="P965" s="433">
        <f t="shared" si="1112"/>
        <v>1</v>
      </c>
      <c r="Q965" s="460">
        <f>WEEKNUM(tblResultadosNBA[[#This Row],[Fecha]],2)</f>
        <v>11</v>
      </c>
      <c r="R965" s="460" t="str">
        <f>TEXT(tblResultadosNBA[[#This Row],[Fecha]],"mmm")</f>
        <v>mar</v>
      </c>
    </row>
    <row r="966" spans="1:18">
      <c r="A966" s="439">
        <v>46091</v>
      </c>
      <c r="B966" s="422" t="s">
        <v>942</v>
      </c>
      <c r="C966" s="341" t="str">
        <f>LEFT(B966,FIND("@",B966)-2)</f>
        <v>Memphis Grizzlies</v>
      </c>
      <c r="D966" s="341">
        <v>114</v>
      </c>
      <c r="E966" s="342">
        <v>129</v>
      </c>
      <c r="F966" s="333">
        <f>IF(E966&gt;D966, 1, 0)</f>
        <v>1</v>
      </c>
      <c r="G966" s="341" t="str">
        <f>MID(B966,FIND("@",B966)+2,LEN(B966)-FIND("@",B966)-1)</f>
        <v>Philadelphia 76ers</v>
      </c>
      <c r="H966" s="341">
        <v>116</v>
      </c>
      <c r="I966" s="342">
        <v>139</v>
      </c>
      <c r="J966" s="333">
        <f>IF(I966&gt;H966, 1, 0)</f>
        <v>1</v>
      </c>
      <c r="K966" s="341">
        <f>+D966+H966</f>
        <v>230</v>
      </c>
      <c r="L966" s="342">
        <f>E966+I966</f>
        <v>268</v>
      </c>
      <c r="M966" s="333">
        <f>IF(L966&gt;K966, 1, 0)</f>
        <v>1</v>
      </c>
      <c r="N966" s="343">
        <f>(+H966-D966)</f>
        <v>2</v>
      </c>
      <c r="O966" s="449">
        <f>I966-E966</f>
        <v>10</v>
      </c>
      <c r="P966" s="289">
        <f>IF(OR(AND(N966&gt;0,O966&gt;0),AND(N966&lt;0,O966&lt;0)),1,0)</f>
        <v>1</v>
      </c>
      <c r="Q966" s="460">
        <f>WEEKNUM(tblResultadosNBA[[#This Row],[Fecha]],2)</f>
        <v>11</v>
      </c>
      <c r="R966" s="460" t="str">
        <f>TEXT(tblResultadosNBA[[#This Row],[Fecha]],"mmm")</f>
        <v>mar</v>
      </c>
    </row>
    <row r="967" spans="1:18">
      <c r="A967" s="439">
        <v>46091</v>
      </c>
      <c r="B967" s="302" t="s">
        <v>446</v>
      </c>
      <c r="C967" s="177" t="str">
        <f t="shared" ref="C967:C976" si="1113">LEFT(B967,FIND("@",B967)-2)</f>
        <v>Detroit Pistons</v>
      </c>
      <c r="D967" s="177">
        <v>113</v>
      </c>
      <c r="E967" s="336">
        <v>138</v>
      </c>
      <c r="F967" s="327">
        <f t="shared" ref="F967:F976" si="1114">IF(E967&gt;D967, 1, 0)</f>
        <v>1</v>
      </c>
      <c r="G967" s="177" t="str">
        <f t="shared" ref="G967:G976" si="1115">MID(B967,FIND("@",B967)+2,LEN(B967)-FIND("@",B967)-1)</f>
        <v>Brooklyn Nets</v>
      </c>
      <c r="H967" s="177">
        <v>112</v>
      </c>
      <c r="I967" s="336">
        <v>100</v>
      </c>
      <c r="J967" s="327">
        <f t="shared" ref="J967:J976" si="1116">IF(I967&gt;H967, 1, 0)</f>
        <v>0</v>
      </c>
      <c r="K967" s="177">
        <f t="shared" ref="K967:K976" si="1117">+D967+H967</f>
        <v>225</v>
      </c>
      <c r="L967" s="336">
        <f t="shared" ref="L967:L976" si="1118">E967+I967</f>
        <v>238</v>
      </c>
      <c r="M967" s="327">
        <f t="shared" ref="M967:M976" si="1119">IF(L967&gt;K967, 1, 0)</f>
        <v>1</v>
      </c>
      <c r="N967" s="337">
        <f t="shared" ref="N967:N976" si="1120">(+H967-D967)</f>
        <v>-1</v>
      </c>
      <c r="O967" s="395">
        <f t="shared" ref="O967:O976" si="1121">I967-E967</f>
        <v>-38</v>
      </c>
      <c r="P967" s="289">
        <f t="shared" ref="P967:P976" si="1122">IF(OR(AND(N967&gt;0,O967&gt;0),AND(N967&lt;0,O967&lt;0)),1,0)</f>
        <v>1</v>
      </c>
      <c r="Q967" s="460">
        <f>WEEKNUM(tblResultadosNBA[[#This Row],[Fecha]],2)</f>
        <v>11</v>
      </c>
      <c r="R967" s="460" t="str">
        <f>TEXT(tblResultadosNBA[[#This Row],[Fecha]],"mmm")</f>
        <v>mar</v>
      </c>
    </row>
    <row r="968" spans="1:18">
      <c r="A968" s="439">
        <v>46091</v>
      </c>
      <c r="B968" s="302" t="s">
        <v>447</v>
      </c>
      <c r="C968" s="177" t="str">
        <f t="shared" si="1113"/>
        <v>Washington Wizards</v>
      </c>
      <c r="D968" s="177">
        <v>110</v>
      </c>
      <c r="E968" s="336">
        <v>129</v>
      </c>
      <c r="F968" s="327">
        <f t="shared" si="1114"/>
        <v>1</v>
      </c>
      <c r="G968" s="177" t="str">
        <f t="shared" si="1115"/>
        <v>Miami Heat</v>
      </c>
      <c r="H968" s="177">
        <v>120</v>
      </c>
      <c r="I968" s="336">
        <v>150</v>
      </c>
      <c r="J968" s="327">
        <f t="shared" si="1116"/>
        <v>1</v>
      </c>
      <c r="K968" s="177">
        <f t="shared" si="1117"/>
        <v>230</v>
      </c>
      <c r="L968" s="336">
        <f t="shared" si="1118"/>
        <v>279</v>
      </c>
      <c r="M968" s="327">
        <f t="shared" si="1119"/>
        <v>1</v>
      </c>
      <c r="N968" s="337">
        <f t="shared" si="1120"/>
        <v>10</v>
      </c>
      <c r="O968" s="395">
        <f t="shared" si="1121"/>
        <v>21</v>
      </c>
      <c r="P968" s="289">
        <f t="shared" si="1122"/>
        <v>1</v>
      </c>
      <c r="Q968" s="460">
        <f>WEEKNUM(tblResultadosNBA[[#This Row],[Fecha]],2)</f>
        <v>11</v>
      </c>
      <c r="R968" s="460" t="str">
        <f>TEXT(tblResultadosNBA[[#This Row],[Fecha]],"mmm")</f>
        <v>mar</v>
      </c>
    </row>
    <row r="969" spans="1:18">
      <c r="A969" s="439">
        <v>46091</v>
      </c>
      <c r="B969" s="302" t="s">
        <v>448</v>
      </c>
      <c r="C969" s="177" t="str">
        <f t="shared" si="1113"/>
        <v>Dallas Mavericks</v>
      </c>
      <c r="D969" s="177">
        <v>116</v>
      </c>
      <c r="E969" s="336">
        <v>112</v>
      </c>
      <c r="F969" s="327">
        <f t="shared" si="1114"/>
        <v>0</v>
      </c>
      <c r="G969" s="177" t="str">
        <f t="shared" si="1115"/>
        <v>Atlanta Hawks</v>
      </c>
      <c r="H969" s="177">
        <v>120</v>
      </c>
      <c r="I969" s="336">
        <v>124</v>
      </c>
      <c r="J969" s="327">
        <f t="shared" si="1116"/>
        <v>1</v>
      </c>
      <c r="K969" s="177">
        <f t="shared" si="1117"/>
        <v>236</v>
      </c>
      <c r="L969" s="336">
        <f t="shared" si="1118"/>
        <v>236</v>
      </c>
      <c r="M969" s="327">
        <f t="shared" si="1119"/>
        <v>0</v>
      </c>
      <c r="N969" s="337">
        <f t="shared" si="1120"/>
        <v>4</v>
      </c>
      <c r="O969" s="395">
        <f t="shared" si="1121"/>
        <v>12</v>
      </c>
      <c r="P969" s="289">
        <f t="shared" si="1122"/>
        <v>1</v>
      </c>
      <c r="Q969" s="460">
        <f>WEEKNUM(tblResultadosNBA[[#This Row],[Fecha]],2)</f>
        <v>11</v>
      </c>
      <c r="R969" s="460" t="str">
        <f>TEXT(tblResultadosNBA[[#This Row],[Fecha]],"mmm")</f>
        <v>mar</v>
      </c>
    </row>
    <row r="970" spans="1:18">
      <c r="A970" s="439">
        <v>46091</v>
      </c>
      <c r="B970" s="302" t="s">
        <v>943</v>
      </c>
      <c r="C970" s="177" t="str">
        <f t="shared" si="1113"/>
        <v>Toronto Raptors</v>
      </c>
      <c r="D970" s="177">
        <v>112</v>
      </c>
      <c r="E970" s="336">
        <v>99</v>
      </c>
      <c r="F970" s="327">
        <f t="shared" si="1114"/>
        <v>0</v>
      </c>
      <c r="G970" s="177" t="str">
        <f t="shared" si="1115"/>
        <v>Houston Rockets</v>
      </c>
      <c r="H970" s="177">
        <v>114</v>
      </c>
      <c r="I970" s="336">
        <v>113</v>
      </c>
      <c r="J970" s="327">
        <f t="shared" si="1116"/>
        <v>0</v>
      </c>
      <c r="K970" s="177">
        <f t="shared" si="1117"/>
        <v>226</v>
      </c>
      <c r="L970" s="336">
        <f t="shared" si="1118"/>
        <v>212</v>
      </c>
      <c r="M970" s="327">
        <f t="shared" si="1119"/>
        <v>0</v>
      </c>
      <c r="N970" s="337">
        <f t="shared" si="1120"/>
        <v>2</v>
      </c>
      <c r="O970" s="395">
        <f t="shared" si="1121"/>
        <v>14</v>
      </c>
      <c r="P970" s="289">
        <f t="shared" si="1122"/>
        <v>1</v>
      </c>
      <c r="Q970" s="460">
        <f>WEEKNUM(tblResultadosNBA[[#This Row],[Fecha]],2)</f>
        <v>11</v>
      </c>
      <c r="R970" s="460" t="str">
        <f>TEXT(tblResultadosNBA[[#This Row],[Fecha]],"mmm")</f>
        <v>mar</v>
      </c>
    </row>
    <row r="971" spans="1:18">
      <c r="A971" s="439">
        <v>46091</v>
      </c>
      <c r="B971" s="302" t="s">
        <v>944</v>
      </c>
      <c r="C971" s="177" t="str">
        <f t="shared" si="1113"/>
        <v>Phoenix Suns</v>
      </c>
      <c r="D971" s="177">
        <v>111</v>
      </c>
      <c r="E971" s="336">
        <v>129</v>
      </c>
      <c r="F971" s="327">
        <f t="shared" si="1114"/>
        <v>1</v>
      </c>
      <c r="G971" s="177" t="str">
        <f t="shared" si="1115"/>
        <v>Milwaukee Bucks</v>
      </c>
      <c r="H971" s="177">
        <v>115</v>
      </c>
      <c r="I971" s="336">
        <v>114</v>
      </c>
      <c r="J971" s="327">
        <f t="shared" si="1116"/>
        <v>0</v>
      </c>
      <c r="K971" s="177">
        <f t="shared" si="1117"/>
        <v>226</v>
      </c>
      <c r="L971" s="336">
        <f t="shared" si="1118"/>
        <v>243</v>
      </c>
      <c r="M971" s="327">
        <f t="shared" si="1119"/>
        <v>1</v>
      </c>
      <c r="N971" s="337">
        <f t="shared" si="1120"/>
        <v>4</v>
      </c>
      <c r="O971" s="395">
        <f t="shared" si="1121"/>
        <v>-15</v>
      </c>
      <c r="P971" s="289">
        <f t="shared" si="1122"/>
        <v>0</v>
      </c>
      <c r="Q971" s="460">
        <f>WEEKNUM(tblResultadosNBA[[#This Row],[Fecha]],2)</f>
        <v>11</v>
      </c>
      <c r="R971" s="460" t="str">
        <f>TEXT(tblResultadosNBA[[#This Row],[Fecha]],"mmm")</f>
        <v>mar</v>
      </c>
    </row>
    <row r="972" spans="1:18">
      <c r="A972" s="439">
        <v>46091</v>
      </c>
      <c r="B972" s="302" t="s">
        <v>449</v>
      </c>
      <c r="C972" s="177" t="str">
        <f t="shared" si="1113"/>
        <v>Boston Celtics</v>
      </c>
      <c r="D972" s="177">
        <v>115</v>
      </c>
      <c r="E972" s="336">
        <v>116</v>
      </c>
      <c r="F972" s="327">
        <f t="shared" si="1114"/>
        <v>1</v>
      </c>
      <c r="G972" s="177" t="str">
        <f t="shared" si="1115"/>
        <v>San Antonio Spurs</v>
      </c>
      <c r="H972" s="177">
        <v>116</v>
      </c>
      <c r="I972" s="336">
        <v>125</v>
      </c>
      <c r="J972" s="327">
        <f t="shared" si="1116"/>
        <v>1</v>
      </c>
      <c r="K972" s="177">
        <f t="shared" si="1117"/>
        <v>231</v>
      </c>
      <c r="L972" s="336">
        <f t="shared" si="1118"/>
        <v>241</v>
      </c>
      <c r="M972" s="327">
        <f t="shared" si="1119"/>
        <v>1</v>
      </c>
      <c r="N972" s="337">
        <f t="shared" si="1120"/>
        <v>1</v>
      </c>
      <c r="O972" s="395">
        <f t="shared" si="1121"/>
        <v>9</v>
      </c>
      <c r="P972" s="289">
        <f t="shared" si="1122"/>
        <v>1</v>
      </c>
      <c r="Q972" s="460">
        <f>WEEKNUM(tblResultadosNBA[[#This Row],[Fecha]],2)</f>
        <v>11</v>
      </c>
      <c r="R972" s="460" t="str">
        <f>TEXT(tblResultadosNBA[[#This Row],[Fecha]],"mmm")</f>
        <v>mar</v>
      </c>
    </row>
    <row r="973" spans="1:18">
      <c r="A973" s="439">
        <v>46091</v>
      </c>
      <c r="B973" s="302" t="s">
        <v>945</v>
      </c>
      <c r="C973" s="177" t="str">
        <f t="shared" si="1113"/>
        <v>Chicago Bulls</v>
      </c>
      <c r="D973" s="177">
        <v>110</v>
      </c>
      <c r="E973" s="336">
        <v>130</v>
      </c>
      <c r="F973" s="327">
        <f t="shared" si="1114"/>
        <v>1</v>
      </c>
      <c r="G973" s="177" t="str">
        <f t="shared" si="1115"/>
        <v>Golden State Warriors</v>
      </c>
      <c r="H973" s="177">
        <v>121</v>
      </c>
      <c r="I973" s="336">
        <v>124</v>
      </c>
      <c r="J973" s="327">
        <f t="shared" si="1116"/>
        <v>1</v>
      </c>
      <c r="K973" s="177">
        <f t="shared" si="1117"/>
        <v>231</v>
      </c>
      <c r="L973" s="336">
        <f t="shared" si="1118"/>
        <v>254</v>
      </c>
      <c r="M973" s="327">
        <f t="shared" si="1119"/>
        <v>1</v>
      </c>
      <c r="N973" s="337">
        <f t="shared" si="1120"/>
        <v>11</v>
      </c>
      <c r="O973" s="395">
        <f t="shared" si="1121"/>
        <v>-6</v>
      </c>
      <c r="P973" s="289">
        <f t="shared" si="1122"/>
        <v>0</v>
      </c>
      <c r="Q973" s="460">
        <f>WEEKNUM(tblResultadosNBA[[#This Row],[Fecha]],2)</f>
        <v>11</v>
      </c>
      <c r="R973" s="460" t="str">
        <f>TEXT(tblResultadosNBA[[#This Row],[Fecha]],"mmm")</f>
        <v>mar</v>
      </c>
    </row>
    <row r="974" spans="1:18">
      <c r="A974" s="439">
        <v>46091</v>
      </c>
      <c r="B974" s="302" t="s">
        <v>450</v>
      </c>
      <c r="C974" s="177" t="str">
        <f t="shared" si="1113"/>
        <v>Charlotte Hornets</v>
      </c>
      <c r="D974" s="177">
        <v>119</v>
      </c>
      <c r="E974" s="336">
        <v>103</v>
      </c>
      <c r="F974" s="327">
        <f t="shared" si="1114"/>
        <v>0</v>
      </c>
      <c r="G974" s="177" t="str">
        <f t="shared" si="1115"/>
        <v>Portland Trail Blazers</v>
      </c>
      <c r="H974" s="177">
        <v>118</v>
      </c>
      <c r="I974" s="336">
        <v>101</v>
      </c>
      <c r="J974" s="327">
        <f t="shared" si="1116"/>
        <v>0</v>
      </c>
      <c r="K974" s="177">
        <f t="shared" si="1117"/>
        <v>237</v>
      </c>
      <c r="L974" s="336">
        <f t="shared" si="1118"/>
        <v>204</v>
      </c>
      <c r="M974" s="327">
        <f t="shared" si="1119"/>
        <v>0</v>
      </c>
      <c r="N974" s="337">
        <f t="shared" si="1120"/>
        <v>-1</v>
      </c>
      <c r="O974" s="395">
        <f t="shared" si="1121"/>
        <v>-2</v>
      </c>
      <c r="P974" s="289">
        <f t="shared" si="1122"/>
        <v>1</v>
      </c>
      <c r="Q974" s="460">
        <f>WEEKNUM(tblResultadosNBA[[#This Row],[Fecha]],2)</f>
        <v>11</v>
      </c>
      <c r="R974" s="460" t="str">
        <f>TEXT(tblResultadosNBA[[#This Row],[Fecha]],"mmm")</f>
        <v>mar</v>
      </c>
    </row>
    <row r="975" spans="1:18">
      <c r="A975" s="439">
        <v>46091</v>
      </c>
      <c r="B975" s="302" t="s">
        <v>451</v>
      </c>
      <c r="C975" s="177" t="str">
        <f t="shared" si="1113"/>
        <v>Indiana Pacers</v>
      </c>
      <c r="D975" s="177">
        <v>117</v>
      </c>
      <c r="E975" s="336">
        <v>109</v>
      </c>
      <c r="F975" s="327">
        <f t="shared" si="1114"/>
        <v>0</v>
      </c>
      <c r="G975" s="177" t="str">
        <f t="shared" si="1115"/>
        <v>Sacramento Kings</v>
      </c>
      <c r="H975" s="177">
        <v>119</v>
      </c>
      <c r="I975" s="336">
        <v>114</v>
      </c>
      <c r="J975" s="327">
        <f t="shared" si="1116"/>
        <v>0</v>
      </c>
      <c r="K975" s="177">
        <f t="shared" si="1117"/>
        <v>236</v>
      </c>
      <c r="L975" s="336">
        <f t="shared" si="1118"/>
        <v>223</v>
      </c>
      <c r="M975" s="327">
        <f t="shared" si="1119"/>
        <v>0</v>
      </c>
      <c r="N975" s="337">
        <f t="shared" si="1120"/>
        <v>2</v>
      </c>
      <c r="O975" s="395">
        <f t="shared" si="1121"/>
        <v>5</v>
      </c>
      <c r="P975" s="289">
        <f t="shared" si="1122"/>
        <v>1</v>
      </c>
      <c r="Q975" s="460">
        <f>WEEKNUM(tblResultadosNBA[[#This Row],[Fecha]],2)</f>
        <v>11</v>
      </c>
      <c r="R975" s="460" t="str">
        <f>TEXT(tblResultadosNBA[[#This Row],[Fecha]],"mmm")</f>
        <v>mar</v>
      </c>
    </row>
    <row r="976" spans="1:18">
      <c r="A976" s="446">
        <v>46091</v>
      </c>
      <c r="B976" s="331" t="s">
        <v>677</v>
      </c>
      <c r="C976" s="286" t="str">
        <f t="shared" si="1113"/>
        <v>Minnesota Timberwolves</v>
      </c>
      <c r="D976" s="286">
        <v>117</v>
      </c>
      <c r="E976" s="431">
        <v>106</v>
      </c>
      <c r="F976" s="332">
        <f t="shared" si="1114"/>
        <v>0</v>
      </c>
      <c r="G976" s="286" t="str">
        <f t="shared" si="1115"/>
        <v>Los Angeles Lakers</v>
      </c>
      <c r="H976" s="286">
        <v>118</v>
      </c>
      <c r="I976" s="431">
        <v>120</v>
      </c>
      <c r="J976" s="332">
        <f t="shared" si="1116"/>
        <v>1</v>
      </c>
      <c r="K976" s="286">
        <f t="shared" si="1117"/>
        <v>235</v>
      </c>
      <c r="L976" s="431">
        <f t="shared" si="1118"/>
        <v>226</v>
      </c>
      <c r="M976" s="332">
        <f t="shared" si="1119"/>
        <v>0</v>
      </c>
      <c r="N976" s="432">
        <f t="shared" si="1120"/>
        <v>1</v>
      </c>
      <c r="O976" s="451">
        <f t="shared" si="1121"/>
        <v>14</v>
      </c>
      <c r="P976" s="433">
        <f t="shared" si="1122"/>
        <v>1</v>
      </c>
      <c r="Q976" s="460">
        <f>WEEKNUM(tblResultadosNBA[[#This Row],[Fecha]],2)</f>
        <v>11</v>
      </c>
      <c r="R976" s="460" t="str">
        <f>TEXT(tblResultadosNBA[[#This Row],[Fecha]],"mmm")</f>
        <v>mar</v>
      </c>
    </row>
    <row r="977" spans="1:18">
      <c r="A977" s="439">
        <v>46092</v>
      </c>
      <c r="B977" s="422" t="s">
        <v>292</v>
      </c>
      <c r="C977" s="341" t="str">
        <f>LEFT(B977,FIND("@",B977)-2)</f>
        <v>Cleveland Cavaliers</v>
      </c>
      <c r="D977" s="341">
        <v>113</v>
      </c>
      <c r="E977" s="342">
        <v>122</v>
      </c>
      <c r="F977" s="333">
        <f>IF(E977&gt;D977, 1, 0)</f>
        <v>1</v>
      </c>
      <c r="G977" s="341" t="str">
        <f>MID(B977,FIND("@",B977)+2,LEN(B977)-FIND("@",B977)-1)</f>
        <v>Orlando Magic</v>
      </c>
      <c r="H977" s="341">
        <v>112</v>
      </c>
      <c r="I977" s="342">
        <v>128</v>
      </c>
      <c r="J977" s="333">
        <f>IF(I977&gt;H977, 1, 0)</f>
        <v>1</v>
      </c>
      <c r="K977" s="341">
        <f>+D977+H977</f>
        <v>225</v>
      </c>
      <c r="L977" s="342">
        <f>E977+I977</f>
        <v>250</v>
      </c>
      <c r="M977" s="333">
        <f>IF(L977&gt;K977, 1, 0)</f>
        <v>1</v>
      </c>
      <c r="N977" s="343">
        <f>(+H977-D977)</f>
        <v>-1</v>
      </c>
      <c r="O977" s="449">
        <f>I977-E977</f>
        <v>6</v>
      </c>
      <c r="P977" s="289">
        <f>IF(OR(AND(N977&gt;0,O977&gt;0),AND(N977&lt;0,O977&lt;0)),1,0)</f>
        <v>0</v>
      </c>
      <c r="Q977" s="460">
        <f>WEEKNUM(tblResultadosNBA[[#This Row],[Fecha]],2)</f>
        <v>11</v>
      </c>
      <c r="R977" s="460" t="str">
        <f>TEXT(tblResultadosNBA[[#This Row],[Fecha]],"mmm")</f>
        <v>mar</v>
      </c>
    </row>
    <row r="978" spans="1:18">
      <c r="A978" s="439">
        <v>46092</v>
      </c>
      <c r="B978" s="302" t="s">
        <v>452</v>
      </c>
      <c r="C978" s="177" t="str">
        <f t="shared" ref="C978:C982" si="1123">LEFT(B978,FIND("@",B978)-2)</f>
        <v>Toronto Raptors</v>
      </c>
      <c r="D978" s="177">
        <v>113</v>
      </c>
      <c r="E978" s="336">
        <v>111</v>
      </c>
      <c r="F978" s="327">
        <f t="shared" ref="F978:F982" si="1124">IF(E978&gt;D978, 1, 0)</f>
        <v>0</v>
      </c>
      <c r="G978" s="177" t="str">
        <f t="shared" ref="G978:G982" si="1125">MID(B978,FIND("@",B978)+2,LEN(B978)-FIND("@",B978)-1)</f>
        <v>New Orleans Pelicans</v>
      </c>
      <c r="H978" s="177">
        <v>116</v>
      </c>
      <c r="I978" s="336">
        <v>122</v>
      </c>
      <c r="J978" s="327">
        <f t="shared" ref="J978:J982" si="1126">IF(I978&gt;H978, 1, 0)</f>
        <v>1</v>
      </c>
      <c r="K978" s="177">
        <f t="shared" ref="K978:K982" si="1127">+D978+H978</f>
        <v>229</v>
      </c>
      <c r="L978" s="336">
        <f t="shared" ref="L978:L982" si="1128">E978+I978</f>
        <v>233</v>
      </c>
      <c r="M978" s="327">
        <f t="shared" ref="M978:M982" si="1129">IF(L978&gt;K978, 1, 0)</f>
        <v>1</v>
      </c>
      <c r="N978" s="337">
        <f t="shared" ref="N978:N982" si="1130">(+H978-D978)</f>
        <v>3</v>
      </c>
      <c r="O978" s="395">
        <f t="shared" ref="O978:O982" si="1131">I978-E978</f>
        <v>11</v>
      </c>
      <c r="P978" s="289">
        <f t="shared" ref="P978:P982" si="1132">IF(OR(AND(N978&gt;0,O978&gt;0),AND(N978&lt;0,O978&lt;0)),1,0)</f>
        <v>1</v>
      </c>
      <c r="Q978" s="460">
        <f>WEEKNUM(tblResultadosNBA[[#This Row],[Fecha]],2)</f>
        <v>11</v>
      </c>
      <c r="R978" s="460" t="str">
        <f>TEXT(tblResultadosNBA[[#This Row],[Fecha]],"mmm")</f>
        <v>mar</v>
      </c>
    </row>
    <row r="979" spans="1:18">
      <c r="A979" s="439">
        <v>46092</v>
      </c>
      <c r="B979" s="302" t="s">
        <v>453</v>
      </c>
      <c r="C979" s="177" t="str">
        <f t="shared" si="1123"/>
        <v>New York Knicks</v>
      </c>
      <c r="D979" s="177">
        <v>115</v>
      </c>
      <c r="E979" s="336">
        <v>134</v>
      </c>
      <c r="F979" s="327">
        <f t="shared" si="1124"/>
        <v>1</v>
      </c>
      <c r="G979" s="177" t="str">
        <f t="shared" si="1125"/>
        <v>Utah Jazz</v>
      </c>
      <c r="H979" s="177">
        <v>113</v>
      </c>
      <c r="I979" s="336">
        <v>117</v>
      </c>
      <c r="J979" s="327">
        <f t="shared" si="1126"/>
        <v>1</v>
      </c>
      <c r="K979" s="177">
        <f t="shared" si="1127"/>
        <v>228</v>
      </c>
      <c r="L979" s="336">
        <f t="shared" si="1128"/>
        <v>251</v>
      </c>
      <c r="M979" s="327">
        <f t="shared" si="1129"/>
        <v>1</v>
      </c>
      <c r="N979" s="337">
        <f t="shared" si="1130"/>
        <v>-2</v>
      </c>
      <c r="O979" s="395">
        <f t="shared" si="1131"/>
        <v>-17</v>
      </c>
      <c r="P979" s="289">
        <f t="shared" si="1132"/>
        <v>1</v>
      </c>
      <c r="Q979" s="460">
        <f>WEEKNUM(tblResultadosNBA[[#This Row],[Fecha]],2)</f>
        <v>11</v>
      </c>
      <c r="R979" s="460" t="str">
        <f>TEXT(tblResultadosNBA[[#This Row],[Fecha]],"mmm")</f>
        <v>mar</v>
      </c>
    </row>
    <row r="980" spans="1:18">
      <c r="A980" s="439">
        <v>46092</v>
      </c>
      <c r="B980" s="302" t="s">
        <v>183</v>
      </c>
      <c r="C980" s="177" t="str">
        <f t="shared" si="1123"/>
        <v>Houston Rockets</v>
      </c>
      <c r="D980" s="177">
        <v>111</v>
      </c>
      <c r="E980" s="336">
        <v>93</v>
      </c>
      <c r="F980" s="327">
        <f t="shared" si="1124"/>
        <v>0</v>
      </c>
      <c r="G980" s="177" t="str">
        <f t="shared" si="1125"/>
        <v>Denver Nuggets</v>
      </c>
      <c r="H980" s="177">
        <v>115</v>
      </c>
      <c r="I980" s="336">
        <v>129</v>
      </c>
      <c r="J980" s="327">
        <f t="shared" si="1126"/>
        <v>1</v>
      </c>
      <c r="K980" s="177">
        <f t="shared" si="1127"/>
        <v>226</v>
      </c>
      <c r="L980" s="336">
        <f t="shared" si="1128"/>
        <v>222</v>
      </c>
      <c r="M980" s="327">
        <f t="shared" si="1129"/>
        <v>0</v>
      </c>
      <c r="N980" s="337">
        <f t="shared" si="1130"/>
        <v>4</v>
      </c>
      <c r="O980" s="395">
        <f t="shared" si="1131"/>
        <v>36</v>
      </c>
      <c r="P980" s="289">
        <f t="shared" si="1132"/>
        <v>1</v>
      </c>
      <c r="Q980" s="460">
        <f>WEEKNUM(tblResultadosNBA[[#This Row],[Fecha]],2)</f>
        <v>11</v>
      </c>
      <c r="R980" s="460" t="str">
        <f>TEXT(tblResultadosNBA[[#This Row],[Fecha]],"mmm")</f>
        <v>mar</v>
      </c>
    </row>
    <row r="981" spans="1:18">
      <c r="A981" s="439">
        <v>46092</v>
      </c>
      <c r="B981" s="302" t="s">
        <v>454</v>
      </c>
      <c r="C981" s="177" t="str">
        <f t="shared" si="1123"/>
        <v>Charlotte Hornets</v>
      </c>
      <c r="D981" s="177">
        <v>118</v>
      </c>
      <c r="E981" s="336">
        <v>117</v>
      </c>
      <c r="F981" s="327">
        <f t="shared" si="1124"/>
        <v>0</v>
      </c>
      <c r="G981" s="177" t="str">
        <f t="shared" si="1125"/>
        <v>Sacramento Kings</v>
      </c>
      <c r="H981" s="177">
        <v>116</v>
      </c>
      <c r="I981" s="336">
        <v>109</v>
      </c>
      <c r="J981" s="327">
        <f t="shared" si="1126"/>
        <v>0</v>
      </c>
      <c r="K981" s="177">
        <f t="shared" si="1127"/>
        <v>234</v>
      </c>
      <c r="L981" s="336">
        <f t="shared" si="1128"/>
        <v>226</v>
      </c>
      <c r="M981" s="327">
        <f t="shared" si="1129"/>
        <v>0</v>
      </c>
      <c r="N981" s="337">
        <f t="shared" si="1130"/>
        <v>-2</v>
      </c>
      <c r="O981" s="395">
        <f t="shared" si="1131"/>
        <v>-8</v>
      </c>
      <c r="P981" s="289">
        <f t="shared" si="1132"/>
        <v>1</v>
      </c>
      <c r="Q981" s="460">
        <f>WEEKNUM(tblResultadosNBA[[#This Row],[Fecha]],2)</f>
        <v>11</v>
      </c>
      <c r="R981" s="460" t="str">
        <f>TEXT(tblResultadosNBA[[#This Row],[Fecha]],"mmm")</f>
        <v>mar</v>
      </c>
    </row>
    <row r="982" spans="1:18">
      <c r="A982" s="446">
        <v>46092</v>
      </c>
      <c r="B982" s="331" t="s">
        <v>455</v>
      </c>
      <c r="C982" s="286" t="str">
        <f t="shared" si="1123"/>
        <v>Minnesota Timberwolves</v>
      </c>
      <c r="D982" s="286">
        <v>113</v>
      </c>
      <c r="E982" s="431">
        <v>128</v>
      </c>
      <c r="F982" s="332">
        <f t="shared" si="1124"/>
        <v>1</v>
      </c>
      <c r="G982" s="286" t="str">
        <f t="shared" si="1125"/>
        <v>LA Clippers</v>
      </c>
      <c r="H982" s="286">
        <v>114</v>
      </c>
      <c r="I982" s="431">
        <v>153</v>
      </c>
      <c r="J982" s="332">
        <f t="shared" si="1126"/>
        <v>1</v>
      </c>
      <c r="K982" s="286">
        <f t="shared" si="1127"/>
        <v>227</v>
      </c>
      <c r="L982" s="431">
        <f t="shared" si="1128"/>
        <v>281</v>
      </c>
      <c r="M982" s="332">
        <f t="shared" si="1129"/>
        <v>1</v>
      </c>
      <c r="N982" s="432">
        <f t="shared" si="1130"/>
        <v>1</v>
      </c>
      <c r="O982" s="451">
        <f t="shared" si="1131"/>
        <v>25</v>
      </c>
      <c r="P982" s="433">
        <f t="shared" si="1132"/>
        <v>1</v>
      </c>
      <c r="Q982" s="460">
        <f>WEEKNUM(tblResultadosNBA[[#This Row],[Fecha]],2)</f>
        <v>11</v>
      </c>
      <c r="R982" s="460" t="str">
        <f>TEXT(tblResultadosNBA[[#This Row],[Fecha]],"mmm")</f>
        <v>mar</v>
      </c>
    </row>
    <row r="983" spans="1:18">
      <c r="A983" s="439">
        <v>46093</v>
      </c>
      <c r="B983" s="422" t="s">
        <v>759</v>
      </c>
      <c r="C983" s="341" t="str">
        <f>LEFT(B983,FIND("@",B983)-2)</f>
        <v>Philadelphia 76ers</v>
      </c>
      <c r="D983" s="341">
        <v>113</v>
      </c>
      <c r="E983" s="342">
        <v>109</v>
      </c>
      <c r="F983" s="333">
        <f>IF(E983&gt;D983, 1, 0)</f>
        <v>0</v>
      </c>
      <c r="G983" s="341" t="str">
        <f>MID(B983,FIND("@",B983)+2,LEN(B983)-FIND("@",B983)-1)</f>
        <v>Detroit Pistons</v>
      </c>
      <c r="H983" s="341">
        <v>115</v>
      </c>
      <c r="I983" s="342">
        <v>131</v>
      </c>
      <c r="J983" s="333">
        <f>IF(I983&gt;H983, 1, 0)</f>
        <v>1</v>
      </c>
      <c r="K983" s="341">
        <f>+D983+H983</f>
        <v>228</v>
      </c>
      <c r="L983" s="342">
        <f>E983+I983</f>
        <v>240</v>
      </c>
      <c r="M983" s="333">
        <f>IF(L983&gt;K983, 1, 0)</f>
        <v>1</v>
      </c>
      <c r="N983" s="343">
        <f>(+H983-D983)</f>
        <v>2</v>
      </c>
      <c r="O983" s="449">
        <f>I983-E983</f>
        <v>22</v>
      </c>
      <c r="P983" s="289">
        <f>IF(OR(AND(N983&gt;0,O983&gt;0),AND(N983&lt;0,O983&lt;0)),1,0)</f>
        <v>1</v>
      </c>
      <c r="Q983" s="460">
        <f>WEEKNUM(tblResultadosNBA[[#This Row],[Fecha]],2)</f>
        <v>11</v>
      </c>
      <c r="R983" s="460" t="str">
        <f>TEXT(tblResultadosNBA[[#This Row],[Fecha]],"mmm")</f>
        <v>mar</v>
      </c>
    </row>
    <row r="984" spans="1:18">
      <c r="A984" s="439">
        <v>46093</v>
      </c>
      <c r="B984" s="302" t="s">
        <v>946</v>
      </c>
      <c r="C984" s="177" t="str">
        <f t="shared" ref="C984:C991" si="1133">LEFT(B984,FIND("@",B984)-2)</f>
        <v>Phoenix Suns</v>
      </c>
      <c r="D984" s="177">
        <v>115</v>
      </c>
      <c r="E984" s="336">
        <v>123</v>
      </c>
      <c r="F984" s="327">
        <f t="shared" ref="F984:F991" si="1134">IF(E984&gt;D984, 1, 0)</f>
        <v>1</v>
      </c>
      <c r="G984" s="177" t="str">
        <f t="shared" ref="G984:G991" si="1135">MID(B984,FIND("@",B984)+2,LEN(B984)-FIND("@",B984)-1)</f>
        <v>Indiana Pacers</v>
      </c>
      <c r="H984" s="177">
        <v>112</v>
      </c>
      <c r="I984" s="336">
        <v>108</v>
      </c>
      <c r="J984" s="327">
        <f t="shared" ref="J984:J991" si="1136">IF(I984&gt;H984, 1, 0)</f>
        <v>0</v>
      </c>
      <c r="K984" s="177">
        <f t="shared" ref="K984:K991" si="1137">+D984+H984</f>
        <v>227</v>
      </c>
      <c r="L984" s="336">
        <f t="shared" ref="L984:L991" si="1138">E984+I984</f>
        <v>231</v>
      </c>
      <c r="M984" s="327">
        <f t="shared" ref="M984:M991" si="1139">IF(L984&gt;K984, 1, 0)</f>
        <v>1</v>
      </c>
      <c r="N984" s="337">
        <f t="shared" ref="N984:N991" si="1140">(+H984-D984)</f>
        <v>-3</v>
      </c>
      <c r="O984" s="395">
        <f t="shared" ref="O984:O991" si="1141">I984-E984</f>
        <v>-15</v>
      </c>
      <c r="P984" s="289">
        <f t="shared" ref="P984:P991" si="1142">IF(OR(AND(N984&gt;0,O984&gt;0),AND(N984&lt;0,O984&lt;0)),1,0)</f>
        <v>1</v>
      </c>
      <c r="Q984" s="460">
        <f>WEEKNUM(tblResultadosNBA[[#This Row],[Fecha]],2)</f>
        <v>11</v>
      </c>
      <c r="R984" s="460" t="str">
        <f>TEXT(tblResultadosNBA[[#This Row],[Fecha]],"mmm")</f>
        <v>mar</v>
      </c>
    </row>
    <row r="985" spans="1:18">
      <c r="A985" s="439">
        <v>46093</v>
      </c>
      <c r="B985" s="302" t="s">
        <v>456</v>
      </c>
      <c r="C985" s="177" t="str">
        <f t="shared" si="1133"/>
        <v>Washington Wizards</v>
      </c>
      <c r="D985" s="177">
        <v>110</v>
      </c>
      <c r="E985" s="336">
        <v>131</v>
      </c>
      <c r="F985" s="327">
        <f t="shared" si="1134"/>
        <v>1</v>
      </c>
      <c r="G985" s="177" t="str">
        <f t="shared" si="1135"/>
        <v>Orlando Magic</v>
      </c>
      <c r="H985" s="177">
        <v>118</v>
      </c>
      <c r="I985" s="336">
        <v>136</v>
      </c>
      <c r="J985" s="327">
        <f t="shared" si="1136"/>
        <v>1</v>
      </c>
      <c r="K985" s="177">
        <f t="shared" si="1137"/>
        <v>228</v>
      </c>
      <c r="L985" s="336">
        <f t="shared" si="1138"/>
        <v>267</v>
      </c>
      <c r="M985" s="327">
        <f t="shared" si="1139"/>
        <v>1</v>
      </c>
      <c r="N985" s="337">
        <f t="shared" si="1140"/>
        <v>8</v>
      </c>
      <c r="O985" s="395">
        <f t="shared" si="1141"/>
        <v>5</v>
      </c>
      <c r="P985" s="289">
        <f t="shared" si="1142"/>
        <v>1</v>
      </c>
      <c r="Q985" s="460">
        <f>WEEKNUM(tblResultadosNBA[[#This Row],[Fecha]],2)</f>
        <v>11</v>
      </c>
      <c r="R985" s="460" t="str">
        <f>TEXT(tblResultadosNBA[[#This Row],[Fecha]],"mmm")</f>
        <v>mar</v>
      </c>
    </row>
    <row r="986" spans="1:18">
      <c r="A986" s="439">
        <v>46093</v>
      </c>
      <c r="B986" s="302" t="s">
        <v>386</v>
      </c>
      <c r="C986" s="177" t="str">
        <f t="shared" si="1133"/>
        <v>Brooklyn Nets</v>
      </c>
      <c r="D986" s="177">
        <v>109</v>
      </c>
      <c r="E986" s="336">
        <v>97</v>
      </c>
      <c r="F986" s="327">
        <f t="shared" si="1134"/>
        <v>0</v>
      </c>
      <c r="G986" s="177" t="str">
        <f t="shared" si="1135"/>
        <v>Atlanta Hawks</v>
      </c>
      <c r="H986" s="177">
        <v>114</v>
      </c>
      <c r="I986" s="336">
        <v>108</v>
      </c>
      <c r="J986" s="327">
        <f t="shared" si="1136"/>
        <v>0</v>
      </c>
      <c r="K986" s="177">
        <f t="shared" si="1137"/>
        <v>223</v>
      </c>
      <c r="L986" s="336">
        <f t="shared" si="1138"/>
        <v>205</v>
      </c>
      <c r="M986" s="327">
        <f t="shared" si="1139"/>
        <v>0</v>
      </c>
      <c r="N986" s="337">
        <f t="shared" si="1140"/>
        <v>5</v>
      </c>
      <c r="O986" s="395">
        <f t="shared" si="1141"/>
        <v>11</v>
      </c>
      <c r="P986" s="289">
        <f t="shared" si="1142"/>
        <v>1</v>
      </c>
      <c r="Q986" s="460">
        <f>WEEKNUM(tblResultadosNBA[[#This Row],[Fecha]],2)</f>
        <v>11</v>
      </c>
      <c r="R986" s="460" t="str">
        <f>TEXT(tblResultadosNBA[[#This Row],[Fecha]],"mmm")</f>
        <v>mar</v>
      </c>
    </row>
    <row r="987" spans="1:18">
      <c r="A987" s="439">
        <v>46093</v>
      </c>
      <c r="B987" s="302" t="s">
        <v>457</v>
      </c>
      <c r="C987" s="177" t="str">
        <f t="shared" si="1133"/>
        <v>Milwaukee Bucks</v>
      </c>
      <c r="D987" s="177">
        <v>112</v>
      </c>
      <c r="E987" s="336">
        <v>105</v>
      </c>
      <c r="F987" s="327">
        <f t="shared" si="1134"/>
        <v>0</v>
      </c>
      <c r="G987" s="177" t="str">
        <f t="shared" si="1135"/>
        <v>Miami Heat</v>
      </c>
      <c r="H987" s="177">
        <v>115</v>
      </c>
      <c r="I987" s="336">
        <v>112</v>
      </c>
      <c r="J987" s="327">
        <f t="shared" si="1136"/>
        <v>0</v>
      </c>
      <c r="K987" s="177">
        <f t="shared" si="1137"/>
        <v>227</v>
      </c>
      <c r="L987" s="336">
        <f t="shared" si="1138"/>
        <v>217</v>
      </c>
      <c r="M987" s="327">
        <f t="shared" si="1139"/>
        <v>0</v>
      </c>
      <c r="N987" s="337">
        <f t="shared" si="1140"/>
        <v>3</v>
      </c>
      <c r="O987" s="395">
        <f t="shared" si="1141"/>
        <v>7</v>
      </c>
      <c r="P987" s="289">
        <f t="shared" si="1142"/>
        <v>1</v>
      </c>
      <c r="Q987" s="460">
        <f>WEEKNUM(tblResultadosNBA[[#This Row],[Fecha]],2)</f>
        <v>11</v>
      </c>
      <c r="R987" s="460" t="str">
        <f>TEXT(tblResultadosNBA[[#This Row],[Fecha]],"mmm")</f>
        <v>mar</v>
      </c>
    </row>
    <row r="988" spans="1:18">
      <c r="A988" s="439">
        <v>46093</v>
      </c>
      <c r="B988" s="302" t="s">
        <v>458</v>
      </c>
      <c r="C988" s="177" t="str">
        <f t="shared" si="1133"/>
        <v>Dallas Mavericks</v>
      </c>
      <c r="D988" s="177">
        <v>113</v>
      </c>
      <c r="E988" s="336">
        <v>120</v>
      </c>
      <c r="F988" s="327">
        <f t="shared" si="1134"/>
        <v>1</v>
      </c>
      <c r="G988" s="177" t="str">
        <f t="shared" si="1135"/>
        <v>Memphis Grizzlies</v>
      </c>
      <c r="H988" s="177">
        <v>114</v>
      </c>
      <c r="I988" s="336">
        <v>112</v>
      </c>
      <c r="J988" s="327">
        <f t="shared" si="1136"/>
        <v>0</v>
      </c>
      <c r="K988" s="177">
        <f t="shared" si="1137"/>
        <v>227</v>
      </c>
      <c r="L988" s="336">
        <f t="shared" si="1138"/>
        <v>232</v>
      </c>
      <c r="M988" s="327">
        <f t="shared" si="1139"/>
        <v>1</v>
      </c>
      <c r="N988" s="337">
        <f t="shared" si="1140"/>
        <v>1</v>
      </c>
      <c r="O988" s="395">
        <f t="shared" si="1141"/>
        <v>-8</v>
      </c>
      <c r="P988" s="289">
        <f t="shared" si="1142"/>
        <v>0</v>
      </c>
      <c r="Q988" s="460">
        <f>WEEKNUM(tblResultadosNBA[[#This Row],[Fecha]],2)</f>
        <v>11</v>
      </c>
      <c r="R988" s="460" t="str">
        <f>TEXT(tblResultadosNBA[[#This Row],[Fecha]],"mmm")</f>
        <v>mar</v>
      </c>
    </row>
    <row r="989" spans="1:18">
      <c r="A989" s="439">
        <v>46093</v>
      </c>
      <c r="B989" s="302" t="s">
        <v>459</v>
      </c>
      <c r="C989" s="177" t="str">
        <f t="shared" si="1133"/>
        <v>Denver Nuggets</v>
      </c>
      <c r="D989" s="177">
        <v>119</v>
      </c>
      <c r="E989" s="336">
        <v>136</v>
      </c>
      <c r="F989" s="327">
        <f t="shared" si="1134"/>
        <v>1</v>
      </c>
      <c r="G989" s="177" t="str">
        <f t="shared" si="1135"/>
        <v>San Antonio Spurs</v>
      </c>
      <c r="H989" s="177">
        <v>120</v>
      </c>
      <c r="I989" s="336">
        <v>131</v>
      </c>
      <c r="J989" s="327">
        <f t="shared" si="1136"/>
        <v>1</v>
      </c>
      <c r="K989" s="177">
        <f t="shared" si="1137"/>
        <v>239</v>
      </c>
      <c r="L989" s="336">
        <f t="shared" si="1138"/>
        <v>267</v>
      </c>
      <c r="M989" s="327">
        <f t="shared" si="1139"/>
        <v>1</v>
      </c>
      <c r="N989" s="337">
        <f t="shared" si="1140"/>
        <v>1</v>
      </c>
      <c r="O989" s="395">
        <f t="shared" si="1141"/>
        <v>-5</v>
      </c>
      <c r="P989" s="289">
        <f t="shared" si="1142"/>
        <v>0</v>
      </c>
      <c r="Q989" s="460">
        <f>WEEKNUM(tblResultadosNBA[[#This Row],[Fecha]],2)</f>
        <v>11</v>
      </c>
      <c r="R989" s="460" t="str">
        <f>TEXT(tblResultadosNBA[[#This Row],[Fecha]],"mmm")</f>
        <v>mar</v>
      </c>
    </row>
    <row r="990" spans="1:18">
      <c r="A990" s="439">
        <v>46093</v>
      </c>
      <c r="B990" s="302" t="s">
        <v>947</v>
      </c>
      <c r="C990" s="177" t="str">
        <f t="shared" si="1133"/>
        <v>Boston Celtics</v>
      </c>
      <c r="D990" s="177">
        <v>108</v>
      </c>
      <c r="E990" s="336">
        <v>102</v>
      </c>
      <c r="F990" s="327">
        <f t="shared" si="1134"/>
        <v>0</v>
      </c>
      <c r="G990" s="177" t="str">
        <f t="shared" si="1135"/>
        <v>Oklahoma City Thunder</v>
      </c>
      <c r="H990" s="177">
        <v>112</v>
      </c>
      <c r="I990" s="336">
        <v>104</v>
      </c>
      <c r="J990" s="327">
        <f t="shared" si="1136"/>
        <v>0</v>
      </c>
      <c r="K990" s="177">
        <f t="shared" si="1137"/>
        <v>220</v>
      </c>
      <c r="L990" s="336">
        <f t="shared" si="1138"/>
        <v>206</v>
      </c>
      <c r="M990" s="327">
        <f t="shared" si="1139"/>
        <v>0</v>
      </c>
      <c r="N990" s="337">
        <f t="shared" si="1140"/>
        <v>4</v>
      </c>
      <c r="O990" s="395">
        <f t="shared" si="1141"/>
        <v>2</v>
      </c>
      <c r="P990" s="289">
        <f t="shared" si="1142"/>
        <v>1</v>
      </c>
      <c r="Q990" s="460">
        <f>WEEKNUM(tblResultadosNBA[[#This Row],[Fecha]],2)</f>
        <v>11</v>
      </c>
      <c r="R990" s="460" t="str">
        <f>TEXT(tblResultadosNBA[[#This Row],[Fecha]],"mmm")</f>
        <v>mar</v>
      </c>
    </row>
    <row r="991" spans="1:18">
      <c r="A991" s="446">
        <v>46093</v>
      </c>
      <c r="B991" s="331" t="s">
        <v>460</v>
      </c>
      <c r="C991" s="286" t="str">
        <f t="shared" si="1133"/>
        <v>Chicago Bulls</v>
      </c>
      <c r="D991" s="286">
        <v>110</v>
      </c>
      <c r="E991" s="431">
        <v>130</v>
      </c>
      <c r="F991" s="332">
        <f t="shared" si="1134"/>
        <v>1</v>
      </c>
      <c r="G991" s="286" t="str">
        <f t="shared" si="1135"/>
        <v>Los Angeles Lakers</v>
      </c>
      <c r="H991" s="286">
        <v>121</v>
      </c>
      <c r="I991" s="431">
        <v>142</v>
      </c>
      <c r="J991" s="332">
        <f t="shared" si="1136"/>
        <v>1</v>
      </c>
      <c r="K991" s="286">
        <f t="shared" si="1137"/>
        <v>231</v>
      </c>
      <c r="L991" s="431">
        <f t="shared" si="1138"/>
        <v>272</v>
      </c>
      <c r="M991" s="332">
        <f t="shared" si="1139"/>
        <v>1</v>
      </c>
      <c r="N991" s="432">
        <f t="shared" si="1140"/>
        <v>11</v>
      </c>
      <c r="O991" s="451">
        <f t="shared" si="1141"/>
        <v>12</v>
      </c>
      <c r="P991" s="433">
        <f t="shared" si="1142"/>
        <v>1</v>
      </c>
      <c r="Q991" s="460">
        <f>WEEKNUM(tblResultadosNBA[[#This Row],[Fecha]],2)</f>
        <v>11</v>
      </c>
      <c r="R991" s="460" t="str">
        <f>TEXT(tblResultadosNBA[[#This Row],[Fecha]],"mmm")</f>
        <v>mar</v>
      </c>
    </row>
    <row r="992" spans="1:18">
      <c r="A992" s="439">
        <v>46094</v>
      </c>
      <c r="B992" s="422" t="s">
        <v>461</v>
      </c>
      <c r="C992" s="587" t="str">
        <f>LEFT(B992,FIND("@",B992)-2)</f>
        <v>Memphis Grizzlies</v>
      </c>
      <c r="D992" s="341">
        <v>117</v>
      </c>
      <c r="E992" s="342">
        <v>110</v>
      </c>
      <c r="F992" s="333">
        <f>IF(E992&gt;D992, 1, 0)</f>
        <v>0</v>
      </c>
      <c r="G992" s="341" t="str">
        <f>MID(B992,FIND("@",B992)+2,LEN(B992)-FIND("@",B992)-1)</f>
        <v>Detroit Pistons</v>
      </c>
      <c r="H992" s="341">
        <v>116</v>
      </c>
      <c r="I992" s="342">
        <v>126</v>
      </c>
      <c r="J992" s="333">
        <f>IF(I992&gt;H992, 1, 0)</f>
        <v>1</v>
      </c>
      <c r="K992" s="341">
        <f>+D992+H992</f>
        <v>233</v>
      </c>
      <c r="L992" s="342">
        <f>E992+I992</f>
        <v>236</v>
      </c>
      <c r="M992" s="333">
        <f>IF(L992&gt;K992, 1, 0)</f>
        <v>1</v>
      </c>
      <c r="N992" s="343">
        <f>(+H992-D992)</f>
        <v>-1</v>
      </c>
      <c r="O992" s="449">
        <f>I992-E992</f>
        <v>16</v>
      </c>
      <c r="P992" s="289">
        <f>IF(OR(AND(N992&gt;0,O992&gt;0),AND(N992&lt;0,O992&lt;0)),1,0)</f>
        <v>0</v>
      </c>
      <c r="Q992" s="460">
        <f>WEEKNUM(tblResultadosNBA[[#This Row],[Fecha]],2)</f>
        <v>11</v>
      </c>
      <c r="R992" s="460" t="str">
        <f>TEXT(tblResultadosNBA[[#This Row],[Fecha]],"mmm")</f>
        <v>mar</v>
      </c>
    </row>
    <row r="993" spans="1:18">
      <c r="A993" s="439">
        <v>46094</v>
      </c>
      <c r="B993" s="302" t="s">
        <v>187</v>
      </c>
      <c r="C993" s="586" t="str">
        <f t="shared" ref="C993:C999" si="1143">LEFT(B993,FIND("@",B993)-2)</f>
        <v>New York Knicks</v>
      </c>
      <c r="D993" s="177">
        <v>115</v>
      </c>
      <c r="E993" s="336">
        <v>101</v>
      </c>
      <c r="F993" s="327">
        <f t="shared" ref="F993:F999" si="1144">IF(E993&gt;D993, 1, 0)</f>
        <v>0</v>
      </c>
      <c r="G993" s="586" t="str">
        <f t="shared" ref="G993:G999" si="1145">MID(B993,FIND("@",B993)+2,LEN(B993)-FIND("@",B993)-1)</f>
        <v>Indiana Pacers</v>
      </c>
      <c r="H993" s="177">
        <v>113</v>
      </c>
      <c r="I993" s="336">
        <v>92</v>
      </c>
      <c r="J993" s="327">
        <f t="shared" ref="J993:J999" si="1146">IF(I993&gt;H993, 1, 0)</f>
        <v>0</v>
      </c>
      <c r="K993" s="177">
        <f t="shared" ref="K993:K999" si="1147">+D993+H993</f>
        <v>228</v>
      </c>
      <c r="L993" s="336">
        <f t="shared" ref="L993:L999" si="1148">E993+I993</f>
        <v>193</v>
      </c>
      <c r="M993" s="327">
        <f t="shared" ref="M993:M999" si="1149">IF(L993&gt;K993, 1, 0)</f>
        <v>0</v>
      </c>
      <c r="N993" s="337">
        <f t="shared" ref="N993:N999" si="1150">(+H993-D993)</f>
        <v>-2</v>
      </c>
      <c r="O993" s="395">
        <f t="shared" ref="O993:O999" si="1151">I993-E993</f>
        <v>-9</v>
      </c>
      <c r="P993" s="289">
        <f t="shared" ref="P993:P999" si="1152">IF(OR(AND(N993&gt;0,O993&gt;0),AND(N993&lt;0,O993&lt;0)),1,0)</f>
        <v>1</v>
      </c>
      <c r="Q993" s="460">
        <f>WEEKNUM(tblResultadosNBA[[#This Row],[Fecha]],2)</f>
        <v>11</v>
      </c>
      <c r="R993" s="460" t="str">
        <f>TEXT(tblResultadosNBA[[#This Row],[Fecha]],"mmm")</f>
        <v>mar</v>
      </c>
    </row>
    <row r="994" spans="1:18">
      <c r="A994" s="439">
        <v>46094</v>
      </c>
      <c r="B994" s="302" t="s">
        <v>948</v>
      </c>
      <c r="C994" s="586" t="str">
        <f t="shared" si="1143"/>
        <v>Phoenix Suns</v>
      </c>
      <c r="D994" s="177">
        <v>112</v>
      </c>
      <c r="E994" s="336">
        <v>115</v>
      </c>
      <c r="F994" s="327">
        <f t="shared" si="1144"/>
        <v>1</v>
      </c>
      <c r="G994" s="586" t="str">
        <f t="shared" si="1145"/>
        <v>Toronto Raptors</v>
      </c>
      <c r="H994" s="177">
        <v>111</v>
      </c>
      <c r="I994" s="336">
        <v>122</v>
      </c>
      <c r="J994" s="327">
        <f t="shared" si="1146"/>
        <v>1</v>
      </c>
      <c r="K994" s="177">
        <f t="shared" si="1147"/>
        <v>223</v>
      </c>
      <c r="L994" s="336">
        <f t="shared" si="1148"/>
        <v>237</v>
      </c>
      <c r="M994" s="327">
        <f t="shared" si="1149"/>
        <v>1</v>
      </c>
      <c r="N994" s="337">
        <f t="shared" si="1150"/>
        <v>-1</v>
      </c>
      <c r="O994" s="395">
        <f t="shared" si="1151"/>
        <v>7</v>
      </c>
      <c r="P994" s="289">
        <f t="shared" si="1152"/>
        <v>0</v>
      </c>
      <c r="Q994" s="460">
        <f>WEEKNUM(tblResultadosNBA[[#This Row],[Fecha]],2)</f>
        <v>11</v>
      </c>
      <c r="R994" s="460" t="str">
        <f>TEXT(tblResultadosNBA[[#This Row],[Fecha]],"mmm")</f>
        <v>mar</v>
      </c>
    </row>
    <row r="995" spans="1:18">
      <c r="A995" s="439">
        <v>46094</v>
      </c>
      <c r="B995" s="302" t="s">
        <v>462</v>
      </c>
      <c r="C995" s="177" t="str">
        <f t="shared" si="1143"/>
        <v>Cleveland Cavaliers</v>
      </c>
      <c r="D995" s="177">
        <v>113</v>
      </c>
      <c r="E995" s="336">
        <v>138</v>
      </c>
      <c r="F995" s="327">
        <f t="shared" si="1144"/>
        <v>1</v>
      </c>
      <c r="G995" s="586" t="str">
        <f t="shared" si="1145"/>
        <v>Dallas Mavericks</v>
      </c>
      <c r="H995" s="177">
        <v>112</v>
      </c>
      <c r="I995" s="336">
        <v>105</v>
      </c>
      <c r="J995" s="327">
        <f t="shared" si="1146"/>
        <v>0</v>
      </c>
      <c r="K995" s="177">
        <f t="shared" si="1147"/>
        <v>225</v>
      </c>
      <c r="L995" s="336">
        <f t="shared" si="1148"/>
        <v>243</v>
      </c>
      <c r="M995" s="327">
        <f t="shared" si="1149"/>
        <v>1</v>
      </c>
      <c r="N995" s="337">
        <f t="shared" si="1150"/>
        <v>-1</v>
      </c>
      <c r="O995" s="395">
        <f t="shared" si="1151"/>
        <v>-33</v>
      </c>
      <c r="P995" s="289">
        <f t="shared" si="1152"/>
        <v>1</v>
      </c>
      <c r="Q995" s="460">
        <f>WEEKNUM(tblResultadosNBA[[#This Row],[Fecha]],2)</f>
        <v>11</v>
      </c>
      <c r="R995" s="460" t="str">
        <f>TEXT(tblResultadosNBA[[#This Row],[Fecha]],"mmm")</f>
        <v>mar</v>
      </c>
    </row>
    <row r="996" spans="1:18">
      <c r="A996" s="439">
        <v>46094</v>
      </c>
      <c r="B996" s="302" t="s">
        <v>463</v>
      </c>
      <c r="C996" s="177" t="str">
        <f t="shared" si="1143"/>
        <v>New Orleans Pelicans</v>
      </c>
      <c r="D996" s="177">
        <v>114</v>
      </c>
      <c r="E996" s="336">
        <v>105</v>
      </c>
      <c r="F996" s="327">
        <f t="shared" si="1144"/>
        <v>0</v>
      </c>
      <c r="G996" s="586" t="str">
        <f t="shared" si="1145"/>
        <v>Houston Rockets</v>
      </c>
      <c r="H996" s="177">
        <v>115</v>
      </c>
      <c r="I996" s="336">
        <v>107</v>
      </c>
      <c r="J996" s="327">
        <f t="shared" si="1146"/>
        <v>0</v>
      </c>
      <c r="K996" s="177">
        <f t="shared" si="1147"/>
        <v>229</v>
      </c>
      <c r="L996" s="336">
        <f t="shared" si="1148"/>
        <v>212</v>
      </c>
      <c r="M996" s="327">
        <f t="shared" si="1149"/>
        <v>0</v>
      </c>
      <c r="N996" s="337">
        <f t="shared" si="1150"/>
        <v>1</v>
      </c>
      <c r="O996" s="395">
        <f t="shared" si="1151"/>
        <v>2</v>
      </c>
      <c r="P996" s="289">
        <f t="shared" si="1152"/>
        <v>1</v>
      </c>
      <c r="Q996" s="460">
        <f>WEEKNUM(tblResultadosNBA[[#This Row],[Fecha]],2)</f>
        <v>11</v>
      </c>
      <c r="R996" s="460" t="str">
        <f>TEXT(tblResultadosNBA[[#This Row],[Fecha]],"mmm")</f>
        <v>mar</v>
      </c>
    </row>
    <row r="997" spans="1:18">
      <c r="A997" s="439">
        <v>46094</v>
      </c>
      <c r="B997" s="302" t="s">
        <v>176</v>
      </c>
      <c r="C997" s="177" t="str">
        <f t="shared" si="1143"/>
        <v>Minnesota Timberwolves</v>
      </c>
      <c r="D997" s="177">
        <v>115</v>
      </c>
      <c r="E997" s="336">
        <v>127</v>
      </c>
      <c r="F997" s="327">
        <f t="shared" si="1144"/>
        <v>1</v>
      </c>
      <c r="G997" s="586" t="str">
        <f t="shared" si="1145"/>
        <v>Golden State Warriors</v>
      </c>
      <c r="H997" s="177">
        <v>115</v>
      </c>
      <c r="I997" s="336">
        <v>117</v>
      </c>
      <c r="J997" s="327">
        <f t="shared" si="1146"/>
        <v>1</v>
      </c>
      <c r="K997" s="177">
        <f t="shared" si="1147"/>
        <v>230</v>
      </c>
      <c r="L997" s="336">
        <f t="shared" si="1148"/>
        <v>244</v>
      </c>
      <c r="M997" s="327">
        <f t="shared" si="1149"/>
        <v>1</v>
      </c>
      <c r="N997" s="337">
        <f t="shared" si="1150"/>
        <v>0</v>
      </c>
      <c r="O997" s="395">
        <f t="shared" si="1151"/>
        <v>-10</v>
      </c>
      <c r="P997" s="289">
        <f t="shared" si="1152"/>
        <v>0</v>
      </c>
      <c r="Q997" s="460">
        <f>WEEKNUM(tblResultadosNBA[[#This Row],[Fecha]],2)</f>
        <v>11</v>
      </c>
      <c r="R997" s="460" t="str">
        <f>TEXT(tblResultadosNBA[[#This Row],[Fecha]],"mmm")</f>
        <v>mar</v>
      </c>
    </row>
    <row r="998" spans="1:18">
      <c r="A998" s="439">
        <v>46094</v>
      </c>
      <c r="B998" s="302" t="s">
        <v>464</v>
      </c>
      <c r="C998" s="177" t="str">
        <f t="shared" si="1143"/>
        <v>Utah Jazz</v>
      </c>
      <c r="D998" s="177">
        <v>117</v>
      </c>
      <c r="E998" s="336">
        <v>114</v>
      </c>
      <c r="F998" s="327">
        <f t="shared" si="1144"/>
        <v>0</v>
      </c>
      <c r="G998" s="177" t="str">
        <f t="shared" si="1145"/>
        <v>Portland Trail Blazers</v>
      </c>
      <c r="H998" s="177">
        <v>120</v>
      </c>
      <c r="I998" s="336">
        <v>124</v>
      </c>
      <c r="J998" s="327">
        <f t="shared" si="1146"/>
        <v>1</v>
      </c>
      <c r="K998" s="177">
        <f t="shared" si="1147"/>
        <v>237</v>
      </c>
      <c r="L998" s="336">
        <f t="shared" si="1148"/>
        <v>238</v>
      </c>
      <c r="M998" s="327">
        <f t="shared" si="1149"/>
        <v>1</v>
      </c>
      <c r="N998" s="337">
        <f t="shared" si="1150"/>
        <v>3</v>
      </c>
      <c r="O998" s="395">
        <f t="shared" si="1151"/>
        <v>10</v>
      </c>
      <c r="P998" s="289">
        <f t="shared" si="1152"/>
        <v>1</v>
      </c>
      <c r="Q998" s="460">
        <f>WEEKNUM(tblResultadosNBA[[#This Row],[Fecha]],2)</f>
        <v>11</v>
      </c>
      <c r="R998" s="460" t="str">
        <f>TEXT(tblResultadosNBA[[#This Row],[Fecha]],"mmm")</f>
        <v>mar</v>
      </c>
    </row>
    <row r="999" spans="1:18">
      <c r="A999" s="446">
        <v>46094</v>
      </c>
      <c r="B999" s="331" t="s">
        <v>465</v>
      </c>
      <c r="C999" s="286" t="str">
        <f t="shared" si="1143"/>
        <v>Chicago Bulls</v>
      </c>
      <c r="D999" s="286">
        <v>108</v>
      </c>
      <c r="E999" s="431">
        <v>108</v>
      </c>
      <c r="F999" s="332">
        <f t="shared" si="1144"/>
        <v>0</v>
      </c>
      <c r="G999" s="286" t="str">
        <f t="shared" si="1145"/>
        <v>LA Clippers</v>
      </c>
      <c r="H999" s="286">
        <v>119</v>
      </c>
      <c r="I999" s="431">
        <v>119</v>
      </c>
      <c r="J999" s="332">
        <f t="shared" si="1146"/>
        <v>0</v>
      </c>
      <c r="K999" s="286">
        <f t="shared" si="1147"/>
        <v>227</v>
      </c>
      <c r="L999" s="431">
        <f t="shared" si="1148"/>
        <v>227</v>
      </c>
      <c r="M999" s="332">
        <f t="shared" si="1149"/>
        <v>0</v>
      </c>
      <c r="N999" s="432">
        <f t="shared" si="1150"/>
        <v>11</v>
      </c>
      <c r="O999" s="451">
        <f t="shared" si="1151"/>
        <v>11</v>
      </c>
      <c r="P999" s="433">
        <f t="shared" si="1152"/>
        <v>1</v>
      </c>
      <c r="Q999" s="460">
        <f>WEEKNUM(tblResultadosNBA[[#This Row],[Fecha]],2)</f>
        <v>11</v>
      </c>
      <c r="R999" s="460" t="str">
        <f>TEXT(tblResultadosNBA[[#This Row],[Fecha]],"mmm")</f>
        <v>mar</v>
      </c>
    </row>
    <row r="1000" spans="1:18">
      <c r="A1000" s="439">
        <v>46095</v>
      </c>
      <c r="B1000" s="422" t="s">
        <v>214</v>
      </c>
      <c r="C1000" s="341" t="str">
        <f>LEFT(B1000,FIND("@",B1000)-2)</f>
        <v>Brooklyn Nets</v>
      </c>
      <c r="D1000" s="341">
        <v>106</v>
      </c>
      <c r="E1000" s="342">
        <v>97</v>
      </c>
      <c r="F1000" s="333">
        <f>IF(E1000&gt;D1000, 1, 0)</f>
        <v>0</v>
      </c>
      <c r="G1000" s="341" t="str">
        <f>MID(B1000,FIND("@",B1000)+2,LEN(B1000)-FIND("@",B1000)-1)</f>
        <v>Philadelphia 76ers</v>
      </c>
      <c r="H1000" s="341">
        <v>110</v>
      </c>
      <c r="I1000" s="342">
        <v>104</v>
      </c>
      <c r="J1000" s="333">
        <f>IF(I1000&gt;H1000, 1, 0)</f>
        <v>0</v>
      </c>
      <c r="K1000" s="341">
        <f>+D1000+H1000</f>
        <v>216</v>
      </c>
      <c r="L1000" s="342">
        <f>E1000+I1000</f>
        <v>201</v>
      </c>
      <c r="M1000" s="333">
        <f>IF(L1000&gt;K1000, 1, 0)</f>
        <v>0</v>
      </c>
      <c r="N1000" s="343">
        <f>(+H1000-D1000)</f>
        <v>4</v>
      </c>
      <c r="O1000" s="449">
        <f>I1000-E1000</f>
        <v>7</v>
      </c>
      <c r="P1000" s="289">
        <f>IF(OR(AND(N1000&gt;0,O1000&gt;0),AND(N1000&lt;0,O1000&lt;0)),1,0)</f>
        <v>1</v>
      </c>
      <c r="Q1000" s="460">
        <f>WEEKNUM(tblResultadosNBA[[#This Row],[Fecha]],2)</f>
        <v>11</v>
      </c>
      <c r="R1000" s="460" t="str">
        <f>TEXT(tblResultadosNBA[[#This Row],[Fecha]],"mmm")</f>
        <v>mar</v>
      </c>
    </row>
    <row r="1001" spans="1:18">
      <c r="A1001" s="439">
        <v>46095</v>
      </c>
      <c r="B1001" s="302" t="s">
        <v>873</v>
      </c>
      <c r="C1001" s="177" t="str">
        <f t="shared" ref="C1001:C1006" si="1153">LEFT(B1001,FIND("@",B1001)-2)</f>
        <v>Milwaukee Bucks</v>
      </c>
      <c r="D1001" s="177">
        <v>116</v>
      </c>
      <c r="E1001" s="336">
        <v>99</v>
      </c>
      <c r="F1001" s="327">
        <f t="shared" ref="F1001:F1006" si="1154">IF(E1001&gt;D1001, 1, 0)</f>
        <v>0</v>
      </c>
      <c r="G1001" s="177" t="str">
        <f t="shared" ref="G1001:G1006" si="1155">MID(B1001,FIND("@",B1001)+2,LEN(B1001)-FIND("@",B1001)-1)</f>
        <v>Atlanta Hawks</v>
      </c>
      <c r="H1001" s="177">
        <v>117</v>
      </c>
      <c r="I1001" s="336">
        <v>122</v>
      </c>
      <c r="J1001" s="327">
        <f t="shared" ref="J1001:J1006" si="1156">IF(I1001&gt;H1001, 1, 0)</f>
        <v>1</v>
      </c>
      <c r="K1001" s="177">
        <f t="shared" ref="K1001:K1006" si="1157">+D1001+H1001</f>
        <v>233</v>
      </c>
      <c r="L1001" s="336">
        <f t="shared" ref="L1001:L1006" si="1158">E1001+I1001</f>
        <v>221</v>
      </c>
      <c r="M1001" s="327">
        <f t="shared" ref="M1001:M1006" si="1159">IF(L1001&gt;K1001, 1, 0)</f>
        <v>0</v>
      </c>
      <c r="N1001" s="337">
        <f t="shared" ref="N1001:N1006" si="1160">(+H1001-D1001)</f>
        <v>1</v>
      </c>
      <c r="O1001" s="395">
        <f t="shared" ref="O1001:O1006" si="1161">I1001-E1001</f>
        <v>23</v>
      </c>
      <c r="P1001" s="289">
        <f t="shared" ref="P1001:P1006" si="1162">IF(OR(AND(N1001&gt;0,O1001&gt;0),AND(N1001&lt;0,O1001&lt;0)),1,0)</f>
        <v>1</v>
      </c>
      <c r="Q1001" s="460">
        <f>WEEKNUM(tblResultadosNBA[[#This Row],[Fecha]],2)</f>
        <v>11</v>
      </c>
      <c r="R1001" s="460" t="str">
        <f>TEXT(tblResultadosNBA[[#This Row],[Fecha]],"mmm")</f>
        <v>mar</v>
      </c>
    </row>
    <row r="1002" spans="1:18">
      <c r="A1002" s="439">
        <v>46095</v>
      </c>
      <c r="B1002" s="302" t="s">
        <v>949</v>
      </c>
      <c r="C1002" s="177" t="str">
        <f t="shared" si="1153"/>
        <v>Charlotte Hornets</v>
      </c>
      <c r="D1002" s="177">
        <v>115</v>
      </c>
      <c r="E1002" s="336">
        <v>102</v>
      </c>
      <c r="F1002" s="327">
        <f t="shared" si="1154"/>
        <v>0</v>
      </c>
      <c r="G1002" s="177" t="str">
        <f t="shared" si="1155"/>
        <v>San Antonio Spurs</v>
      </c>
      <c r="H1002" s="177">
        <v>120</v>
      </c>
      <c r="I1002" s="336">
        <v>115</v>
      </c>
      <c r="J1002" s="327">
        <f t="shared" si="1156"/>
        <v>0</v>
      </c>
      <c r="K1002" s="177">
        <f t="shared" si="1157"/>
        <v>235</v>
      </c>
      <c r="L1002" s="336">
        <f t="shared" si="1158"/>
        <v>217</v>
      </c>
      <c r="M1002" s="327">
        <f t="shared" si="1159"/>
        <v>0</v>
      </c>
      <c r="N1002" s="337">
        <f t="shared" si="1160"/>
        <v>5</v>
      </c>
      <c r="O1002" s="395">
        <f t="shared" si="1161"/>
        <v>13</v>
      </c>
      <c r="P1002" s="289">
        <f t="shared" si="1162"/>
        <v>1</v>
      </c>
      <c r="Q1002" s="460">
        <f>WEEKNUM(tblResultadosNBA[[#This Row],[Fecha]],2)</f>
        <v>11</v>
      </c>
      <c r="R1002" s="460" t="str">
        <f>TEXT(tblResultadosNBA[[#This Row],[Fecha]],"mmm")</f>
        <v>mar</v>
      </c>
    </row>
    <row r="1003" spans="1:18">
      <c r="A1003" s="439">
        <v>46095</v>
      </c>
      <c r="B1003" s="302" t="s">
        <v>466</v>
      </c>
      <c r="C1003" s="177" t="str">
        <f t="shared" si="1153"/>
        <v>Washington Wizards</v>
      </c>
      <c r="D1003" s="177">
        <v>106</v>
      </c>
      <c r="E1003" s="336">
        <v>100</v>
      </c>
      <c r="F1003" s="327">
        <f t="shared" si="1154"/>
        <v>0</v>
      </c>
      <c r="G1003" s="177" t="str">
        <f t="shared" si="1155"/>
        <v>Boston Celtics</v>
      </c>
      <c r="H1003" s="177">
        <v>120</v>
      </c>
      <c r="I1003" s="336">
        <v>111</v>
      </c>
      <c r="J1003" s="327">
        <f t="shared" si="1156"/>
        <v>0</v>
      </c>
      <c r="K1003" s="177">
        <f t="shared" si="1157"/>
        <v>226</v>
      </c>
      <c r="L1003" s="336">
        <f t="shared" si="1158"/>
        <v>211</v>
      </c>
      <c r="M1003" s="327">
        <f t="shared" si="1159"/>
        <v>0</v>
      </c>
      <c r="N1003" s="337">
        <f t="shared" si="1160"/>
        <v>14</v>
      </c>
      <c r="O1003" s="395">
        <f t="shared" si="1161"/>
        <v>11</v>
      </c>
      <c r="P1003" s="289">
        <f t="shared" si="1162"/>
        <v>1</v>
      </c>
      <c r="Q1003" s="460">
        <f>WEEKNUM(tblResultadosNBA[[#This Row],[Fecha]],2)</f>
        <v>11</v>
      </c>
      <c r="R1003" s="460" t="str">
        <f>TEXT(tblResultadosNBA[[#This Row],[Fecha]],"mmm")</f>
        <v>mar</v>
      </c>
    </row>
    <row r="1004" spans="1:18">
      <c r="A1004" s="439">
        <v>46095</v>
      </c>
      <c r="B1004" s="302" t="s">
        <v>310</v>
      </c>
      <c r="C1004" s="177" t="str">
        <f t="shared" si="1153"/>
        <v>Orlando Magic</v>
      </c>
      <c r="D1004" s="177">
        <v>109</v>
      </c>
      <c r="E1004" s="336">
        <v>120</v>
      </c>
      <c r="F1004" s="327">
        <f t="shared" si="1154"/>
        <v>1</v>
      </c>
      <c r="G1004" s="177" t="str">
        <f t="shared" si="1155"/>
        <v>Miami Heat</v>
      </c>
      <c r="H1004" s="177">
        <v>114</v>
      </c>
      <c r="I1004" s="336">
        <v>117</v>
      </c>
      <c r="J1004" s="327">
        <f t="shared" si="1156"/>
        <v>1</v>
      </c>
      <c r="K1004" s="177">
        <f t="shared" si="1157"/>
        <v>223</v>
      </c>
      <c r="L1004" s="336">
        <f t="shared" si="1158"/>
        <v>237</v>
      </c>
      <c r="M1004" s="327">
        <f t="shared" si="1159"/>
        <v>1</v>
      </c>
      <c r="N1004" s="337">
        <f t="shared" si="1160"/>
        <v>5</v>
      </c>
      <c r="O1004" s="395">
        <f t="shared" si="1161"/>
        <v>-3</v>
      </c>
      <c r="P1004" s="289">
        <f t="shared" si="1162"/>
        <v>0</v>
      </c>
      <c r="Q1004" s="460">
        <f>WEEKNUM(tblResultadosNBA[[#This Row],[Fecha]],2)</f>
        <v>11</v>
      </c>
      <c r="R1004" s="460" t="str">
        <f>TEXT(tblResultadosNBA[[#This Row],[Fecha]],"mmm")</f>
        <v>mar</v>
      </c>
    </row>
    <row r="1005" spans="1:18">
      <c r="A1005" s="439">
        <v>46095</v>
      </c>
      <c r="B1005" s="302" t="s">
        <v>467</v>
      </c>
      <c r="C1005" s="177" t="str">
        <f t="shared" si="1153"/>
        <v>Denver Nuggets</v>
      </c>
      <c r="D1005" s="177">
        <v>118</v>
      </c>
      <c r="E1005" s="336">
        <v>125</v>
      </c>
      <c r="F1005" s="327">
        <f t="shared" si="1154"/>
        <v>1</v>
      </c>
      <c r="G1005" s="177" t="str">
        <f t="shared" si="1155"/>
        <v>Los Angeles Lakers</v>
      </c>
      <c r="H1005" s="177">
        <v>117</v>
      </c>
      <c r="I1005" s="336">
        <v>127</v>
      </c>
      <c r="J1005" s="327">
        <f t="shared" si="1156"/>
        <v>1</v>
      </c>
      <c r="K1005" s="177">
        <f t="shared" si="1157"/>
        <v>235</v>
      </c>
      <c r="L1005" s="336">
        <f t="shared" si="1158"/>
        <v>252</v>
      </c>
      <c r="M1005" s="327">
        <f t="shared" si="1159"/>
        <v>1</v>
      </c>
      <c r="N1005" s="337">
        <f t="shared" si="1160"/>
        <v>-1</v>
      </c>
      <c r="O1005" s="395">
        <f t="shared" si="1161"/>
        <v>2</v>
      </c>
      <c r="P1005" s="289">
        <f t="shared" si="1162"/>
        <v>0</v>
      </c>
      <c r="Q1005" s="460">
        <f>WEEKNUM(tblResultadosNBA[[#This Row],[Fecha]],2)</f>
        <v>11</v>
      </c>
      <c r="R1005" s="460" t="str">
        <f>TEXT(tblResultadosNBA[[#This Row],[Fecha]],"mmm")</f>
        <v>mar</v>
      </c>
    </row>
    <row r="1006" spans="1:18">
      <c r="A1006" s="446">
        <v>46095</v>
      </c>
      <c r="B1006" s="331" t="s">
        <v>251</v>
      </c>
      <c r="C1006" s="286" t="str">
        <f t="shared" si="1153"/>
        <v>Sacramento Kings</v>
      </c>
      <c r="D1006" s="286">
        <v>112</v>
      </c>
      <c r="E1006" s="431">
        <v>118</v>
      </c>
      <c r="F1006" s="332">
        <f t="shared" si="1154"/>
        <v>1</v>
      </c>
      <c r="G1006" s="286" t="str">
        <f t="shared" si="1155"/>
        <v>LA Clippers</v>
      </c>
      <c r="H1006" s="286">
        <v>117</v>
      </c>
      <c r="I1006" s="431">
        <v>109</v>
      </c>
      <c r="J1006" s="332">
        <f t="shared" si="1156"/>
        <v>0</v>
      </c>
      <c r="K1006" s="286">
        <f t="shared" si="1157"/>
        <v>229</v>
      </c>
      <c r="L1006" s="431">
        <f t="shared" si="1158"/>
        <v>227</v>
      </c>
      <c r="M1006" s="332">
        <f t="shared" si="1159"/>
        <v>0</v>
      </c>
      <c r="N1006" s="432">
        <f t="shared" si="1160"/>
        <v>5</v>
      </c>
      <c r="O1006" s="451">
        <f t="shared" si="1161"/>
        <v>-9</v>
      </c>
      <c r="P1006" s="433">
        <f t="shared" si="1162"/>
        <v>0</v>
      </c>
      <c r="Q1006" s="460">
        <f>WEEKNUM(tblResultadosNBA[[#This Row],[Fecha]],2)</f>
        <v>11</v>
      </c>
      <c r="R1006" s="460" t="str">
        <f>TEXT(tblResultadosNBA[[#This Row],[Fecha]],"mmm")</f>
        <v>mar</v>
      </c>
    </row>
    <row r="1007" spans="1:18">
      <c r="A1007" s="439">
        <v>46096</v>
      </c>
      <c r="B1007" s="422" t="s">
        <v>950</v>
      </c>
      <c r="C1007" s="341" t="str">
        <f>LEFT(B1007,FIND("@",B1007)-2)</f>
        <v>Minnesota Timberwolves</v>
      </c>
      <c r="D1007" s="341">
        <v>114</v>
      </c>
      <c r="E1007" s="342">
        <v>103</v>
      </c>
      <c r="F1007" s="333">
        <f>IF(E1007&gt;D1007, 1, 0)</f>
        <v>0</v>
      </c>
      <c r="G1007" s="341" t="str">
        <f>MID(B1007,FIND("@",B1007)+2,LEN(B1007)-FIND("@",B1007)-1)</f>
        <v>Oklahoma City</v>
      </c>
      <c r="H1007" s="341">
        <v>118</v>
      </c>
      <c r="I1007" s="342">
        <v>116</v>
      </c>
      <c r="J1007" s="333">
        <f>IF(I1007&gt;H1007, 1, 0)</f>
        <v>0</v>
      </c>
      <c r="K1007" s="341">
        <f>+D1007+H1007</f>
        <v>232</v>
      </c>
      <c r="L1007" s="342">
        <f>E1007+I1007</f>
        <v>219</v>
      </c>
      <c r="M1007" s="333">
        <f>IF(L1007&gt;K1007, 1, 0)</f>
        <v>0</v>
      </c>
      <c r="N1007" s="343">
        <f>(+H1007-D1007)</f>
        <v>4</v>
      </c>
      <c r="O1007" s="449">
        <f>I1007-E1007</f>
        <v>13</v>
      </c>
      <c r="P1007" s="289">
        <f>IF(OR(AND(N1007&gt;0,O1007&gt;0),AND(N1007&lt;0,O1007&lt;0)),1,0)</f>
        <v>1</v>
      </c>
      <c r="Q1007" s="460">
        <f>WEEKNUM(tblResultadosNBA[[#This Row],[Fecha]],2)</f>
        <v>11</v>
      </c>
      <c r="R1007" s="460" t="str">
        <f>TEXT(tblResultadosNBA[[#This Row],[Fecha]],"mmm")</f>
        <v>mar</v>
      </c>
    </row>
    <row r="1008" spans="1:18">
      <c r="A1008" s="439">
        <v>46096</v>
      </c>
      <c r="B1008" s="302" t="s">
        <v>469</v>
      </c>
      <c r="C1008" s="177" t="str">
        <f t="shared" ref="C1008:C1013" si="1163">LEFT(B1008,FIND("@",B1008)-2)</f>
        <v>Dallas Mavericks</v>
      </c>
      <c r="D1008" s="177">
        <v>112</v>
      </c>
      <c r="E1008" s="336">
        <v>130</v>
      </c>
      <c r="F1008" s="327">
        <f t="shared" ref="F1008:F1013" si="1164">IF(E1008&gt;D1008, 1, 0)</f>
        <v>1</v>
      </c>
      <c r="G1008" s="177" t="str">
        <f t="shared" ref="G1008:G1013" si="1165">MID(B1008,FIND("@",B1008)+2,LEN(B1008)-FIND("@",B1008)-1)</f>
        <v>Cleveland Cavaliers</v>
      </c>
      <c r="H1008" s="177">
        <v>118</v>
      </c>
      <c r="I1008" s="336">
        <v>120</v>
      </c>
      <c r="J1008" s="327">
        <f t="shared" ref="J1008:J1013" si="1166">IF(I1008&gt;H1008, 1, 0)</f>
        <v>1</v>
      </c>
      <c r="K1008" s="177">
        <f t="shared" ref="K1008:K1013" si="1167">+D1008+H1008</f>
        <v>230</v>
      </c>
      <c r="L1008" s="336">
        <f t="shared" ref="L1008:L1013" si="1168">E1008+I1008</f>
        <v>250</v>
      </c>
      <c r="M1008" s="327">
        <f t="shared" ref="M1008:M1013" si="1169">IF(L1008&gt;K1008, 1, 0)</f>
        <v>1</v>
      </c>
      <c r="N1008" s="337">
        <f t="shared" ref="N1008:N1013" si="1170">(+H1008-D1008)</f>
        <v>6</v>
      </c>
      <c r="O1008" s="395">
        <f t="shared" ref="O1008:O1013" si="1171">I1008-E1008</f>
        <v>-10</v>
      </c>
      <c r="P1008" s="289">
        <f t="shared" ref="P1008:P1013" si="1172">IF(OR(AND(N1008&gt;0,O1008&gt;0),AND(N1008&lt;0,O1008&lt;0)),1,0)</f>
        <v>0</v>
      </c>
      <c r="Q1008" s="460">
        <f>WEEKNUM(tblResultadosNBA[[#This Row],[Fecha]],2)</f>
        <v>11</v>
      </c>
      <c r="R1008" s="460" t="str">
        <f>TEXT(tblResultadosNBA[[#This Row],[Fecha]],"mmm")</f>
        <v>mar</v>
      </c>
    </row>
    <row r="1009" spans="1:18">
      <c r="A1009" s="439">
        <v>46096</v>
      </c>
      <c r="B1009" s="302" t="s">
        <v>470</v>
      </c>
      <c r="C1009" s="177" t="str">
        <f t="shared" si="1163"/>
        <v>Detroit Pistons</v>
      </c>
      <c r="D1009" s="177">
        <v>111</v>
      </c>
      <c r="E1009" s="336">
        <v>108</v>
      </c>
      <c r="F1009" s="327">
        <f t="shared" si="1164"/>
        <v>0</v>
      </c>
      <c r="G1009" s="177" t="str">
        <f t="shared" si="1165"/>
        <v>Toronto Raptors</v>
      </c>
      <c r="H1009" s="177">
        <v>113</v>
      </c>
      <c r="I1009" s="336">
        <v>119</v>
      </c>
      <c r="J1009" s="327">
        <f t="shared" si="1166"/>
        <v>1</v>
      </c>
      <c r="K1009" s="177">
        <f t="shared" si="1167"/>
        <v>224</v>
      </c>
      <c r="L1009" s="336">
        <f t="shared" si="1168"/>
        <v>227</v>
      </c>
      <c r="M1009" s="327">
        <f t="shared" si="1169"/>
        <v>1</v>
      </c>
      <c r="N1009" s="337">
        <f t="shared" si="1170"/>
        <v>2</v>
      </c>
      <c r="O1009" s="395">
        <f t="shared" si="1171"/>
        <v>11</v>
      </c>
      <c r="P1009" s="289">
        <f t="shared" si="1172"/>
        <v>1</v>
      </c>
      <c r="Q1009" s="460">
        <f>WEEKNUM(tblResultadosNBA[[#This Row],[Fecha]],2)</f>
        <v>11</v>
      </c>
      <c r="R1009" s="460" t="str">
        <f>TEXT(tblResultadosNBA[[#This Row],[Fecha]],"mmm")</f>
        <v>mar</v>
      </c>
    </row>
    <row r="1010" spans="1:18">
      <c r="A1010" s="439">
        <v>46096</v>
      </c>
      <c r="B1010" s="302" t="s">
        <v>471</v>
      </c>
      <c r="C1010" s="177" t="str">
        <f t="shared" si="1163"/>
        <v>Indiana Pacers</v>
      </c>
      <c r="D1010" s="177">
        <v>108</v>
      </c>
      <c r="E1010" s="336">
        <v>123</v>
      </c>
      <c r="F1010" s="327">
        <f t="shared" si="1164"/>
        <v>1</v>
      </c>
      <c r="G1010" s="177" t="str">
        <f t="shared" si="1165"/>
        <v>Milwaukee Bucks</v>
      </c>
      <c r="H1010" s="177">
        <v>114</v>
      </c>
      <c r="I1010" s="336">
        <v>134</v>
      </c>
      <c r="J1010" s="327">
        <f t="shared" si="1166"/>
        <v>1</v>
      </c>
      <c r="K1010" s="177">
        <f t="shared" si="1167"/>
        <v>222</v>
      </c>
      <c r="L1010" s="336">
        <f t="shared" si="1168"/>
        <v>257</v>
      </c>
      <c r="M1010" s="327">
        <f t="shared" si="1169"/>
        <v>1</v>
      </c>
      <c r="N1010" s="337">
        <f t="shared" si="1170"/>
        <v>6</v>
      </c>
      <c r="O1010" s="395">
        <f t="shared" si="1171"/>
        <v>11</v>
      </c>
      <c r="P1010" s="289">
        <f t="shared" si="1172"/>
        <v>1</v>
      </c>
      <c r="Q1010" s="460">
        <f>WEEKNUM(tblResultadosNBA[[#This Row],[Fecha]],2)</f>
        <v>11</v>
      </c>
      <c r="R1010" s="460" t="str">
        <f>TEXT(tblResultadosNBA[[#This Row],[Fecha]],"mmm")</f>
        <v>mar</v>
      </c>
    </row>
    <row r="1011" spans="1:18">
      <c r="A1011" s="439">
        <v>46096</v>
      </c>
      <c r="B1011" s="302" t="s">
        <v>472</v>
      </c>
      <c r="C1011" s="177" t="str">
        <f t="shared" si="1163"/>
        <v>Portland Trail Blazers</v>
      </c>
      <c r="D1011" s="177">
        <v>112</v>
      </c>
      <c r="E1011" s="336">
        <v>103</v>
      </c>
      <c r="F1011" s="327">
        <f t="shared" si="1164"/>
        <v>0</v>
      </c>
      <c r="G1011" s="177" t="str">
        <f t="shared" si="1165"/>
        <v>Philadelphia 76ers</v>
      </c>
      <c r="H1011" s="177">
        <v>115</v>
      </c>
      <c r="I1011" s="336">
        <v>109</v>
      </c>
      <c r="J1011" s="327">
        <f t="shared" si="1166"/>
        <v>0</v>
      </c>
      <c r="K1011" s="177">
        <f t="shared" si="1167"/>
        <v>227</v>
      </c>
      <c r="L1011" s="336">
        <f t="shared" si="1168"/>
        <v>212</v>
      </c>
      <c r="M1011" s="327">
        <f t="shared" si="1169"/>
        <v>0</v>
      </c>
      <c r="N1011" s="337">
        <f t="shared" si="1170"/>
        <v>3</v>
      </c>
      <c r="O1011" s="395">
        <f t="shared" si="1171"/>
        <v>6</v>
      </c>
      <c r="P1011" s="289">
        <f t="shared" si="1172"/>
        <v>1</v>
      </c>
      <c r="Q1011" s="460">
        <f>WEEKNUM(tblResultadosNBA[[#This Row],[Fecha]],2)</f>
        <v>11</v>
      </c>
      <c r="R1011" s="460" t="str">
        <f>TEXT(tblResultadosNBA[[#This Row],[Fecha]],"mmm")</f>
        <v>mar</v>
      </c>
    </row>
    <row r="1012" spans="1:18">
      <c r="A1012" s="439">
        <v>46096</v>
      </c>
      <c r="B1012" s="302" t="s">
        <v>473</v>
      </c>
      <c r="C1012" s="177" t="str">
        <f t="shared" si="1163"/>
        <v>Golden State Warriors</v>
      </c>
      <c r="D1012" s="177">
        <v>118</v>
      </c>
      <c r="E1012" s="336">
        <v>107</v>
      </c>
      <c r="F1012" s="327">
        <f t="shared" si="1164"/>
        <v>0</v>
      </c>
      <c r="G1012" s="177" t="str">
        <f t="shared" si="1165"/>
        <v>New York Knicks</v>
      </c>
      <c r="H1012" s="177">
        <v>112</v>
      </c>
      <c r="I1012" s="336">
        <v>110</v>
      </c>
      <c r="J1012" s="327">
        <f t="shared" si="1166"/>
        <v>0</v>
      </c>
      <c r="K1012" s="177">
        <f t="shared" si="1167"/>
        <v>230</v>
      </c>
      <c r="L1012" s="336">
        <f t="shared" si="1168"/>
        <v>217</v>
      </c>
      <c r="M1012" s="327">
        <f t="shared" si="1169"/>
        <v>0</v>
      </c>
      <c r="N1012" s="337">
        <f t="shared" si="1170"/>
        <v>-6</v>
      </c>
      <c r="O1012" s="395">
        <f t="shared" si="1171"/>
        <v>3</v>
      </c>
      <c r="P1012" s="289">
        <f t="shared" si="1172"/>
        <v>0</v>
      </c>
      <c r="Q1012" s="460">
        <f>WEEKNUM(tblResultadosNBA[[#This Row],[Fecha]],2)</f>
        <v>11</v>
      </c>
      <c r="R1012" s="460" t="str">
        <f>TEXT(tblResultadosNBA[[#This Row],[Fecha]],"mmm")</f>
        <v>mar</v>
      </c>
    </row>
    <row r="1013" spans="1:18">
      <c r="A1013" s="446">
        <v>46096</v>
      </c>
      <c r="B1013" s="331" t="s">
        <v>474</v>
      </c>
      <c r="C1013" s="286" t="str">
        <f t="shared" si="1163"/>
        <v>Utah Jazz</v>
      </c>
      <c r="D1013" s="286">
        <v>118</v>
      </c>
      <c r="E1013" s="431">
        <v>111</v>
      </c>
      <c r="F1013" s="332">
        <f t="shared" si="1164"/>
        <v>0</v>
      </c>
      <c r="G1013" s="286" t="str">
        <f t="shared" si="1165"/>
        <v>Sacramento Kings</v>
      </c>
      <c r="H1013" s="286">
        <v>117</v>
      </c>
      <c r="I1013" s="431">
        <v>116</v>
      </c>
      <c r="J1013" s="332">
        <f t="shared" si="1166"/>
        <v>0</v>
      </c>
      <c r="K1013" s="286">
        <f t="shared" si="1167"/>
        <v>235</v>
      </c>
      <c r="L1013" s="431">
        <f t="shared" si="1168"/>
        <v>227</v>
      </c>
      <c r="M1013" s="332">
        <f t="shared" si="1169"/>
        <v>0</v>
      </c>
      <c r="N1013" s="432">
        <f t="shared" si="1170"/>
        <v>-1</v>
      </c>
      <c r="O1013" s="451">
        <f t="shared" si="1171"/>
        <v>5</v>
      </c>
      <c r="P1013" s="433">
        <f t="shared" si="1172"/>
        <v>0</v>
      </c>
      <c r="Q1013" s="460">
        <f>WEEKNUM(tblResultadosNBA[[#This Row],[Fecha]],2)</f>
        <v>11</v>
      </c>
      <c r="R1013" s="460" t="str">
        <f>TEXT(tblResultadosNBA[[#This Row],[Fecha]],"mmm")</f>
        <v>mar</v>
      </c>
    </row>
    <row r="1014" spans="1:18">
      <c r="A1014" s="439">
        <v>46097</v>
      </c>
      <c r="B1014" s="422" t="s">
        <v>727</v>
      </c>
      <c r="C1014" s="341" t="str">
        <f>LEFT(B1014,FIND("@",B1014)-2)</f>
        <v>Orlando Magic</v>
      </c>
      <c r="D1014" s="341">
        <v>117</v>
      </c>
      <c r="E1014" s="342">
        <v>112</v>
      </c>
      <c r="F1014" s="333">
        <f>IF(E1014&gt;D1014, 1, 0)</f>
        <v>0</v>
      </c>
      <c r="G1014" s="341" t="str">
        <f>MID(B1014,FIND("@",B1014)+2,LEN(B1014)-FIND("@",B1014)-1)</f>
        <v>Atlanta Hawks</v>
      </c>
      <c r="H1014" s="341">
        <v>119</v>
      </c>
      <c r="I1014" s="342">
        <v>124</v>
      </c>
      <c r="J1014" s="333">
        <f>IF(I1014&gt;H1014, 1, 0)</f>
        <v>1</v>
      </c>
      <c r="K1014" s="341">
        <f>+D1014+H1014</f>
        <v>236</v>
      </c>
      <c r="L1014" s="342">
        <f>E1014+I1014</f>
        <v>236</v>
      </c>
      <c r="M1014" s="333">
        <f>IF(L1014&gt;K1014, 1, 0)</f>
        <v>0</v>
      </c>
      <c r="N1014" s="343">
        <f>(+H1014-D1014)</f>
        <v>2</v>
      </c>
      <c r="O1014" s="449">
        <f>I1014-E1014</f>
        <v>12</v>
      </c>
      <c r="P1014" s="289">
        <f>IF(OR(AND(N1014&gt;0,O1014&gt;0),AND(N1014&lt;0,O1014&lt;0)),1,0)</f>
        <v>1</v>
      </c>
      <c r="Q1014" s="460">
        <f>WEEKNUM(tblResultadosNBA[[#This Row],[Fecha]],2)</f>
        <v>12</v>
      </c>
      <c r="R1014" s="460" t="str">
        <f>TEXT(tblResultadosNBA[[#This Row],[Fecha]],"mmm")</f>
        <v>mar</v>
      </c>
    </row>
    <row r="1015" spans="1:18">
      <c r="A1015" s="439">
        <v>46097</v>
      </c>
      <c r="B1015" s="302" t="s">
        <v>951</v>
      </c>
      <c r="C1015" s="177" t="str">
        <f t="shared" ref="C1015:C1021" si="1173">LEFT(B1015,FIND("@",B1015)-2)</f>
        <v>Golden State Warriors</v>
      </c>
      <c r="D1015" s="177">
        <v>122</v>
      </c>
      <c r="E1015" s="336">
        <v>125</v>
      </c>
      <c r="F1015" s="327">
        <f t="shared" ref="F1015:F1021" si="1174">IF(E1015&gt;D1015, 1, 0)</f>
        <v>1</v>
      </c>
      <c r="G1015" s="177" t="str">
        <f t="shared" ref="G1015:G1021" si="1175">MID(B1015,FIND("@",B1015)+2,LEN(B1015)-FIND("@",B1015)-1)</f>
        <v>Washington Wizards</v>
      </c>
      <c r="H1015" s="177">
        <v>115</v>
      </c>
      <c r="I1015" s="336">
        <v>117</v>
      </c>
      <c r="J1015" s="327">
        <f t="shared" ref="J1015:J1021" si="1176">IF(I1015&gt;H1015, 1, 0)</f>
        <v>1</v>
      </c>
      <c r="K1015" s="177">
        <f t="shared" ref="K1015:K1021" si="1177">+D1015+H1015</f>
        <v>237</v>
      </c>
      <c r="L1015" s="336">
        <f t="shared" ref="L1015:L1021" si="1178">E1015+I1015</f>
        <v>242</v>
      </c>
      <c r="M1015" s="327">
        <f t="shared" ref="M1015:M1021" si="1179">IF(L1015&gt;K1015, 1, 0)</f>
        <v>1</v>
      </c>
      <c r="N1015" s="337">
        <f t="shared" ref="N1015:N1021" si="1180">(+H1015-D1015)</f>
        <v>-7</v>
      </c>
      <c r="O1015" s="395">
        <f t="shared" ref="O1015:O1021" si="1181">I1015-E1015</f>
        <v>-8</v>
      </c>
      <c r="P1015" s="289">
        <f t="shared" ref="P1015:P1021" si="1182">IF(OR(AND(N1015&gt;0,O1015&gt;0),AND(N1015&lt;0,O1015&lt;0)),1,0)</f>
        <v>1</v>
      </c>
      <c r="Q1015" s="460">
        <f>WEEKNUM(tblResultadosNBA[[#This Row],[Fecha]],2)</f>
        <v>12</v>
      </c>
      <c r="R1015" s="460" t="str">
        <f>TEXT(tblResultadosNBA[[#This Row],[Fecha]],"mmm")</f>
        <v>mar</v>
      </c>
    </row>
    <row r="1016" spans="1:18">
      <c r="A1016" s="439">
        <v>46097</v>
      </c>
      <c r="B1016" s="302" t="s">
        <v>952</v>
      </c>
      <c r="C1016" s="177" t="str">
        <f t="shared" si="1173"/>
        <v>Portland Trail Blazers</v>
      </c>
      <c r="D1016" s="177">
        <v>111</v>
      </c>
      <c r="E1016" s="336">
        <v>114</v>
      </c>
      <c r="F1016" s="327">
        <f t="shared" si="1174"/>
        <v>1</v>
      </c>
      <c r="G1016" s="177" t="str">
        <f t="shared" si="1175"/>
        <v>Brooklyn Nets</v>
      </c>
      <c r="H1016" s="177">
        <v>112</v>
      </c>
      <c r="I1016" s="336">
        <v>95</v>
      </c>
      <c r="J1016" s="327">
        <f t="shared" si="1176"/>
        <v>0</v>
      </c>
      <c r="K1016" s="177">
        <f t="shared" si="1177"/>
        <v>223</v>
      </c>
      <c r="L1016" s="336">
        <f t="shared" si="1178"/>
        <v>209</v>
      </c>
      <c r="M1016" s="327">
        <f t="shared" si="1179"/>
        <v>0</v>
      </c>
      <c r="N1016" s="337">
        <f t="shared" si="1180"/>
        <v>1</v>
      </c>
      <c r="O1016" s="395">
        <f t="shared" si="1181"/>
        <v>-19</v>
      </c>
      <c r="P1016" s="289">
        <f t="shared" si="1182"/>
        <v>0</v>
      </c>
      <c r="Q1016" s="460">
        <f>WEEKNUM(tblResultadosNBA[[#This Row],[Fecha]],2)</f>
        <v>12</v>
      </c>
      <c r="R1016" s="460" t="str">
        <f>TEXT(tblResultadosNBA[[#This Row],[Fecha]],"mmm")</f>
        <v>mar</v>
      </c>
    </row>
    <row r="1017" spans="1:18">
      <c r="A1017" s="439">
        <v>46097</v>
      </c>
      <c r="B1017" s="302" t="s">
        <v>953</v>
      </c>
      <c r="C1017" s="177" t="str">
        <f t="shared" si="1173"/>
        <v>Phoenix Suns</v>
      </c>
      <c r="D1017" s="177">
        <v>108</v>
      </c>
      <c r="E1017" s="336">
        <v>112</v>
      </c>
      <c r="F1017" s="327">
        <f t="shared" si="1174"/>
        <v>1</v>
      </c>
      <c r="G1017" s="177" t="str">
        <f t="shared" si="1175"/>
        <v>Boston Celtics</v>
      </c>
      <c r="H1017" s="177">
        <v>116</v>
      </c>
      <c r="I1017" s="336">
        <v>120</v>
      </c>
      <c r="J1017" s="327">
        <f t="shared" si="1176"/>
        <v>1</v>
      </c>
      <c r="K1017" s="177">
        <f t="shared" si="1177"/>
        <v>224</v>
      </c>
      <c r="L1017" s="336">
        <f t="shared" si="1178"/>
        <v>232</v>
      </c>
      <c r="M1017" s="327">
        <f t="shared" si="1179"/>
        <v>1</v>
      </c>
      <c r="N1017" s="337">
        <f t="shared" si="1180"/>
        <v>8</v>
      </c>
      <c r="O1017" s="395">
        <f t="shared" si="1181"/>
        <v>8</v>
      </c>
      <c r="P1017" s="289">
        <f t="shared" si="1182"/>
        <v>1</v>
      </c>
      <c r="Q1017" s="460">
        <f>WEEKNUM(tblResultadosNBA[[#This Row],[Fecha]],2)</f>
        <v>12</v>
      </c>
      <c r="R1017" s="460" t="str">
        <f>TEXT(tblResultadosNBA[[#This Row],[Fecha]],"mmm")</f>
        <v>mar</v>
      </c>
    </row>
    <row r="1018" spans="1:18">
      <c r="A1018" s="439">
        <v>46097</v>
      </c>
      <c r="B1018" s="302" t="s">
        <v>475</v>
      </c>
      <c r="C1018" s="177" t="str">
        <f t="shared" si="1173"/>
        <v>Memphis Grizzlies</v>
      </c>
      <c r="D1018" s="177">
        <v>119</v>
      </c>
      <c r="E1018" s="336">
        <v>107</v>
      </c>
      <c r="F1018" s="327">
        <f t="shared" si="1174"/>
        <v>0</v>
      </c>
      <c r="G1018" s="177" t="str">
        <f t="shared" si="1175"/>
        <v>Chicago Bulls</v>
      </c>
      <c r="H1018" s="177">
        <v>120</v>
      </c>
      <c r="I1018" s="336">
        <v>132</v>
      </c>
      <c r="J1018" s="327">
        <f t="shared" si="1176"/>
        <v>1</v>
      </c>
      <c r="K1018" s="177">
        <f t="shared" si="1177"/>
        <v>239</v>
      </c>
      <c r="L1018" s="336">
        <f t="shared" si="1178"/>
        <v>239</v>
      </c>
      <c r="M1018" s="327">
        <f t="shared" si="1179"/>
        <v>0</v>
      </c>
      <c r="N1018" s="337">
        <f t="shared" si="1180"/>
        <v>1</v>
      </c>
      <c r="O1018" s="395">
        <f t="shared" si="1181"/>
        <v>25</v>
      </c>
      <c r="P1018" s="289">
        <f t="shared" si="1182"/>
        <v>1</v>
      </c>
      <c r="Q1018" s="460">
        <f>WEEKNUM(tblResultadosNBA[[#This Row],[Fecha]],2)</f>
        <v>12</v>
      </c>
      <c r="R1018" s="460" t="str">
        <f>TEXT(tblResultadosNBA[[#This Row],[Fecha]],"mmm")</f>
        <v>mar</v>
      </c>
    </row>
    <row r="1019" spans="1:18">
      <c r="A1019" s="439">
        <v>46097</v>
      </c>
      <c r="B1019" s="302" t="s">
        <v>210</v>
      </c>
      <c r="C1019" s="177" t="str">
        <f t="shared" si="1173"/>
        <v>Dallas Mavericks</v>
      </c>
      <c r="D1019" s="177">
        <v>116</v>
      </c>
      <c r="E1019" s="336">
        <v>111</v>
      </c>
      <c r="F1019" s="327">
        <f t="shared" si="1174"/>
        <v>0</v>
      </c>
      <c r="G1019" s="177" t="str">
        <f t="shared" si="1175"/>
        <v>New Orleans Pelicans</v>
      </c>
      <c r="H1019" s="177">
        <v>119</v>
      </c>
      <c r="I1019" s="336">
        <v>129</v>
      </c>
      <c r="J1019" s="327">
        <f t="shared" si="1176"/>
        <v>1</v>
      </c>
      <c r="K1019" s="177">
        <f t="shared" si="1177"/>
        <v>235</v>
      </c>
      <c r="L1019" s="336">
        <f t="shared" si="1178"/>
        <v>240</v>
      </c>
      <c r="M1019" s="327">
        <f t="shared" si="1179"/>
        <v>1</v>
      </c>
      <c r="N1019" s="337">
        <f t="shared" si="1180"/>
        <v>3</v>
      </c>
      <c r="O1019" s="395">
        <f t="shared" si="1181"/>
        <v>18</v>
      </c>
      <c r="P1019" s="289">
        <f t="shared" si="1182"/>
        <v>1</v>
      </c>
      <c r="Q1019" s="460">
        <f>WEEKNUM(tblResultadosNBA[[#This Row],[Fecha]],2)</f>
        <v>12</v>
      </c>
      <c r="R1019" s="460" t="str">
        <f>TEXT(tblResultadosNBA[[#This Row],[Fecha]],"mmm")</f>
        <v>mar</v>
      </c>
    </row>
    <row r="1020" spans="1:18">
      <c r="A1020" s="439">
        <v>46097</v>
      </c>
      <c r="B1020" s="302" t="s">
        <v>476</v>
      </c>
      <c r="C1020" s="177" t="str">
        <f t="shared" si="1173"/>
        <v>Los Angeles Lakers</v>
      </c>
      <c r="D1020" s="177">
        <v>114</v>
      </c>
      <c r="E1020" s="336">
        <v>100</v>
      </c>
      <c r="F1020" s="327">
        <f t="shared" si="1174"/>
        <v>0</v>
      </c>
      <c r="G1020" s="177" t="str">
        <f t="shared" si="1175"/>
        <v>Houston Rockets</v>
      </c>
      <c r="H1020" s="177">
        <v>122</v>
      </c>
      <c r="I1020" s="336">
        <v>92</v>
      </c>
      <c r="J1020" s="327">
        <f t="shared" si="1176"/>
        <v>0</v>
      </c>
      <c r="K1020" s="177">
        <f t="shared" si="1177"/>
        <v>236</v>
      </c>
      <c r="L1020" s="336">
        <f t="shared" si="1178"/>
        <v>192</v>
      </c>
      <c r="M1020" s="327">
        <f t="shared" si="1179"/>
        <v>0</v>
      </c>
      <c r="N1020" s="337">
        <f t="shared" si="1180"/>
        <v>8</v>
      </c>
      <c r="O1020" s="395">
        <f t="shared" si="1181"/>
        <v>-8</v>
      </c>
      <c r="P1020" s="289">
        <f t="shared" si="1182"/>
        <v>0</v>
      </c>
      <c r="Q1020" s="460">
        <f>WEEKNUM(tblResultadosNBA[[#This Row],[Fecha]],2)</f>
        <v>12</v>
      </c>
      <c r="R1020" s="460" t="str">
        <f>TEXT(tblResultadosNBA[[#This Row],[Fecha]],"mmm")</f>
        <v>mar</v>
      </c>
    </row>
    <row r="1021" spans="1:18">
      <c r="A1021" s="446">
        <v>46097</v>
      </c>
      <c r="B1021" s="331" t="s">
        <v>549</v>
      </c>
      <c r="C1021" s="286" t="str">
        <f t="shared" si="1173"/>
        <v>San Antonio Spurs</v>
      </c>
      <c r="D1021" s="286">
        <v>115</v>
      </c>
      <c r="E1021" s="431">
        <v>119</v>
      </c>
      <c r="F1021" s="332">
        <f t="shared" si="1174"/>
        <v>1</v>
      </c>
      <c r="G1021" s="286" t="str">
        <f t="shared" si="1175"/>
        <v>LA Clippers</v>
      </c>
      <c r="H1021" s="286">
        <v>115</v>
      </c>
      <c r="I1021" s="431">
        <v>115</v>
      </c>
      <c r="J1021" s="332">
        <f t="shared" si="1176"/>
        <v>0</v>
      </c>
      <c r="K1021" s="286">
        <f t="shared" si="1177"/>
        <v>230</v>
      </c>
      <c r="L1021" s="431">
        <f t="shared" si="1178"/>
        <v>234</v>
      </c>
      <c r="M1021" s="332">
        <f t="shared" si="1179"/>
        <v>1</v>
      </c>
      <c r="N1021" s="432">
        <f t="shared" si="1180"/>
        <v>0</v>
      </c>
      <c r="O1021" s="451">
        <f t="shared" si="1181"/>
        <v>-4</v>
      </c>
      <c r="P1021" s="433">
        <f t="shared" si="1182"/>
        <v>0</v>
      </c>
      <c r="Q1021" s="460">
        <f>WEEKNUM(tblResultadosNBA[[#This Row],[Fecha]],2)</f>
        <v>12</v>
      </c>
      <c r="R1021" s="460" t="str">
        <f>TEXT(tblResultadosNBA[[#This Row],[Fecha]],"mmm")</f>
        <v>mar</v>
      </c>
    </row>
    <row r="1022" spans="1:18">
      <c r="A1022" s="439">
        <v>46098</v>
      </c>
      <c r="B1022" s="422" t="s">
        <v>434</v>
      </c>
      <c r="C1022" s="341" t="str">
        <f>LEFT(B1022,FIND("@",B1022)-2)</f>
        <v>Miami Heat</v>
      </c>
      <c r="D1022" s="341">
        <v>114</v>
      </c>
      <c r="E1022" s="342">
        <v>106</v>
      </c>
      <c r="F1022" s="333">
        <f>IF(E1022&gt;D1022, 1, 0)</f>
        <v>0</v>
      </c>
      <c r="G1022" s="341" t="str">
        <f>MID(B1022,FIND("@",B1022)+2,LEN(B1022)-FIND("@",B1022)-1)</f>
        <v>Charlotte Hornets</v>
      </c>
      <c r="H1022" s="341">
        <v>112</v>
      </c>
      <c r="I1022" s="342">
        <v>136</v>
      </c>
      <c r="J1022" s="333">
        <f>IF(I1022&gt;H1022, 1, 0)</f>
        <v>1</v>
      </c>
      <c r="K1022" s="341">
        <f>+D1022+H1022</f>
        <v>226</v>
      </c>
      <c r="L1022" s="342">
        <f>E1022+I1022</f>
        <v>242</v>
      </c>
      <c r="M1022" s="333">
        <f>IF(L1022&gt;K1022, 1, 0)</f>
        <v>1</v>
      </c>
      <c r="N1022" s="343">
        <f>(+H1022-D1022)</f>
        <v>-2</v>
      </c>
      <c r="O1022" s="449">
        <f>I1022-E1022</f>
        <v>30</v>
      </c>
      <c r="P1022" s="289">
        <f>IF(OR(AND(N1022&gt;0,O1022&gt;0),AND(N1022&lt;0,O1022&lt;0)),1,0)</f>
        <v>0</v>
      </c>
      <c r="Q1022" s="460">
        <f>WEEKNUM(tblResultadosNBA[[#This Row],[Fecha]],2)</f>
        <v>12</v>
      </c>
      <c r="R1022" s="460" t="str">
        <f>TEXT(tblResultadosNBA[[#This Row],[Fecha]],"mmm")</f>
        <v>mar</v>
      </c>
    </row>
    <row r="1023" spans="1:18">
      <c r="A1023" s="439">
        <v>46098</v>
      </c>
      <c r="B1023" s="302" t="s">
        <v>954</v>
      </c>
      <c r="C1023" s="177" t="str">
        <f t="shared" ref="C1023:C1029" si="1183">LEFT(B1023,FIND("@",B1023)-2)</f>
        <v>Oklahoma City Thunder</v>
      </c>
      <c r="D1023" s="177">
        <v>118</v>
      </c>
      <c r="E1023" s="336">
        <v>113</v>
      </c>
      <c r="F1023" s="327">
        <f t="shared" ref="F1023:F1029" si="1184">IF(E1023&gt;D1023, 1, 0)</f>
        <v>0</v>
      </c>
      <c r="G1023" s="177" t="str">
        <f t="shared" ref="G1023:G1029" si="1185">MID(B1023,FIND("@",B1023)+2,LEN(B1023)-FIND("@",B1023)-1)</f>
        <v>Orlando Magic</v>
      </c>
      <c r="H1023" s="177">
        <v>107</v>
      </c>
      <c r="I1023" s="336">
        <v>108</v>
      </c>
      <c r="J1023" s="327">
        <f t="shared" ref="J1023:J1029" si="1186">IF(I1023&gt;H1023, 1, 0)</f>
        <v>1</v>
      </c>
      <c r="K1023" s="177">
        <f t="shared" ref="K1023:K1029" si="1187">+D1023+H1023</f>
        <v>225</v>
      </c>
      <c r="L1023" s="336">
        <f t="shared" ref="L1023:L1029" si="1188">E1023+I1023</f>
        <v>221</v>
      </c>
      <c r="M1023" s="327">
        <f t="shared" ref="M1023:M1029" si="1189">IF(L1023&gt;K1023, 1, 0)</f>
        <v>0</v>
      </c>
      <c r="N1023" s="337">
        <f t="shared" ref="N1023:N1029" si="1190">(+H1023-D1023)</f>
        <v>-11</v>
      </c>
      <c r="O1023" s="395">
        <f t="shared" ref="O1023:O1029" si="1191">I1023-E1023</f>
        <v>-5</v>
      </c>
      <c r="P1023" s="289">
        <f t="shared" ref="P1023:P1029" si="1192">IF(OR(AND(N1023&gt;0,O1023&gt;0),AND(N1023&lt;0,O1023&lt;0)),1,0)</f>
        <v>1</v>
      </c>
      <c r="Q1023" s="460">
        <f>WEEKNUM(tblResultadosNBA[[#This Row],[Fecha]],2)</f>
        <v>12</v>
      </c>
      <c r="R1023" s="460" t="str">
        <f>TEXT(tblResultadosNBA[[#This Row],[Fecha]],"mmm")</f>
        <v>mar</v>
      </c>
    </row>
    <row r="1024" spans="1:18">
      <c r="A1024" s="439">
        <v>46098</v>
      </c>
      <c r="B1024" s="302" t="s">
        <v>477</v>
      </c>
      <c r="C1024" s="177" t="str">
        <f t="shared" si="1183"/>
        <v>Detroit Pistons</v>
      </c>
      <c r="D1024" s="177">
        <v>120</v>
      </c>
      <c r="E1024" s="336">
        <v>130</v>
      </c>
      <c r="F1024" s="327">
        <f t="shared" si="1184"/>
        <v>1</v>
      </c>
      <c r="G1024" s="177" t="str">
        <f t="shared" si="1185"/>
        <v>Washington Wizards</v>
      </c>
      <c r="H1024" s="177">
        <v>114</v>
      </c>
      <c r="I1024" s="336">
        <v>117</v>
      </c>
      <c r="J1024" s="327">
        <f t="shared" si="1186"/>
        <v>1</v>
      </c>
      <c r="K1024" s="177">
        <f t="shared" si="1187"/>
        <v>234</v>
      </c>
      <c r="L1024" s="336">
        <f t="shared" si="1188"/>
        <v>247</v>
      </c>
      <c r="M1024" s="327">
        <f t="shared" si="1189"/>
        <v>1</v>
      </c>
      <c r="N1024" s="337">
        <f t="shared" si="1190"/>
        <v>-6</v>
      </c>
      <c r="O1024" s="395">
        <f t="shared" si="1191"/>
        <v>-13</v>
      </c>
      <c r="P1024" s="289">
        <f t="shared" si="1192"/>
        <v>1</v>
      </c>
      <c r="Q1024" s="460">
        <f>WEEKNUM(tblResultadosNBA[[#This Row],[Fecha]],2)</f>
        <v>12</v>
      </c>
      <c r="R1024" s="460" t="str">
        <f>TEXT(tblResultadosNBA[[#This Row],[Fecha]],"mmm")</f>
        <v>mar</v>
      </c>
    </row>
    <row r="1025" spans="1:18">
      <c r="A1025" s="439">
        <v>46098</v>
      </c>
      <c r="B1025" s="302" t="s">
        <v>923</v>
      </c>
      <c r="C1025" s="177" t="str">
        <f t="shared" si="1183"/>
        <v>Indiana Pacers</v>
      </c>
      <c r="D1025" s="177">
        <v>113</v>
      </c>
      <c r="E1025" s="336">
        <v>110</v>
      </c>
      <c r="F1025" s="327">
        <f t="shared" si="1184"/>
        <v>0</v>
      </c>
      <c r="G1025" s="177" t="str">
        <f t="shared" si="1185"/>
        <v>New York Knicks</v>
      </c>
      <c r="H1025" s="177">
        <v>120</v>
      </c>
      <c r="I1025" s="336">
        <v>136</v>
      </c>
      <c r="J1025" s="327">
        <f t="shared" si="1186"/>
        <v>1</v>
      </c>
      <c r="K1025" s="177">
        <f t="shared" si="1187"/>
        <v>233</v>
      </c>
      <c r="L1025" s="336">
        <f t="shared" si="1188"/>
        <v>246</v>
      </c>
      <c r="M1025" s="327">
        <f t="shared" si="1189"/>
        <v>1</v>
      </c>
      <c r="N1025" s="337">
        <f t="shared" si="1190"/>
        <v>7</v>
      </c>
      <c r="O1025" s="395">
        <f t="shared" si="1191"/>
        <v>26</v>
      </c>
      <c r="P1025" s="289">
        <f t="shared" si="1192"/>
        <v>1</v>
      </c>
      <c r="Q1025" s="460">
        <f>WEEKNUM(tblResultadosNBA[[#This Row],[Fecha]],2)</f>
        <v>12</v>
      </c>
      <c r="R1025" s="460" t="str">
        <f>TEXT(tblResultadosNBA[[#This Row],[Fecha]],"mmm")</f>
        <v>mar</v>
      </c>
    </row>
    <row r="1026" spans="1:18">
      <c r="A1026" s="439">
        <v>46098</v>
      </c>
      <c r="B1026" s="302" t="s">
        <v>400</v>
      </c>
      <c r="C1026" s="177" t="str">
        <f t="shared" si="1183"/>
        <v>Cleveland Cavaliers</v>
      </c>
      <c r="D1026" s="177">
        <v>110</v>
      </c>
      <c r="E1026" s="336">
        <v>123</v>
      </c>
      <c r="F1026" s="327">
        <f t="shared" si="1184"/>
        <v>1</v>
      </c>
      <c r="G1026" s="177" t="str">
        <f t="shared" si="1185"/>
        <v>Milwaukee Bucks</v>
      </c>
      <c r="H1026" s="177">
        <v>113</v>
      </c>
      <c r="I1026" s="336">
        <v>116</v>
      </c>
      <c r="J1026" s="327">
        <f t="shared" si="1186"/>
        <v>1</v>
      </c>
      <c r="K1026" s="177">
        <f t="shared" si="1187"/>
        <v>223</v>
      </c>
      <c r="L1026" s="336">
        <f t="shared" si="1188"/>
        <v>239</v>
      </c>
      <c r="M1026" s="327">
        <f t="shared" si="1189"/>
        <v>1</v>
      </c>
      <c r="N1026" s="337">
        <f t="shared" si="1190"/>
        <v>3</v>
      </c>
      <c r="O1026" s="395">
        <f t="shared" si="1191"/>
        <v>-7</v>
      </c>
      <c r="P1026" s="289">
        <f t="shared" si="1192"/>
        <v>0</v>
      </c>
      <c r="Q1026" s="460">
        <f>WEEKNUM(tblResultadosNBA[[#This Row],[Fecha]],2)</f>
        <v>12</v>
      </c>
      <c r="R1026" s="460" t="str">
        <f>TEXT(tblResultadosNBA[[#This Row],[Fecha]],"mmm")</f>
        <v>mar</v>
      </c>
    </row>
    <row r="1027" spans="1:18">
      <c r="A1027" s="439">
        <v>46098</v>
      </c>
      <c r="B1027" s="302" t="s">
        <v>166</v>
      </c>
      <c r="C1027" s="177" t="str">
        <f t="shared" si="1183"/>
        <v>Phoenix Suns</v>
      </c>
      <c r="D1027" s="177">
        <v>112</v>
      </c>
      <c r="E1027" s="336">
        <v>104</v>
      </c>
      <c r="F1027" s="327">
        <f t="shared" si="1184"/>
        <v>0</v>
      </c>
      <c r="G1027" s="177" t="str">
        <f t="shared" si="1185"/>
        <v>Minnesota Timberwolves</v>
      </c>
      <c r="H1027" s="177">
        <v>117</v>
      </c>
      <c r="I1027" s="336">
        <v>116</v>
      </c>
      <c r="J1027" s="327">
        <f t="shared" si="1186"/>
        <v>0</v>
      </c>
      <c r="K1027" s="177">
        <f t="shared" si="1187"/>
        <v>229</v>
      </c>
      <c r="L1027" s="336">
        <f t="shared" si="1188"/>
        <v>220</v>
      </c>
      <c r="M1027" s="327">
        <f t="shared" si="1189"/>
        <v>0</v>
      </c>
      <c r="N1027" s="337">
        <f t="shared" si="1190"/>
        <v>5</v>
      </c>
      <c r="O1027" s="395">
        <f t="shared" si="1191"/>
        <v>12</v>
      </c>
      <c r="P1027" s="289">
        <f t="shared" si="1192"/>
        <v>1</v>
      </c>
      <c r="Q1027" s="460">
        <f>WEEKNUM(tblResultadosNBA[[#This Row],[Fecha]],2)</f>
        <v>12</v>
      </c>
      <c r="R1027" s="460" t="str">
        <f>TEXT(tblResultadosNBA[[#This Row],[Fecha]],"mmm")</f>
        <v>mar</v>
      </c>
    </row>
    <row r="1028" spans="1:18">
      <c r="A1028" s="439">
        <v>46098</v>
      </c>
      <c r="B1028" s="302" t="s">
        <v>478</v>
      </c>
      <c r="C1028" s="177" t="str">
        <f t="shared" si="1183"/>
        <v>Philadelphia 76ers</v>
      </c>
      <c r="D1028" s="177">
        <v>113</v>
      </c>
      <c r="E1028" s="336">
        <v>96</v>
      </c>
      <c r="F1028" s="327">
        <f t="shared" si="1184"/>
        <v>0</v>
      </c>
      <c r="G1028" s="177" t="str">
        <f t="shared" si="1185"/>
        <v>Denver Nuggets</v>
      </c>
      <c r="H1028" s="177">
        <v>116</v>
      </c>
      <c r="I1028" s="336">
        <v>124</v>
      </c>
      <c r="J1028" s="327">
        <f t="shared" si="1186"/>
        <v>1</v>
      </c>
      <c r="K1028" s="177">
        <f t="shared" si="1187"/>
        <v>229</v>
      </c>
      <c r="L1028" s="336">
        <f t="shared" si="1188"/>
        <v>220</v>
      </c>
      <c r="M1028" s="327">
        <f t="shared" si="1189"/>
        <v>0</v>
      </c>
      <c r="N1028" s="337">
        <f t="shared" si="1190"/>
        <v>3</v>
      </c>
      <c r="O1028" s="395">
        <f t="shared" si="1191"/>
        <v>28</v>
      </c>
      <c r="P1028" s="289">
        <f t="shared" si="1192"/>
        <v>1</v>
      </c>
      <c r="Q1028" s="460">
        <f>WEEKNUM(tblResultadosNBA[[#This Row],[Fecha]],2)</f>
        <v>12</v>
      </c>
      <c r="R1028" s="460" t="str">
        <f>TEXT(tblResultadosNBA[[#This Row],[Fecha]],"mmm")</f>
        <v>mar</v>
      </c>
    </row>
    <row r="1029" spans="1:18">
      <c r="A1029" s="446">
        <v>46098</v>
      </c>
      <c r="B1029" s="331" t="s">
        <v>955</v>
      </c>
      <c r="C1029" s="286" t="str">
        <f t="shared" si="1183"/>
        <v>San Antonio Spurs</v>
      </c>
      <c r="D1029" s="286">
        <v>122</v>
      </c>
      <c r="E1029" s="431">
        <v>132</v>
      </c>
      <c r="F1029" s="332">
        <f t="shared" si="1184"/>
        <v>1</v>
      </c>
      <c r="G1029" s="286" t="str">
        <f t="shared" si="1185"/>
        <v>Sacramento Kings</v>
      </c>
      <c r="H1029" s="286">
        <v>116</v>
      </c>
      <c r="I1029" s="431">
        <v>104</v>
      </c>
      <c r="J1029" s="332">
        <f t="shared" si="1186"/>
        <v>0</v>
      </c>
      <c r="K1029" s="286">
        <f t="shared" si="1187"/>
        <v>238</v>
      </c>
      <c r="L1029" s="431">
        <f t="shared" si="1188"/>
        <v>236</v>
      </c>
      <c r="M1029" s="332">
        <f t="shared" si="1189"/>
        <v>0</v>
      </c>
      <c r="N1029" s="432">
        <f t="shared" si="1190"/>
        <v>-6</v>
      </c>
      <c r="O1029" s="451">
        <f t="shared" si="1191"/>
        <v>-28</v>
      </c>
      <c r="P1029" s="433">
        <f t="shared" si="1192"/>
        <v>1</v>
      </c>
      <c r="Q1029" s="460">
        <f>WEEKNUM(tblResultadosNBA[[#This Row],[Fecha]],2)</f>
        <v>12</v>
      </c>
      <c r="R1029" s="460" t="str">
        <f>TEXT(tblResultadosNBA[[#This Row],[Fecha]],"mmm")</f>
        <v>mar</v>
      </c>
    </row>
    <row r="1030" spans="1:18">
      <c r="A1030" s="439">
        <v>46099</v>
      </c>
      <c r="B1030" s="422" t="s">
        <v>479</v>
      </c>
      <c r="C1030" s="341" t="str">
        <f>LEFT(B1030,FIND("@",B1030)-2)</f>
        <v>Golden State Warriors</v>
      </c>
      <c r="D1030" s="341">
        <v>111</v>
      </c>
      <c r="E1030" s="342">
        <v>99</v>
      </c>
      <c r="F1030" s="333">
        <f>IF(E1030&gt;D1030, 1, 0)</f>
        <v>0</v>
      </c>
      <c r="G1030" s="341" t="str">
        <f>MID(B1030,FIND("@",B1030)+2,LEN(B1030)-FIND("@",B1030)-1)</f>
        <v>Boston Celtics</v>
      </c>
      <c r="H1030" s="341">
        <v>118</v>
      </c>
      <c r="I1030" s="342">
        <v>120</v>
      </c>
      <c r="J1030" s="333">
        <f>IF(I1030&gt;H1030, 1, 0)</f>
        <v>1</v>
      </c>
      <c r="K1030" s="341">
        <f>+D1030+H1030</f>
        <v>229</v>
      </c>
      <c r="L1030" s="342">
        <f>E1030+I1030</f>
        <v>219</v>
      </c>
      <c r="M1030" s="333">
        <f>IF(L1030&gt;K1030, 1, 0)</f>
        <v>0</v>
      </c>
      <c r="N1030" s="343">
        <f>(+H1030-D1030)</f>
        <v>7</v>
      </c>
      <c r="O1030" s="449">
        <f>I1030-E1030</f>
        <v>21</v>
      </c>
      <c r="P1030" s="289">
        <f>IF(OR(AND(N1030&gt;0,O1030&gt;0),AND(N1030&lt;0,O1030&lt;0)),1,0)</f>
        <v>1</v>
      </c>
      <c r="Q1030" s="460">
        <f>WEEKNUM(tblResultadosNBA[[#This Row],[Fecha]],2)</f>
        <v>12</v>
      </c>
      <c r="R1030" s="460" t="str">
        <f>TEXT(tblResultadosNBA[[#This Row],[Fecha]],"mmm")</f>
        <v>mar</v>
      </c>
    </row>
    <row r="1031" spans="1:18">
      <c r="A1031" s="439">
        <v>46099</v>
      </c>
      <c r="B1031" s="302" t="s">
        <v>480</v>
      </c>
      <c r="C1031" s="177" t="str">
        <f t="shared" ref="C1031:C1037" si="1193">LEFT(B1031,FIND("@",B1031)-2)</f>
        <v>Oklahoma City Thunder</v>
      </c>
      <c r="D1031" s="177">
        <v>114</v>
      </c>
      <c r="E1031" s="336">
        <v>121</v>
      </c>
      <c r="F1031" s="327">
        <f t="shared" ref="F1031:F1037" si="1194">IF(E1031&gt;D1031, 1, 0)</f>
        <v>1</v>
      </c>
      <c r="G1031" s="177" t="str">
        <f t="shared" ref="G1031:G1037" si="1195">MID(B1031,FIND("@",B1031)+2,LEN(B1031)-FIND("@",B1031)-1)</f>
        <v>Brooklyn Nets</v>
      </c>
      <c r="H1031" s="177">
        <v>110</v>
      </c>
      <c r="I1031" s="336">
        <v>92</v>
      </c>
      <c r="J1031" s="327">
        <f t="shared" ref="J1031:J1037" si="1196">IF(I1031&gt;H1031, 1, 0)</f>
        <v>0</v>
      </c>
      <c r="K1031" s="177">
        <f t="shared" ref="K1031:K1037" si="1197">+D1031+H1031</f>
        <v>224</v>
      </c>
      <c r="L1031" s="336">
        <f t="shared" ref="L1031:L1037" si="1198">E1031+I1031</f>
        <v>213</v>
      </c>
      <c r="M1031" s="327">
        <f t="shared" ref="M1031:M1037" si="1199">IF(L1031&gt;K1031, 1, 0)</f>
        <v>0</v>
      </c>
      <c r="N1031" s="337">
        <f t="shared" ref="N1031:N1037" si="1200">(+H1031-D1031)</f>
        <v>-4</v>
      </c>
      <c r="O1031" s="395">
        <f t="shared" ref="O1031:O1037" si="1201">I1031-E1031</f>
        <v>-29</v>
      </c>
      <c r="P1031" s="289">
        <f t="shared" ref="P1031:P1037" si="1202">IF(OR(AND(N1031&gt;0,O1031&gt;0),AND(N1031&lt;0,O1031&lt;0)),1,0)</f>
        <v>1</v>
      </c>
      <c r="Q1031" s="460">
        <f>WEEKNUM(tblResultadosNBA[[#This Row],[Fecha]],2)</f>
        <v>12</v>
      </c>
      <c r="R1031" s="460" t="str">
        <f>TEXT(tblResultadosNBA[[#This Row],[Fecha]],"mmm")</f>
        <v>mar</v>
      </c>
    </row>
    <row r="1032" spans="1:18">
      <c r="A1032" s="439">
        <v>46099</v>
      </c>
      <c r="B1032" s="302" t="s">
        <v>481</v>
      </c>
      <c r="C1032" s="177" t="str">
        <f t="shared" si="1193"/>
        <v>Portland Trail Blazers</v>
      </c>
      <c r="D1032" s="177">
        <v>115</v>
      </c>
      <c r="E1032" s="336">
        <v>127</v>
      </c>
      <c r="F1032" s="327">
        <f t="shared" si="1194"/>
        <v>1</v>
      </c>
      <c r="G1032" s="177" t="str">
        <f t="shared" si="1195"/>
        <v>Indiana Pacers</v>
      </c>
      <c r="H1032" s="177">
        <v>115</v>
      </c>
      <c r="I1032" s="336">
        <v>119</v>
      </c>
      <c r="J1032" s="327">
        <f t="shared" si="1196"/>
        <v>1</v>
      </c>
      <c r="K1032" s="177">
        <f t="shared" si="1197"/>
        <v>230</v>
      </c>
      <c r="L1032" s="336">
        <f t="shared" si="1198"/>
        <v>246</v>
      </c>
      <c r="M1032" s="327">
        <f t="shared" si="1199"/>
        <v>1</v>
      </c>
      <c r="N1032" s="337">
        <f t="shared" si="1200"/>
        <v>0</v>
      </c>
      <c r="O1032" s="395">
        <f t="shared" si="1201"/>
        <v>-8</v>
      </c>
      <c r="P1032" s="289">
        <f t="shared" si="1202"/>
        <v>0</v>
      </c>
      <c r="Q1032" s="460">
        <f>WEEKNUM(tblResultadosNBA[[#This Row],[Fecha]],2)</f>
        <v>12</v>
      </c>
      <c r="R1032" s="460" t="str">
        <f>TEXT(tblResultadosNBA[[#This Row],[Fecha]],"mmm")</f>
        <v>mar</v>
      </c>
    </row>
    <row r="1033" spans="1:18">
      <c r="A1033" s="439">
        <v>46099</v>
      </c>
      <c r="B1033" s="302" t="s">
        <v>373</v>
      </c>
      <c r="C1033" s="177" t="str">
        <f t="shared" si="1193"/>
        <v>Toronto Raptors</v>
      </c>
      <c r="D1033" s="177">
        <v>113</v>
      </c>
      <c r="E1033" s="336">
        <v>139</v>
      </c>
      <c r="F1033" s="327">
        <f t="shared" si="1194"/>
        <v>1</v>
      </c>
      <c r="G1033" s="177" t="str">
        <f t="shared" si="1195"/>
        <v>Chicago Bulls</v>
      </c>
      <c r="H1033" s="177">
        <v>114</v>
      </c>
      <c r="I1033" s="336">
        <v>109</v>
      </c>
      <c r="J1033" s="327">
        <f t="shared" si="1196"/>
        <v>0</v>
      </c>
      <c r="K1033" s="177">
        <f t="shared" si="1197"/>
        <v>227</v>
      </c>
      <c r="L1033" s="336">
        <f t="shared" si="1198"/>
        <v>248</v>
      </c>
      <c r="M1033" s="327">
        <f t="shared" si="1199"/>
        <v>1</v>
      </c>
      <c r="N1033" s="337">
        <f t="shared" si="1200"/>
        <v>1</v>
      </c>
      <c r="O1033" s="395">
        <f t="shared" si="1201"/>
        <v>-30</v>
      </c>
      <c r="P1033" s="289">
        <f t="shared" si="1202"/>
        <v>0</v>
      </c>
      <c r="Q1033" s="460">
        <f>WEEKNUM(tblResultadosNBA[[#This Row],[Fecha]],2)</f>
        <v>12</v>
      </c>
      <c r="R1033" s="460" t="str">
        <f>TEXT(tblResultadosNBA[[#This Row],[Fecha]],"mmm")</f>
        <v>mar</v>
      </c>
    </row>
    <row r="1034" spans="1:18">
      <c r="A1034" s="439">
        <v>46099</v>
      </c>
      <c r="B1034" s="302" t="s">
        <v>742</v>
      </c>
      <c r="C1034" s="177" t="str">
        <f t="shared" si="1193"/>
        <v>Utah Jazz</v>
      </c>
      <c r="D1034" s="177">
        <v>116</v>
      </c>
      <c r="E1034" s="336">
        <v>111</v>
      </c>
      <c r="F1034" s="327">
        <f t="shared" si="1194"/>
        <v>0</v>
      </c>
      <c r="G1034" s="177" t="str">
        <f t="shared" si="1195"/>
        <v>Minnesota Timberwolves</v>
      </c>
      <c r="H1034" s="177">
        <v>121</v>
      </c>
      <c r="I1034" s="336">
        <v>147</v>
      </c>
      <c r="J1034" s="327">
        <f t="shared" si="1196"/>
        <v>1</v>
      </c>
      <c r="K1034" s="177">
        <f t="shared" si="1197"/>
        <v>237</v>
      </c>
      <c r="L1034" s="336">
        <f t="shared" si="1198"/>
        <v>258</v>
      </c>
      <c r="M1034" s="327">
        <f t="shared" si="1199"/>
        <v>1</v>
      </c>
      <c r="N1034" s="337">
        <f t="shared" si="1200"/>
        <v>5</v>
      </c>
      <c r="O1034" s="395">
        <f t="shared" si="1201"/>
        <v>36</v>
      </c>
      <c r="P1034" s="289">
        <f t="shared" si="1202"/>
        <v>1</v>
      </c>
      <c r="Q1034" s="460">
        <f>WEEKNUM(tblResultadosNBA[[#This Row],[Fecha]],2)</f>
        <v>12</v>
      </c>
      <c r="R1034" s="460" t="str">
        <f>TEXT(tblResultadosNBA[[#This Row],[Fecha]],"mmm")</f>
        <v>mar</v>
      </c>
    </row>
    <row r="1035" spans="1:18">
      <c r="A1035" s="439">
        <v>46099</v>
      </c>
      <c r="B1035" s="302" t="s">
        <v>956</v>
      </c>
      <c r="C1035" s="177" t="str">
        <f t="shared" si="1193"/>
        <v>LA Clippers</v>
      </c>
      <c r="D1035" s="177">
        <v>119</v>
      </c>
      <c r="E1035" s="336">
        <v>109</v>
      </c>
      <c r="F1035" s="327">
        <f t="shared" si="1194"/>
        <v>0</v>
      </c>
      <c r="G1035" s="177" t="str">
        <f t="shared" si="1195"/>
        <v>New Orleans Pelicans</v>
      </c>
      <c r="H1035" s="177">
        <v>119</v>
      </c>
      <c r="I1035" s="336">
        <v>124</v>
      </c>
      <c r="J1035" s="327">
        <f t="shared" si="1196"/>
        <v>1</v>
      </c>
      <c r="K1035" s="177">
        <f t="shared" si="1197"/>
        <v>238</v>
      </c>
      <c r="L1035" s="336">
        <f t="shared" si="1198"/>
        <v>233</v>
      </c>
      <c r="M1035" s="327">
        <f t="shared" si="1199"/>
        <v>0</v>
      </c>
      <c r="N1035" s="337">
        <f t="shared" si="1200"/>
        <v>0</v>
      </c>
      <c r="O1035" s="395">
        <f t="shared" si="1201"/>
        <v>15</v>
      </c>
      <c r="P1035" s="289">
        <f t="shared" si="1202"/>
        <v>0</v>
      </c>
      <c r="Q1035" s="460">
        <f>WEEKNUM(tblResultadosNBA[[#This Row],[Fecha]],2)</f>
        <v>12</v>
      </c>
      <c r="R1035" s="460" t="str">
        <f>TEXT(tblResultadosNBA[[#This Row],[Fecha]],"mmm")</f>
        <v>mar</v>
      </c>
    </row>
    <row r="1036" spans="1:18">
      <c r="A1036" s="439">
        <v>46099</v>
      </c>
      <c r="B1036" s="302" t="s">
        <v>482</v>
      </c>
      <c r="C1036" s="177" t="str">
        <f t="shared" si="1193"/>
        <v>Atlanta Hawks</v>
      </c>
      <c r="D1036" s="177">
        <v>115</v>
      </c>
      <c r="E1036" s="336">
        <v>135</v>
      </c>
      <c r="F1036" s="327">
        <f t="shared" si="1194"/>
        <v>1</v>
      </c>
      <c r="G1036" s="177" t="str">
        <f t="shared" si="1195"/>
        <v>Dallas Mavericks</v>
      </c>
      <c r="H1036" s="177">
        <v>117</v>
      </c>
      <c r="I1036" s="336">
        <v>120</v>
      </c>
      <c r="J1036" s="327">
        <f t="shared" si="1196"/>
        <v>1</v>
      </c>
      <c r="K1036" s="177">
        <f t="shared" si="1197"/>
        <v>232</v>
      </c>
      <c r="L1036" s="336">
        <f t="shared" si="1198"/>
        <v>255</v>
      </c>
      <c r="M1036" s="327">
        <f t="shared" si="1199"/>
        <v>1</v>
      </c>
      <c r="N1036" s="337">
        <f t="shared" si="1200"/>
        <v>2</v>
      </c>
      <c r="O1036" s="395">
        <f t="shared" si="1201"/>
        <v>-15</v>
      </c>
      <c r="P1036" s="289">
        <f t="shared" si="1202"/>
        <v>0</v>
      </c>
      <c r="Q1036" s="460">
        <f>WEEKNUM(tblResultadosNBA[[#This Row],[Fecha]],2)</f>
        <v>12</v>
      </c>
      <c r="R1036" s="460" t="str">
        <f>TEXT(tblResultadosNBA[[#This Row],[Fecha]],"mmm")</f>
        <v>mar</v>
      </c>
    </row>
    <row r="1037" spans="1:18">
      <c r="A1037" s="439">
        <v>46099</v>
      </c>
      <c r="B1037" s="302" t="s">
        <v>483</v>
      </c>
      <c r="C1037" s="177" t="str">
        <f t="shared" si="1193"/>
        <v>Denver Nuggets</v>
      </c>
      <c r="D1037" s="177">
        <v>117</v>
      </c>
      <c r="E1037" s="336">
        <v>118</v>
      </c>
      <c r="F1037" s="327">
        <f t="shared" si="1194"/>
        <v>1</v>
      </c>
      <c r="G1037" s="177" t="str">
        <f t="shared" si="1195"/>
        <v>Memphis Grizzlies</v>
      </c>
      <c r="H1037" s="177">
        <v>115</v>
      </c>
      <c r="I1037" s="336">
        <v>125</v>
      </c>
      <c r="J1037" s="327">
        <f t="shared" si="1196"/>
        <v>1</v>
      </c>
      <c r="K1037" s="177">
        <f t="shared" si="1197"/>
        <v>232</v>
      </c>
      <c r="L1037" s="336">
        <f t="shared" si="1198"/>
        <v>243</v>
      </c>
      <c r="M1037" s="327">
        <f t="shared" si="1199"/>
        <v>1</v>
      </c>
      <c r="N1037" s="337">
        <f t="shared" si="1200"/>
        <v>-2</v>
      </c>
      <c r="O1037" s="395">
        <f t="shared" si="1201"/>
        <v>7</v>
      </c>
      <c r="P1037" s="289">
        <f t="shared" si="1202"/>
        <v>0</v>
      </c>
      <c r="Q1037" s="460">
        <f>WEEKNUM(tblResultadosNBA[[#This Row],[Fecha]],2)</f>
        <v>12</v>
      </c>
      <c r="R1037" s="460" t="str">
        <f>TEXT(tblResultadosNBA[[#This Row],[Fecha]],"mmm")</f>
        <v>mar</v>
      </c>
    </row>
    <row r="1038" spans="1:18">
      <c r="A1038" s="446">
        <v>46099</v>
      </c>
      <c r="B1038" s="331" t="s">
        <v>476</v>
      </c>
      <c r="C1038" s="286" t="str">
        <f>LEFT(B1038,FIND("@",B1038)-2)</f>
        <v>Los Angeles Lakers</v>
      </c>
      <c r="D1038" s="286">
        <v>112</v>
      </c>
      <c r="E1038" s="431">
        <v>126</v>
      </c>
      <c r="F1038" s="332">
        <f>IF(E1038&gt;D1038, 1, 0)</f>
        <v>1</v>
      </c>
      <c r="G1038" s="286" t="str">
        <f>MID(B1038,FIND("@",B1038)+2,LEN(B1038)-FIND("@",B1038)-1)</f>
        <v>Houston Rockets</v>
      </c>
      <c r="H1038" s="286">
        <v>117</v>
      </c>
      <c r="I1038" s="431">
        <v>116</v>
      </c>
      <c r="J1038" s="332">
        <f>IF(I1038&gt;H1038, 1, 0)</f>
        <v>0</v>
      </c>
      <c r="K1038" s="286">
        <f>+D1038+H1038</f>
        <v>229</v>
      </c>
      <c r="L1038" s="431">
        <f>E1038+I1038</f>
        <v>242</v>
      </c>
      <c r="M1038" s="332">
        <f>IF(L1038&gt;K1038, 1, 0)</f>
        <v>1</v>
      </c>
      <c r="N1038" s="432">
        <f>(+H1038-D1038)</f>
        <v>5</v>
      </c>
      <c r="O1038" s="451">
        <f>I1038-E1038</f>
        <v>-10</v>
      </c>
      <c r="P1038" s="433">
        <f>IF(OR(AND(N1038&gt;0,O1038&gt;0),AND(N1038&lt;0,O1038&lt;0)),1,0)</f>
        <v>0</v>
      </c>
      <c r="Q1038" s="460">
        <f>WEEKNUM(tblResultadosNBA[[#This Row],[Fecha]],2)</f>
        <v>12</v>
      </c>
      <c r="R1038" s="460" t="str">
        <f>TEXT(tblResultadosNBA[[#This Row],[Fecha]],"mmm")</f>
        <v>mar</v>
      </c>
    </row>
    <row r="1039" spans="1:18">
      <c r="A1039" s="439">
        <v>46100</v>
      </c>
      <c r="B1039" s="422" t="s">
        <v>484</v>
      </c>
      <c r="C1039" s="341" t="str">
        <f>LEFT(B1039,FIND("@",B1039)-2)</f>
        <v>Orlando Magic</v>
      </c>
      <c r="D1039" s="341">
        <v>113</v>
      </c>
      <c r="E1039" s="342">
        <v>111</v>
      </c>
      <c r="F1039" s="333">
        <f>IF(E1039&gt;D1039, 1, 0)</f>
        <v>0</v>
      </c>
      <c r="G1039" s="341" t="str">
        <f>MID(B1039,FIND("@",B1039)+2,LEN(B1039)-FIND("@",B1039)-1)</f>
        <v>Charlotte Hornets</v>
      </c>
      <c r="H1039" s="341">
        <v>114</v>
      </c>
      <c r="I1039" s="342">
        <v>130</v>
      </c>
      <c r="J1039" s="333">
        <f>IF(I1039&gt;H1039, 1, 0)</f>
        <v>1</v>
      </c>
      <c r="K1039" s="341">
        <f>+D1039+H1039</f>
        <v>227</v>
      </c>
      <c r="L1039" s="342">
        <f>E1039+I1039</f>
        <v>241</v>
      </c>
      <c r="M1039" s="333">
        <f>IF(L1039&gt;K1039, 1, 0)</f>
        <v>1</v>
      </c>
      <c r="N1039" s="343">
        <f>(+H1039-D1039)</f>
        <v>1</v>
      </c>
      <c r="O1039" s="449">
        <f>I1039-E1039</f>
        <v>19</v>
      </c>
      <c r="P1039" s="289">
        <f>IF(OR(AND(N1039&gt;0,O1039&gt;0),AND(N1039&lt;0,O1039&lt;0)),1,0)</f>
        <v>1</v>
      </c>
      <c r="Q1039" s="460">
        <f>WEEKNUM(tblResultadosNBA[[#This Row],[Fecha]],2)</f>
        <v>12</v>
      </c>
      <c r="R1039" s="460" t="str">
        <f>TEXT(tblResultadosNBA[[#This Row],[Fecha]],"mmm")</f>
        <v>mar</v>
      </c>
    </row>
    <row r="1040" spans="1:18">
      <c r="A1040" s="439">
        <v>46100</v>
      </c>
      <c r="B1040" s="302" t="s">
        <v>477</v>
      </c>
      <c r="C1040" s="177" t="str">
        <f t="shared" ref="C1040:C1046" si="1203">LEFT(B1040,FIND("@",B1040)-2)</f>
        <v>Detroit Pistons</v>
      </c>
      <c r="D1040" s="177">
        <v>120</v>
      </c>
      <c r="E1040" s="336">
        <v>117</v>
      </c>
      <c r="F1040" s="327">
        <f t="shared" ref="F1040:F1046" si="1204">IF(E1040&gt;D1040, 1, 0)</f>
        <v>0</v>
      </c>
      <c r="G1040" s="177" t="str">
        <f t="shared" ref="G1040:G1046" si="1205">MID(B1040,FIND("@",B1040)+2,LEN(B1040)-FIND("@",B1040)-1)</f>
        <v>Washington Wizards</v>
      </c>
      <c r="H1040" s="177">
        <v>113</v>
      </c>
      <c r="I1040" s="336">
        <v>95</v>
      </c>
      <c r="J1040" s="327">
        <f t="shared" ref="J1040:J1046" si="1206">IF(I1040&gt;H1040, 1, 0)</f>
        <v>0</v>
      </c>
      <c r="K1040" s="177">
        <f t="shared" ref="K1040:K1046" si="1207">+D1040+H1040</f>
        <v>233</v>
      </c>
      <c r="L1040" s="336">
        <f t="shared" ref="L1040:L1046" si="1208">E1040+I1040</f>
        <v>212</v>
      </c>
      <c r="M1040" s="327">
        <f t="shared" ref="M1040:M1046" si="1209">IF(L1040&gt;K1040, 1, 0)</f>
        <v>0</v>
      </c>
      <c r="N1040" s="337">
        <f t="shared" ref="N1040:N1046" si="1210">(+H1040-D1040)</f>
        <v>-7</v>
      </c>
      <c r="O1040" s="395">
        <f t="shared" ref="O1040:O1046" si="1211">I1040-E1040</f>
        <v>-22</v>
      </c>
      <c r="P1040" s="289">
        <f t="shared" ref="P1040:P1046" si="1212">IF(OR(AND(N1040&gt;0,O1040&gt;0),AND(N1040&lt;0,O1040&lt;0)),1,0)</f>
        <v>1</v>
      </c>
      <c r="Q1040" s="460">
        <f>WEEKNUM(tblResultadosNBA[[#This Row],[Fecha]],2)</f>
        <v>12</v>
      </c>
      <c r="R1040" s="460" t="str">
        <f>TEXT(tblResultadosNBA[[#This Row],[Fecha]],"mmm")</f>
        <v>mar</v>
      </c>
    </row>
    <row r="1041" spans="1:18">
      <c r="A1041" s="439">
        <v>46100</v>
      </c>
      <c r="B1041" s="302" t="s">
        <v>485</v>
      </c>
      <c r="C1041" s="177" t="str">
        <f t="shared" si="1203"/>
        <v>Los Angeles Lakers</v>
      </c>
      <c r="D1041" s="177">
        <v>111</v>
      </c>
      <c r="E1041" s="336">
        <v>134</v>
      </c>
      <c r="F1041" s="327">
        <f t="shared" si="1204"/>
        <v>1</v>
      </c>
      <c r="G1041" s="177" t="str">
        <f t="shared" si="1205"/>
        <v>Miami Heat</v>
      </c>
      <c r="H1041" s="177">
        <v>116</v>
      </c>
      <c r="I1041" s="336">
        <v>126</v>
      </c>
      <c r="J1041" s="327">
        <f t="shared" si="1206"/>
        <v>1</v>
      </c>
      <c r="K1041" s="177">
        <f t="shared" si="1207"/>
        <v>227</v>
      </c>
      <c r="L1041" s="336">
        <f t="shared" si="1208"/>
        <v>260</v>
      </c>
      <c r="M1041" s="327">
        <f t="shared" si="1209"/>
        <v>1</v>
      </c>
      <c r="N1041" s="337">
        <f t="shared" si="1210"/>
        <v>5</v>
      </c>
      <c r="O1041" s="395">
        <f t="shared" si="1211"/>
        <v>-8</v>
      </c>
      <c r="P1041" s="289">
        <f t="shared" si="1212"/>
        <v>0</v>
      </c>
      <c r="Q1041" s="460">
        <f>WEEKNUM(tblResultadosNBA[[#This Row],[Fecha]],2)</f>
        <v>12</v>
      </c>
      <c r="R1041" s="460" t="str">
        <f>TEXT(tblResultadosNBA[[#This Row],[Fecha]],"mmm")</f>
        <v>mar</v>
      </c>
    </row>
    <row r="1042" spans="1:18">
      <c r="A1042" s="439">
        <v>46100</v>
      </c>
      <c r="B1042" s="302" t="s">
        <v>184</v>
      </c>
      <c r="C1042" s="177" t="str">
        <f t="shared" si="1203"/>
        <v>Cleveland Cavaliers</v>
      </c>
      <c r="D1042" s="177">
        <v>114</v>
      </c>
      <c r="E1042" s="336">
        <v>115</v>
      </c>
      <c r="F1042" s="327">
        <f t="shared" si="1204"/>
        <v>1</v>
      </c>
      <c r="G1042" s="177" t="str">
        <f t="shared" si="1205"/>
        <v>Chicago Bulls</v>
      </c>
      <c r="H1042" s="177">
        <v>114</v>
      </c>
      <c r="I1042" s="336">
        <v>110</v>
      </c>
      <c r="J1042" s="327">
        <f t="shared" si="1206"/>
        <v>0</v>
      </c>
      <c r="K1042" s="177">
        <f t="shared" si="1207"/>
        <v>228</v>
      </c>
      <c r="L1042" s="336">
        <f t="shared" si="1208"/>
        <v>225</v>
      </c>
      <c r="M1042" s="327">
        <f t="shared" si="1209"/>
        <v>0</v>
      </c>
      <c r="N1042" s="337">
        <f t="shared" si="1210"/>
        <v>0</v>
      </c>
      <c r="O1042" s="395">
        <f t="shared" si="1211"/>
        <v>-5</v>
      </c>
      <c r="P1042" s="289">
        <f t="shared" si="1212"/>
        <v>0</v>
      </c>
      <c r="Q1042" s="460">
        <f>WEEKNUM(tblResultadosNBA[[#This Row],[Fecha]],2)</f>
        <v>12</v>
      </c>
      <c r="R1042" s="460" t="str">
        <f>TEXT(tblResultadosNBA[[#This Row],[Fecha]],"mmm")</f>
        <v>mar</v>
      </c>
    </row>
    <row r="1043" spans="1:18">
      <c r="A1043" s="439">
        <v>46100</v>
      </c>
      <c r="B1043" s="302" t="s">
        <v>956</v>
      </c>
      <c r="C1043" s="177" t="str">
        <f t="shared" si="1203"/>
        <v>LA Clippers</v>
      </c>
      <c r="D1043" s="177">
        <v>118</v>
      </c>
      <c r="E1043" s="336">
        <v>99</v>
      </c>
      <c r="F1043" s="327">
        <f t="shared" si="1204"/>
        <v>0</v>
      </c>
      <c r="G1043" s="177" t="str">
        <f t="shared" si="1205"/>
        <v>New Orleans Pelicans</v>
      </c>
      <c r="H1043" s="177">
        <v>116</v>
      </c>
      <c r="I1043" s="336">
        <v>105</v>
      </c>
      <c r="J1043" s="327">
        <f t="shared" si="1206"/>
        <v>0</v>
      </c>
      <c r="K1043" s="177">
        <f t="shared" si="1207"/>
        <v>234</v>
      </c>
      <c r="L1043" s="336">
        <f t="shared" si="1208"/>
        <v>204</v>
      </c>
      <c r="M1043" s="327">
        <f t="shared" si="1209"/>
        <v>0</v>
      </c>
      <c r="N1043" s="337">
        <f t="shared" si="1210"/>
        <v>-2</v>
      </c>
      <c r="O1043" s="395">
        <f t="shared" si="1211"/>
        <v>6</v>
      </c>
      <c r="P1043" s="289">
        <f t="shared" si="1212"/>
        <v>0</v>
      </c>
      <c r="Q1043" s="460">
        <f>WEEKNUM(tblResultadosNBA[[#This Row],[Fecha]],2)</f>
        <v>12</v>
      </c>
      <c r="R1043" s="460" t="str">
        <f>TEXT(tblResultadosNBA[[#This Row],[Fecha]],"mmm")</f>
        <v>mar</v>
      </c>
    </row>
    <row r="1044" spans="1:18">
      <c r="A1044" s="439">
        <v>46100</v>
      </c>
      <c r="B1044" s="302" t="s">
        <v>374</v>
      </c>
      <c r="C1044" s="177" t="str">
        <f t="shared" si="1203"/>
        <v>Phoenix Suns</v>
      </c>
      <c r="D1044" s="177">
        <v>114</v>
      </c>
      <c r="E1044" s="336">
        <v>100</v>
      </c>
      <c r="F1044" s="327">
        <f t="shared" si="1204"/>
        <v>0</v>
      </c>
      <c r="G1044" s="177" t="str">
        <f t="shared" si="1205"/>
        <v>San Antonio Spurs</v>
      </c>
      <c r="H1044" s="177">
        <v>120</v>
      </c>
      <c r="I1044" s="336">
        <v>101</v>
      </c>
      <c r="J1044" s="327">
        <f t="shared" si="1206"/>
        <v>0</v>
      </c>
      <c r="K1044" s="177">
        <f t="shared" si="1207"/>
        <v>234</v>
      </c>
      <c r="L1044" s="336">
        <f t="shared" si="1208"/>
        <v>201</v>
      </c>
      <c r="M1044" s="327">
        <f t="shared" si="1209"/>
        <v>0</v>
      </c>
      <c r="N1044" s="337">
        <f t="shared" si="1210"/>
        <v>6</v>
      </c>
      <c r="O1044" s="395">
        <f t="shared" si="1211"/>
        <v>1</v>
      </c>
      <c r="P1044" s="289">
        <f t="shared" si="1212"/>
        <v>1</v>
      </c>
      <c r="Q1044" s="460">
        <f>WEEKNUM(tblResultadosNBA[[#This Row],[Fecha]],2)</f>
        <v>12</v>
      </c>
      <c r="R1044" s="460" t="str">
        <f>TEXT(tblResultadosNBA[[#This Row],[Fecha]],"mmm")</f>
        <v>mar</v>
      </c>
    </row>
    <row r="1045" spans="1:18">
      <c r="A1045" s="439">
        <v>46100</v>
      </c>
      <c r="B1045" s="302" t="s">
        <v>486</v>
      </c>
      <c r="C1045" s="177" t="str">
        <f t="shared" si="1203"/>
        <v>Milwaukee Bucks</v>
      </c>
      <c r="D1045" s="177">
        <v>113</v>
      </c>
      <c r="E1045" s="336">
        <v>96</v>
      </c>
      <c r="F1045" s="327">
        <f t="shared" si="1204"/>
        <v>0</v>
      </c>
      <c r="G1045" s="177" t="str">
        <f t="shared" si="1205"/>
        <v>Utah Jazz</v>
      </c>
      <c r="H1045" s="177">
        <v>116</v>
      </c>
      <c r="I1045" s="336">
        <v>128</v>
      </c>
      <c r="J1045" s="327">
        <f t="shared" si="1206"/>
        <v>1</v>
      </c>
      <c r="K1045" s="177">
        <f t="shared" si="1207"/>
        <v>229</v>
      </c>
      <c r="L1045" s="336">
        <f t="shared" si="1208"/>
        <v>224</v>
      </c>
      <c r="M1045" s="327">
        <f t="shared" si="1209"/>
        <v>0</v>
      </c>
      <c r="N1045" s="337">
        <f t="shared" si="1210"/>
        <v>3</v>
      </c>
      <c r="O1045" s="395">
        <f t="shared" si="1211"/>
        <v>32</v>
      </c>
      <c r="P1045" s="289">
        <f t="shared" si="1212"/>
        <v>1</v>
      </c>
      <c r="Q1045" s="460">
        <f>WEEKNUM(tblResultadosNBA[[#This Row],[Fecha]],2)</f>
        <v>12</v>
      </c>
      <c r="R1045" s="460" t="str">
        <f>TEXT(tblResultadosNBA[[#This Row],[Fecha]],"mmm")</f>
        <v>mar</v>
      </c>
    </row>
    <row r="1046" spans="1:18">
      <c r="A1046" s="446">
        <v>46100</v>
      </c>
      <c r="B1046" s="331" t="s">
        <v>487</v>
      </c>
      <c r="C1046" s="286" t="str">
        <f t="shared" si="1203"/>
        <v>Philadelphia 76ers</v>
      </c>
      <c r="D1046" s="286">
        <v>115</v>
      </c>
      <c r="E1046" s="431">
        <v>139</v>
      </c>
      <c r="F1046" s="332">
        <f t="shared" si="1204"/>
        <v>1</v>
      </c>
      <c r="G1046" s="286" t="str">
        <f t="shared" si="1205"/>
        <v>Sacramento Kings</v>
      </c>
      <c r="H1046" s="286">
        <v>113</v>
      </c>
      <c r="I1046" s="431">
        <v>118</v>
      </c>
      <c r="J1046" s="332">
        <f t="shared" si="1206"/>
        <v>1</v>
      </c>
      <c r="K1046" s="286">
        <f t="shared" si="1207"/>
        <v>228</v>
      </c>
      <c r="L1046" s="431">
        <f t="shared" si="1208"/>
        <v>257</v>
      </c>
      <c r="M1046" s="332">
        <f t="shared" si="1209"/>
        <v>1</v>
      </c>
      <c r="N1046" s="432">
        <f t="shared" si="1210"/>
        <v>-2</v>
      </c>
      <c r="O1046" s="451">
        <f t="shared" si="1211"/>
        <v>-21</v>
      </c>
      <c r="P1046" s="433">
        <f t="shared" si="1212"/>
        <v>1</v>
      </c>
      <c r="Q1046" s="460">
        <f>WEEKNUM(tblResultadosNBA[[#This Row],[Fecha]],2)</f>
        <v>12</v>
      </c>
      <c r="R1046" s="460" t="str">
        <f>TEXT(tblResultadosNBA[[#This Row],[Fecha]],"mmm")</f>
        <v>mar</v>
      </c>
    </row>
    <row r="1047" spans="1:18">
      <c r="A1047" s="439">
        <v>46101</v>
      </c>
      <c r="B1047" s="422" t="s">
        <v>777</v>
      </c>
      <c r="C1047" s="341" t="str">
        <f>LEFT(B1047,FIND("@",B1047)-2)</f>
        <v>New York Knicks</v>
      </c>
      <c r="D1047" s="341">
        <v>114</v>
      </c>
      <c r="E1047" s="342">
        <v>93</v>
      </c>
      <c r="F1047" s="333">
        <f>IF(E1047&gt;D1047, 1, 0)</f>
        <v>0</v>
      </c>
      <c r="G1047" s="341" t="str">
        <f>MID(B1047,FIND("@",B1047)+2,LEN(B1047)-FIND("@",B1047)-1)</f>
        <v>Brooklyn Nets</v>
      </c>
      <c r="H1047" s="341">
        <v>107</v>
      </c>
      <c r="I1047" s="342">
        <v>92</v>
      </c>
      <c r="J1047" s="333">
        <f>IF(I1047&gt;H1047, 1, 0)</f>
        <v>0</v>
      </c>
      <c r="K1047" s="341">
        <f>+D1047+H1047</f>
        <v>221</v>
      </c>
      <c r="L1047" s="342">
        <f>E1047+I1047</f>
        <v>185</v>
      </c>
      <c r="M1047" s="333">
        <f>IF(L1047&gt;K1047, 1, 0)</f>
        <v>0</v>
      </c>
      <c r="N1047" s="343">
        <f>(+H1047-D1047)</f>
        <v>-7</v>
      </c>
      <c r="O1047" s="449">
        <f>I1047-E1047</f>
        <v>-1</v>
      </c>
      <c r="P1047" s="289">
        <f>IF(OR(AND(N1047&gt;0,O1047&gt;0),AND(N1047&lt;0,O1047&lt;0)),1,0)</f>
        <v>1</v>
      </c>
      <c r="Q1047" s="460">
        <f>WEEKNUM(tblResultadosNBA[[#This Row],[Fecha]],2)</f>
        <v>12</v>
      </c>
      <c r="R1047" s="460" t="str">
        <f>TEXT(tblResultadosNBA[[#This Row],[Fecha]],"mmm")</f>
        <v>mar</v>
      </c>
    </row>
    <row r="1048" spans="1:18">
      <c r="A1048" s="439">
        <v>46101</v>
      </c>
      <c r="B1048" s="302" t="s">
        <v>488</v>
      </c>
      <c r="C1048" s="177" t="str">
        <f t="shared" ref="C1048:C1052" si="1213">LEFT(B1048,FIND("@",B1048)-2)</f>
        <v>Golden State Warriors</v>
      </c>
      <c r="D1048" s="177">
        <v>115</v>
      </c>
      <c r="E1048" s="336">
        <v>101</v>
      </c>
      <c r="F1048" s="327">
        <f t="shared" ref="F1048:F1052" si="1214">IF(E1048&gt;D1048, 1, 0)</f>
        <v>0</v>
      </c>
      <c r="G1048" s="177" t="str">
        <f t="shared" ref="G1048:G1052" si="1215">MID(B1048,FIND("@",B1048)+2,LEN(B1048)-FIND("@",B1048)-1)</f>
        <v>Detroit Pistons</v>
      </c>
      <c r="H1048" s="177">
        <v>117</v>
      </c>
      <c r="I1048" s="336">
        <v>115</v>
      </c>
      <c r="J1048" s="327">
        <f t="shared" ref="J1048:J1052" si="1216">IF(I1048&gt;H1048, 1, 0)</f>
        <v>0</v>
      </c>
      <c r="K1048" s="177">
        <f t="shared" ref="K1048:K1052" si="1217">+D1048+H1048</f>
        <v>232</v>
      </c>
      <c r="L1048" s="336">
        <f t="shared" ref="L1048:L1052" si="1218">E1048+I1048</f>
        <v>216</v>
      </c>
      <c r="M1048" s="327">
        <f t="shared" ref="M1048:M1052" si="1219">IF(L1048&gt;K1048, 1, 0)</f>
        <v>0</v>
      </c>
      <c r="N1048" s="337">
        <f t="shared" ref="N1048:N1052" si="1220">(+H1048-D1048)</f>
        <v>2</v>
      </c>
      <c r="O1048" s="395">
        <f t="shared" ref="O1048:O1052" si="1221">I1048-E1048</f>
        <v>14</v>
      </c>
      <c r="P1048" s="289">
        <f t="shared" ref="P1048:P1052" si="1222">IF(OR(AND(N1048&gt;0,O1048&gt;0),AND(N1048&lt;0,O1048&lt;0)),1,0)</f>
        <v>1</v>
      </c>
      <c r="Q1048" s="460">
        <f>WEEKNUM(tblResultadosNBA[[#This Row],[Fecha]],2)</f>
        <v>12</v>
      </c>
      <c r="R1048" s="460" t="str">
        <f>TEXT(tblResultadosNBA[[#This Row],[Fecha]],"mmm")</f>
        <v>mar</v>
      </c>
    </row>
    <row r="1049" spans="1:18">
      <c r="A1049" s="439">
        <v>46101</v>
      </c>
      <c r="B1049" s="302" t="s">
        <v>489</v>
      </c>
      <c r="C1049" s="177" t="str">
        <f t="shared" si="1213"/>
        <v>Atlanta Hawks</v>
      </c>
      <c r="D1049" s="177">
        <v>116</v>
      </c>
      <c r="E1049" s="336">
        <v>95</v>
      </c>
      <c r="F1049" s="327">
        <f t="shared" si="1214"/>
        <v>0</v>
      </c>
      <c r="G1049" s="177" t="str">
        <f t="shared" si="1215"/>
        <v>Houston Rockets</v>
      </c>
      <c r="H1049" s="177">
        <v>119</v>
      </c>
      <c r="I1049" s="336">
        <v>117</v>
      </c>
      <c r="J1049" s="327">
        <f t="shared" si="1216"/>
        <v>0</v>
      </c>
      <c r="K1049" s="177">
        <f t="shared" si="1217"/>
        <v>235</v>
      </c>
      <c r="L1049" s="336">
        <f t="shared" si="1218"/>
        <v>212</v>
      </c>
      <c r="M1049" s="327">
        <f t="shared" si="1219"/>
        <v>0</v>
      </c>
      <c r="N1049" s="337">
        <f t="shared" si="1220"/>
        <v>3</v>
      </c>
      <c r="O1049" s="395">
        <f t="shared" si="1221"/>
        <v>22</v>
      </c>
      <c r="P1049" s="289">
        <f t="shared" si="1222"/>
        <v>1</v>
      </c>
      <c r="Q1049" s="460">
        <f>WEEKNUM(tblResultadosNBA[[#This Row],[Fecha]],2)</f>
        <v>12</v>
      </c>
      <c r="R1049" s="460" t="str">
        <f>TEXT(tblResultadosNBA[[#This Row],[Fecha]],"mmm")</f>
        <v>mar</v>
      </c>
    </row>
    <row r="1050" spans="1:18">
      <c r="A1050" s="439">
        <v>46101</v>
      </c>
      <c r="B1050" s="302" t="s">
        <v>490</v>
      </c>
      <c r="C1050" s="177" t="str">
        <f t="shared" si="1213"/>
        <v>Boston Celtics</v>
      </c>
      <c r="D1050" s="177">
        <v>115</v>
      </c>
      <c r="E1050" s="336">
        <v>117</v>
      </c>
      <c r="F1050" s="327">
        <f t="shared" si="1214"/>
        <v>1</v>
      </c>
      <c r="G1050" s="177" t="str">
        <f t="shared" si="1215"/>
        <v>Memphis Grizzlies</v>
      </c>
      <c r="H1050" s="177">
        <v>108</v>
      </c>
      <c r="I1050" s="336">
        <v>112</v>
      </c>
      <c r="J1050" s="327">
        <f t="shared" si="1216"/>
        <v>1</v>
      </c>
      <c r="K1050" s="177">
        <f t="shared" si="1217"/>
        <v>223</v>
      </c>
      <c r="L1050" s="336">
        <f t="shared" si="1218"/>
        <v>229</v>
      </c>
      <c r="M1050" s="327">
        <f t="shared" si="1219"/>
        <v>1</v>
      </c>
      <c r="N1050" s="337">
        <f t="shared" si="1220"/>
        <v>-7</v>
      </c>
      <c r="O1050" s="395">
        <f t="shared" si="1221"/>
        <v>-5</v>
      </c>
      <c r="P1050" s="289">
        <f t="shared" si="1222"/>
        <v>1</v>
      </c>
      <c r="Q1050" s="460">
        <f>WEEKNUM(tblResultadosNBA[[#This Row],[Fecha]],2)</f>
        <v>12</v>
      </c>
      <c r="R1050" s="460" t="str">
        <f>TEXT(tblResultadosNBA[[#This Row],[Fecha]],"mmm")</f>
        <v>mar</v>
      </c>
    </row>
    <row r="1051" spans="1:18">
      <c r="A1051" s="439">
        <v>46101</v>
      </c>
      <c r="B1051" s="302" t="s">
        <v>362</v>
      </c>
      <c r="C1051" s="177" t="str">
        <f t="shared" si="1213"/>
        <v>Portland Trail Blazers</v>
      </c>
      <c r="D1051" s="177">
        <v>114</v>
      </c>
      <c r="E1051" s="336">
        <v>108</v>
      </c>
      <c r="F1051" s="327">
        <f t="shared" si="1214"/>
        <v>0</v>
      </c>
      <c r="G1051" s="177" t="str">
        <f t="shared" si="1215"/>
        <v>Minnesota Timberwolves</v>
      </c>
      <c r="H1051" s="177">
        <v>120</v>
      </c>
      <c r="I1051" s="336">
        <v>104</v>
      </c>
      <c r="J1051" s="327">
        <f t="shared" si="1216"/>
        <v>0</v>
      </c>
      <c r="K1051" s="177">
        <f t="shared" si="1217"/>
        <v>234</v>
      </c>
      <c r="L1051" s="336">
        <f t="shared" si="1218"/>
        <v>212</v>
      </c>
      <c r="M1051" s="327">
        <f t="shared" si="1219"/>
        <v>0</v>
      </c>
      <c r="N1051" s="337">
        <f t="shared" si="1220"/>
        <v>6</v>
      </c>
      <c r="O1051" s="395">
        <f t="shared" si="1221"/>
        <v>-4</v>
      </c>
      <c r="P1051" s="289">
        <f t="shared" si="1222"/>
        <v>0</v>
      </c>
      <c r="Q1051" s="460">
        <f>WEEKNUM(tblResultadosNBA[[#This Row],[Fecha]],2)</f>
        <v>12</v>
      </c>
      <c r="R1051" s="460" t="str">
        <f>TEXT(tblResultadosNBA[[#This Row],[Fecha]],"mmm")</f>
        <v>mar</v>
      </c>
    </row>
    <row r="1052" spans="1:18">
      <c r="A1052" s="446">
        <v>46101</v>
      </c>
      <c r="B1052" s="331" t="s">
        <v>491</v>
      </c>
      <c r="C1052" s="286" t="str">
        <f t="shared" si="1213"/>
        <v>Toronto Raptors</v>
      </c>
      <c r="D1052" s="286">
        <v>112</v>
      </c>
      <c r="E1052" s="431">
        <v>115</v>
      </c>
      <c r="F1052" s="332">
        <f t="shared" si="1214"/>
        <v>1</v>
      </c>
      <c r="G1052" s="286" t="str">
        <f t="shared" si="1215"/>
        <v>Denver Nuggets</v>
      </c>
      <c r="H1052" s="286">
        <v>116</v>
      </c>
      <c r="I1052" s="431">
        <v>121</v>
      </c>
      <c r="J1052" s="332">
        <f t="shared" si="1216"/>
        <v>1</v>
      </c>
      <c r="K1052" s="286">
        <f t="shared" si="1217"/>
        <v>228</v>
      </c>
      <c r="L1052" s="431">
        <f t="shared" si="1218"/>
        <v>236</v>
      </c>
      <c r="M1052" s="332">
        <f t="shared" si="1219"/>
        <v>1</v>
      </c>
      <c r="N1052" s="432">
        <f t="shared" si="1220"/>
        <v>4</v>
      </c>
      <c r="O1052" s="451">
        <f t="shared" si="1221"/>
        <v>6</v>
      </c>
      <c r="P1052" s="433">
        <f t="shared" si="1222"/>
        <v>1</v>
      </c>
      <c r="Q1052" s="460">
        <f>WEEKNUM(tblResultadosNBA[[#This Row],[Fecha]],2)</f>
        <v>12</v>
      </c>
      <c r="R1052" s="460" t="str">
        <f>TEXT(tblResultadosNBA[[#This Row],[Fecha]],"mmm")</f>
        <v>mar</v>
      </c>
    </row>
    <row r="1053" spans="1:18">
      <c r="A1053" s="439">
        <v>46102</v>
      </c>
      <c r="B1053" s="422" t="s">
        <v>957</v>
      </c>
      <c r="C1053" s="341" t="str">
        <f>LEFT(B1053,FIND("@",B1053)-2)</f>
        <v>Oklahoma City Thunder</v>
      </c>
      <c r="D1053" s="341">
        <v>121</v>
      </c>
      <c r="E1053" s="342">
        <v>132</v>
      </c>
      <c r="F1053" s="333">
        <f>IF(E1053&gt;D1053, 1, 0)</f>
        <v>1</v>
      </c>
      <c r="G1053" s="341" t="str">
        <f>MID(B1053,FIND("@",B1053)+2,LEN(B1053)-FIND("@",B1053)-1)</f>
        <v>Washington Wizards</v>
      </c>
      <c r="H1053" s="341">
        <v>117</v>
      </c>
      <c r="I1053" s="342">
        <v>111</v>
      </c>
      <c r="J1053" s="333">
        <f>IF(I1053&gt;H1053, 1, 0)</f>
        <v>0</v>
      </c>
      <c r="K1053" s="341">
        <f>+D1053+H1053</f>
        <v>238</v>
      </c>
      <c r="L1053" s="342">
        <f>E1053+I1053</f>
        <v>243</v>
      </c>
      <c r="M1053" s="333">
        <f>IF(L1053&gt;K1053, 1, 0)</f>
        <v>1</v>
      </c>
      <c r="N1053" s="343">
        <f>(+H1053-D1053)</f>
        <v>-4</v>
      </c>
      <c r="O1053" s="449">
        <f>I1053-E1053</f>
        <v>-21</v>
      </c>
      <c r="P1053" s="289">
        <f>IF(OR(AND(N1053&gt;0,O1053&gt;0),AND(N1053&lt;0,O1053&lt;0)),1,0)</f>
        <v>1</v>
      </c>
      <c r="Q1053" s="460">
        <f>WEEKNUM(tblResultadosNBA[[#This Row],[Fecha]],2)</f>
        <v>12</v>
      </c>
      <c r="R1053" s="460" t="str">
        <f>TEXT(tblResultadosNBA[[#This Row],[Fecha]],"mmm")</f>
        <v>mar</v>
      </c>
    </row>
    <row r="1054" spans="1:18">
      <c r="A1054" s="439">
        <v>46102</v>
      </c>
      <c r="B1054" s="302" t="s">
        <v>958</v>
      </c>
      <c r="C1054" s="177" t="str">
        <f t="shared" ref="C1054:C1061" si="1223">LEFT(B1054,FIND("@",B1054)-2)</f>
        <v>Memphis Grizzlies</v>
      </c>
      <c r="D1054" s="177">
        <v>117</v>
      </c>
      <c r="E1054" s="336">
        <v>101</v>
      </c>
      <c r="F1054" s="327">
        <f t="shared" ref="F1054:F1061" si="1224">IF(E1054&gt;D1054, 1, 0)</f>
        <v>0</v>
      </c>
      <c r="G1054" s="177" t="str">
        <f t="shared" ref="G1054:G1061" si="1225">MID(B1054,FIND("@",B1054)+2,LEN(B1054)-FIND("@",B1054)-1)</f>
        <v>Charlotte Hornets</v>
      </c>
      <c r="H1054" s="177">
        <v>119</v>
      </c>
      <c r="I1054" s="336">
        <v>124</v>
      </c>
      <c r="J1054" s="327">
        <f t="shared" ref="J1054:J1061" si="1226">IF(I1054&gt;H1054, 1, 0)</f>
        <v>1</v>
      </c>
      <c r="K1054" s="177">
        <f t="shared" ref="K1054:K1061" si="1227">+D1054+H1054</f>
        <v>236</v>
      </c>
      <c r="L1054" s="336">
        <f t="shared" ref="L1054:L1061" si="1228">E1054+I1054</f>
        <v>225</v>
      </c>
      <c r="M1054" s="327">
        <f t="shared" ref="M1054:M1061" si="1229">IF(L1054&gt;K1054, 1, 0)</f>
        <v>0</v>
      </c>
      <c r="N1054" s="337">
        <f t="shared" ref="N1054:N1061" si="1230">(+H1054-D1054)</f>
        <v>2</v>
      </c>
      <c r="O1054" s="395">
        <f t="shared" ref="O1054:O1061" si="1231">I1054-E1054</f>
        <v>23</v>
      </c>
      <c r="P1054" s="289">
        <f t="shared" ref="P1054:P1061" si="1232">IF(OR(AND(N1054&gt;0,O1054&gt;0),AND(N1054&lt;0,O1054&lt;0)),1,0)</f>
        <v>1</v>
      </c>
      <c r="Q1054" s="460">
        <f>WEEKNUM(tblResultadosNBA[[#This Row],[Fecha]],2)</f>
        <v>12</v>
      </c>
      <c r="R1054" s="460" t="str">
        <f>TEXT(tblResultadosNBA[[#This Row],[Fecha]],"mmm")</f>
        <v>mar</v>
      </c>
    </row>
    <row r="1055" spans="1:18">
      <c r="A1055" s="439">
        <v>46102</v>
      </c>
      <c r="B1055" s="302" t="s">
        <v>959</v>
      </c>
      <c r="C1055" s="177" t="str">
        <f t="shared" si="1223"/>
        <v>Los Angeles Lakers</v>
      </c>
      <c r="D1055" s="177">
        <v>113</v>
      </c>
      <c r="E1055" s="336">
        <v>105</v>
      </c>
      <c r="F1055" s="327">
        <f t="shared" si="1224"/>
        <v>0</v>
      </c>
      <c r="G1055" s="177" t="str">
        <f t="shared" si="1225"/>
        <v>Orlando Magic</v>
      </c>
      <c r="H1055" s="177">
        <v>111</v>
      </c>
      <c r="I1055" s="336">
        <v>104</v>
      </c>
      <c r="J1055" s="327">
        <f t="shared" si="1226"/>
        <v>0</v>
      </c>
      <c r="K1055" s="177">
        <f t="shared" si="1227"/>
        <v>224</v>
      </c>
      <c r="L1055" s="336">
        <f t="shared" si="1228"/>
        <v>209</v>
      </c>
      <c r="M1055" s="327">
        <f t="shared" si="1229"/>
        <v>0</v>
      </c>
      <c r="N1055" s="337">
        <f t="shared" si="1230"/>
        <v>-2</v>
      </c>
      <c r="O1055" s="395">
        <f t="shared" si="1231"/>
        <v>-1</v>
      </c>
      <c r="P1055" s="289">
        <f t="shared" si="1232"/>
        <v>1</v>
      </c>
      <c r="Q1055" s="460">
        <f>WEEKNUM(tblResultadosNBA[[#This Row],[Fecha]],2)</f>
        <v>12</v>
      </c>
      <c r="R1055" s="460" t="str">
        <f>TEXT(tblResultadosNBA[[#This Row],[Fecha]],"mmm")</f>
        <v>mar</v>
      </c>
    </row>
    <row r="1056" spans="1:18">
      <c r="A1056" s="439">
        <v>46102</v>
      </c>
      <c r="B1056" s="302" t="s">
        <v>960</v>
      </c>
      <c r="C1056" s="177" t="str">
        <f t="shared" si="1223"/>
        <v>Cleveland Cavaliers</v>
      </c>
      <c r="D1056" s="177">
        <v>115</v>
      </c>
      <c r="E1056" s="336">
        <v>111</v>
      </c>
      <c r="F1056" s="327">
        <f t="shared" si="1224"/>
        <v>0</v>
      </c>
      <c r="G1056" s="177" t="str">
        <f t="shared" si="1225"/>
        <v>New Orleans Pelicans</v>
      </c>
      <c r="H1056" s="177">
        <v>116</v>
      </c>
      <c r="I1056" s="336">
        <v>106</v>
      </c>
      <c r="J1056" s="327">
        <f t="shared" si="1226"/>
        <v>0</v>
      </c>
      <c r="K1056" s="177">
        <f t="shared" si="1227"/>
        <v>231</v>
      </c>
      <c r="L1056" s="336">
        <f t="shared" si="1228"/>
        <v>217</v>
      </c>
      <c r="M1056" s="327">
        <f t="shared" si="1229"/>
        <v>0</v>
      </c>
      <c r="N1056" s="337">
        <f t="shared" si="1230"/>
        <v>1</v>
      </c>
      <c r="O1056" s="395">
        <f t="shared" si="1231"/>
        <v>-5</v>
      </c>
      <c r="P1056" s="289">
        <f t="shared" si="1232"/>
        <v>0</v>
      </c>
      <c r="Q1056" s="460">
        <f>WEEKNUM(tblResultadosNBA[[#This Row],[Fecha]],2)</f>
        <v>12</v>
      </c>
      <c r="R1056" s="460" t="str">
        <f>TEXT(tblResultadosNBA[[#This Row],[Fecha]],"mmm")</f>
        <v>mar</v>
      </c>
    </row>
    <row r="1057" spans="1:18">
      <c r="A1057" s="439">
        <v>46102</v>
      </c>
      <c r="B1057" s="302" t="s">
        <v>961</v>
      </c>
      <c r="C1057" s="177" t="str">
        <f t="shared" si="1223"/>
        <v>Golden State Warriors</v>
      </c>
      <c r="D1057" s="177">
        <v>120</v>
      </c>
      <c r="E1057" s="336">
        <v>110</v>
      </c>
      <c r="F1057" s="327">
        <f t="shared" si="1224"/>
        <v>0</v>
      </c>
      <c r="G1057" s="177" t="str">
        <f t="shared" si="1225"/>
        <v>Atlanta Hawks</v>
      </c>
      <c r="H1057" s="177">
        <v>120</v>
      </c>
      <c r="I1057" s="336">
        <v>126</v>
      </c>
      <c r="J1057" s="327">
        <f t="shared" si="1226"/>
        <v>1</v>
      </c>
      <c r="K1057" s="177">
        <f t="shared" si="1227"/>
        <v>240</v>
      </c>
      <c r="L1057" s="336">
        <f t="shared" si="1228"/>
        <v>236</v>
      </c>
      <c r="M1057" s="327">
        <f t="shared" si="1229"/>
        <v>0</v>
      </c>
      <c r="N1057" s="337">
        <f t="shared" si="1230"/>
        <v>0</v>
      </c>
      <c r="O1057" s="395">
        <f t="shared" si="1231"/>
        <v>16</v>
      </c>
      <c r="P1057" s="289">
        <f t="shared" si="1232"/>
        <v>0</v>
      </c>
      <c r="Q1057" s="460">
        <f>WEEKNUM(tblResultadosNBA[[#This Row],[Fecha]],2)</f>
        <v>12</v>
      </c>
      <c r="R1057" s="460" t="str">
        <f>TEXT(tblResultadosNBA[[#This Row],[Fecha]],"mmm")</f>
        <v>mar</v>
      </c>
    </row>
    <row r="1058" spans="1:18">
      <c r="A1058" s="439">
        <v>46102</v>
      </c>
      <c r="B1058" s="302" t="s">
        <v>962</v>
      </c>
      <c r="C1058" s="177" t="str">
        <f t="shared" si="1223"/>
        <v>Miami Heat</v>
      </c>
      <c r="D1058" s="177">
        <v>112</v>
      </c>
      <c r="E1058" s="336">
        <v>122</v>
      </c>
      <c r="F1058" s="327">
        <f t="shared" si="1224"/>
        <v>1</v>
      </c>
      <c r="G1058" s="177" t="str">
        <f t="shared" si="1225"/>
        <v>Houston Rockets</v>
      </c>
      <c r="H1058" s="177">
        <v>114</v>
      </c>
      <c r="I1058" s="336">
        <v>123</v>
      </c>
      <c r="J1058" s="327">
        <f t="shared" si="1226"/>
        <v>1</v>
      </c>
      <c r="K1058" s="177">
        <f t="shared" si="1227"/>
        <v>226</v>
      </c>
      <c r="L1058" s="336">
        <f t="shared" si="1228"/>
        <v>245</v>
      </c>
      <c r="M1058" s="327">
        <f t="shared" si="1229"/>
        <v>1</v>
      </c>
      <c r="N1058" s="337">
        <f t="shared" si="1230"/>
        <v>2</v>
      </c>
      <c r="O1058" s="395">
        <f t="shared" si="1231"/>
        <v>1</v>
      </c>
      <c r="P1058" s="289">
        <f t="shared" si="1232"/>
        <v>1</v>
      </c>
      <c r="Q1058" s="460">
        <f>WEEKNUM(tblResultadosNBA[[#This Row],[Fecha]],2)</f>
        <v>12</v>
      </c>
      <c r="R1058" s="460" t="str">
        <f>TEXT(tblResultadosNBA[[#This Row],[Fecha]],"mmm")</f>
        <v>mar</v>
      </c>
    </row>
    <row r="1059" spans="1:18">
      <c r="A1059" s="439">
        <v>46102</v>
      </c>
      <c r="B1059" s="302" t="s">
        <v>963</v>
      </c>
      <c r="C1059" s="177" t="str">
        <f t="shared" si="1223"/>
        <v>Indiana Pacers</v>
      </c>
      <c r="D1059" s="177">
        <v>115</v>
      </c>
      <c r="E1059" s="336">
        <v>119</v>
      </c>
      <c r="F1059" s="327">
        <f t="shared" si="1224"/>
        <v>1</v>
      </c>
      <c r="G1059" s="177" t="str">
        <f t="shared" si="1225"/>
        <v>San Antonio Spurs</v>
      </c>
      <c r="H1059" s="177">
        <v>120</v>
      </c>
      <c r="I1059" s="336">
        <v>134</v>
      </c>
      <c r="J1059" s="327">
        <f t="shared" si="1226"/>
        <v>1</v>
      </c>
      <c r="K1059" s="177">
        <f t="shared" si="1227"/>
        <v>235</v>
      </c>
      <c r="L1059" s="336">
        <f t="shared" si="1228"/>
        <v>253</v>
      </c>
      <c r="M1059" s="327">
        <f t="shared" si="1229"/>
        <v>1</v>
      </c>
      <c r="N1059" s="337">
        <f t="shared" si="1230"/>
        <v>5</v>
      </c>
      <c r="O1059" s="395">
        <f t="shared" si="1231"/>
        <v>15</v>
      </c>
      <c r="P1059" s="289">
        <f t="shared" si="1232"/>
        <v>1</v>
      </c>
      <c r="Q1059" s="460">
        <f>WEEKNUM(tblResultadosNBA[[#This Row],[Fecha]],2)</f>
        <v>12</v>
      </c>
      <c r="R1059" s="460" t="str">
        <f>TEXT(tblResultadosNBA[[#This Row],[Fecha]],"mmm")</f>
        <v>mar</v>
      </c>
    </row>
    <row r="1060" spans="1:18">
      <c r="A1060" s="439">
        <v>46102</v>
      </c>
      <c r="B1060" s="302" t="s">
        <v>57</v>
      </c>
      <c r="C1060" s="177" t="str">
        <f t="shared" si="1223"/>
        <v>LA Clippers</v>
      </c>
      <c r="D1060" s="177">
        <v>112</v>
      </c>
      <c r="E1060" s="336">
        <v>138</v>
      </c>
      <c r="F1060" s="327">
        <f t="shared" si="1224"/>
        <v>1</v>
      </c>
      <c r="G1060" s="177" t="str">
        <f t="shared" si="1225"/>
        <v>Dallas Mavericks</v>
      </c>
      <c r="H1060" s="177">
        <v>111</v>
      </c>
      <c r="I1060" s="336">
        <v>131</v>
      </c>
      <c r="J1060" s="327">
        <f t="shared" si="1226"/>
        <v>1</v>
      </c>
      <c r="K1060" s="177">
        <f t="shared" si="1227"/>
        <v>223</v>
      </c>
      <c r="L1060" s="336">
        <f t="shared" si="1228"/>
        <v>269</v>
      </c>
      <c r="M1060" s="327">
        <f t="shared" si="1229"/>
        <v>1</v>
      </c>
      <c r="N1060" s="337">
        <f t="shared" si="1230"/>
        <v>-1</v>
      </c>
      <c r="O1060" s="395">
        <f t="shared" si="1231"/>
        <v>-7</v>
      </c>
      <c r="P1060" s="289">
        <f t="shared" si="1232"/>
        <v>1</v>
      </c>
      <c r="Q1060" s="460">
        <f>WEEKNUM(tblResultadosNBA[[#This Row],[Fecha]],2)</f>
        <v>12</v>
      </c>
      <c r="R1060" s="460" t="str">
        <f>TEXT(tblResultadosNBA[[#This Row],[Fecha]],"mmm")</f>
        <v>mar</v>
      </c>
    </row>
    <row r="1061" spans="1:18">
      <c r="A1061" s="439">
        <v>46102</v>
      </c>
      <c r="B1061" s="302" t="s">
        <v>964</v>
      </c>
      <c r="C1061" s="177" t="str">
        <f t="shared" si="1223"/>
        <v>Philadelphia 76ers</v>
      </c>
      <c r="D1061" s="177">
        <v>115</v>
      </c>
      <c r="E1061" s="336">
        <v>126</v>
      </c>
      <c r="F1061" s="327">
        <f t="shared" si="1224"/>
        <v>1</v>
      </c>
      <c r="G1061" s="177" t="str">
        <f t="shared" si="1225"/>
        <v>Utah Jazz</v>
      </c>
      <c r="H1061" s="177">
        <v>118</v>
      </c>
      <c r="I1061" s="336">
        <v>116</v>
      </c>
      <c r="J1061" s="327">
        <f t="shared" si="1226"/>
        <v>0</v>
      </c>
      <c r="K1061" s="177">
        <f t="shared" si="1227"/>
        <v>233</v>
      </c>
      <c r="L1061" s="336">
        <f t="shared" si="1228"/>
        <v>242</v>
      </c>
      <c r="M1061" s="327">
        <f t="shared" si="1229"/>
        <v>1</v>
      </c>
      <c r="N1061" s="337">
        <f t="shared" si="1230"/>
        <v>3</v>
      </c>
      <c r="O1061" s="395">
        <f t="shared" si="1231"/>
        <v>-10</v>
      </c>
      <c r="P1061" s="289">
        <f t="shared" si="1232"/>
        <v>0</v>
      </c>
      <c r="Q1061" s="460">
        <f>WEEKNUM(tblResultadosNBA[[#This Row],[Fecha]],2)</f>
        <v>12</v>
      </c>
      <c r="R1061" s="460" t="str">
        <f>TEXT(tblResultadosNBA[[#This Row],[Fecha]],"mmm")</f>
        <v>mar</v>
      </c>
    </row>
    <row r="1062" spans="1:18">
      <c r="A1062" s="446">
        <v>46102</v>
      </c>
      <c r="B1062" s="331" t="s">
        <v>965</v>
      </c>
      <c r="C1062" s="286" t="str">
        <f>LEFT(B1062,FIND("@",B1062)-2)</f>
        <v>Milwaukee Bucks</v>
      </c>
      <c r="D1062" s="286">
        <v>109</v>
      </c>
      <c r="E1062" s="431">
        <v>108</v>
      </c>
      <c r="F1062" s="332">
        <f>IF(E1062&gt;D1062, 1, 0)</f>
        <v>0</v>
      </c>
      <c r="G1062" s="286" t="str">
        <f>MID(B1062,FIND("@",B1062)+2,LEN(B1062)-FIND("@",B1062)-1)</f>
        <v>Phoenix Suns</v>
      </c>
      <c r="H1062" s="286">
        <v>112</v>
      </c>
      <c r="I1062" s="431">
        <v>105</v>
      </c>
      <c r="J1062" s="332">
        <f>IF(I1062&gt;H1062, 1, 0)</f>
        <v>0</v>
      </c>
      <c r="K1062" s="286">
        <f>+D1062+H1062</f>
        <v>221</v>
      </c>
      <c r="L1062" s="431">
        <f>E1062+I1062</f>
        <v>213</v>
      </c>
      <c r="M1062" s="332">
        <f>IF(L1062&gt;K1062, 1, 0)</f>
        <v>0</v>
      </c>
      <c r="N1062" s="432">
        <f>(+H1062-D1062)</f>
        <v>3</v>
      </c>
      <c r="O1062" s="451">
        <f>I1062-E1062</f>
        <v>-3</v>
      </c>
      <c r="P1062" s="433">
        <f>IF(OR(AND(N1062&gt;0,O1062&gt;0),AND(N1062&lt;0,O1062&lt;0)),1,0)</f>
        <v>0</v>
      </c>
      <c r="Q1062" s="460">
        <f>WEEKNUM(tblResultadosNBA[[#This Row],[Fecha]],2)</f>
        <v>12</v>
      </c>
      <c r="R1062" s="460" t="str">
        <f>TEXT(tblResultadosNBA[[#This Row],[Fecha]],"mmm")</f>
        <v>mar</v>
      </c>
    </row>
    <row r="1063" spans="1:18">
      <c r="A1063" s="439">
        <v>46103</v>
      </c>
      <c r="B1063" s="422" t="s">
        <v>492</v>
      </c>
      <c r="C1063" s="341" t="str">
        <f>LEFT(B1063,FIND("@",B1063)-2)</f>
        <v>Portland Trail Blazers</v>
      </c>
      <c r="D1063" s="341">
        <v>111</v>
      </c>
      <c r="E1063" s="342">
        <v>112</v>
      </c>
      <c r="F1063" s="333">
        <f>IF(E1063&gt;D1063, 1, 0)</f>
        <v>1</v>
      </c>
      <c r="G1063" s="341" t="str">
        <f>MID(B1063,FIND("@",B1063)+2,LEN(B1063)-FIND("@",B1063)-1)</f>
        <v>Denver Nuggets</v>
      </c>
      <c r="H1063" s="341">
        <v>119</v>
      </c>
      <c r="I1063" s="342">
        <v>128</v>
      </c>
      <c r="J1063" s="333">
        <f>IF(I1063&gt;H1063, 1, 0)</f>
        <v>1</v>
      </c>
      <c r="K1063" s="341">
        <f>+D1063+H1063</f>
        <v>230</v>
      </c>
      <c r="L1063" s="342">
        <f>E1063+I1063</f>
        <v>240</v>
      </c>
      <c r="M1063" s="333">
        <f>IF(L1063&gt;K1063, 1, 0)</f>
        <v>1</v>
      </c>
      <c r="N1063" s="343">
        <f>(+H1063-D1063)</f>
        <v>8</v>
      </c>
      <c r="O1063" s="449">
        <f>I1063-E1063</f>
        <v>16</v>
      </c>
      <c r="P1063" s="289">
        <f>IF(OR(AND(N1063&gt;0,O1063&gt;0),AND(N1063&lt;0,O1063&lt;0)),1,0)</f>
        <v>1</v>
      </c>
      <c r="Q1063" s="460">
        <f>WEEKNUM(tblResultadosNBA[[#This Row],[Fecha]],2)</f>
        <v>12</v>
      </c>
      <c r="R1063" s="460" t="str">
        <f>TEXT(tblResultadosNBA[[#This Row],[Fecha]],"mmm")</f>
        <v>mar</v>
      </c>
    </row>
    <row r="1064" spans="1:18">
      <c r="A1064" s="439">
        <v>46103</v>
      </c>
      <c r="B1064" s="302" t="s">
        <v>966</v>
      </c>
      <c r="C1064" s="177" t="str">
        <f t="shared" ref="C1064:C1067" si="1233">LEFT(B1064,FIND("@",B1064)-2)</f>
        <v>Brooklyn Nets</v>
      </c>
      <c r="D1064" s="177">
        <v>110</v>
      </c>
      <c r="E1064" s="336">
        <v>122</v>
      </c>
      <c r="F1064" s="327">
        <f t="shared" ref="F1064:F1067" si="1234">IF(E1064&gt;D1064, 1, 0)</f>
        <v>1</v>
      </c>
      <c r="G1064" s="177" t="str">
        <f t="shared" ref="G1064:G1067" si="1235">MID(B1064,FIND("@",B1064)+2,LEN(B1064)-FIND("@",B1064)-1)</f>
        <v>Sacramento Kings</v>
      </c>
      <c r="H1064" s="177">
        <v>112</v>
      </c>
      <c r="I1064" s="336">
        <v>126</v>
      </c>
      <c r="J1064" s="327">
        <f t="shared" ref="J1064:J1067" si="1236">IF(I1064&gt;H1064, 1, 0)</f>
        <v>1</v>
      </c>
      <c r="K1064" s="177">
        <f t="shared" ref="K1064:K1067" si="1237">+D1064+H1064</f>
        <v>222</v>
      </c>
      <c r="L1064" s="336">
        <f t="shared" ref="L1064:L1067" si="1238">E1064+I1064</f>
        <v>248</v>
      </c>
      <c r="M1064" s="327">
        <f t="shared" ref="M1064:M1067" si="1239">IF(L1064&gt;K1064, 1, 0)</f>
        <v>1</v>
      </c>
      <c r="N1064" s="337">
        <f t="shared" ref="N1064:N1067" si="1240">(+H1064-D1064)</f>
        <v>2</v>
      </c>
      <c r="O1064" s="395">
        <f t="shared" ref="O1064:O1067" si="1241">I1064-E1064</f>
        <v>4</v>
      </c>
      <c r="P1064" s="289">
        <f t="shared" ref="P1064:P1067" si="1242">IF(OR(AND(N1064&gt;0,O1064&gt;0),AND(N1064&lt;0,O1064&lt;0)),1,0)</f>
        <v>1</v>
      </c>
      <c r="Q1064" s="460">
        <f>WEEKNUM(tblResultadosNBA[[#This Row],[Fecha]],2)</f>
        <v>12</v>
      </c>
      <c r="R1064" s="460" t="str">
        <f>TEXT(tblResultadosNBA[[#This Row],[Fecha]],"mmm")</f>
        <v>mar</v>
      </c>
    </row>
    <row r="1065" spans="1:18">
      <c r="A1065" s="439">
        <v>46103</v>
      </c>
      <c r="B1065" s="302" t="s">
        <v>493</v>
      </c>
      <c r="C1065" s="177" t="str">
        <f t="shared" si="1233"/>
        <v>Washington Wizards</v>
      </c>
      <c r="D1065" s="177">
        <v>109</v>
      </c>
      <c r="E1065" s="336">
        <v>113</v>
      </c>
      <c r="F1065" s="327">
        <f t="shared" si="1234"/>
        <v>1</v>
      </c>
      <c r="G1065" s="177" t="str">
        <f t="shared" si="1235"/>
        <v>New York Knicks</v>
      </c>
      <c r="H1065" s="177">
        <v>120</v>
      </c>
      <c r="I1065" s="336">
        <v>145</v>
      </c>
      <c r="J1065" s="327">
        <f t="shared" si="1236"/>
        <v>1</v>
      </c>
      <c r="K1065" s="177">
        <f t="shared" si="1237"/>
        <v>229</v>
      </c>
      <c r="L1065" s="336">
        <f t="shared" si="1238"/>
        <v>258</v>
      </c>
      <c r="M1065" s="327">
        <f t="shared" si="1239"/>
        <v>1</v>
      </c>
      <c r="N1065" s="337">
        <f t="shared" si="1240"/>
        <v>11</v>
      </c>
      <c r="O1065" s="395">
        <f t="shared" si="1241"/>
        <v>32</v>
      </c>
      <c r="P1065" s="289">
        <f t="shared" si="1242"/>
        <v>1</v>
      </c>
      <c r="Q1065" s="460">
        <f>WEEKNUM(tblResultadosNBA[[#This Row],[Fecha]],2)</f>
        <v>12</v>
      </c>
      <c r="R1065" s="460" t="str">
        <f>TEXT(tblResultadosNBA[[#This Row],[Fecha]],"mmm")</f>
        <v>mar</v>
      </c>
    </row>
    <row r="1066" spans="1:18">
      <c r="A1066" s="439">
        <v>46103</v>
      </c>
      <c r="B1066" s="302" t="s">
        <v>967</v>
      </c>
      <c r="C1066" s="177" t="str">
        <f t="shared" si="1233"/>
        <v>Minnesota Timberwolves</v>
      </c>
      <c r="D1066" s="177">
        <v>110</v>
      </c>
      <c r="E1066" s="336">
        <v>102</v>
      </c>
      <c r="F1066" s="327">
        <f t="shared" si="1234"/>
        <v>0</v>
      </c>
      <c r="G1066" s="177" t="str">
        <f t="shared" si="1235"/>
        <v>Boston Celtics</v>
      </c>
      <c r="H1066" s="177">
        <v>116</v>
      </c>
      <c r="I1066" s="336">
        <v>92</v>
      </c>
      <c r="J1066" s="327">
        <f t="shared" si="1236"/>
        <v>0</v>
      </c>
      <c r="K1066" s="177">
        <f t="shared" si="1237"/>
        <v>226</v>
      </c>
      <c r="L1066" s="336">
        <f t="shared" si="1238"/>
        <v>194</v>
      </c>
      <c r="M1066" s="327">
        <f t="shared" si="1239"/>
        <v>0</v>
      </c>
      <c r="N1066" s="337">
        <f t="shared" si="1240"/>
        <v>6</v>
      </c>
      <c r="O1066" s="395">
        <f t="shared" si="1241"/>
        <v>-10</v>
      </c>
      <c r="P1066" s="289">
        <f t="shared" si="1242"/>
        <v>0</v>
      </c>
      <c r="Q1066" s="460">
        <f>WEEKNUM(tblResultadosNBA[[#This Row],[Fecha]],2)</f>
        <v>12</v>
      </c>
      <c r="R1066" s="460" t="str">
        <f>TEXT(tblResultadosNBA[[#This Row],[Fecha]],"mmm")</f>
        <v>mar</v>
      </c>
    </row>
    <row r="1067" spans="1:18">
      <c r="A1067" s="446">
        <v>46103</v>
      </c>
      <c r="B1067" s="331" t="s">
        <v>968</v>
      </c>
      <c r="C1067" s="286" t="str">
        <f t="shared" si="1233"/>
        <v>Toronto Raptors</v>
      </c>
      <c r="D1067" s="286">
        <v>112</v>
      </c>
      <c r="E1067" s="431">
        <v>98</v>
      </c>
      <c r="F1067" s="332">
        <f t="shared" si="1234"/>
        <v>0</v>
      </c>
      <c r="G1067" s="286" t="str">
        <f t="shared" si="1235"/>
        <v>Phoenix Suns</v>
      </c>
      <c r="H1067" s="286">
        <v>111</v>
      </c>
      <c r="I1067" s="431">
        <v>120</v>
      </c>
      <c r="J1067" s="332">
        <f t="shared" si="1236"/>
        <v>1</v>
      </c>
      <c r="K1067" s="286">
        <f t="shared" si="1237"/>
        <v>223</v>
      </c>
      <c r="L1067" s="431">
        <f t="shared" si="1238"/>
        <v>218</v>
      </c>
      <c r="M1067" s="332">
        <f t="shared" si="1239"/>
        <v>0</v>
      </c>
      <c r="N1067" s="432">
        <f t="shared" si="1240"/>
        <v>-1</v>
      </c>
      <c r="O1067" s="451">
        <f t="shared" si="1241"/>
        <v>22</v>
      </c>
      <c r="P1067" s="433">
        <f t="shared" si="1242"/>
        <v>0</v>
      </c>
      <c r="Q1067" s="460">
        <f>WEEKNUM(tblResultadosNBA[[#This Row],[Fecha]],2)</f>
        <v>12</v>
      </c>
      <c r="R1067" s="460" t="str">
        <f>TEXT(tblResultadosNBA[[#This Row],[Fecha]],"mmm")</f>
        <v>mar</v>
      </c>
    </row>
    <row r="1068" spans="1:18">
      <c r="A1068" s="439">
        <v>46104</v>
      </c>
      <c r="B1068" s="422" t="s">
        <v>969</v>
      </c>
      <c r="C1068" s="341" t="str">
        <f>LEFT(B1068,FIND("@",B1068)-2)</f>
        <v>Los Angeles Lakers</v>
      </c>
      <c r="D1068" s="341">
        <v>115</v>
      </c>
      <c r="E1068" s="342">
        <v>110</v>
      </c>
      <c r="F1068" s="333">
        <f>IF(E1068&gt;D1068, 1, 0)</f>
        <v>0</v>
      </c>
      <c r="G1068" s="341" t="str">
        <f>MID(B1068,FIND("@",B1068)+2,LEN(B1068)-FIND("@",B1068)-1)</f>
        <v>Detroit Pistons</v>
      </c>
      <c r="H1068" s="341">
        <v>118</v>
      </c>
      <c r="I1068" s="342">
        <v>113</v>
      </c>
      <c r="J1068" s="333">
        <f>IF(I1068&gt;H1068, 1, 0)</f>
        <v>0</v>
      </c>
      <c r="K1068" s="341">
        <f>+D1068+H1068</f>
        <v>233</v>
      </c>
      <c r="L1068" s="342">
        <f>E1068+I1068</f>
        <v>223</v>
      </c>
      <c r="M1068" s="333">
        <f>IF(L1068&gt;K1068, 1, 0)</f>
        <v>0</v>
      </c>
      <c r="N1068" s="343">
        <f>(+H1068-D1068)</f>
        <v>3</v>
      </c>
      <c r="O1068" s="449">
        <f>I1068-E1068</f>
        <v>3</v>
      </c>
      <c r="P1068" s="289">
        <f>IF(OR(AND(N1068&gt;0,O1068&gt;0),AND(N1068&lt;0,O1068&lt;0)),1,0)</f>
        <v>1</v>
      </c>
      <c r="Q1068" s="460">
        <f>WEEKNUM(tblResultadosNBA[[#This Row],[Fecha]],2)</f>
        <v>13</v>
      </c>
      <c r="R1068" s="460" t="str">
        <f>TEXT(tblResultadosNBA[[#This Row],[Fecha]],"mmm")</f>
        <v>mar</v>
      </c>
    </row>
    <row r="1069" spans="1:18">
      <c r="A1069" s="439">
        <v>46104</v>
      </c>
      <c r="B1069" s="302" t="s">
        <v>265</v>
      </c>
      <c r="C1069" s="177" t="str">
        <f t="shared" ref="C1069:C1077" si="1243">LEFT(B1069,FIND("@",B1069)-2)</f>
        <v>Indiana Pacers</v>
      </c>
      <c r="D1069" s="177">
        <v>113</v>
      </c>
      <c r="E1069" s="336">
        <v>128</v>
      </c>
      <c r="F1069" s="327">
        <f t="shared" ref="F1069:F1077" si="1244">IF(E1069&gt;D1069, 1, 0)</f>
        <v>1</v>
      </c>
      <c r="G1069" s="177" t="str">
        <f t="shared" ref="G1069:G1077" si="1245">MID(B1069,FIND("@",B1069)+2,LEN(B1069)-FIND("@",B1069)-1)</f>
        <v>Orlando Magic</v>
      </c>
      <c r="H1069" s="177">
        <v>117</v>
      </c>
      <c r="I1069" s="336">
        <v>126</v>
      </c>
      <c r="J1069" s="327">
        <f t="shared" ref="J1069:J1077" si="1246">IF(I1069&gt;H1069, 1, 0)</f>
        <v>1</v>
      </c>
      <c r="K1069" s="177">
        <f t="shared" ref="K1069:K1077" si="1247">+D1069+H1069</f>
        <v>230</v>
      </c>
      <c r="L1069" s="336">
        <f t="shared" ref="L1069:L1077" si="1248">E1069+I1069</f>
        <v>254</v>
      </c>
      <c r="M1069" s="327">
        <f t="shared" ref="M1069:M1077" si="1249">IF(L1069&gt;K1069, 1, 0)</f>
        <v>1</v>
      </c>
      <c r="N1069" s="337">
        <f t="shared" ref="N1069:N1077" si="1250">(+H1069-D1069)</f>
        <v>4</v>
      </c>
      <c r="O1069" s="395">
        <f t="shared" ref="O1069:O1077" si="1251">I1069-E1069</f>
        <v>-2</v>
      </c>
      <c r="P1069" s="289">
        <f t="shared" ref="P1069:P1077" si="1252">IF(OR(AND(N1069&gt;0,O1069&gt;0),AND(N1069&lt;0,O1069&lt;0)),1,0)</f>
        <v>0</v>
      </c>
      <c r="Q1069" s="460">
        <f>WEEKNUM(tblResultadosNBA[[#This Row],[Fecha]],2)</f>
        <v>13</v>
      </c>
      <c r="R1069" s="460" t="str">
        <f>TEXT(tblResultadosNBA[[#This Row],[Fecha]],"mmm")</f>
        <v>mar</v>
      </c>
    </row>
    <row r="1070" spans="1:18">
      <c r="A1070" s="439">
        <v>46104</v>
      </c>
      <c r="B1070" s="302" t="s">
        <v>494</v>
      </c>
      <c r="C1070" s="177" t="str">
        <f t="shared" si="1243"/>
        <v>Oklahoma City Thunder</v>
      </c>
      <c r="D1070" s="177">
        <v>115</v>
      </c>
      <c r="E1070" s="336">
        <v>123</v>
      </c>
      <c r="F1070" s="327">
        <f t="shared" si="1244"/>
        <v>1</v>
      </c>
      <c r="G1070" s="177" t="str">
        <f t="shared" si="1245"/>
        <v>Philadelphia 76ers</v>
      </c>
      <c r="H1070" s="177">
        <v>109</v>
      </c>
      <c r="I1070" s="336">
        <v>103</v>
      </c>
      <c r="J1070" s="327">
        <f t="shared" si="1246"/>
        <v>0</v>
      </c>
      <c r="K1070" s="177">
        <f t="shared" si="1247"/>
        <v>224</v>
      </c>
      <c r="L1070" s="336">
        <f t="shared" si="1248"/>
        <v>226</v>
      </c>
      <c r="M1070" s="327">
        <f t="shared" si="1249"/>
        <v>1</v>
      </c>
      <c r="N1070" s="337">
        <f t="shared" si="1250"/>
        <v>-6</v>
      </c>
      <c r="O1070" s="395">
        <f t="shared" si="1251"/>
        <v>-20</v>
      </c>
      <c r="P1070" s="289">
        <f t="shared" si="1252"/>
        <v>1</v>
      </c>
      <c r="Q1070" s="460">
        <f>WEEKNUM(tblResultadosNBA[[#This Row],[Fecha]],2)</f>
        <v>13</v>
      </c>
      <c r="R1070" s="460" t="str">
        <f>TEXT(tblResultadosNBA[[#This Row],[Fecha]],"mmm")</f>
        <v>mar</v>
      </c>
    </row>
    <row r="1071" spans="1:18">
      <c r="A1071" s="439">
        <v>46104</v>
      </c>
      <c r="B1071" s="302" t="s">
        <v>495</v>
      </c>
      <c r="C1071" s="177" t="str">
        <f t="shared" si="1243"/>
        <v>San Antonio Spurs</v>
      </c>
      <c r="D1071" s="177">
        <v>115</v>
      </c>
      <c r="E1071" s="336">
        <v>136</v>
      </c>
      <c r="F1071" s="327">
        <f t="shared" si="1244"/>
        <v>1</v>
      </c>
      <c r="G1071" s="177" t="str">
        <f t="shared" si="1245"/>
        <v>Miami Heat</v>
      </c>
      <c r="H1071" s="177">
        <v>115</v>
      </c>
      <c r="I1071" s="336">
        <v>111</v>
      </c>
      <c r="J1071" s="327">
        <f t="shared" si="1246"/>
        <v>0</v>
      </c>
      <c r="K1071" s="177">
        <f t="shared" si="1247"/>
        <v>230</v>
      </c>
      <c r="L1071" s="336">
        <f t="shared" si="1248"/>
        <v>247</v>
      </c>
      <c r="M1071" s="327">
        <f t="shared" si="1249"/>
        <v>1</v>
      </c>
      <c r="N1071" s="337">
        <f t="shared" si="1250"/>
        <v>0</v>
      </c>
      <c r="O1071" s="395">
        <f t="shared" si="1251"/>
        <v>-25</v>
      </c>
      <c r="P1071" s="289">
        <f t="shared" si="1252"/>
        <v>0</v>
      </c>
      <c r="Q1071" s="460">
        <f>WEEKNUM(tblResultadosNBA[[#This Row],[Fecha]],2)</f>
        <v>13</v>
      </c>
      <c r="R1071" s="460" t="str">
        <f>TEXT(tblResultadosNBA[[#This Row],[Fecha]],"mmm")</f>
        <v>mar</v>
      </c>
    </row>
    <row r="1072" spans="1:18">
      <c r="A1072" s="439">
        <v>46104</v>
      </c>
      <c r="B1072" s="302" t="s">
        <v>496</v>
      </c>
      <c r="C1072" s="177" t="str">
        <f t="shared" si="1243"/>
        <v>Memphis Grizzlies</v>
      </c>
      <c r="D1072" s="177">
        <v>116</v>
      </c>
      <c r="E1072" s="336">
        <v>107</v>
      </c>
      <c r="F1072" s="327">
        <f t="shared" si="1244"/>
        <v>0</v>
      </c>
      <c r="G1072" s="177" t="str">
        <f t="shared" si="1245"/>
        <v>Atlanta Hawks</v>
      </c>
      <c r="H1072" s="177">
        <v>119</v>
      </c>
      <c r="I1072" s="336">
        <v>146</v>
      </c>
      <c r="J1072" s="327">
        <f t="shared" si="1246"/>
        <v>1</v>
      </c>
      <c r="K1072" s="177">
        <f t="shared" si="1247"/>
        <v>235</v>
      </c>
      <c r="L1072" s="336">
        <f t="shared" si="1248"/>
        <v>253</v>
      </c>
      <c r="M1072" s="327">
        <f t="shared" si="1249"/>
        <v>1</v>
      </c>
      <c r="N1072" s="337">
        <f t="shared" si="1250"/>
        <v>3</v>
      </c>
      <c r="O1072" s="395">
        <f t="shared" si="1251"/>
        <v>39</v>
      </c>
      <c r="P1072" s="289">
        <f t="shared" si="1252"/>
        <v>1</v>
      </c>
      <c r="Q1072" s="460">
        <f>WEEKNUM(tblResultadosNBA[[#This Row],[Fecha]],2)</f>
        <v>13</v>
      </c>
      <c r="R1072" s="460" t="str">
        <f>TEXT(tblResultadosNBA[[#This Row],[Fecha]],"mmm")</f>
        <v>mar</v>
      </c>
    </row>
    <row r="1073" spans="1:18">
      <c r="A1073" s="439">
        <v>46104</v>
      </c>
      <c r="B1073" s="302" t="s">
        <v>497</v>
      </c>
      <c r="C1073" s="177" t="str">
        <f t="shared" si="1243"/>
        <v>Houston Rockets</v>
      </c>
      <c r="D1073" s="177">
        <v>113</v>
      </c>
      <c r="E1073" s="336">
        <v>124</v>
      </c>
      <c r="F1073" s="327">
        <f t="shared" si="1244"/>
        <v>1</v>
      </c>
      <c r="G1073" s="177" t="str">
        <f t="shared" si="1245"/>
        <v>Chicago Bulls</v>
      </c>
      <c r="H1073" s="177">
        <v>115</v>
      </c>
      <c r="I1073" s="336">
        <v>132</v>
      </c>
      <c r="J1073" s="327">
        <f t="shared" si="1246"/>
        <v>1</v>
      </c>
      <c r="K1073" s="177">
        <f t="shared" si="1247"/>
        <v>228</v>
      </c>
      <c r="L1073" s="336">
        <f t="shared" si="1248"/>
        <v>256</v>
      </c>
      <c r="M1073" s="327">
        <f t="shared" si="1249"/>
        <v>1</v>
      </c>
      <c r="N1073" s="337">
        <f t="shared" si="1250"/>
        <v>2</v>
      </c>
      <c r="O1073" s="395">
        <f t="shared" si="1251"/>
        <v>8</v>
      </c>
      <c r="P1073" s="289">
        <f t="shared" si="1252"/>
        <v>1</v>
      </c>
      <c r="Q1073" s="460">
        <f>WEEKNUM(tblResultadosNBA[[#This Row],[Fecha]],2)</f>
        <v>13</v>
      </c>
      <c r="R1073" s="460" t="str">
        <f>TEXT(tblResultadosNBA[[#This Row],[Fecha]],"mmm")</f>
        <v>mar</v>
      </c>
    </row>
    <row r="1074" spans="1:18">
      <c r="A1074" s="439">
        <v>46104</v>
      </c>
      <c r="B1074" s="302" t="s">
        <v>498</v>
      </c>
      <c r="C1074" s="177" t="str">
        <f t="shared" si="1243"/>
        <v>Toronto Raptors</v>
      </c>
      <c r="D1074" s="177">
        <v>113</v>
      </c>
      <c r="E1074" s="336">
        <v>143</v>
      </c>
      <c r="F1074" s="327">
        <f t="shared" si="1244"/>
        <v>1</v>
      </c>
      <c r="G1074" s="177" t="str">
        <f t="shared" si="1245"/>
        <v>Utah Jazz</v>
      </c>
      <c r="H1074" s="177">
        <v>116</v>
      </c>
      <c r="I1074" s="336">
        <v>127</v>
      </c>
      <c r="J1074" s="327">
        <f t="shared" si="1246"/>
        <v>1</v>
      </c>
      <c r="K1074" s="177">
        <f t="shared" si="1247"/>
        <v>229</v>
      </c>
      <c r="L1074" s="336">
        <f t="shared" si="1248"/>
        <v>270</v>
      </c>
      <c r="M1074" s="327">
        <f t="shared" si="1249"/>
        <v>1</v>
      </c>
      <c r="N1074" s="337">
        <f t="shared" si="1250"/>
        <v>3</v>
      </c>
      <c r="O1074" s="395">
        <f t="shared" si="1251"/>
        <v>-16</v>
      </c>
      <c r="P1074" s="289">
        <f t="shared" si="1252"/>
        <v>0</v>
      </c>
      <c r="Q1074" s="460">
        <f>WEEKNUM(tblResultadosNBA[[#This Row],[Fecha]],2)</f>
        <v>13</v>
      </c>
      <c r="R1074" s="460" t="str">
        <f>TEXT(tblResultadosNBA[[#This Row],[Fecha]],"mmm")</f>
        <v>mar</v>
      </c>
    </row>
    <row r="1075" spans="1:18">
      <c r="A1075" s="439">
        <v>46104</v>
      </c>
      <c r="B1075" s="302" t="s">
        <v>499</v>
      </c>
      <c r="C1075" s="177" t="str">
        <f t="shared" si="1243"/>
        <v>Golden State Warriors</v>
      </c>
      <c r="D1075" s="177">
        <v>115</v>
      </c>
      <c r="E1075" s="336">
        <v>137</v>
      </c>
      <c r="F1075" s="327">
        <f t="shared" si="1244"/>
        <v>1</v>
      </c>
      <c r="G1075" s="177" t="str">
        <f t="shared" si="1245"/>
        <v>Dallas Mavericks</v>
      </c>
      <c r="H1075" s="177">
        <v>115</v>
      </c>
      <c r="I1075" s="336">
        <v>131</v>
      </c>
      <c r="J1075" s="327">
        <f t="shared" si="1246"/>
        <v>1</v>
      </c>
      <c r="K1075" s="177">
        <f t="shared" si="1247"/>
        <v>230</v>
      </c>
      <c r="L1075" s="336">
        <f t="shared" si="1248"/>
        <v>268</v>
      </c>
      <c r="M1075" s="327">
        <f t="shared" si="1249"/>
        <v>1</v>
      </c>
      <c r="N1075" s="337">
        <f t="shared" si="1250"/>
        <v>0</v>
      </c>
      <c r="O1075" s="395">
        <f t="shared" si="1251"/>
        <v>-6</v>
      </c>
      <c r="P1075" s="289">
        <f t="shared" si="1252"/>
        <v>0</v>
      </c>
      <c r="Q1075" s="460">
        <f>WEEKNUM(tblResultadosNBA[[#This Row],[Fecha]],2)</f>
        <v>13</v>
      </c>
      <c r="R1075" s="460" t="str">
        <f>TEXT(tblResultadosNBA[[#This Row],[Fecha]],"mmm")</f>
        <v>mar</v>
      </c>
    </row>
    <row r="1076" spans="1:18">
      <c r="A1076" s="439">
        <v>46104</v>
      </c>
      <c r="B1076" s="302" t="s">
        <v>970</v>
      </c>
      <c r="C1076" s="177" t="str">
        <f t="shared" si="1243"/>
        <v>Brooklyn Nets</v>
      </c>
      <c r="D1076" s="177">
        <v>111</v>
      </c>
      <c r="E1076" s="336">
        <v>99</v>
      </c>
      <c r="F1076" s="327">
        <f t="shared" si="1244"/>
        <v>0</v>
      </c>
      <c r="G1076" s="177" t="str">
        <f t="shared" si="1245"/>
        <v>Portland Trail Blazers</v>
      </c>
      <c r="H1076" s="177">
        <v>111</v>
      </c>
      <c r="I1076" s="336">
        <v>134</v>
      </c>
      <c r="J1076" s="327">
        <f t="shared" si="1246"/>
        <v>1</v>
      </c>
      <c r="K1076" s="177">
        <f t="shared" si="1247"/>
        <v>222</v>
      </c>
      <c r="L1076" s="336">
        <f t="shared" si="1248"/>
        <v>233</v>
      </c>
      <c r="M1076" s="327">
        <f t="shared" si="1249"/>
        <v>1</v>
      </c>
      <c r="N1076" s="337">
        <f t="shared" si="1250"/>
        <v>0</v>
      </c>
      <c r="O1076" s="395">
        <f t="shared" si="1251"/>
        <v>35</v>
      </c>
      <c r="P1076" s="289">
        <f t="shared" si="1252"/>
        <v>0</v>
      </c>
      <c r="Q1076" s="460">
        <f>WEEKNUM(tblResultadosNBA[[#This Row],[Fecha]],2)</f>
        <v>13</v>
      </c>
      <c r="R1076" s="460" t="str">
        <f>TEXT(tblResultadosNBA[[#This Row],[Fecha]],"mmm")</f>
        <v>mar</v>
      </c>
    </row>
    <row r="1077" spans="1:18">
      <c r="A1077" s="446">
        <v>46104</v>
      </c>
      <c r="B1077" s="331" t="s">
        <v>971</v>
      </c>
      <c r="C1077" s="286" t="str">
        <f t="shared" si="1243"/>
        <v>Milwaukee Bucks</v>
      </c>
      <c r="D1077" s="286">
        <v>114</v>
      </c>
      <c r="E1077" s="431">
        <v>94</v>
      </c>
      <c r="F1077" s="332">
        <f t="shared" si="1244"/>
        <v>0</v>
      </c>
      <c r="G1077" s="286" t="str">
        <f t="shared" si="1245"/>
        <v>LA Clippers</v>
      </c>
      <c r="H1077" s="286">
        <v>113</v>
      </c>
      <c r="I1077" s="431">
        <v>129</v>
      </c>
      <c r="J1077" s="332">
        <f t="shared" si="1246"/>
        <v>1</v>
      </c>
      <c r="K1077" s="286">
        <f t="shared" si="1247"/>
        <v>227</v>
      </c>
      <c r="L1077" s="431">
        <f t="shared" si="1248"/>
        <v>223</v>
      </c>
      <c r="M1077" s="332">
        <f t="shared" si="1249"/>
        <v>0</v>
      </c>
      <c r="N1077" s="432">
        <f t="shared" si="1250"/>
        <v>-1</v>
      </c>
      <c r="O1077" s="451">
        <f t="shared" si="1251"/>
        <v>35</v>
      </c>
      <c r="P1077" s="433">
        <f t="shared" si="1252"/>
        <v>0</v>
      </c>
      <c r="Q1077" s="460">
        <f>WEEKNUM(tblResultadosNBA[[#This Row],[Fecha]],2)</f>
        <v>13</v>
      </c>
      <c r="R1077" s="460" t="str">
        <f>TEXT(tblResultadosNBA[[#This Row],[Fecha]],"mmm")</f>
        <v>mar</v>
      </c>
    </row>
    <row r="1078" spans="1:18">
      <c r="A1078" s="439">
        <v>46105</v>
      </c>
      <c r="B1078" s="422" t="s">
        <v>500</v>
      </c>
      <c r="C1078" s="341" t="str">
        <f>LEFT(B1078,FIND("@",B1078)-2)</f>
        <v>Sacramento Kings</v>
      </c>
      <c r="D1078" s="341">
        <v>115</v>
      </c>
      <c r="E1078" s="342">
        <v>90</v>
      </c>
      <c r="F1078" s="333">
        <f>IF(E1078&gt;D1078, 1, 0)</f>
        <v>0</v>
      </c>
      <c r="G1078" s="341" t="str">
        <f>MID(B1078,FIND("@",B1078)+2,LEN(B1078)-FIND("@",B1078)-1)</f>
        <v>Charlotte Hornets</v>
      </c>
      <c r="H1078" s="341">
        <v>116</v>
      </c>
      <c r="I1078" s="342">
        <v>134</v>
      </c>
      <c r="J1078" s="333">
        <f>IF(I1078&gt;H1078, 1, 0)</f>
        <v>1</v>
      </c>
      <c r="K1078" s="341">
        <f>+D1078+H1078</f>
        <v>231</v>
      </c>
      <c r="L1078" s="342">
        <f>E1078+I1078</f>
        <v>224</v>
      </c>
      <c r="M1078" s="333">
        <f>IF(L1078&gt;K1078, 1, 0)</f>
        <v>0</v>
      </c>
      <c r="N1078" s="343">
        <f>(+H1078-D1078)</f>
        <v>1</v>
      </c>
      <c r="O1078" s="449">
        <f>I1078-E1078</f>
        <v>44</v>
      </c>
      <c r="P1078" s="289">
        <f>IF(OR(AND(N1078&gt;0,O1078&gt;0),AND(N1078&lt;0,O1078&lt;0)),1,0)</f>
        <v>1</v>
      </c>
      <c r="Q1078" s="460">
        <f>WEEKNUM(tblResultadosNBA[[#This Row],[Fecha]],2)</f>
        <v>13</v>
      </c>
      <c r="R1078" s="460" t="str">
        <f>TEXT(tblResultadosNBA[[#This Row],[Fecha]],"mmm")</f>
        <v>mar</v>
      </c>
    </row>
    <row r="1079" spans="1:18">
      <c r="A1079" s="439">
        <v>46105</v>
      </c>
      <c r="B1079" s="302" t="s">
        <v>501</v>
      </c>
      <c r="C1079" s="177" t="str">
        <f t="shared" ref="C1079:C1081" si="1253">LEFT(B1079,FIND("@",B1079)-2)</f>
        <v>New Orleans Pelicans</v>
      </c>
      <c r="D1079" s="177">
        <v>112</v>
      </c>
      <c r="E1079" s="336">
        <v>116</v>
      </c>
      <c r="F1079" s="327">
        <f t="shared" ref="F1079:F1081" si="1254">IF(E1079&gt;D1079, 1, 0)</f>
        <v>1</v>
      </c>
      <c r="G1079" s="177" t="str">
        <f t="shared" ref="G1079:G1081" si="1255">MID(B1079,FIND("@",B1079)+2,LEN(B1079)-FIND("@",B1079)-1)</f>
        <v>New York Knicks</v>
      </c>
      <c r="H1079" s="177">
        <v>118</v>
      </c>
      <c r="I1079" s="336">
        <v>121</v>
      </c>
      <c r="J1079" s="327">
        <f t="shared" ref="J1079:J1081" si="1256">IF(I1079&gt;H1079, 1, 0)</f>
        <v>1</v>
      </c>
      <c r="K1079" s="177">
        <f t="shared" ref="K1079:K1081" si="1257">+D1079+H1079</f>
        <v>230</v>
      </c>
      <c r="L1079" s="336">
        <f t="shared" ref="L1079:L1081" si="1258">E1079+I1079</f>
        <v>237</v>
      </c>
      <c r="M1079" s="327">
        <f t="shared" ref="M1079:M1081" si="1259">IF(L1079&gt;K1079, 1, 0)</f>
        <v>1</v>
      </c>
      <c r="N1079" s="337">
        <f t="shared" ref="N1079:N1081" si="1260">(+H1079-D1079)</f>
        <v>6</v>
      </c>
      <c r="O1079" s="395">
        <f t="shared" ref="O1079:O1081" si="1261">I1079-E1079</f>
        <v>5</v>
      </c>
      <c r="P1079" s="289">
        <f t="shared" ref="P1079:P1081" si="1262">IF(OR(AND(N1079&gt;0,O1079&gt;0),AND(N1079&lt;0,O1079&lt;0)),1,0)</f>
        <v>1</v>
      </c>
      <c r="Q1079" s="460">
        <f>WEEKNUM(tblResultadosNBA[[#This Row],[Fecha]],2)</f>
        <v>13</v>
      </c>
      <c r="R1079" s="460" t="str">
        <f>TEXT(tblResultadosNBA[[#This Row],[Fecha]],"mmm")</f>
        <v>mar</v>
      </c>
    </row>
    <row r="1080" spans="1:18">
      <c r="A1080" s="439">
        <v>46105</v>
      </c>
      <c r="B1080" s="302" t="s">
        <v>300</v>
      </c>
      <c r="C1080" s="177" t="str">
        <f t="shared" si="1253"/>
        <v>Orlando Magic</v>
      </c>
      <c r="D1080" s="177">
        <v>112</v>
      </c>
      <c r="E1080" s="336">
        <v>131</v>
      </c>
      <c r="F1080" s="327">
        <f t="shared" si="1254"/>
        <v>1</v>
      </c>
      <c r="G1080" s="177" t="str">
        <f t="shared" si="1255"/>
        <v>Cleveland Cavaliers</v>
      </c>
      <c r="H1080" s="177">
        <v>117</v>
      </c>
      <c r="I1080" s="336">
        <v>136</v>
      </c>
      <c r="J1080" s="327">
        <f t="shared" si="1256"/>
        <v>1</v>
      </c>
      <c r="K1080" s="177">
        <f t="shared" si="1257"/>
        <v>229</v>
      </c>
      <c r="L1080" s="336">
        <f t="shared" si="1258"/>
        <v>267</v>
      </c>
      <c r="M1080" s="327">
        <f t="shared" si="1259"/>
        <v>1</v>
      </c>
      <c r="N1080" s="337">
        <f t="shared" si="1260"/>
        <v>5</v>
      </c>
      <c r="O1080" s="395">
        <f t="shared" si="1261"/>
        <v>5</v>
      </c>
      <c r="P1080" s="289">
        <f t="shared" si="1262"/>
        <v>1</v>
      </c>
      <c r="Q1080" s="460">
        <f>WEEKNUM(tblResultadosNBA[[#This Row],[Fecha]],2)</f>
        <v>13</v>
      </c>
      <c r="R1080" s="460" t="str">
        <f>TEXT(tblResultadosNBA[[#This Row],[Fecha]],"mmm")</f>
        <v>mar</v>
      </c>
    </row>
    <row r="1081" spans="1:18">
      <c r="A1081" s="446">
        <v>46105</v>
      </c>
      <c r="B1081" s="331" t="s">
        <v>502</v>
      </c>
      <c r="C1081" s="286" t="str">
        <f t="shared" si="1253"/>
        <v>Denver Nuggets</v>
      </c>
      <c r="D1081" s="286">
        <v>113</v>
      </c>
      <c r="E1081" s="431">
        <v>125</v>
      </c>
      <c r="F1081" s="332">
        <f t="shared" si="1254"/>
        <v>1</v>
      </c>
      <c r="G1081" s="286" t="str">
        <f t="shared" si="1255"/>
        <v>Phoenix Suns</v>
      </c>
      <c r="H1081" s="286">
        <v>112</v>
      </c>
      <c r="I1081" s="431">
        <v>123</v>
      </c>
      <c r="J1081" s="332">
        <f t="shared" si="1256"/>
        <v>1</v>
      </c>
      <c r="K1081" s="286">
        <f t="shared" si="1257"/>
        <v>225</v>
      </c>
      <c r="L1081" s="431">
        <f t="shared" si="1258"/>
        <v>248</v>
      </c>
      <c r="M1081" s="332">
        <f t="shared" si="1259"/>
        <v>1</v>
      </c>
      <c r="N1081" s="432">
        <f t="shared" si="1260"/>
        <v>-1</v>
      </c>
      <c r="O1081" s="451">
        <f t="shared" si="1261"/>
        <v>-2</v>
      </c>
      <c r="P1081" s="433">
        <f t="shared" si="1262"/>
        <v>1</v>
      </c>
      <c r="Q1081" s="460">
        <f>WEEKNUM(tblResultadosNBA[[#This Row],[Fecha]],2)</f>
        <v>13</v>
      </c>
      <c r="R1081" s="460" t="str">
        <f>TEXT(tblResultadosNBA[[#This Row],[Fecha]],"mmm")</f>
        <v>mar</v>
      </c>
    </row>
    <row r="1082" spans="1:18">
      <c r="A1082" s="439">
        <v>46106</v>
      </c>
      <c r="B1082" s="422" t="s">
        <v>126</v>
      </c>
      <c r="C1082" s="341" t="str">
        <f>LEFT(B1082,FIND("@",B1082)-2)</f>
        <v>Atlanta Hawks</v>
      </c>
      <c r="D1082" s="341">
        <v>118</v>
      </c>
      <c r="E1082" s="342">
        <v>130</v>
      </c>
      <c r="F1082" s="333">
        <f>IF(E1082&gt;D1082, 1, 0)</f>
        <v>1</v>
      </c>
      <c r="G1082" s="341" t="str">
        <f>MID(B1082,FIND("@",B1082)+2,LEN(B1082)-FIND("@",B1082)-1)</f>
        <v>Detroit Pistons</v>
      </c>
      <c r="H1082" s="341">
        <v>117</v>
      </c>
      <c r="I1082" s="342">
        <v>129</v>
      </c>
      <c r="J1082" s="333">
        <f>IF(I1082&gt;H1082, 1, 0)</f>
        <v>1</v>
      </c>
      <c r="K1082" s="341">
        <f>+D1082+H1082</f>
        <v>235</v>
      </c>
      <c r="L1082" s="342">
        <f>E1082+I1082</f>
        <v>259</v>
      </c>
      <c r="M1082" s="333">
        <f>IF(L1082&gt;K1082, 1, 0)</f>
        <v>1</v>
      </c>
      <c r="N1082" s="343">
        <f>(+H1082-D1082)</f>
        <v>-1</v>
      </c>
      <c r="O1082" s="449">
        <f>I1082-E1082</f>
        <v>-1</v>
      </c>
      <c r="P1082" s="289">
        <f>IF(OR(AND(N1082&gt;0,O1082&gt;0),AND(N1082&lt;0,O1082&lt;0)),1,0)</f>
        <v>1</v>
      </c>
      <c r="Q1082" s="460">
        <f>WEEKNUM(tblResultadosNBA[[#This Row],[Fecha]],2)</f>
        <v>13</v>
      </c>
      <c r="R1082" s="460" t="str">
        <f>TEXT(tblResultadosNBA[[#This Row],[Fecha]],"mmm")</f>
        <v>mar</v>
      </c>
    </row>
    <row r="1083" spans="1:18">
      <c r="A1083" s="419">
        <v>46106</v>
      </c>
      <c r="B1083" s="302" t="s">
        <v>503</v>
      </c>
      <c r="C1083" s="177" t="str">
        <f t="shared" ref="C1083:C1090" si="1263">LEFT(B1083,FIND("@",B1083)-2)</f>
        <v>Los Angeles Lakers</v>
      </c>
      <c r="D1083" s="177">
        <v>116</v>
      </c>
      <c r="E1083" s="336">
        <v>137</v>
      </c>
      <c r="F1083" s="327">
        <f t="shared" ref="F1083:F1090" si="1264">IF(E1083&gt;D1083, 1, 0)</f>
        <v>1</v>
      </c>
      <c r="G1083" s="177" t="str">
        <f t="shared" ref="G1083:G1090" si="1265">MID(B1083,FIND("@",B1083)+2,LEN(B1083)-FIND("@",B1083)-1)</f>
        <v>Indiana Pacers</v>
      </c>
      <c r="H1083" s="177">
        <v>114</v>
      </c>
      <c r="I1083" s="336">
        <v>130</v>
      </c>
      <c r="J1083" s="327">
        <f t="shared" ref="J1083:J1090" si="1266">IF(I1083&gt;H1083, 1, 0)</f>
        <v>1</v>
      </c>
      <c r="K1083" s="177">
        <f t="shared" ref="K1083:K1090" si="1267">+D1083+H1083</f>
        <v>230</v>
      </c>
      <c r="L1083" s="336">
        <f t="shared" ref="L1083:L1090" si="1268">E1083+I1083</f>
        <v>267</v>
      </c>
      <c r="M1083" s="327">
        <f t="shared" ref="M1083:M1090" si="1269">IF(L1083&gt;K1083, 1, 0)</f>
        <v>1</v>
      </c>
      <c r="N1083" s="337">
        <f t="shared" ref="N1083:N1090" si="1270">(+H1083-D1083)</f>
        <v>-2</v>
      </c>
      <c r="O1083" s="395">
        <f t="shared" ref="O1083:O1090" si="1271">I1083-E1083</f>
        <v>-7</v>
      </c>
      <c r="P1083" s="289">
        <f t="shared" ref="P1083:P1090" si="1272">IF(OR(AND(N1083&gt;0,O1083&gt;0),AND(N1083&lt;0,O1083&lt;0)),1,0)</f>
        <v>1</v>
      </c>
      <c r="Q1083" s="460">
        <f>WEEKNUM(tblResultadosNBA[[#This Row],[Fecha]],2)</f>
        <v>13</v>
      </c>
      <c r="R1083" s="460" t="str">
        <f>TEXT(tblResultadosNBA[[#This Row],[Fecha]],"mmm")</f>
        <v>mar</v>
      </c>
    </row>
    <row r="1084" spans="1:18">
      <c r="A1084" s="419">
        <v>46106</v>
      </c>
      <c r="B1084" s="302" t="s">
        <v>504</v>
      </c>
      <c r="C1084" s="177" t="str">
        <f t="shared" si="1263"/>
        <v>Chicago Bulls</v>
      </c>
      <c r="D1084" s="177">
        <v>110</v>
      </c>
      <c r="E1084" s="336">
        <v>137</v>
      </c>
      <c r="F1084" s="327">
        <f t="shared" si="1264"/>
        <v>1</v>
      </c>
      <c r="G1084" s="177" t="str">
        <f t="shared" si="1265"/>
        <v>Philadelphia 76ers</v>
      </c>
      <c r="H1084" s="177">
        <v>115</v>
      </c>
      <c r="I1084" s="336">
        <v>157</v>
      </c>
      <c r="J1084" s="327">
        <f t="shared" si="1266"/>
        <v>1</v>
      </c>
      <c r="K1084" s="177">
        <f t="shared" si="1267"/>
        <v>225</v>
      </c>
      <c r="L1084" s="336">
        <f t="shared" si="1268"/>
        <v>294</v>
      </c>
      <c r="M1084" s="327">
        <f t="shared" si="1269"/>
        <v>1</v>
      </c>
      <c r="N1084" s="337">
        <f t="shared" si="1270"/>
        <v>5</v>
      </c>
      <c r="O1084" s="395">
        <f t="shared" si="1271"/>
        <v>20</v>
      </c>
      <c r="P1084" s="289">
        <f t="shared" si="1272"/>
        <v>1</v>
      </c>
      <c r="Q1084" s="460">
        <f>WEEKNUM(tblResultadosNBA[[#This Row],[Fecha]],2)</f>
        <v>13</v>
      </c>
      <c r="R1084" s="460" t="str">
        <f>TEXT(tblResultadosNBA[[#This Row],[Fecha]],"mmm")</f>
        <v>mar</v>
      </c>
    </row>
    <row r="1085" spans="1:18">
      <c r="A1085" s="419">
        <v>46106</v>
      </c>
      <c r="B1085" s="302" t="s">
        <v>505</v>
      </c>
      <c r="C1085" s="177" t="str">
        <f t="shared" si="1263"/>
        <v>Oklahoma City Thunder</v>
      </c>
      <c r="D1085" s="177">
        <v>109</v>
      </c>
      <c r="E1085" s="336">
        <v>109</v>
      </c>
      <c r="F1085" s="327">
        <f t="shared" si="1264"/>
        <v>0</v>
      </c>
      <c r="G1085" s="177" t="str">
        <f t="shared" si="1265"/>
        <v>Boston Celtics</v>
      </c>
      <c r="H1085" s="177">
        <v>113</v>
      </c>
      <c r="I1085" s="336">
        <v>119</v>
      </c>
      <c r="J1085" s="327">
        <f t="shared" si="1266"/>
        <v>1</v>
      </c>
      <c r="K1085" s="177">
        <f t="shared" si="1267"/>
        <v>222</v>
      </c>
      <c r="L1085" s="336">
        <f t="shared" si="1268"/>
        <v>228</v>
      </c>
      <c r="M1085" s="327">
        <f t="shared" si="1269"/>
        <v>1</v>
      </c>
      <c r="N1085" s="337">
        <f t="shared" si="1270"/>
        <v>4</v>
      </c>
      <c r="O1085" s="395">
        <f t="shared" si="1271"/>
        <v>10</v>
      </c>
      <c r="P1085" s="289">
        <f t="shared" si="1272"/>
        <v>1</v>
      </c>
      <c r="Q1085" s="460">
        <f>WEEKNUM(tblResultadosNBA[[#This Row],[Fecha]],2)</f>
        <v>13</v>
      </c>
      <c r="R1085" s="460" t="str">
        <f>TEXT(tblResultadosNBA[[#This Row],[Fecha]],"mmm")</f>
        <v>mar</v>
      </c>
    </row>
    <row r="1086" spans="1:18">
      <c r="A1086" s="419">
        <v>46106</v>
      </c>
      <c r="B1086" s="302" t="s">
        <v>506</v>
      </c>
      <c r="C1086" s="177" t="str">
        <f t="shared" si="1263"/>
        <v>Miami Heat</v>
      </c>
      <c r="D1086" s="177">
        <v>115</v>
      </c>
      <c r="E1086" s="336">
        <v>120</v>
      </c>
      <c r="F1086" s="327">
        <f t="shared" si="1264"/>
        <v>1</v>
      </c>
      <c r="G1086" s="177" t="str">
        <f t="shared" si="1265"/>
        <v>Cleveland Cavaliers</v>
      </c>
      <c r="H1086" s="177">
        <v>113</v>
      </c>
      <c r="I1086" s="336">
        <v>103</v>
      </c>
      <c r="J1086" s="327">
        <f t="shared" si="1266"/>
        <v>0</v>
      </c>
      <c r="K1086" s="177">
        <f t="shared" si="1267"/>
        <v>228</v>
      </c>
      <c r="L1086" s="336">
        <f t="shared" si="1268"/>
        <v>223</v>
      </c>
      <c r="M1086" s="327">
        <f t="shared" si="1269"/>
        <v>0</v>
      </c>
      <c r="N1086" s="337">
        <f t="shared" si="1270"/>
        <v>-2</v>
      </c>
      <c r="O1086" s="395">
        <f t="shared" si="1271"/>
        <v>-17</v>
      </c>
      <c r="P1086" s="289">
        <f t="shared" si="1272"/>
        <v>1</v>
      </c>
      <c r="Q1086" s="460">
        <f>WEEKNUM(tblResultadosNBA[[#This Row],[Fecha]],2)</f>
        <v>13</v>
      </c>
      <c r="R1086" s="460" t="str">
        <f>TEXT(tblResultadosNBA[[#This Row],[Fecha]],"mmm")</f>
        <v>mar</v>
      </c>
    </row>
    <row r="1087" spans="1:18">
      <c r="A1087" s="419">
        <v>46106</v>
      </c>
      <c r="B1087" s="302" t="s">
        <v>507</v>
      </c>
      <c r="C1087" s="177" t="str">
        <f t="shared" si="1263"/>
        <v>San Antonio Spurs</v>
      </c>
      <c r="D1087" s="177">
        <v>119</v>
      </c>
      <c r="E1087" s="336">
        <v>123</v>
      </c>
      <c r="F1087" s="327">
        <f t="shared" si="1264"/>
        <v>1</v>
      </c>
      <c r="G1087" s="177" t="str">
        <f t="shared" si="1265"/>
        <v>Memphis Grizzlies</v>
      </c>
      <c r="H1087" s="177">
        <v>114</v>
      </c>
      <c r="I1087" s="336">
        <v>98</v>
      </c>
      <c r="J1087" s="327">
        <f t="shared" si="1266"/>
        <v>0</v>
      </c>
      <c r="K1087" s="177">
        <f t="shared" si="1267"/>
        <v>233</v>
      </c>
      <c r="L1087" s="336">
        <f t="shared" si="1268"/>
        <v>221</v>
      </c>
      <c r="M1087" s="327">
        <f t="shared" si="1269"/>
        <v>0</v>
      </c>
      <c r="N1087" s="337">
        <f t="shared" si="1270"/>
        <v>-5</v>
      </c>
      <c r="O1087" s="395">
        <f t="shared" si="1271"/>
        <v>-25</v>
      </c>
      <c r="P1087" s="289">
        <f t="shared" si="1272"/>
        <v>1</v>
      </c>
      <c r="Q1087" s="460">
        <f>WEEKNUM(tblResultadosNBA[[#This Row],[Fecha]],2)</f>
        <v>13</v>
      </c>
      <c r="R1087" s="460" t="str">
        <f>TEXT(tblResultadosNBA[[#This Row],[Fecha]],"mmm")</f>
        <v>mar</v>
      </c>
    </row>
    <row r="1088" spans="1:18">
      <c r="A1088" s="419">
        <v>46106</v>
      </c>
      <c r="B1088" s="302" t="s">
        <v>972</v>
      </c>
      <c r="C1088" s="177" t="str">
        <f t="shared" si="1263"/>
        <v>Washington Wizards</v>
      </c>
      <c r="D1088" s="177">
        <v>118</v>
      </c>
      <c r="E1088" s="336">
        <v>133</v>
      </c>
      <c r="F1088" s="327">
        <f t="shared" si="1264"/>
        <v>1</v>
      </c>
      <c r="G1088" s="177" t="str">
        <f t="shared" si="1265"/>
        <v>Utah Jazz</v>
      </c>
      <c r="H1088" s="177">
        <v>124</v>
      </c>
      <c r="I1088" s="336">
        <v>110</v>
      </c>
      <c r="J1088" s="327">
        <f t="shared" si="1266"/>
        <v>0</v>
      </c>
      <c r="K1088" s="177">
        <f t="shared" si="1267"/>
        <v>242</v>
      </c>
      <c r="L1088" s="336">
        <f t="shared" si="1268"/>
        <v>243</v>
      </c>
      <c r="M1088" s="327">
        <f t="shared" si="1269"/>
        <v>1</v>
      </c>
      <c r="N1088" s="337">
        <f t="shared" si="1270"/>
        <v>6</v>
      </c>
      <c r="O1088" s="395">
        <f t="shared" si="1271"/>
        <v>-23</v>
      </c>
      <c r="P1088" s="289">
        <f t="shared" si="1272"/>
        <v>0</v>
      </c>
      <c r="Q1088" s="460">
        <f>WEEKNUM(tblResultadosNBA[[#This Row],[Fecha]],2)</f>
        <v>13</v>
      </c>
      <c r="R1088" s="460" t="str">
        <f>TEXT(tblResultadosNBA[[#This Row],[Fecha]],"mmm")</f>
        <v>mar</v>
      </c>
    </row>
    <row r="1089" spans="1:18">
      <c r="A1089" s="419">
        <v>46106</v>
      </c>
      <c r="B1089" s="302" t="s">
        <v>973</v>
      </c>
      <c r="C1089" s="177" t="str">
        <f t="shared" si="1263"/>
        <v>Houston Rockets</v>
      </c>
      <c r="D1089" s="177">
        <v>114</v>
      </c>
      <c r="E1089" s="336">
        <v>108</v>
      </c>
      <c r="F1089" s="327">
        <f t="shared" si="1264"/>
        <v>0</v>
      </c>
      <c r="G1089" s="177" t="str">
        <f t="shared" si="1265"/>
        <v>Minnesota Timberwolves</v>
      </c>
      <c r="H1089" s="177">
        <v>114</v>
      </c>
      <c r="I1089" s="336">
        <v>110</v>
      </c>
      <c r="J1089" s="327">
        <f t="shared" si="1266"/>
        <v>0</v>
      </c>
      <c r="K1089" s="177">
        <f t="shared" si="1267"/>
        <v>228</v>
      </c>
      <c r="L1089" s="336">
        <f t="shared" si="1268"/>
        <v>218</v>
      </c>
      <c r="M1089" s="327">
        <f t="shared" si="1269"/>
        <v>0</v>
      </c>
      <c r="N1089" s="337">
        <f t="shared" si="1270"/>
        <v>0</v>
      </c>
      <c r="O1089" s="395">
        <f t="shared" si="1271"/>
        <v>2</v>
      </c>
      <c r="P1089" s="289">
        <f t="shared" si="1272"/>
        <v>0</v>
      </c>
      <c r="Q1089" s="460">
        <f>WEEKNUM(tblResultadosNBA[[#This Row],[Fecha]],2)</f>
        <v>13</v>
      </c>
      <c r="R1089" s="460" t="str">
        <f>TEXT(tblResultadosNBA[[#This Row],[Fecha]],"mmm")</f>
        <v>mar</v>
      </c>
    </row>
    <row r="1090" spans="1:18">
      <c r="A1090" s="419">
        <v>46106</v>
      </c>
      <c r="B1090" s="302" t="s">
        <v>508</v>
      </c>
      <c r="C1090" s="177" t="str">
        <f t="shared" si="1263"/>
        <v>Dallas Mavericks</v>
      </c>
      <c r="D1090" s="177">
        <v>111</v>
      </c>
      <c r="E1090" s="336">
        <v>135</v>
      </c>
      <c r="F1090" s="327">
        <f t="shared" si="1264"/>
        <v>1</v>
      </c>
      <c r="G1090" s="177" t="str">
        <f t="shared" si="1265"/>
        <v>Denver Nuggets</v>
      </c>
      <c r="H1090" s="177">
        <v>120</v>
      </c>
      <c r="I1090" s="336">
        <v>142</v>
      </c>
      <c r="J1090" s="327">
        <f t="shared" si="1266"/>
        <v>1</v>
      </c>
      <c r="K1090" s="177">
        <f t="shared" si="1267"/>
        <v>231</v>
      </c>
      <c r="L1090" s="336">
        <f t="shared" si="1268"/>
        <v>277</v>
      </c>
      <c r="M1090" s="327">
        <f t="shared" si="1269"/>
        <v>1</v>
      </c>
      <c r="N1090" s="337">
        <f t="shared" si="1270"/>
        <v>9</v>
      </c>
      <c r="O1090" s="395">
        <f t="shared" si="1271"/>
        <v>7</v>
      </c>
      <c r="P1090" s="289">
        <f t="shared" si="1272"/>
        <v>1</v>
      </c>
      <c r="Q1090" s="460">
        <f>WEEKNUM(tblResultadosNBA[[#This Row],[Fecha]],2)</f>
        <v>13</v>
      </c>
      <c r="R1090" s="460" t="str">
        <f>TEXT(tblResultadosNBA[[#This Row],[Fecha]],"mmm")</f>
        <v>mar</v>
      </c>
    </row>
    <row r="1091" spans="1:18">
      <c r="A1091" s="419">
        <v>46106</v>
      </c>
      <c r="B1091" s="302" t="s">
        <v>974</v>
      </c>
      <c r="C1091" s="177" t="str">
        <f t="shared" ref="C1091:C1093" si="1273">LEFT(B1091,FIND("@",B1091)-2)</f>
        <v>Brooklyn Nets</v>
      </c>
      <c r="D1091" s="177">
        <v>108</v>
      </c>
      <c r="E1091" s="336">
        <v>106</v>
      </c>
      <c r="F1091" s="327">
        <f t="shared" ref="F1091:F1093" si="1274">IF(E1091&gt;D1091, 1, 0)</f>
        <v>0</v>
      </c>
      <c r="G1091" s="177" t="str">
        <f t="shared" ref="G1091:G1093" si="1275">MID(B1091,FIND("@",B1091)+2,LEN(B1091)-FIND("@",B1091)-1)</f>
        <v>Golden State Warriors</v>
      </c>
      <c r="H1091" s="177">
        <v>110</v>
      </c>
      <c r="I1091" s="336">
        <v>109</v>
      </c>
      <c r="J1091" s="327">
        <f t="shared" ref="J1091:J1093" si="1276">IF(I1091&gt;H1091, 1, 0)</f>
        <v>0</v>
      </c>
      <c r="K1091" s="177">
        <f t="shared" ref="K1091:K1093" si="1277">+D1091+H1091</f>
        <v>218</v>
      </c>
      <c r="L1091" s="336">
        <f t="shared" ref="L1091:L1093" si="1278">E1091+I1091</f>
        <v>215</v>
      </c>
      <c r="M1091" s="327">
        <f t="shared" ref="M1091:M1093" si="1279">IF(L1091&gt;K1091, 1, 0)</f>
        <v>0</v>
      </c>
      <c r="N1091" s="337">
        <f t="shared" ref="N1091:N1093" si="1280">(+H1091-D1091)</f>
        <v>2</v>
      </c>
      <c r="O1091" s="395">
        <f t="shared" ref="O1091:O1093" si="1281">I1091-E1091</f>
        <v>3</v>
      </c>
      <c r="P1091" s="289">
        <f t="shared" ref="P1091:P1093" si="1282">IF(OR(AND(N1091&gt;0,O1091&gt;0),AND(N1091&lt;0,O1091&lt;0)),1,0)</f>
        <v>1</v>
      </c>
      <c r="Q1091" s="460">
        <f>WEEKNUM(tblResultadosNBA[[#This Row],[Fecha]],2)</f>
        <v>13</v>
      </c>
      <c r="R1091" s="460" t="str">
        <f>TEXT(tblResultadosNBA[[#This Row],[Fecha]],"mmm")</f>
        <v>mar</v>
      </c>
    </row>
    <row r="1092" spans="1:18">
      <c r="A1092" s="419">
        <v>46106</v>
      </c>
      <c r="B1092" s="302" t="s">
        <v>975</v>
      </c>
      <c r="C1092" s="177" t="str">
        <f t="shared" si="1273"/>
        <v>Milwaukee Bucks</v>
      </c>
      <c r="D1092" s="177">
        <v>117</v>
      </c>
      <c r="E1092" s="336">
        <v>99</v>
      </c>
      <c r="F1092" s="327">
        <f t="shared" si="1274"/>
        <v>0</v>
      </c>
      <c r="G1092" s="177" t="str">
        <f t="shared" si="1275"/>
        <v>Portland Trail Blazers</v>
      </c>
      <c r="H1092" s="177">
        <v>119</v>
      </c>
      <c r="I1092" s="336">
        <v>130</v>
      </c>
      <c r="J1092" s="327">
        <f t="shared" si="1276"/>
        <v>1</v>
      </c>
      <c r="K1092" s="177">
        <f t="shared" si="1277"/>
        <v>236</v>
      </c>
      <c r="L1092" s="336">
        <f t="shared" si="1278"/>
        <v>229</v>
      </c>
      <c r="M1092" s="327">
        <f t="shared" si="1279"/>
        <v>0</v>
      </c>
      <c r="N1092" s="337">
        <f t="shared" si="1280"/>
        <v>2</v>
      </c>
      <c r="O1092" s="395">
        <f t="shared" si="1281"/>
        <v>31</v>
      </c>
      <c r="P1092" s="289">
        <f t="shared" si="1282"/>
        <v>1</v>
      </c>
      <c r="Q1092" s="460">
        <f>WEEKNUM(tblResultadosNBA[[#This Row],[Fecha]],2)</f>
        <v>13</v>
      </c>
      <c r="R1092" s="460" t="str">
        <f>TEXT(tblResultadosNBA[[#This Row],[Fecha]],"mmm")</f>
        <v>mar</v>
      </c>
    </row>
    <row r="1093" spans="1:18">
      <c r="A1093" s="445">
        <v>46106</v>
      </c>
      <c r="B1093" s="331" t="s">
        <v>509</v>
      </c>
      <c r="C1093" s="286" t="str">
        <f t="shared" si="1273"/>
        <v>Toronto Raptors</v>
      </c>
      <c r="D1093" s="286">
        <v>113</v>
      </c>
      <c r="E1093" s="431">
        <v>94</v>
      </c>
      <c r="F1093" s="332">
        <f t="shared" si="1274"/>
        <v>0</v>
      </c>
      <c r="G1093" s="286" t="str">
        <f t="shared" si="1275"/>
        <v>LA Clippers</v>
      </c>
      <c r="H1093" s="286">
        <v>112</v>
      </c>
      <c r="I1093" s="431">
        <v>119</v>
      </c>
      <c r="J1093" s="332">
        <f t="shared" si="1276"/>
        <v>1</v>
      </c>
      <c r="K1093" s="286">
        <f t="shared" si="1277"/>
        <v>225</v>
      </c>
      <c r="L1093" s="431">
        <f t="shared" si="1278"/>
        <v>213</v>
      </c>
      <c r="M1093" s="332">
        <f t="shared" si="1279"/>
        <v>0</v>
      </c>
      <c r="N1093" s="432">
        <f t="shared" si="1280"/>
        <v>-1</v>
      </c>
      <c r="O1093" s="451">
        <f t="shared" si="1281"/>
        <v>25</v>
      </c>
      <c r="P1093" s="433">
        <f t="shared" si="1282"/>
        <v>0</v>
      </c>
      <c r="Q1093" s="460">
        <f>WEEKNUM(tblResultadosNBA[[#This Row],[Fecha]],2)</f>
        <v>13</v>
      </c>
      <c r="R1093" s="460" t="str">
        <f>TEXT(tblResultadosNBA[[#This Row],[Fecha]],"mmm")</f>
        <v>mar</v>
      </c>
    </row>
    <row r="1094" spans="1:18">
      <c r="A1094" s="439">
        <v>46107</v>
      </c>
      <c r="B1094" s="422" t="s">
        <v>510</v>
      </c>
      <c r="C1094" s="341" t="str">
        <f>LEFT(B1094,FIND("@",B1094)-2)</f>
        <v>New York Knicks</v>
      </c>
      <c r="D1094" s="341">
        <v>114</v>
      </c>
      <c r="E1094" s="342">
        <v>103</v>
      </c>
      <c r="F1094" s="333">
        <f>IF(E1094&gt;D1094, 1, 0)</f>
        <v>0</v>
      </c>
      <c r="G1094" s="341" t="str">
        <f>MID(B1094,FIND("@",B1094)+2,LEN(B1094)-FIND("@",B1094)-1)</f>
        <v>Charlotte Hornets</v>
      </c>
      <c r="H1094" s="341">
        <v>109</v>
      </c>
      <c r="I1094" s="342">
        <v>114</v>
      </c>
      <c r="J1094" s="333">
        <f>IF(I1094&gt;H1094, 1, 0)</f>
        <v>1</v>
      </c>
      <c r="K1094" s="341">
        <f>+D1094+H1094</f>
        <v>223</v>
      </c>
      <c r="L1094" s="342">
        <f>E1094+I1094</f>
        <v>217</v>
      </c>
      <c r="M1094" s="333">
        <f>IF(L1094&gt;K1094, 1, 0)</f>
        <v>0</v>
      </c>
      <c r="N1094" s="343">
        <f>(+H1094-D1094)</f>
        <v>-5</v>
      </c>
      <c r="O1094" s="449">
        <f>I1094-E1094</f>
        <v>11</v>
      </c>
      <c r="P1094" s="289">
        <f>IF(OR(AND(N1094&gt;0,O1094&gt;0),AND(N1094&lt;0,O1094&lt;0)),1,0)</f>
        <v>0</v>
      </c>
      <c r="Q1094" s="460">
        <f>WEEKNUM(tblResultadosNBA[[#This Row],[Fecha]],2)</f>
        <v>13</v>
      </c>
      <c r="R1094" s="460" t="str">
        <f>TEXT(tblResultadosNBA[[#This Row],[Fecha]],"mmm")</f>
        <v>mar</v>
      </c>
    </row>
    <row r="1095" spans="1:18">
      <c r="A1095" s="419">
        <v>46107</v>
      </c>
      <c r="B1095" s="302" t="s">
        <v>511</v>
      </c>
      <c r="C1095" s="177" t="str">
        <f t="shared" ref="C1095:C1096" si="1283">LEFT(B1095,FIND("@",B1095)-2)</f>
        <v>New Orleans Pelicans</v>
      </c>
      <c r="D1095" s="177">
        <v>118</v>
      </c>
      <c r="E1095" s="336">
        <v>108</v>
      </c>
      <c r="F1095" s="327">
        <f t="shared" ref="F1095:F1096" si="1284">IF(E1095&gt;D1095, 1, 0)</f>
        <v>0</v>
      </c>
      <c r="G1095" s="177" t="str">
        <f t="shared" ref="G1095:G1096" si="1285">MID(B1095,FIND("@",B1095)+2,LEN(B1095)-FIND("@",B1095)-1)</f>
        <v>Detroit Pistons</v>
      </c>
      <c r="H1095" s="177">
        <v>118</v>
      </c>
      <c r="I1095" s="336">
        <v>129</v>
      </c>
      <c r="J1095" s="327">
        <f t="shared" ref="J1095:J1096" si="1286">IF(I1095&gt;H1095, 1, 0)</f>
        <v>1</v>
      </c>
      <c r="K1095" s="177">
        <f t="shared" ref="K1095:K1096" si="1287">+D1095+H1095</f>
        <v>236</v>
      </c>
      <c r="L1095" s="336">
        <f t="shared" ref="L1095:L1096" si="1288">E1095+I1095</f>
        <v>237</v>
      </c>
      <c r="M1095" s="327">
        <f t="shared" ref="M1095:M1096" si="1289">IF(L1095&gt;K1095, 1, 0)</f>
        <v>1</v>
      </c>
      <c r="N1095" s="337">
        <f t="shared" ref="N1095:N1096" si="1290">(+H1095-D1095)</f>
        <v>0</v>
      </c>
      <c r="O1095" s="395">
        <f t="shared" ref="O1095:O1096" si="1291">I1095-E1095</f>
        <v>21</v>
      </c>
      <c r="P1095" s="289">
        <f t="shared" ref="P1095:P1096" si="1292">IF(OR(AND(N1095&gt;0,O1095&gt;0),AND(N1095&lt;0,O1095&lt;0)),1,0)</f>
        <v>0</v>
      </c>
      <c r="Q1095" s="460">
        <f>WEEKNUM(tblResultadosNBA[[#This Row],[Fecha]],2)</f>
        <v>13</v>
      </c>
      <c r="R1095" s="460" t="str">
        <f>TEXT(tblResultadosNBA[[#This Row],[Fecha]],"mmm")</f>
        <v>mar</v>
      </c>
    </row>
    <row r="1096" spans="1:18">
      <c r="A1096" s="445">
        <v>46107</v>
      </c>
      <c r="B1096" s="331" t="s">
        <v>512</v>
      </c>
      <c r="C1096" s="286" t="str">
        <f t="shared" si="1283"/>
        <v>Sacramento Kings</v>
      </c>
      <c r="D1096" s="286">
        <v>110</v>
      </c>
      <c r="E1096" s="431">
        <v>117</v>
      </c>
      <c r="F1096" s="332">
        <f t="shared" si="1284"/>
        <v>1</v>
      </c>
      <c r="G1096" s="286" t="str">
        <f t="shared" si="1285"/>
        <v>Orlando Magic</v>
      </c>
      <c r="H1096" s="286">
        <v>116</v>
      </c>
      <c r="I1096" s="431">
        <v>121</v>
      </c>
      <c r="J1096" s="332">
        <f t="shared" si="1286"/>
        <v>1</v>
      </c>
      <c r="K1096" s="286">
        <f t="shared" si="1287"/>
        <v>226</v>
      </c>
      <c r="L1096" s="431">
        <f t="shared" si="1288"/>
        <v>238</v>
      </c>
      <c r="M1096" s="332">
        <f t="shared" si="1289"/>
        <v>1</v>
      </c>
      <c r="N1096" s="432">
        <f t="shared" si="1290"/>
        <v>6</v>
      </c>
      <c r="O1096" s="451">
        <f t="shared" si="1291"/>
        <v>4</v>
      </c>
      <c r="P1096" s="433">
        <f t="shared" si="1292"/>
        <v>1</v>
      </c>
      <c r="Q1096" s="460">
        <f>WEEKNUM(tblResultadosNBA[[#This Row],[Fecha]],2)</f>
        <v>13</v>
      </c>
      <c r="R1096" s="460" t="str">
        <f>TEXT(tblResultadosNBA[[#This Row],[Fecha]],"mmm")</f>
        <v>mar</v>
      </c>
    </row>
    <row r="1097" spans="1:18">
      <c r="A1097" s="439">
        <v>46108</v>
      </c>
      <c r="B1097" s="422" t="s">
        <v>514</v>
      </c>
      <c r="C1097" s="341" t="str">
        <f>LEFT(B1097,FIND("@",B1097)-2)</f>
        <v>LA Clippers</v>
      </c>
      <c r="D1097" s="341">
        <v>117</v>
      </c>
      <c r="E1097" s="342">
        <v>114</v>
      </c>
      <c r="F1097" s="333">
        <f>IF(E1097&gt;D1097, 1, 0)</f>
        <v>0</v>
      </c>
      <c r="G1097" s="341" t="str">
        <f>MID(B1097,FIND("@",B1097)+2,LEN(B1097)-FIND("@",B1097)-1)</f>
        <v>Indiana Pacers</v>
      </c>
      <c r="H1097" s="341">
        <v>114</v>
      </c>
      <c r="I1097" s="342">
        <v>113</v>
      </c>
      <c r="J1097" s="333">
        <f>IF(I1097&gt;H1097, 1, 0)</f>
        <v>0</v>
      </c>
      <c r="K1097" s="341">
        <f>+D1097+H1097</f>
        <v>231</v>
      </c>
      <c r="L1097" s="342">
        <f>E1097+I1097</f>
        <v>227</v>
      </c>
      <c r="M1097" s="333">
        <f>IF(L1097&gt;K1097, 1, 0)</f>
        <v>0</v>
      </c>
      <c r="N1097" s="343">
        <f>(+H1097-D1097)</f>
        <v>-3</v>
      </c>
      <c r="O1097" s="449">
        <f>I1097-E1097</f>
        <v>-1</v>
      </c>
      <c r="P1097" s="289">
        <f>IF(OR(AND(N1097&gt;0,O1097&gt;0),AND(N1097&lt;0,O1097&lt;0)),1,0)</f>
        <v>1</v>
      </c>
      <c r="Q1097" s="460">
        <f>WEEKNUM(tblResultadosNBA[[#This Row],[Fecha]],2)</f>
        <v>13</v>
      </c>
      <c r="R1097" s="460" t="str">
        <f>TEXT(tblResultadosNBA[[#This Row],[Fecha]],"mmm")</f>
        <v>mar</v>
      </c>
    </row>
    <row r="1098" spans="1:18">
      <c r="A1098" s="419">
        <v>46108</v>
      </c>
      <c r="B1098" s="302" t="s">
        <v>309</v>
      </c>
      <c r="C1098" s="177" t="str">
        <f t="shared" ref="C1098:C1106" si="1293">LEFT(B1098,FIND("@",B1098)-2)</f>
        <v>Atlanta Hawks</v>
      </c>
      <c r="D1098" s="177">
        <v>113</v>
      </c>
      <c r="E1098" s="336">
        <v>102</v>
      </c>
      <c r="F1098" s="327">
        <f t="shared" ref="F1098:F1106" si="1294">IF(E1098&gt;D1098, 1, 0)</f>
        <v>0</v>
      </c>
      <c r="G1098" s="177" t="str">
        <f t="shared" ref="G1098:G1106" si="1295">MID(B1098,FIND("@",B1098)+2,LEN(B1098)-FIND("@",B1098)-1)</f>
        <v>Boston Celtics</v>
      </c>
      <c r="H1098" s="177">
        <v>120</v>
      </c>
      <c r="I1098" s="336">
        <v>109</v>
      </c>
      <c r="J1098" s="327">
        <f t="shared" ref="J1098:J1106" si="1296">IF(I1098&gt;H1098, 1, 0)</f>
        <v>0</v>
      </c>
      <c r="K1098" s="177">
        <f t="shared" ref="K1098:K1106" si="1297">+D1098+H1098</f>
        <v>233</v>
      </c>
      <c r="L1098" s="336">
        <f t="shared" ref="L1098:L1106" si="1298">E1098+I1098</f>
        <v>211</v>
      </c>
      <c r="M1098" s="327">
        <f t="shared" ref="M1098:M1106" si="1299">IF(L1098&gt;K1098, 1, 0)</f>
        <v>0</v>
      </c>
      <c r="N1098" s="337">
        <f t="shared" ref="N1098:N1106" si="1300">(+H1098-D1098)</f>
        <v>7</v>
      </c>
      <c r="O1098" s="395">
        <f t="shared" ref="O1098:O1106" si="1301">I1098-E1098</f>
        <v>7</v>
      </c>
      <c r="P1098" s="289">
        <f t="shared" ref="P1098:P1106" si="1302">IF(OR(AND(N1098&gt;0,O1098&gt;0),AND(N1098&lt;0,O1098&lt;0)),1,0)</f>
        <v>1</v>
      </c>
      <c r="Q1098" s="460">
        <f>WEEKNUM(tblResultadosNBA[[#This Row],[Fecha]],2)</f>
        <v>13</v>
      </c>
      <c r="R1098" s="460" t="str">
        <f>TEXT(tblResultadosNBA[[#This Row],[Fecha]],"mmm")</f>
        <v>mar</v>
      </c>
    </row>
    <row r="1099" spans="1:18">
      <c r="A1099" s="419">
        <v>46108</v>
      </c>
      <c r="B1099" s="302" t="s">
        <v>506</v>
      </c>
      <c r="C1099" s="177" t="str">
        <f t="shared" si="1293"/>
        <v>Miami Heat</v>
      </c>
      <c r="D1099" s="177">
        <v>114</v>
      </c>
      <c r="E1099" s="336">
        <v>128</v>
      </c>
      <c r="F1099" s="327">
        <f t="shared" si="1294"/>
        <v>1</v>
      </c>
      <c r="G1099" s="177" t="str">
        <f t="shared" si="1295"/>
        <v>Cleveland Cavaliers</v>
      </c>
      <c r="H1099" s="177">
        <v>114</v>
      </c>
      <c r="I1099" s="336">
        <v>149</v>
      </c>
      <c r="J1099" s="327">
        <f t="shared" si="1296"/>
        <v>1</v>
      </c>
      <c r="K1099" s="177">
        <f t="shared" si="1297"/>
        <v>228</v>
      </c>
      <c r="L1099" s="336">
        <f t="shared" si="1298"/>
        <v>277</v>
      </c>
      <c r="M1099" s="327">
        <f t="shared" si="1299"/>
        <v>1</v>
      </c>
      <c r="N1099" s="337">
        <f t="shared" si="1300"/>
        <v>0</v>
      </c>
      <c r="O1099" s="395">
        <f t="shared" si="1301"/>
        <v>21</v>
      </c>
      <c r="P1099" s="289">
        <f t="shared" si="1302"/>
        <v>0</v>
      </c>
      <c r="Q1099" s="460">
        <f>WEEKNUM(tblResultadosNBA[[#This Row],[Fecha]],2)</f>
        <v>13</v>
      </c>
      <c r="R1099" s="460" t="str">
        <f>TEXT(tblResultadosNBA[[#This Row],[Fecha]],"mmm")</f>
        <v>mar</v>
      </c>
    </row>
    <row r="1100" spans="1:18">
      <c r="A1100" s="419">
        <v>46108</v>
      </c>
      <c r="B1100" s="302" t="s">
        <v>515</v>
      </c>
      <c r="C1100" s="177" t="str">
        <f t="shared" si="1293"/>
        <v>Houston Rockets</v>
      </c>
      <c r="D1100" s="177">
        <v>113</v>
      </c>
      <c r="E1100" s="336">
        <v>119</v>
      </c>
      <c r="F1100" s="327">
        <f t="shared" si="1294"/>
        <v>1</v>
      </c>
      <c r="G1100" s="177" t="str">
        <f t="shared" si="1295"/>
        <v>Memphis Grizzlies</v>
      </c>
      <c r="H1100" s="177">
        <v>114</v>
      </c>
      <c r="I1100" s="336">
        <v>109</v>
      </c>
      <c r="J1100" s="327">
        <f t="shared" si="1296"/>
        <v>0</v>
      </c>
      <c r="K1100" s="177">
        <f t="shared" si="1297"/>
        <v>227</v>
      </c>
      <c r="L1100" s="336">
        <f t="shared" si="1298"/>
        <v>228</v>
      </c>
      <c r="M1100" s="327">
        <f t="shared" si="1299"/>
        <v>1</v>
      </c>
      <c r="N1100" s="337">
        <f t="shared" si="1300"/>
        <v>1</v>
      </c>
      <c r="O1100" s="395">
        <f t="shared" si="1301"/>
        <v>-10</v>
      </c>
      <c r="P1100" s="289">
        <f t="shared" si="1302"/>
        <v>0</v>
      </c>
      <c r="Q1100" s="460">
        <f>WEEKNUM(tblResultadosNBA[[#This Row],[Fecha]],2)</f>
        <v>13</v>
      </c>
      <c r="R1100" s="460" t="str">
        <f>TEXT(tblResultadosNBA[[#This Row],[Fecha]],"mmm")</f>
        <v>mar</v>
      </c>
    </row>
    <row r="1101" spans="1:18">
      <c r="A1101" s="419">
        <v>46108</v>
      </c>
      <c r="B1101" s="302" t="s">
        <v>516</v>
      </c>
      <c r="C1101" s="177" t="str">
        <f t="shared" si="1293"/>
        <v>Chicago Bulls</v>
      </c>
      <c r="D1101" s="177">
        <v>108</v>
      </c>
      <c r="E1101" s="336">
        <v>113</v>
      </c>
      <c r="F1101" s="327">
        <f t="shared" si="1294"/>
        <v>1</v>
      </c>
      <c r="G1101" s="177" t="str">
        <f t="shared" si="1295"/>
        <v>Oklahoma City Thunder</v>
      </c>
      <c r="H1101" s="177">
        <v>122</v>
      </c>
      <c r="I1101" s="336">
        <v>131</v>
      </c>
      <c r="J1101" s="327">
        <f t="shared" si="1296"/>
        <v>1</v>
      </c>
      <c r="K1101" s="177">
        <f t="shared" si="1297"/>
        <v>230</v>
      </c>
      <c r="L1101" s="336">
        <f t="shared" si="1298"/>
        <v>244</v>
      </c>
      <c r="M1101" s="327">
        <f t="shared" si="1299"/>
        <v>1</v>
      </c>
      <c r="N1101" s="337">
        <f t="shared" si="1300"/>
        <v>14</v>
      </c>
      <c r="O1101" s="395">
        <f t="shared" si="1301"/>
        <v>18</v>
      </c>
      <c r="P1101" s="289">
        <f t="shared" si="1302"/>
        <v>1</v>
      </c>
      <c r="Q1101" s="460">
        <f>WEEKNUM(tblResultadosNBA[[#This Row],[Fecha]],2)</f>
        <v>13</v>
      </c>
      <c r="R1101" s="460" t="str">
        <f>TEXT(tblResultadosNBA[[#This Row],[Fecha]],"mmm")</f>
        <v>mar</v>
      </c>
    </row>
    <row r="1102" spans="1:18">
      <c r="A1102" s="419">
        <v>46108</v>
      </c>
      <c r="B1102" s="302" t="s">
        <v>976</v>
      </c>
      <c r="C1102" s="177" t="str">
        <f t="shared" si="1293"/>
        <v>New Orleans Pelicans</v>
      </c>
      <c r="D1102" s="177">
        <v>112</v>
      </c>
      <c r="E1102" s="336">
        <v>106</v>
      </c>
      <c r="F1102" s="327">
        <f t="shared" si="1294"/>
        <v>0</v>
      </c>
      <c r="G1102" s="177" t="str">
        <f t="shared" si="1295"/>
        <v>Toronto Raptors</v>
      </c>
      <c r="H1102" s="177">
        <v>119</v>
      </c>
      <c r="I1102" s="336">
        <v>119</v>
      </c>
      <c r="J1102" s="327">
        <f t="shared" si="1296"/>
        <v>0</v>
      </c>
      <c r="K1102" s="177">
        <f t="shared" si="1297"/>
        <v>231</v>
      </c>
      <c r="L1102" s="336">
        <f t="shared" si="1298"/>
        <v>225</v>
      </c>
      <c r="M1102" s="327">
        <f t="shared" si="1299"/>
        <v>0</v>
      </c>
      <c r="N1102" s="337">
        <f t="shared" si="1300"/>
        <v>7</v>
      </c>
      <c r="O1102" s="395">
        <f t="shared" si="1301"/>
        <v>13</v>
      </c>
      <c r="P1102" s="289">
        <f t="shared" si="1302"/>
        <v>1</v>
      </c>
      <c r="Q1102" s="460">
        <f>WEEKNUM(tblResultadosNBA[[#This Row],[Fecha]],2)</f>
        <v>13</v>
      </c>
      <c r="R1102" s="460" t="str">
        <f>TEXT(tblResultadosNBA[[#This Row],[Fecha]],"mmm")</f>
        <v>mar</v>
      </c>
    </row>
    <row r="1103" spans="1:18">
      <c r="A1103" s="419">
        <v>46108</v>
      </c>
      <c r="B1103" s="302" t="s">
        <v>517</v>
      </c>
      <c r="C1103" s="177" t="str">
        <f t="shared" si="1293"/>
        <v>Utah Jazz</v>
      </c>
      <c r="D1103" s="177">
        <v>113</v>
      </c>
      <c r="E1103" s="336">
        <v>129</v>
      </c>
      <c r="F1103" s="327">
        <f t="shared" si="1294"/>
        <v>1</v>
      </c>
      <c r="G1103" s="177" t="str">
        <f t="shared" si="1295"/>
        <v>Denver Nuggets</v>
      </c>
      <c r="H1103" s="177">
        <v>124</v>
      </c>
      <c r="I1103" s="336">
        <v>135</v>
      </c>
      <c r="J1103" s="327">
        <f t="shared" si="1296"/>
        <v>1</v>
      </c>
      <c r="K1103" s="177">
        <f t="shared" si="1297"/>
        <v>237</v>
      </c>
      <c r="L1103" s="336">
        <f t="shared" si="1298"/>
        <v>264</v>
      </c>
      <c r="M1103" s="327">
        <f t="shared" si="1299"/>
        <v>1</v>
      </c>
      <c r="N1103" s="337">
        <f t="shared" si="1300"/>
        <v>11</v>
      </c>
      <c r="O1103" s="395">
        <f t="shared" si="1301"/>
        <v>6</v>
      </c>
      <c r="P1103" s="289">
        <f t="shared" si="1302"/>
        <v>1</v>
      </c>
      <c r="Q1103" s="460">
        <f>WEEKNUM(tblResultadosNBA[[#This Row],[Fecha]],2)</f>
        <v>13</v>
      </c>
      <c r="R1103" s="460" t="str">
        <f>TEXT(tblResultadosNBA[[#This Row],[Fecha]],"mmm")</f>
        <v>mar</v>
      </c>
    </row>
    <row r="1104" spans="1:18">
      <c r="A1104" s="419">
        <v>46108</v>
      </c>
      <c r="B1104" s="302" t="s">
        <v>518</v>
      </c>
      <c r="C1104" s="177" t="str">
        <f t="shared" si="1293"/>
        <v>Washington Wizards</v>
      </c>
      <c r="D1104" s="177">
        <v>109</v>
      </c>
      <c r="E1104" s="336">
        <v>126</v>
      </c>
      <c r="F1104" s="327">
        <f t="shared" si="1294"/>
        <v>1</v>
      </c>
      <c r="G1104" s="177" t="str">
        <f t="shared" si="1295"/>
        <v>Golden State Warriors</v>
      </c>
      <c r="H1104" s="177">
        <v>120</v>
      </c>
      <c r="I1104" s="336">
        <v>131</v>
      </c>
      <c r="J1104" s="327">
        <f t="shared" si="1296"/>
        <v>1</v>
      </c>
      <c r="K1104" s="177">
        <f t="shared" si="1297"/>
        <v>229</v>
      </c>
      <c r="L1104" s="336">
        <f t="shared" si="1298"/>
        <v>257</v>
      </c>
      <c r="M1104" s="327">
        <f t="shared" si="1299"/>
        <v>1</v>
      </c>
      <c r="N1104" s="337">
        <f t="shared" si="1300"/>
        <v>11</v>
      </c>
      <c r="O1104" s="395">
        <f t="shared" si="1301"/>
        <v>5</v>
      </c>
      <c r="P1104" s="289">
        <f t="shared" si="1302"/>
        <v>1</v>
      </c>
      <c r="Q1104" s="460">
        <f>WEEKNUM(tblResultadosNBA[[#This Row],[Fecha]],2)</f>
        <v>13</v>
      </c>
      <c r="R1104" s="460" t="str">
        <f>TEXT(tblResultadosNBA[[#This Row],[Fecha]],"mmm")</f>
        <v>mar</v>
      </c>
    </row>
    <row r="1105" spans="1:18">
      <c r="A1105" s="419">
        <v>46108</v>
      </c>
      <c r="B1105" s="302" t="s">
        <v>249</v>
      </c>
      <c r="C1105" s="177" t="str">
        <f t="shared" si="1293"/>
        <v>Dallas Mavericks</v>
      </c>
      <c r="D1105" s="177">
        <v>118</v>
      </c>
      <c r="E1105" s="336">
        <v>100</v>
      </c>
      <c r="F1105" s="327">
        <f t="shared" si="1294"/>
        <v>0</v>
      </c>
      <c r="G1105" s="177" t="str">
        <f t="shared" si="1295"/>
        <v>Portland Trail Blazers</v>
      </c>
      <c r="H1105" s="177">
        <v>120</v>
      </c>
      <c r="I1105" s="336">
        <v>93</v>
      </c>
      <c r="J1105" s="327">
        <f t="shared" si="1296"/>
        <v>0</v>
      </c>
      <c r="K1105" s="177">
        <f t="shared" si="1297"/>
        <v>238</v>
      </c>
      <c r="L1105" s="336">
        <f t="shared" si="1298"/>
        <v>193</v>
      </c>
      <c r="M1105" s="327">
        <f t="shared" si="1299"/>
        <v>0</v>
      </c>
      <c r="N1105" s="337">
        <f t="shared" si="1300"/>
        <v>2</v>
      </c>
      <c r="O1105" s="395">
        <f t="shared" si="1301"/>
        <v>-7</v>
      </c>
      <c r="P1105" s="289">
        <f t="shared" si="1302"/>
        <v>0</v>
      </c>
      <c r="Q1105" s="460">
        <f>WEEKNUM(tblResultadosNBA[[#This Row],[Fecha]],2)</f>
        <v>13</v>
      </c>
      <c r="R1105" s="460" t="str">
        <f>TEXT(tblResultadosNBA[[#This Row],[Fecha]],"mmm")</f>
        <v>mar</v>
      </c>
    </row>
    <row r="1106" spans="1:18">
      <c r="A1106" s="445">
        <v>46108</v>
      </c>
      <c r="B1106" s="331" t="s">
        <v>977</v>
      </c>
      <c r="C1106" s="286" t="str">
        <f t="shared" si="1293"/>
        <v>Brooklyn Nets</v>
      </c>
      <c r="D1106" s="286">
        <v>113</v>
      </c>
      <c r="E1106" s="431">
        <v>99</v>
      </c>
      <c r="F1106" s="332">
        <f t="shared" si="1294"/>
        <v>0</v>
      </c>
      <c r="G1106" s="286" t="str">
        <f t="shared" si="1295"/>
        <v>Los Angeles Lakers</v>
      </c>
      <c r="H1106" s="286">
        <v>116</v>
      </c>
      <c r="I1106" s="431">
        <v>116</v>
      </c>
      <c r="J1106" s="332">
        <f t="shared" si="1296"/>
        <v>0</v>
      </c>
      <c r="K1106" s="286">
        <f t="shared" si="1297"/>
        <v>229</v>
      </c>
      <c r="L1106" s="431">
        <f t="shared" si="1298"/>
        <v>215</v>
      </c>
      <c r="M1106" s="332">
        <f t="shared" si="1299"/>
        <v>0</v>
      </c>
      <c r="N1106" s="432">
        <f t="shared" si="1300"/>
        <v>3</v>
      </c>
      <c r="O1106" s="451">
        <f t="shared" si="1301"/>
        <v>17</v>
      </c>
      <c r="P1106" s="433">
        <f t="shared" si="1302"/>
        <v>1</v>
      </c>
      <c r="Q1106" s="460">
        <f>WEEKNUM(tblResultadosNBA[[#This Row],[Fecha]],2)</f>
        <v>13</v>
      </c>
      <c r="R1106" s="460" t="str">
        <f>TEXT(tblResultadosNBA[[#This Row],[Fecha]],"mmm")</f>
        <v>mar</v>
      </c>
    </row>
    <row r="1107" spans="1:18">
      <c r="A1107" s="439">
        <v>46109</v>
      </c>
      <c r="B1107" s="422" t="s">
        <v>978</v>
      </c>
      <c r="C1107" s="341" t="str">
        <f>LEFT(B1107,FIND("@",B1107)-2)</f>
        <v>San Antonio Spurs</v>
      </c>
      <c r="D1107" s="341">
        <v>115</v>
      </c>
      <c r="E1107" s="342">
        <v>127</v>
      </c>
      <c r="F1107" s="333">
        <f>IF(E1107&gt;D1107, 1, 0)</f>
        <v>1</v>
      </c>
      <c r="G1107" s="341" t="str">
        <f>MID(B1107,FIND("@",B1107)+2,LEN(B1107)-FIND("@",B1107)-1)</f>
        <v>Milwaukee Bucks</v>
      </c>
      <c r="H1107" s="341">
        <v>114</v>
      </c>
      <c r="I1107" s="342">
        <v>95</v>
      </c>
      <c r="J1107" s="333">
        <f>IF(I1107&gt;H1107, 1, 0)</f>
        <v>0</v>
      </c>
      <c r="K1107" s="341">
        <f>+D1107+H1107</f>
        <v>229</v>
      </c>
      <c r="L1107" s="342">
        <f>E1107+I1107</f>
        <v>222</v>
      </c>
      <c r="M1107" s="333">
        <f>IF(L1107&gt;K1107, 1, 0)</f>
        <v>0</v>
      </c>
      <c r="N1107" s="343">
        <f>(+H1107-D1107)</f>
        <v>-1</v>
      </c>
      <c r="O1107" s="449">
        <f>I1107-E1107</f>
        <v>-32</v>
      </c>
      <c r="P1107" s="289">
        <f>IF(OR(AND(N1107&gt;0,O1107&gt;0),AND(N1107&lt;0,O1107&lt;0)),1,0)</f>
        <v>1</v>
      </c>
      <c r="Q1107" s="460">
        <f>WEEKNUM(tblResultadosNBA[[#This Row],[Fecha]],2)</f>
        <v>13</v>
      </c>
      <c r="R1107" s="460" t="str">
        <f>TEXT(tblResultadosNBA[[#This Row],[Fecha]],"mmm")</f>
        <v>mar</v>
      </c>
    </row>
    <row r="1108" spans="1:18">
      <c r="A1108" s="419">
        <v>46109</v>
      </c>
      <c r="B1108" s="302" t="s">
        <v>979</v>
      </c>
      <c r="C1108" s="177" t="str">
        <f t="shared" ref="C1108:C1112" si="1303">LEFT(B1108,FIND("@",B1108)-2)</f>
        <v>Detroit Pistons</v>
      </c>
      <c r="D1108" s="177">
        <v>114</v>
      </c>
      <c r="E1108" s="336">
        <v>109</v>
      </c>
      <c r="F1108" s="327">
        <f t="shared" ref="F1108:F1112" si="1304">IF(E1108&gt;D1108, 1, 0)</f>
        <v>0</v>
      </c>
      <c r="G1108" s="177" t="str">
        <f t="shared" ref="G1108:G1112" si="1305">MID(B1108,FIND("@",B1108)+2,LEN(B1108)-FIND("@",B1108)-1)</f>
        <v>Minnesota Timberwolves</v>
      </c>
      <c r="H1108" s="177">
        <v>116</v>
      </c>
      <c r="I1108" s="336">
        <v>87</v>
      </c>
      <c r="J1108" s="327">
        <f t="shared" ref="J1108:J1112" si="1306">IF(I1108&gt;H1108, 1, 0)</f>
        <v>0</v>
      </c>
      <c r="K1108" s="177">
        <f t="shared" ref="K1108:K1112" si="1307">+D1108+H1108</f>
        <v>230</v>
      </c>
      <c r="L1108" s="336">
        <f t="shared" ref="L1108:L1112" si="1308">E1108+I1108</f>
        <v>196</v>
      </c>
      <c r="M1108" s="327">
        <f t="shared" ref="M1108:M1112" si="1309">IF(L1108&gt;K1108, 1, 0)</f>
        <v>0</v>
      </c>
      <c r="N1108" s="337">
        <f t="shared" ref="N1108:N1112" si="1310">(+H1108-D1108)</f>
        <v>2</v>
      </c>
      <c r="O1108" s="395">
        <f t="shared" ref="O1108:O1112" si="1311">I1108-E1108</f>
        <v>-22</v>
      </c>
      <c r="P1108" s="289">
        <f t="shared" ref="P1108:P1112" si="1312">IF(OR(AND(N1108&gt;0,O1108&gt;0),AND(N1108&lt;0,O1108&lt;0)),1,0)</f>
        <v>0</v>
      </c>
      <c r="Q1108" s="460">
        <f>WEEKNUM(tblResultadosNBA[[#This Row],[Fecha]],2)</f>
        <v>13</v>
      </c>
      <c r="R1108" s="460" t="str">
        <f>TEXT(tblResultadosNBA[[#This Row],[Fecha]],"mmm")</f>
        <v>mar</v>
      </c>
    </row>
    <row r="1109" spans="1:18">
      <c r="A1109" s="419">
        <v>46109</v>
      </c>
      <c r="B1109" s="302" t="s">
        <v>519</v>
      </c>
      <c r="C1109" s="177" t="str">
        <f t="shared" si="1303"/>
        <v>Philadelphia 76ers</v>
      </c>
      <c r="D1109" s="177">
        <v>118</v>
      </c>
      <c r="E1109" s="336">
        <v>118</v>
      </c>
      <c r="F1109" s="327">
        <f t="shared" si="1304"/>
        <v>0</v>
      </c>
      <c r="G1109" s="177" t="str">
        <f t="shared" si="1305"/>
        <v>Charlotte Hornets</v>
      </c>
      <c r="H1109" s="177">
        <v>115</v>
      </c>
      <c r="I1109" s="336">
        <v>114</v>
      </c>
      <c r="J1109" s="327">
        <f t="shared" si="1306"/>
        <v>0</v>
      </c>
      <c r="K1109" s="177">
        <f t="shared" si="1307"/>
        <v>233</v>
      </c>
      <c r="L1109" s="336">
        <f t="shared" si="1308"/>
        <v>232</v>
      </c>
      <c r="M1109" s="327">
        <f t="shared" si="1309"/>
        <v>0</v>
      </c>
      <c r="N1109" s="337">
        <f t="shared" si="1310"/>
        <v>-3</v>
      </c>
      <c r="O1109" s="395">
        <f t="shared" si="1311"/>
        <v>-4</v>
      </c>
      <c r="P1109" s="289">
        <f t="shared" si="1312"/>
        <v>1</v>
      </c>
      <c r="Q1109" s="460">
        <f>WEEKNUM(tblResultadosNBA[[#This Row],[Fecha]],2)</f>
        <v>13</v>
      </c>
      <c r="R1109" s="460" t="str">
        <f>TEXT(tblResultadosNBA[[#This Row],[Fecha]],"mmm")</f>
        <v>mar</v>
      </c>
    </row>
    <row r="1110" spans="1:18">
      <c r="A1110" s="419">
        <v>46109</v>
      </c>
      <c r="B1110" s="302" t="s">
        <v>520</v>
      </c>
      <c r="C1110" s="177" t="str">
        <f t="shared" si="1303"/>
        <v>Sacramento Kings</v>
      </c>
      <c r="D1110" s="177">
        <v>117</v>
      </c>
      <c r="E1110" s="336">
        <v>113</v>
      </c>
      <c r="F1110" s="327">
        <f t="shared" si="1304"/>
        <v>0</v>
      </c>
      <c r="G1110" s="177" t="str">
        <f t="shared" si="1305"/>
        <v>Atlanta Hawks</v>
      </c>
      <c r="H1110" s="177">
        <v>116</v>
      </c>
      <c r="I1110" s="336">
        <v>123</v>
      </c>
      <c r="J1110" s="327">
        <f t="shared" si="1306"/>
        <v>1</v>
      </c>
      <c r="K1110" s="177">
        <f t="shared" si="1307"/>
        <v>233</v>
      </c>
      <c r="L1110" s="336">
        <f t="shared" si="1308"/>
        <v>236</v>
      </c>
      <c r="M1110" s="327">
        <f t="shared" si="1309"/>
        <v>1</v>
      </c>
      <c r="N1110" s="337">
        <f t="shared" si="1310"/>
        <v>-1</v>
      </c>
      <c r="O1110" s="395">
        <f t="shared" si="1311"/>
        <v>10</v>
      </c>
      <c r="P1110" s="289">
        <f t="shared" si="1312"/>
        <v>0</v>
      </c>
      <c r="Q1110" s="460">
        <f>WEEKNUM(tblResultadosNBA[[#This Row],[Fecha]],2)</f>
        <v>13</v>
      </c>
      <c r="R1110" s="460" t="str">
        <f>TEXT(tblResultadosNBA[[#This Row],[Fecha]],"mmm")</f>
        <v>mar</v>
      </c>
    </row>
    <row r="1111" spans="1:18">
      <c r="A1111" s="419">
        <v>46109</v>
      </c>
      <c r="B1111" s="302" t="s">
        <v>521</v>
      </c>
      <c r="C1111" s="177" t="str">
        <f t="shared" si="1303"/>
        <v>Chicago Bulls</v>
      </c>
      <c r="D1111" s="177">
        <v>114</v>
      </c>
      <c r="E1111" s="336">
        <v>124</v>
      </c>
      <c r="F1111" s="327">
        <f t="shared" si="1304"/>
        <v>1</v>
      </c>
      <c r="G1111" s="177" t="str">
        <f t="shared" si="1305"/>
        <v>Memphis Grizzlies</v>
      </c>
      <c r="H1111" s="177">
        <v>118</v>
      </c>
      <c r="I1111" s="336">
        <v>125</v>
      </c>
      <c r="J1111" s="327">
        <f t="shared" si="1306"/>
        <v>1</v>
      </c>
      <c r="K1111" s="177">
        <f t="shared" si="1307"/>
        <v>232</v>
      </c>
      <c r="L1111" s="336">
        <f t="shared" si="1308"/>
        <v>249</v>
      </c>
      <c r="M1111" s="327">
        <f t="shared" si="1309"/>
        <v>1</v>
      </c>
      <c r="N1111" s="337">
        <f t="shared" si="1310"/>
        <v>4</v>
      </c>
      <c r="O1111" s="395">
        <f t="shared" si="1311"/>
        <v>1</v>
      </c>
      <c r="P1111" s="289">
        <f t="shared" si="1312"/>
        <v>1</v>
      </c>
      <c r="Q1111" s="460">
        <f>WEEKNUM(tblResultadosNBA[[#This Row],[Fecha]],2)</f>
        <v>13</v>
      </c>
      <c r="R1111" s="460" t="str">
        <f>TEXT(tblResultadosNBA[[#This Row],[Fecha]],"mmm")</f>
        <v>mar</v>
      </c>
    </row>
    <row r="1112" spans="1:18">
      <c r="A1112" s="445">
        <v>46109</v>
      </c>
      <c r="B1112" s="331" t="s">
        <v>522</v>
      </c>
      <c r="C1112" s="286" t="str">
        <f t="shared" si="1303"/>
        <v>Utah Jazz</v>
      </c>
      <c r="D1112" s="286">
        <v>110</v>
      </c>
      <c r="E1112" s="431">
        <v>109</v>
      </c>
      <c r="F1112" s="332">
        <f t="shared" si="1304"/>
        <v>0</v>
      </c>
      <c r="G1112" s="286" t="str">
        <f t="shared" si="1305"/>
        <v>Phoenix Suns</v>
      </c>
      <c r="H1112" s="286">
        <v>119</v>
      </c>
      <c r="I1112" s="431">
        <v>134</v>
      </c>
      <c r="J1112" s="332">
        <f t="shared" si="1306"/>
        <v>1</v>
      </c>
      <c r="K1112" s="286">
        <f t="shared" si="1307"/>
        <v>229</v>
      </c>
      <c r="L1112" s="431">
        <f t="shared" si="1308"/>
        <v>243</v>
      </c>
      <c r="M1112" s="332">
        <f t="shared" si="1309"/>
        <v>1</v>
      </c>
      <c r="N1112" s="432">
        <f t="shared" si="1310"/>
        <v>9</v>
      </c>
      <c r="O1112" s="451">
        <f t="shared" si="1311"/>
        <v>25</v>
      </c>
      <c r="P1112" s="433">
        <f t="shared" si="1312"/>
        <v>1</v>
      </c>
      <c r="Q1112" s="460">
        <f>WEEKNUM(tblResultadosNBA[[#This Row],[Fecha]],2)</f>
        <v>13</v>
      </c>
      <c r="R1112" s="460" t="str">
        <f>TEXT(tblResultadosNBA[[#This Row],[Fecha]],"mmm")</f>
        <v>mar</v>
      </c>
    </row>
    <row r="1113" spans="1:18">
      <c r="A1113" s="439">
        <v>46110</v>
      </c>
      <c r="B1113" s="422" t="s">
        <v>523</v>
      </c>
      <c r="C1113" s="341" t="str">
        <f>LEFT(B1113,FIND("@",B1113)-2)</f>
        <v>LA Clippers</v>
      </c>
      <c r="D1113" s="341">
        <v>111</v>
      </c>
      <c r="E1113" s="342">
        <v>127</v>
      </c>
      <c r="F1113" s="333">
        <f>IF(E1113&gt;D1113, 1, 0)</f>
        <v>1</v>
      </c>
      <c r="G1113" s="341" t="str">
        <f>MID(B1113,FIND("@",B1113)+2,LEN(B1113)-FIND("@",B1113)-1)</f>
        <v>Milwaukee Bucks</v>
      </c>
      <c r="H1113" s="341">
        <v>109</v>
      </c>
      <c r="I1113" s="342">
        <v>113</v>
      </c>
      <c r="J1113" s="333">
        <f>IF(I1113&gt;H1113, 1, 0)</f>
        <v>1</v>
      </c>
      <c r="K1113" s="341">
        <f>+D1113+H1113</f>
        <v>220</v>
      </c>
      <c r="L1113" s="342">
        <f>E1113+I1113</f>
        <v>240</v>
      </c>
      <c r="M1113" s="333">
        <f>IF(L1113&gt;K1113, 1, 0)</f>
        <v>1</v>
      </c>
      <c r="N1113" s="343">
        <f>(+H1113-D1113)</f>
        <v>-2</v>
      </c>
      <c r="O1113" s="449">
        <f>I1113-E1113</f>
        <v>-14</v>
      </c>
      <c r="P1113" s="289">
        <f>IF(OR(AND(N1113&gt;0,O1113&gt;0),AND(N1113&lt;0,O1113&lt;0)),1,0)</f>
        <v>1</v>
      </c>
      <c r="Q1113" s="460">
        <f>WEEKNUM(tblResultadosNBA[[#This Row],[Fecha]],2)</f>
        <v>13</v>
      </c>
      <c r="R1113" s="460" t="str">
        <f>TEXT(tblResultadosNBA[[#This Row],[Fecha]],"mmm")</f>
        <v>mar</v>
      </c>
    </row>
    <row r="1114" spans="1:18">
      <c r="A1114" s="419">
        <v>46110</v>
      </c>
      <c r="B1114" s="302" t="s">
        <v>524</v>
      </c>
      <c r="C1114" s="177" t="str">
        <f t="shared" ref="C1114:C1121" si="1313">LEFT(B1114,FIND("@",B1114)-2)</f>
        <v>Miami Heat</v>
      </c>
      <c r="D1114" s="177">
        <v>116</v>
      </c>
      <c r="E1114" s="336">
        <v>118</v>
      </c>
      <c r="F1114" s="327">
        <f t="shared" ref="F1114:F1121" si="1314">IF(E1114&gt;D1114, 1, 0)</f>
        <v>1</v>
      </c>
      <c r="G1114" s="177" t="str">
        <f t="shared" ref="G1114:G1121" si="1315">MID(B1114,FIND("@",B1114)+2,LEN(B1114)-FIND("@",B1114)-1)</f>
        <v>Indiana Pacers</v>
      </c>
      <c r="H1114" s="177">
        <v>114</v>
      </c>
      <c r="I1114" s="336">
        <v>135</v>
      </c>
      <c r="J1114" s="327">
        <f t="shared" ref="J1114:J1121" si="1316">IF(I1114&gt;H1114, 1, 0)</f>
        <v>1</v>
      </c>
      <c r="K1114" s="177">
        <f t="shared" ref="K1114:K1121" si="1317">+D1114+H1114</f>
        <v>230</v>
      </c>
      <c r="L1114" s="336">
        <f t="shared" ref="L1114:L1121" si="1318">E1114+I1114</f>
        <v>253</v>
      </c>
      <c r="M1114" s="327">
        <f t="shared" ref="M1114:M1121" si="1319">IF(L1114&gt;K1114, 1, 0)</f>
        <v>1</v>
      </c>
      <c r="N1114" s="337">
        <f t="shared" ref="N1114:N1121" si="1320">(+H1114-D1114)</f>
        <v>-2</v>
      </c>
      <c r="O1114" s="395">
        <f t="shared" ref="O1114:O1121" si="1321">I1114-E1114</f>
        <v>17</v>
      </c>
      <c r="P1114" s="289">
        <f t="shared" ref="P1114:P1121" si="1322">IF(OR(AND(N1114&gt;0,O1114&gt;0),AND(N1114&lt;0,O1114&lt;0)),1,0)</f>
        <v>0</v>
      </c>
      <c r="Q1114" s="460">
        <f>WEEKNUM(tblResultadosNBA[[#This Row],[Fecha]],2)</f>
        <v>13</v>
      </c>
      <c r="R1114" s="460" t="str">
        <f>TEXT(tblResultadosNBA[[#This Row],[Fecha]],"mmm")</f>
        <v>mar</v>
      </c>
    </row>
    <row r="1115" spans="1:18">
      <c r="A1115" s="419">
        <v>46110</v>
      </c>
      <c r="B1115" s="302" t="s">
        <v>980</v>
      </c>
      <c r="C1115" s="177" t="str">
        <f t="shared" si="1313"/>
        <v>Sacramento Kings</v>
      </c>
      <c r="D1115" s="177">
        <v>111</v>
      </c>
      <c r="E1115" s="336">
        <v>99</v>
      </c>
      <c r="F1115" s="327">
        <f t="shared" si="1314"/>
        <v>0</v>
      </c>
      <c r="G1115" s="177" t="str">
        <f t="shared" si="1315"/>
        <v>Brooklyn Nets</v>
      </c>
      <c r="H1115" s="177">
        <v>114</v>
      </c>
      <c r="I1115" s="336">
        <v>116</v>
      </c>
      <c r="J1115" s="327">
        <f t="shared" si="1316"/>
        <v>1</v>
      </c>
      <c r="K1115" s="177">
        <f t="shared" si="1317"/>
        <v>225</v>
      </c>
      <c r="L1115" s="336">
        <f t="shared" si="1318"/>
        <v>215</v>
      </c>
      <c r="M1115" s="327">
        <f t="shared" si="1319"/>
        <v>0</v>
      </c>
      <c r="N1115" s="337">
        <f t="shared" si="1320"/>
        <v>3</v>
      </c>
      <c r="O1115" s="395">
        <f t="shared" si="1321"/>
        <v>17</v>
      </c>
      <c r="P1115" s="289">
        <f t="shared" si="1322"/>
        <v>1</v>
      </c>
      <c r="Q1115" s="460">
        <f>WEEKNUM(tblResultadosNBA[[#This Row],[Fecha]],2)</f>
        <v>13</v>
      </c>
      <c r="R1115" s="460" t="str">
        <f>TEXT(tblResultadosNBA[[#This Row],[Fecha]],"mmm")</f>
        <v>mar</v>
      </c>
    </row>
    <row r="1116" spans="1:18">
      <c r="A1116" s="419">
        <v>46110</v>
      </c>
      <c r="B1116" s="302" t="s">
        <v>981</v>
      </c>
      <c r="C1116" s="177" t="str">
        <f t="shared" si="1313"/>
        <v>Boston Celtics</v>
      </c>
      <c r="D1116" s="177">
        <v>114</v>
      </c>
      <c r="E1116" s="336">
        <v>114</v>
      </c>
      <c r="F1116" s="327">
        <f t="shared" si="1314"/>
        <v>0</v>
      </c>
      <c r="G1116" s="177" t="str">
        <f t="shared" si="1315"/>
        <v>Charlotte Hornets</v>
      </c>
      <c r="H1116" s="177">
        <v>108</v>
      </c>
      <c r="I1116" s="336">
        <v>99</v>
      </c>
      <c r="J1116" s="327">
        <f t="shared" si="1316"/>
        <v>0</v>
      </c>
      <c r="K1116" s="177">
        <f t="shared" si="1317"/>
        <v>222</v>
      </c>
      <c r="L1116" s="336">
        <f t="shared" si="1318"/>
        <v>213</v>
      </c>
      <c r="M1116" s="327">
        <f t="shared" si="1319"/>
        <v>0</v>
      </c>
      <c r="N1116" s="337">
        <f t="shared" si="1320"/>
        <v>-6</v>
      </c>
      <c r="O1116" s="395">
        <f t="shared" si="1321"/>
        <v>-15</v>
      </c>
      <c r="P1116" s="289">
        <f t="shared" si="1322"/>
        <v>1</v>
      </c>
      <c r="Q1116" s="460">
        <f>WEEKNUM(tblResultadosNBA[[#This Row],[Fecha]],2)</f>
        <v>13</v>
      </c>
      <c r="R1116" s="460" t="str">
        <f>TEXT(tblResultadosNBA[[#This Row],[Fecha]],"mmm")</f>
        <v>mar</v>
      </c>
    </row>
    <row r="1117" spans="1:18">
      <c r="A1117" s="419">
        <v>46110</v>
      </c>
      <c r="B1117" s="302" t="s">
        <v>525</v>
      </c>
      <c r="C1117" s="177" t="str">
        <f t="shared" si="1313"/>
        <v>Orlando Magic</v>
      </c>
      <c r="D1117" s="177">
        <v>109</v>
      </c>
      <c r="E1117" s="336">
        <v>87</v>
      </c>
      <c r="F1117" s="327">
        <f t="shared" si="1314"/>
        <v>0</v>
      </c>
      <c r="G1117" s="177" t="str">
        <f t="shared" si="1315"/>
        <v>Toronto Raptors</v>
      </c>
      <c r="H1117" s="177">
        <v>116</v>
      </c>
      <c r="I1117" s="336">
        <v>139</v>
      </c>
      <c r="J1117" s="327">
        <f t="shared" si="1316"/>
        <v>1</v>
      </c>
      <c r="K1117" s="177">
        <f t="shared" si="1317"/>
        <v>225</v>
      </c>
      <c r="L1117" s="336">
        <f t="shared" si="1318"/>
        <v>226</v>
      </c>
      <c r="M1117" s="327">
        <f t="shared" si="1319"/>
        <v>1</v>
      </c>
      <c r="N1117" s="337">
        <f t="shared" si="1320"/>
        <v>7</v>
      </c>
      <c r="O1117" s="395">
        <f t="shared" si="1321"/>
        <v>52</v>
      </c>
      <c r="P1117" s="289">
        <f t="shared" si="1322"/>
        <v>1</v>
      </c>
      <c r="Q1117" s="460">
        <f>WEEKNUM(tblResultadosNBA[[#This Row],[Fecha]],2)</f>
        <v>13</v>
      </c>
      <c r="R1117" s="460" t="str">
        <f>TEXT(tblResultadosNBA[[#This Row],[Fecha]],"mmm")</f>
        <v>mar</v>
      </c>
    </row>
    <row r="1118" spans="1:18">
      <c r="A1118" s="419">
        <v>46110</v>
      </c>
      <c r="B1118" s="302" t="s">
        <v>526</v>
      </c>
      <c r="C1118" s="177" t="str">
        <f t="shared" si="1313"/>
        <v>Washington Wizards</v>
      </c>
      <c r="D1118" s="177">
        <v>117</v>
      </c>
      <c r="E1118" s="336">
        <v>88</v>
      </c>
      <c r="F1118" s="327">
        <f t="shared" si="1314"/>
        <v>0</v>
      </c>
      <c r="G1118" s="177" t="str">
        <f t="shared" si="1315"/>
        <v>Portland Trail Blazers</v>
      </c>
      <c r="H1118" s="177">
        <v>122</v>
      </c>
      <c r="I1118" s="336">
        <v>123</v>
      </c>
      <c r="J1118" s="327">
        <f t="shared" si="1316"/>
        <v>1</v>
      </c>
      <c r="K1118" s="177">
        <f t="shared" si="1317"/>
        <v>239</v>
      </c>
      <c r="L1118" s="336">
        <f t="shared" si="1318"/>
        <v>211</v>
      </c>
      <c r="M1118" s="327">
        <f t="shared" si="1319"/>
        <v>0</v>
      </c>
      <c r="N1118" s="337">
        <f t="shared" si="1320"/>
        <v>5</v>
      </c>
      <c r="O1118" s="395">
        <f t="shared" si="1321"/>
        <v>35</v>
      </c>
      <c r="P1118" s="289">
        <f t="shared" si="1322"/>
        <v>1</v>
      </c>
      <c r="Q1118" s="460">
        <f>WEEKNUM(tblResultadosNBA[[#This Row],[Fecha]],2)</f>
        <v>13</v>
      </c>
      <c r="R1118" s="460" t="str">
        <f>TEXT(tblResultadosNBA[[#This Row],[Fecha]],"mmm")</f>
        <v>mar</v>
      </c>
    </row>
    <row r="1119" spans="1:18">
      <c r="A1119" s="419">
        <v>46110</v>
      </c>
      <c r="B1119" s="302" t="s">
        <v>191</v>
      </c>
      <c r="C1119" s="177" t="str">
        <f t="shared" si="1313"/>
        <v>Houston Rockets</v>
      </c>
      <c r="D1119" s="177">
        <v>118</v>
      </c>
      <c r="E1119" s="336">
        <v>134</v>
      </c>
      <c r="F1119" s="327">
        <f t="shared" si="1314"/>
        <v>1</v>
      </c>
      <c r="G1119" s="177" t="str">
        <f t="shared" si="1315"/>
        <v>New Orleans Pelicans</v>
      </c>
      <c r="H1119" s="177">
        <v>115</v>
      </c>
      <c r="I1119" s="336">
        <v>102</v>
      </c>
      <c r="J1119" s="327">
        <f t="shared" si="1316"/>
        <v>0</v>
      </c>
      <c r="K1119" s="177">
        <f t="shared" si="1317"/>
        <v>233</v>
      </c>
      <c r="L1119" s="336">
        <f t="shared" si="1318"/>
        <v>236</v>
      </c>
      <c r="M1119" s="327">
        <f t="shared" si="1319"/>
        <v>1</v>
      </c>
      <c r="N1119" s="337">
        <f t="shared" si="1320"/>
        <v>-3</v>
      </c>
      <c r="O1119" s="395">
        <f t="shared" si="1321"/>
        <v>-32</v>
      </c>
      <c r="P1119" s="289">
        <f t="shared" si="1322"/>
        <v>1</v>
      </c>
      <c r="Q1119" s="460">
        <f>WEEKNUM(tblResultadosNBA[[#This Row],[Fecha]],2)</f>
        <v>13</v>
      </c>
      <c r="R1119" s="460" t="str">
        <f>TEXT(tblResultadosNBA[[#This Row],[Fecha]],"mmm")</f>
        <v>mar</v>
      </c>
    </row>
    <row r="1120" spans="1:18">
      <c r="A1120" s="419">
        <v>46110</v>
      </c>
      <c r="B1120" s="302" t="s">
        <v>982</v>
      </c>
      <c r="C1120" s="177" t="str">
        <f t="shared" si="1313"/>
        <v>New York Knicks</v>
      </c>
      <c r="D1120" s="177">
        <v>112</v>
      </c>
      <c r="E1120" s="336">
        <v>100</v>
      </c>
      <c r="F1120" s="327">
        <f t="shared" si="1314"/>
        <v>0</v>
      </c>
      <c r="G1120" s="177" t="str">
        <f t="shared" si="1315"/>
        <v>Oklahoma City Thunder</v>
      </c>
      <c r="H1120" s="177">
        <v>115</v>
      </c>
      <c r="I1120" s="336">
        <v>111</v>
      </c>
      <c r="J1120" s="327">
        <f t="shared" si="1316"/>
        <v>0</v>
      </c>
      <c r="K1120" s="177">
        <f t="shared" si="1317"/>
        <v>227</v>
      </c>
      <c r="L1120" s="336">
        <f t="shared" si="1318"/>
        <v>211</v>
      </c>
      <c r="M1120" s="327">
        <f t="shared" si="1319"/>
        <v>0</v>
      </c>
      <c r="N1120" s="337">
        <f t="shared" si="1320"/>
        <v>3</v>
      </c>
      <c r="O1120" s="395">
        <f t="shared" si="1321"/>
        <v>11</v>
      </c>
      <c r="P1120" s="289">
        <f t="shared" si="1322"/>
        <v>1</v>
      </c>
      <c r="Q1120" s="460">
        <f>WEEKNUM(tblResultadosNBA[[#This Row],[Fecha]],2)</f>
        <v>13</v>
      </c>
      <c r="R1120" s="460" t="str">
        <f>TEXT(tblResultadosNBA[[#This Row],[Fecha]],"mmm")</f>
        <v>mar</v>
      </c>
    </row>
    <row r="1121" spans="1:18">
      <c r="A1121" s="445">
        <v>46110</v>
      </c>
      <c r="B1121" s="331" t="s">
        <v>527</v>
      </c>
      <c r="C1121" s="286" t="str">
        <f t="shared" si="1313"/>
        <v>Golden State Warriors</v>
      </c>
      <c r="D1121" s="286">
        <v>114</v>
      </c>
      <c r="E1121" s="431">
        <v>93</v>
      </c>
      <c r="F1121" s="332">
        <f t="shared" si="1314"/>
        <v>0</v>
      </c>
      <c r="G1121" s="286" t="str">
        <f t="shared" si="1315"/>
        <v>Denver Nuggets</v>
      </c>
      <c r="H1121" s="286">
        <v>118</v>
      </c>
      <c r="I1121" s="431">
        <v>116</v>
      </c>
      <c r="J1121" s="332">
        <f t="shared" si="1316"/>
        <v>0</v>
      </c>
      <c r="K1121" s="286">
        <f t="shared" si="1317"/>
        <v>232</v>
      </c>
      <c r="L1121" s="431">
        <f t="shared" si="1318"/>
        <v>209</v>
      </c>
      <c r="M1121" s="332">
        <f t="shared" si="1319"/>
        <v>0</v>
      </c>
      <c r="N1121" s="432">
        <f t="shared" si="1320"/>
        <v>4</v>
      </c>
      <c r="O1121" s="451">
        <f t="shared" si="1321"/>
        <v>23</v>
      </c>
      <c r="P1121" s="433">
        <f t="shared" si="1322"/>
        <v>1</v>
      </c>
      <c r="Q1121" s="460">
        <f>WEEKNUM(tblResultadosNBA[[#This Row],[Fecha]],2)</f>
        <v>13</v>
      </c>
      <c r="R1121" s="460" t="str">
        <f>TEXT(tblResultadosNBA[[#This Row],[Fecha]],"mmm")</f>
        <v>mar</v>
      </c>
    </row>
    <row r="1122" spans="1:18">
      <c r="A1122" s="439">
        <v>46111</v>
      </c>
      <c r="B1122" s="422" t="s">
        <v>528</v>
      </c>
      <c r="C1122" s="341" t="str">
        <f>LEFT(B1122,FIND("@",B1122)-2)</f>
        <v>Philadelphia 76ers</v>
      </c>
      <c r="D1122" s="341">
        <v>115</v>
      </c>
      <c r="E1122" s="342">
        <v>109</v>
      </c>
      <c r="F1122" s="333">
        <f>IF(E1122&gt;D1122, 1, 0)</f>
        <v>0</v>
      </c>
      <c r="G1122" s="341" t="str">
        <f>MID(B1122,FIND("@",B1122)+2,LEN(B1122)-FIND("@",B1122)-1)</f>
        <v>Miami Heat</v>
      </c>
      <c r="H1122" s="341">
        <v>116</v>
      </c>
      <c r="I1122" s="342">
        <v>119</v>
      </c>
      <c r="J1122" s="333">
        <f>IF(I1122&gt;H1122, 1, 0)</f>
        <v>1</v>
      </c>
      <c r="K1122" s="341">
        <f>+D1122+H1122</f>
        <v>231</v>
      </c>
      <c r="L1122" s="342">
        <f>E1122+I1122</f>
        <v>228</v>
      </c>
      <c r="M1122" s="333">
        <f>IF(L1122&gt;K1122, 1, 0)</f>
        <v>0</v>
      </c>
      <c r="N1122" s="343">
        <f>(+H1122-D1122)</f>
        <v>1</v>
      </c>
      <c r="O1122" s="449">
        <f>I1122-E1122</f>
        <v>10</v>
      </c>
      <c r="P1122" s="289">
        <f>IF(OR(AND(N1122&gt;0,O1122&gt;0),AND(N1122&lt;0,O1122&lt;0)),1,0)</f>
        <v>1</v>
      </c>
      <c r="Q1122" s="460">
        <f>WEEKNUM(tblResultadosNBA[[#This Row],[Fecha]],2)</f>
        <v>14</v>
      </c>
      <c r="R1122" s="460" t="str">
        <f>TEXT(tblResultadosNBA[[#This Row],[Fecha]],"mmm")</f>
        <v>mar</v>
      </c>
    </row>
    <row r="1123" spans="1:18">
      <c r="A1123" s="419">
        <v>46111</v>
      </c>
      <c r="B1123" s="302" t="s">
        <v>529</v>
      </c>
      <c r="C1123" s="177" t="str">
        <f t="shared" ref="C1123:C1129" si="1323">LEFT(B1123,FIND("@",B1123)-2)</f>
        <v>Boston Celtics</v>
      </c>
      <c r="D1123" s="177">
        <v>113</v>
      </c>
      <c r="E1123" s="336">
        <v>102</v>
      </c>
      <c r="F1123" s="327">
        <f t="shared" ref="F1123:F1129" si="1324">IF(E1123&gt;D1123, 1, 0)</f>
        <v>0</v>
      </c>
      <c r="G1123" s="177" t="str">
        <f t="shared" ref="G1123:G1129" si="1325">MID(B1123,FIND("@",B1123)+2,LEN(B1123)-FIND("@",B1123)-1)</f>
        <v>Atlanta Hawks</v>
      </c>
      <c r="H1123" s="177">
        <v>111</v>
      </c>
      <c r="I1123" s="336">
        <v>112</v>
      </c>
      <c r="J1123" s="327">
        <f t="shared" ref="J1123:J1129" si="1326">IF(I1123&gt;H1123, 1, 0)</f>
        <v>1</v>
      </c>
      <c r="K1123" s="177">
        <f t="shared" ref="K1123:K1129" si="1327">+D1123+H1123</f>
        <v>224</v>
      </c>
      <c r="L1123" s="336">
        <f t="shared" ref="L1123:L1129" si="1328">E1123+I1123</f>
        <v>214</v>
      </c>
      <c r="M1123" s="327">
        <f t="shared" ref="M1123:M1129" si="1329">IF(L1123&gt;K1123, 1, 0)</f>
        <v>0</v>
      </c>
      <c r="N1123" s="337">
        <f t="shared" ref="N1123:N1129" si="1330">(+H1123-D1123)</f>
        <v>-2</v>
      </c>
      <c r="O1123" s="395">
        <f t="shared" ref="O1123:O1129" si="1331">I1123-E1123</f>
        <v>10</v>
      </c>
      <c r="P1123" s="289">
        <f t="shared" ref="P1123:P1129" si="1332">IF(OR(AND(N1123&gt;0,O1123&gt;0),AND(N1123&lt;0,O1123&lt;0)),1,0)</f>
        <v>0</v>
      </c>
      <c r="Q1123" s="460">
        <f>WEEKNUM(tblResultadosNBA[[#This Row],[Fecha]],2)</f>
        <v>14</v>
      </c>
      <c r="R1123" s="460" t="str">
        <f>TEXT(tblResultadosNBA[[#This Row],[Fecha]],"mmm")</f>
        <v>mar</v>
      </c>
    </row>
    <row r="1124" spans="1:18">
      <c r="A1124" s="419">
        <v>46111</v>
      </c>
      <c r="B1124" s="302" t="s">
        <v>530</v>
      </c>
      <c r="C1124" s="177" t="str">
        <f t="shared" si="1323"/>
        <v>Phoenix Suns</v>
      </c>
      <c r="D1124" s="177">
        <v>113</v>
      </c>
      <c r="E1124" s="336">
        <v>131</v>
      </c>
      <c r="F1124" s="327">
        <f t="shared" si="1324"/>
        <v>1</v>
      </c>
      <c r="G1124" s="177" t="str">
        <f t="shared" si="1325"/>
        <v>Memphis Grizzlies</v>
      </c>
      <c r="H1124" s="177">
        <v>116</v>
      </c>
      <c r="I1124" s="336">
        <v>105</v>
      </c>
      <c r="J1124" s="327">
        <f t="shared" si="1326"/>
        <v>0</v>
      </c>
      <c r="K1124" s="177">
        <f t="shared" si="1327"/>
        <v>229</v>
      </c>
      <c r="L1124" s="336">
        <f t="shared" si="1328"/>
        <v>236</v>
      </c>
      <c r="M1124" s="327">
        <f t="shared" si="1329"/>
        <v>1</v>
      </c>
      <c r="N1124" s="337">
        <f t="shared" si="1330"/>
        <v>3</v>
      </c>
      <c r="O1124" s="395">
        <f t="shared" si="1331"/>
        <v>-26</v>
      </c>
      <c r="P1124" s="289">
        <f t="shared" si="1332"/>
        <v>0</v>
      </c>
      <c r="Q1124" s="460">
        <f>WEEKNUM(tblResultadosNBA[[#This Row],[Fecha]],2)</f>
        <v>14</v>
      </c>
      <c r="R1124" s="460" t="str">
        <f>TEXT(tblResultadosNBA[[#This Row],[Fecha]],"mmm")</f>
        <v>mar</v>
      </c>
    </row>
    <row r="1125" spans="1:18">
      <c r="A1125" s="419">
        <v>46111</v>
      </c>
      <c r="B1125" s="302" t="s">
        <v>531</v>
      </c>
      <c r="C1125" s="177" t="str">
        <f t="shared" si="1323"/>
        <v>Chicago Bulls</v>
      </c>
      <c r="D1125" s="177">
        <v>114</v>
      </c>
      <c r="E1125" s="336">
        <v>114</v>
      </c>
      <c r="F1125" s="327">
        <f t="shared" si="1324"/>
        <v>0</v>
      </c>
      <c r="G1125" s="177" t="str">
        <f t="shared" si="1325"/>
        <v>San Antonio Spurs</v>
      </c>
      <c r="H1125" s="177">
        <v>128</v>
      </c>
      <c r="I1125" s="336">
        <v>129</v>
      </c>
      <c r="J1125" s="327">
        <f t="shared" si="1326"/>
        <v>1</v>
      </c>
      <c r="K1125" s="177">
        <f t="shared" si="1327"/>
        <v>242</v>
      </c>
      <c r="L1125" s="336">
        <f t="shared" si="1328"/>
        <v>243</v>
      </c>
      <c r="M1125" s="327">
        <f t="shared" si="1329"/>
        <v>1</v>
      </c>
      <c r="N1125" s="337">
        <f t="shared" si="1330"/>
        <v>14</v>
      </c>
      <c r="O1125" s="395">
        <f t="shared" si="1331"/>
        <v>15</v>
      </c>
      <c r="P1125" s="289">
        <f t="shared" si="1332"/>
        <v>1</v>
      </c>
      <c r="Q1125" s="460">
        <f>WEEKNUM(tblResultadosNBA[[#This Row],[Fecha]],2)</f>
        <v>14</v>
      </c>
      <c r="R1125" s="460" t="str">
        <f>TEXT(tblResultadosNBA[[#This Row],[Fecha]],"mmm")</f>
        <v>mar</v>
      </c>
    </row>
    <row r="1126" spans="1:18">
      <c r="A1126" s="419">
        <v>46111</v>
      </c>
      <c r="B1126" s="302" t="s">
        <v>311</v>
      </c>
      <c r="C1126" s="177" t="str">
        <f t="shared" si="1323"/>
        <v>Minnesota Timberwolves</v>
      </c>
      <c r="D1126" s="177">
        <v>117</v>
      </c>
      <c r="E1126" s="336">
        <v>124</v>
      </c>
      <c r="F1126" s="327">
        <f t="shared" si="1324"/>
        <v>1</v>
      </c>
      <c r="G1126" s="177" t="str">
        <f t="shared" si="1325"/>
        <v>Dallas Mavericks</v>
      </c>
      <c r="H1126" s="177">
        <v>118</v>
      </c>
      <c r="I1126" s="336">
        <v>94</v>
      </c>
      <c r="J1126" s="327">
        <f t="shared" si="1326"/>
        <v>0</v>
      </c>
      <c r="K1126" s="177">
        <f t="shared" si="1327"/>
        <v>235</v>
      </c>
      <c r="L1126" s="336">
        <f t="shared" si="1328"/>
        <v>218</v>
      </c>
      <c r="M1126" s="327">
        <f t="shared" si="1329"/>
        <v>0</v>
      </c>
      <c r="N1126" s="337">
        <f t="shared" si="1330"/>
        <v>1</v>
      </c>
      <c r="O1126" s="395">
        <f t="shared" si="1331"/>
        <v>-30</v>
      </c>
      <c r="P1126" s="289">
        <f t="shared" si="1332"/>
        <v>0</v>
      </c>
      <c r="Q1126" s="460">
        <f>WEEKNUM(tblResultadosNBA[[#This Row],[Fecha]],2)</f>
        <v>14</v>
      </c>
      <c r="R1126" s="460" t="str">
        <f>TEXT(tblResultadosNBA[[#This Row],[Fecha]],"mmm")</f>
        <v>mar</v>
      </c>
    </row>
    <row r="1127" spans="1:18">
      <c r="A1127" s="419">
        <v>46111</v>
      </c>
      <c r="B1127" s="302" t="s">
        <v>532</v>
      </c>
      <c r="C1127" s="177" t="str">
        <f t="shared" si="1323"/>
        <v>Cleveland Cavaliers</v>
      </c>
      <c r="D1127" s="177">
        <v>117</v>
      </c>
      <c r="E1127" s="336">
        <v>122</v>
      </c>
      <c r="F1127" s="327">
        <f t="shared" si="1324"/>
        <v>1</v>
      </c>
      <c r="G1127" s="177" t="str">
        <f t="shared" si="1325"/>
        <v>Utah Jazz</v>
      </c>
      <c r="H1127" s="177">
        <v>117</v>
      </c>
      <c r="I1127" s="336">
        <v>113</v>
      </c>
      <c r="J1127" s="327">
        <f t="shared" si="1326"/>
        <v>0</v>
      </c>
      <c r="K1127" s="177">
        <f t="shared" si="1327"/>
        <v>234</v>
      </c>
      <c r="L1127" s="336">
        <f t="shared" si="1328"/>
        <v>235</v>
      </c>
      <c r="M1127" s="327">
        <f t="shared" si="1329"/>
        <v>1</v>
      </c>
      <c r="N1127" s="337">
        <f t="shared" si="1330"/>
        <v>0</v>
      </c>
      <c r="O1127" s="395">
        <f t="shared" si="1331"/>
        <v>-9</v>
      </c>
      <c r="P1127" s="289">
        <f t="shared" si="1332"/>
        <v>0</v>
      </c>
      <c r="Q1127" s="460">
        <f>WEEKNUM(tblResultadosNBA[[#This Row],[Fecha]],2)</f>
        <v>14</v>
      </c>
      <c r="R1127" s="460" t="str">
        <f>TEXT(tblResultadosNBA[[#This Row],[Fecha]],"mmm")</f>
        <v>mar</v>
      </c>
    </row>
    <row r="1128" spans="1:18">
      <c r="A1128" s="419">
        <v>46111</v>
      </c>
      <c r="B1128" s="302" t="s">
        <v>533</v>
      </c>
      <c r="C1128" s="177" t="str">
        <f t="shared" si="1323"/>
        <v>Detroit Pistons</v>
      </c>
      <c r="D1128" s="177">
        <v>113</v>
      </c>
      <c r="E1128" s="336">
        <v>110</v>
      </c>
      <c r="F1128" s="327">
        <f t="shared" si="1324"/>
        <v>0</v>
      </c>
      <c r="G1128" s="177" t="str">
        <f t="shared" si="1325"/>
        <v>Oklahoma City Thunder</v>
      </c>
      <c r="H1128" s="177">
        <v>118</v>
      </c>
      <c r="I1128" s="336">
        <v>114</v>
      </c>
      <c r="J1128" s="327">
        <f t="shared" si="1326"/>
        <v>0</v>
      </c>
      <c r="K1128" s="177">
        <f t="shared" si="1327"/>
        <v>231</v>
      </c>
      <c r="L1128" s="336">
        <f t="shared" si="1328"/>
        <v>224</v>
      </c>
      <c r="M1128" s="327">
        <f t="shared" si="1329"/>
        <v>0</v>
      </c>
      <c r="N1128" s="337">
        <f t="shared" si="1330"/>
        <v>5</v>
      </c>
      <c r="O1128" s="395">
        <f t="shared" si="1331"/>
        <v>4</v>
      </c>
      <c r="P1128" s="289">
        <f t="shared" si="1332"/>
        <v>1</v>
      </c>
      <c r="Q1128" s="460">
        <f>WEEKNUM(tblResultadosNBA[[#This Row],[Fecha]],2)</f>
        <v>14</v>
      </c>
      <c r="R1128" s="460" t="str">
        <f>TEXT(tblResultadosNBA[[#This Row],[Fecha]],"mmm")</f>
        <v>mar</v>
      </c>
    </row>
    <row r="1129" spans="1:18">
      <c r="A1129" s="445">
        <v>46111</v>
      </c>
      <c r="B1129" s="331" t="s">
        <v>534</v>
      </c>
      <c r="C1129" s="286" t="str">
        <f t="shared" si="1323"/>
        <v>Washington Wizards</v>
      </c>
      <c r="D1129" s="286">
        <v>111</v>
      </c>
      <c r="E1129" s="431">
        <v>101</v>
      </c>
      <c r="F1129" s="332">
        <f t="shared" si="1324"/>
        <v>0</v>
      </c>
      <c r="G1129" s="286" t="str">
        <f t="shared" si="1325"/>
        <v>Los Angeles Lakers</v>
      </c>
      <c r="H1129" s="286">
        <v>123</v>
      </c>
      <c r="I1129" s="431">
        <v>120</v>
      </c>
      <c r="J1129" s="332">
        <f t="shared" si="1326"/>
        <v>0</v>
      </c>
      <c r="K1129" s="286">
        <f t="shared" si="1327"/>
        <v>234</v>
      </c>
      <c r="L1129" s="431">
        <f t="shared" si="1328"/>
        <v>221</v>
      </c>
      <c r="M1129" s="332">
        <f t="shared" si="1329"/>
        <v>0</v>
      </c>
      <c r="N1129" s="432">
        <f t="shared" si="1330"/>
        <v>12</v>
      </c>
      <c r="O1129" s="451">
        <f t="shared" si="1331"/>
        <v>19</v>
      </c>
      <c r="P1129" s="433">
        <f t="shared" si="1332"/>
        <v>1</v>
      </c>
      <c r="Q1129" s="460">
        <f>WEEKNUM(tblResultadosNBA[[#This Row],[Fecha]],2)</f>
        <v>14</v>
      </c>
      <c r="R1129" s="460" t="str">
        <f>TEXT(tblResultadosNBA[[#This Row],[Fecha]],"mmm")</f>
        <v>mar</v>
      </c>
    </row>
    <row r="1130" spans="1:18">
      <c r="A1130" s="439">
        <v>46112</v>
      </c>
      <c r="B1130" s="422" t="s">
        <v>535</v>
      </c>
      <c r="C1130" s="341" t="str">
        <f>LEFT(B1130,FIND("@",B1130)-2)</f>
        <v>Phoenix Suns</v>
      </c>
      <c r="D1130" s="341">
        <v>112</v>
      </c>
      <c r="E1130" s="342">
        <v>111</v>
      </c>
      <c r="F1130" s="333">
        <f>IF(E1130&gt;D1130, 1, 0)</f>
        <v>0</v>
      </c>
      <c r="G1130" s="341" t="str">
        <f>MID(B1130,FIND("@",B1130)+2,LEN(B1130)-FIND("@",B1130)-1)</f>
        <v>Orlando Magic</v>
      </c>
      <c r="H1130" s="341">
        <v>111</v>
      </c>
      <c r="I1130" s="342">
        <v>115</v>
      </c>
      <c r="J1130" s="333">
        <f>IF(I1130&gt;H1130, 1, 0)</f>
        <v>1</v>
      </c>
      <c r="K1130" s="341">
        <f>+D1130+H1130</f>
        <v>223</v>
      </c>
      <c r="L1130" s="342">
        <f>E1130+I1130</f>
        <v>226</v>
      </c>
      <c r="M1130" s="333">
        <f>IF(L1130&gt;K1130, 1, 0)</f>
        <v>1</v>
      </c>
      <c r="N1130" s="343">
        <f>(+H1130-D1130)</f>
        <v>-1</v>
      </c>
      <c r="O1130" s="449">
        <f>I1130-E1130</f>
        <v>4</v>
      </c>
      <c r="P1130" s="289">
        <f>IF(OR(AND(N1130&gt;0,O1130&gt;0),AND(N1130&lt;0,O1130&lt;0)),1,0)</f>
        <v>0</v>
      </c>
      <c r="Q1130" s="460">
        <f>WEEKNUM(tblResultadosNBA[[#This Row],[Fecha]],2)</f>
        <v>14</v>
      </c>
      <c r="R1130" s="460" t="str">
        <f>TEXT(tblResultadosNBA[[#This Row],[Fecha]],"mmm")</f>
        <v>mar</v>
      </c>
    </row>
    <row r="1131" spans="1:18">
      <c r="A1131" s="419">
        <v>46112</v>
      </c>
      <c r="B1131" s="302" t="s">
        <v>129</v>
      </c>
      <c r="C1131" s="177" t="str">
        <f t="shared" ref="C1131:C1136" si="1333">LEFT(B1131,FIND("@",B1131)-2)</f>
        <v>Charlotte Hornets</v>
      </c>
      <c r="D1131" s="177">
        <v>112</v>
      </c>
      <c r="E1131" s="336">
        <v>117</v>
      </c>
      <c r="F1131" s="327">
        <f t="shared" ref="F1131:F1136" si="1334">IF(E1131&gt;D1131, 1, 0)</f>
        <v>1</v>
      </c>
      <c r="G1131" s="177" t="str">
        <f t="shared" ref="G1131:G1136" si="1335">MID(B1131,FIND("@",B1131)+2,LEN(B1131)-FIND("@",B1131)-1)</f>
        <v>Brooklyn Nets</v>
      </c>
      <c r="H1131" s="177">
        <v>111</v>
      </c>
      <c r="I1131" s="336">
        <v>86</v>
      </c>
      <c r="J1131" s="327">
        <f t="shared" ref="J1131:J1136" si="1336">IF(I1131&gt;H1131, 1, 0)</f>
        <v>0</v>
      </c>
      <c r="K1131" s="177">
        <f t="shared" ref="K1131:K1136" si="1337">+D1131+H1131</f>
        <v>223</v>
      </c>
      <c r="L1131" s="336">
        <f t="shared" ref="L1131:L1136" si="1338">E1131+I1131</f>
        <v>203</v>
      </c>
      <c r="M1131" s="327">
        <f t="shared" ref="M1131:M1136" si="1339">IF(L1131&gt;K1131, 1, 0)</f>
        <v>0</v>
      </c>
      <c r="N1131" s="337">
        <f t="shared" ref="N1131:N1136" si="1340">(+H1131-D1131)</f>
        <v>-1</v>
      </c>
      <c r="O1131" s="395">
        <f t="shared" ref="O1131:O1136" si="1341">I1131-E1131</f>
        <v>-31</v>
      </c>
      <c r="P1131" s="289">
        <f t="shared" ref="P1131:P1136" si="1342">IF(OR(AND(N1131&gt;0,O1131&gt;0),AND(N1131&lt;0,O1131&lt;0)),1,0)</f>
        <v>1</v>
      </c>
      <c r="Q1131" s="460">
        <f>WEEKNUM(tblResultadosNBA[[#This Row],[Fecha]],2)</f>
        <v>14</v>
      </c>
      <c r="R1131" s="460" t="str">
        <f>TEXT(tblResultadosNBA[[#This Row],[Fecha]],"mmm")</f>
        <v>mar</v>
      </c>
    </row>
    <row r="1132" spans="1:18">
      <c r="A1132" s="419">
        <v>46112</v>
      </c>
      <c r="B1132" s="302" t="s">
        <v>536</v>
      </c>
      <c r="C1132" s="177" t="str">
        <f t="shared" si="1333"/>
        <v>Toronto Raptors</v>
      </c>
      <c r="D1132" s="177">
        <v>115</v>
      </c>
      <c r="E1132" s="336">
        <v>116</v>
      </c>
      <c r="F1132" s="327">
        <f t="shared" si="1334"/>
        <v>1</v>
      </c>
      <c r="G1132" s="177" t="str">
        <f t="shared" si="1335"/>
        <v>Detroit Pistons</v>
      </c>
      <c r="H1132" s="177">
        <v>113</v>
      </c>
      <c r="I1132" s="336">
        <v>127</v>
      </c>
      <c r="J1132" s="327">
        <f t="shared" si="1336"/>
        <v>1</v>
      </c>
      <c r="K1132" s="177">
        <f t="shared" si="1337"/>
        <v>228</v>
      </c>
      <c r="L1132" s="336">
        <f t="shared" si="1338"/>
        <v>243</v>
      </c>
      <c r="M1132" s="327">
        <f t="shared" si="1339"/>
        <v>1</v>
      </c>
      <c r="N1132" s="337">
        <f t="shared" si="1340"/>
        <v>-2</v>
      </c>
      <c r="O1132" s="395">
        <f t="shared" si="1341"/>
        <v>11</v>
      </c>
      <c r="P1132" s="289">
        <f t="shared" si="1342"/>
        <v>0</v>
      </c>
      <c r="Q1132" s="460">
        <f>WEEKNUM(tblResultadosNBA[[#This Row],[Fecha]],2)</f>
        <v>14</v>
      </c>
      <c r="R1132" s="460" t="str">
        <f>TEXT(tblResultadosNBA[[#This Row],[Fecha]],"mmm")</f>
        <v>mar</v>
      </c>
    </row>
    <row r="1133" spans="1:18">
      <c r="A1133" s="419">
        <v>46112</v>
      </c>
      <c r="B1133" s="302" t="s">
        <v>983</v>
      </c>
      <c r="C1133" s="177" t="str">
        <f t="shared" si="1333"/>
        <v>New York Knicks</v>
      </c>
      <c r="D1133" s="177">
        <v>111</v>
      </c>
      <c r="E1133" s="336">
        <v>94</v>
      </c>
      <c r="F1133" s="327">
        <f t="shared" si="1334"/>
        <v>0</v>
      </c>
      <c r="G1133" s="177" t="str">
        <f t="shared" si="1335"/>
        <v>Houston Rockets</v>
      </c>
      <c r="H1133" s="177">
        <v>108</v>
      </c>
      <c r="I1133" s="336">
        <v>111</v>
      </c>
      <c r="J1133" s="327">
        <f t="shared" si="1336"/>
        <v>1</v>
      </c>
      <c r="K1133" s="177">
        <f t="shared" si="1337"/>
        <v>219</v>
      </c>
      <c r="L1133" s="336">
        <f t="shared" si="1338"/>
        <v>205</v>
      </c>
      <c r="M1133" s="327">
        <f t="shared" si="1339"/>
        <v>0</v>
      </c>
      <c r="N1133" s="337">
        <f t="shared" si="1340"/>
        <v>-3</v>
      </c>
      <c r="O1133" s="395">
        <f t="shared" si="1341"/>
        <v>17</v>
      </c>
      <c r="P1133" s="289">
        <f t="shared" si="1342"/>
        <v>0</v>
      </c>
      <c r="Q1133" s="460">
        <f>WEEKNUM(tblResultadosNBA[[#This Row],[Fecha]],2)</f>
        <v>14</v>
      </c>
      <c r="R1133" s="460" t="str">
        <f>TEXT(tblResultadosNBA[[#This Row],[Fecha]],"mmm")</f>
        <v>mar</v>
      </c>
    </row>
    <row r="1134" spans="1:18">
      <c r="A1134" s="419">
        <v>46112</v>
      </c>
      <c r="B1134" s="302" t="s">
        <v>537</v>
      </c>
      <c r="C1134" s="177" t="str">
        <f t="shared" si="1333"/>
        <v>Dallas Mavericks</v>
      </c>
      <c r="D1134" s="177">
        <v>108</v>
      </c>
      <c r="E1134" s="336">
        <v>99</v>
      </c>
      <c r="F1134" s="327">
        <f t="shared" si="1334"/>
        <v>0</v>
      </c>
      <c r="G1134" s="177" t="str">
        <f t="shared" si="1335"/>
        <v>Milwaukee Bucks</v>
      </c>
      <c r="H1134" s="177">
        <v>116</v>
      </c>
      <c r="I1134" s="336">
        <v>123</v>
      </c>
      <c r="J1134" s="327">
        <f t="shared" si="1336"/>
        <v>1</v>
      </c>
      <c r="K1134" s="177">
        <f t="shared" si="1337"/>
        <v>224</v>
      </c>
      <c r="L1134" s="336">
        <f t="shared" si="1338"/>
        <v>222</v>
      </c>
      <c r="M1134" s="327">
        <f t="shared" si="1339"/>
        <v>0</v>
      </c>
      <c r="N1134" s="337">
        <f t="shared" si="1340"/>
        <v>8</v>
      </c>
      <c r="O1134" s="395">
        <f t="shared" si="1341"/>
        <v>24</v>
      </c>
      <c r="P1134" s="289">
        <f t="shared" si="1342"/>
        <v>1</v>
      </c>
      <c r="Q1134" s="460">
        <f>WEEKNUM(tblResultadosNBA[[#This Row],[Fecha]],2)</f>
        <v>14</v>
      </c>
      <c r="R1134" s="460" t="str">
        <f>TEXT(tblResultadosNBA[[#This Row],[Fecha]],"mmm")</f>
        <v>mar</v>
      </c>
    </row>
    <row r="1135" spans="1:18">
      <c r="A1135" s="419">
        <v>46112</v>
      </c>
      <c r="B1135" s="302" t="s">
        <v>538</v>
      </c>
      <c r="C1135" s="177" t="str">
        <f t="shared" si="1333"/>
        <v>Cleveland Cavaliers</v>
      </c>
      <c r="D1135" s="177">
        <v>116</v>
      </c>
      <c r="E1135" s="336">
        <v>113</v>
      </c>
      <c r="F1135" s="327">
        <f t="shared" si="1334"/>
        <v>0</v>
      </c>
      <c r="G1135" s="177" t="str">
        <f t="shared" si="1335"/>
        <v>Los Angeles Lakers</v>
      </c>
      <c r="H1135" s="177">
        <v>118</v>
      </c>
      <c r="I1135" s="336">
        <v>127</v>
      </c>
      <c r="J1135" s="327">
        <f t="shared" si="1336"/>
        <v>1</v>
      </c>
      <c r="K1135" s="177">
        <f t="shared" si="1337"/>
        <v>234</v>
      </c>
      <c r="L1135" s="336">
        <f t="shared" si="1338"/>
        <v>240</v>
      </c>
      <c r="M1135" s="327">
        <f t="shared" si="1339"/>
        <v>1</v>
      </c>
      <c r="N1135" s="337">
        <f t="shared" si="1340"/>
        <v>2</v>
      </c>
      <c r="O1135" s="395">
        <f t="shared" si="1341"/>
        <v>14</v>
      </c>
      <c r="P1135" s="289">
        <f t="shared" si="1342"/>
        <v>1</v>
      </c>
      <c r="Q1135" s="460">
        <f>WEEKNUM(tblResultadosNBA[[#This Row],[Fecha]],2)</f>
        <v>14</v>
      </c>
      <c r="R1135" s="460" t="str">
        <f>TEXT(tblResultadosNBA[[#This Row],[Fecha]],"mmm")</f>
        <v>mar</v>
      </c>
    </row>
    <row r="1136" spans="1:18">
      <c r="A1136" s="445">
        <v>46112</v>
      </c>
      <c r="B1136" s="331" t="s">
        <v>689</v>
      </c>
      <c r="C1136" s="286" t="str">
        <f t="shared" si="1333"/>
        <v>Portland Trail Blazers</v>
      </c>
      <c r="D1136" s="286">
        <v>112</v>
      </c>
      <c r="E1136" s="431">
        <v>114</v>
      </c>
      <c r="F1136" s="332">
        <f t="shared" si="1334"/>
        <v>1</v>
      </c>
      <c r="G1136" s="286" t="str">
        <f t="shared" si="1335"/>
        <v>LA Clippers</v>
      </c>
      <c r="H1136" s="286">
        <v>119</v>
      </c>
      <c r="I1136" s="431">
        <v>104</v>
      </c>
      <c r="J1136" s="332">
        <f t="shared" si="1336"/>
        <v>0</v>
      </c>
      <c r="K1136" s="286">
        <f t="shared" si="1337"/>
        <v>231</v>
      </c>
      <c r="L1136" s="431">
        <f t="shared" si="1338"/>
        <v>218</v>
      </c>
      <c r="M1136" s="332">
        <f t="shared" si="1339"/>
        <v>0</v>
      </c>
      <c r="N1136" s="432">
        <f t="shared" si="1340"/>
        <v>7</v>
      </c>
      <c r="O1136" s="451">
        <f t="shared" si="1341"/>
        <v>-10</v>
      </c>
      <c r="P1136" s="433">
        <f t="shared" si="1342"/>
        <v>0</v>
      </c>
      <c r="Q1136" s="460">
        <f>WEEKNUM(tblResultadosNBA[[#This Row],[Fecha]],2)</f>
        <v>14</v>
      </c>
      <c r="R1136" s="460" t="str">
        <f>TEXT(tblResultadosNBA[[#This Row],[Fecha]],"mmm")</f>
        <v>mar</v>
      </c>
    </row>
    <row r="1137" spans="1:18">
      <c r="A1137" s="439">
        <v>46113</v>
      </c>
      <c r="B1137" s="422" t="s">
        <v>539</v>
      </c>
      <c r="C1137" s="341" t="str">
        <f>LEFT(B1137,FIND("@",B1137)-2)</f>
        <v>Philadelphia 76ers</v>
      </c>
      <c r="D1137" s="341">
        <v>118</v>
      </c>
      <c r="E1137" s="342">
        <v>153</v>
      </c>
      <c r="F1137" s="333">
        <f>IF(E1137&gt;D1137, 1, 0)</f>
        <v>1</v>
      </c>
      <c r="G1137" s="341" t="str">
        <f>MID(B1137,FIND("@",B1137)+2,LEN(B1137)-FIND("@",B1137)-1)</f>
        <v>Washington Wizards</v>
      </c>
      <c r="H1137" s="341">
        <v>115</v>
      </c>
      <c r="I1137" s="342">
        <v>131</v>
      </c>
      <c r="J1137" s="333">
        <f>IF(I1137&gt;H1137, 1, 0)</f>
        <v>1</v>
      </c>
      <c r="K1137" s="341">
        <f>+D1137+H1137</f>
        <v>233</v>
      </c>
      <c r="L1137" s="342">
        <f>E1137+I1137</f>
        <v>284</v>
      </c>
      <c r="M1137" s="333">
        <f>IF(L1137&gt;K1137, 1, 0)</f>
        <v>1</v>
      </c>
      <c r="N1137" s="343">
        <f>(+H1137-D1137)</f>
        <v>-3</v>
      </c>
      <c r="O1137" s="449">
        <f>I1137-E1137</f>
        <v>-22</v>
      </c>
      <c r="P1137" s="289">
        <f>IF(OR(AND(N1137&gt;0,O1137&gt;0),AND(N1137&lt;0,O1137&lt;0)),1,0)</f>
        <v>1</v>
      </c>
      <c r="Q1137" s="460">
        <f>WEEKNUM(tblResultadosNBA[[#This Row],[Fecha]],2)</f>
        <v>14</v>
      </c>
      <c r="R1137" s="460" t="str">
        <f>TEXT(tblResultadosNBA[[#This Row],[Fecha]],"mmm")</f>
        <v>abr</v>
      </c>
    </row>
    <row r="1138" spans="1:18">
      <c r="A1138" s="419">
        <v>46113</v>
      </c>
      <c r="B1138" s="302" t="s">
        <v>540</v>
      </c>
      <c r="C1138" s="177" t="str">
        <f t="shared" ref="C1138:C1145" si="1343">LEFT(B1138,FIND("@",B1138)-2)</f>
        <v>Atlanta Hawks</v>
      </c>
      <c r="D1138" s="177">
        <v>115</v>
      </c>
      <c r="E1138" s="336">
        <v>130</v>
      </c>
      <c r="F1138" s="327">
        <f t="shared" ref="F1138:F1145" si="1344">IF(E1138&gt;D1138, 1, 0)</f>
        <v>1</v>
      </c>
      <c r="G1138" s="177" t="str">
        <f t="shared" ref="G1138:G1145" si="1345">MID(B1138,FIND("@",B1138)+2,LEN(B1138)-FIND("@",B1138)-1)</f>
        <v>Orlando Magic</v>
      </c>
      <c r="H1138" s="177">
        <v>113</v>
      </c>
      <c r="I1138" s="336">
        <v>101</v>
      </c>
      <c r="J1138" s="327">
        <f t="shared" ref="J1138:J1145" si="1346">IF(I1138&gt;H1138, 1, 0)</f>
        <v>0</v>
      </c>
      <c r="K1138" s="177">
        <f t="shared" ref="K1138:K1145" si="1347">+D1138+H1138</f>
        <v>228</v>
      </c>
      <c r="L1138" s="336">
        <f t="shared" ref="L1138:L1145" si="1348">E1138+I1138</f>
        <v>231</v>
      </c>
      <c r="M1138" s="327">
        <f t="shared" ref="M1138:M1145" si="1349">IF(L1138&gt;K1138, 1, 0)</f>
        <v>1</v>
      </c>
      <c r="N1138" s="337">
        <f t="shared" ref="N1138:N1145" si="1350">(+H1138-D1138)</f>
        <v>-2</v>
      </c>
      <c r="O1138" s="395">
        <f t="shared" ref="O1138:O1145" si="1351">I1138-E1138</f>
        <v>-29</v>
      </c>
      <c r="P1138" s="289">
        <f t="shared" ref="P1138:P1145" si="1352">IF(OR(AND(N1138&gt;0,O1138&gt;0),AND(N1138&lt;0,O1138&lt;0)),1,0)</f>
        <v>1</v>
      </c>
      <c r="Q1138" s="460">
        <f>WEEKNUM(tblResultadosNBA[[#This Row],[Fecha]],2)</f>
        <v>14</v>
      </c>
      <c r="R1138" s="460" t="str">
        <f>TEXT(tblResultadosNBA[[#This Row],[Fecha]],"mmm")</f>
        <v>abr</v>
      </c>
    </row>
    <row r="1139" spans="1:18">
      <c r="A1139" s="419">
        <v>46113</v>
      </c>
      <c r="B1139" s="302" t="s">
        <v>278</v>
      </c>
      <c r="C1139" s="177" t="str">
        <f t="shared" si="1343"/>
        <v>Boston Celtics</v>
      </c>
      <c r="D1139" s="177">
        <v>111</v>
      </c>
      <c r="E1139" s="336">
        <v>147</v>
      </c>
      <c r="F1139" s="327">
        <f t="shared" si="1344"/>
        <v>1</v>
      </c>
      <c r="G1139" s="177" t="str">
        <f t="shared" si="1345"/>
        <v>Miami Heat</v>
      </c>
      <c r="H1139" s="177">
        <v>108</v>
      </c>
      <c r="I1139" s="336">
        <v>129</v>
      </c>
      <c r="J1139" s="327">
        <f t="shared" si="1346"/>
        <v>1</v>
      </c>
      <c r="K1139" s="177">
        <f t="shared" si="1347"/>
        <v>219</v>
      </c>
      <c r="L1139" s="336">
        <f t="shared" si="1348"/>
        <v>276</v>
      </c>
      <c r="M1139" s="327">
        <f t="shared" si="1349"/>
        <v>1</v>
      </c>
      <c r="N1139" s="337">
        <f t="shared" si="1350"/>
        <v>-3</v>
      </c>
      <c r="O1139" s="395">
        <f t="shared" si="1351"/>
        <v>-18</v>
      </c>
      <c r="P1139" s="289">
        <f t="shared" si="1352"/>
        <v>1</v>
      </c>
      <c r="Q1139" s="460">
        <f>WEEKNUM(tblResultadosNBA[[#This Row],[Fecha]],2)</f>
        <v>14</v>
      </c>
      <c r="R1139" s="460" t="str">
        <f>TEXT(tblResultadosNBA[[#This Row],[Fecha]],"mmm")</f>
        <v>abr</v>
      </c>
    </row>
    <row r="1140" spans="1:18">
      <c r="A1140" s="419">
        <v>46113</v>
      </c>
      <c r="B1140" s="302" t="s">
        <v>541</v>
      </c>
      <c r="C1140" s="177" t="str">
        <f t="shared" si="1343"/>
        <v>New York Knicks</v>
      </c>
      <c r="D1140" s="177">
        <v>110</v>
      </c>
      <c r="E1140" s="336">
        <v>130</v>
      </c>
      <c r="F1140" s="327">
        <f t="shared" si="1344"/>
        <v>1</v>
      </c>
      <c r="G1140" s="177" t="str">
        <f t="shared" si="1345"/>
        <v>Memphis Grizzlies</v>
      </c>
      <c r="H1140" s="177">
        <v>112</v>
      </c>
      <c r="I1140" s="336">
        <v>119</v>
      </c>
      <c r="J1140" s="327">
        <f t="shared" si="1346"/>
        <v>1</v>
      </c>
      <c r="K1140" s="177">
        <f t="shared" si="1347"/>
        <v>222</v>
      </c>
      <c r="L1140" s="336">
        <f t="shared" si="1348"/>
        <v>249</v>
      </c>
      <c r="M1140" s="327">
        <f t="shared" si="1349"/>
        <v>1</v>
      </c>
      <c r="N1140" s="337">
        <f t="shared" si="1350"/>
        <v>2</v>
      </c>
      <c r="O1140" s="395">
        <f t="shared" si="1351"/>
        <v>-11</v>
      </c>
      <c r="P1140" s="289">
        <f t="shared" si="1352"/>
        <v>0</v>
      </c>
      <c r="Q1140" s="460">
        <f>WEEKNUM(tblResultadosNBA[[#This Row],[Fecha]],2)</f>
        <v>14</v>
      </c>
      <c r="R1140" s="460" t="str">
        <f>TEXT(tblResultadosNBA[[#This Row],[Fecha]],"mmm")</f>
        <v>abr</v>
      </c>
    </row>
    <row r="1141" spans="1:18">
      <c r="A1141" s="419">
        <v>46113</v>
      </c>
      <c r="B1141" s="302" t="s">
        <v>542</v>
      </c>
      <c r="C1141" s="177" t="str">
        <f t="shared" si="1343"/>
        <v>Sacramento Kings</v>
      </c>
      <c r="D1141" s="177">
        <v>110</v>
      </c>
      <c r="E1141" s="336">
        <v>123</v>
      </c>
      <c r="F1141" s="327">
        <f t="shared" si="1344"/>
        <v>1</v>
      </c>
      <c r="G1141" s="177" t="str">
        <f t="shared" si="1345"/>
        <v>Toronto Raptors</v>
      </c>
      <c r="H1141" s="177">
        <v>119</v>
      </c>
      <c r="I1141" s="336">
        <v>115</v>
      </c>
      <c r="J1141" s="327">
        <f t="shared" si="1346"/>
        <v>0</v>
      </c>
      <c r="K1141" s="177">
        <f t="shared" si="1347"/>
        <v>229</v>
      </c>
      <c r="L1141" s="336">
        <f t="shared" si="1348"/>
        <v>238</v>
      </c>
      <c r="M1141" s="327">
        <f t="shared" si="1349"/>
        <v>1</v>
      </c>
      <c r="N1141" s="337">
        <f t="shared" si="1350"/>
        <v>9</v>
      </c>
      <c r="O1141" s="395">
        <f t="shared" si="1351"/>
        <v>-8</v>
      </c>
      <c r="P1141" s="289">
        <f t="shared" si="1352"/>
        <v>0</v>
      </c>
      <c r="Q1141" s="460">
        <f>WEEKNUM(tblResultadosNBA[[#This Row],[Fecha]],2)</f>
        <v>14</v>
      </c>
      <c r="R1141" s="460" t="str">
        <f>TEXT(tblResultadosNBA[[#This Row],[Fecha]],"mmm")</f>
        <v>abr</v>
      </c>
    </row>
    <row r="1142" spans="1:18">
      <c r="A1142" s="419">
        <v>46113</v>
      </c>
      <c r="B1142" s="302" t="s">
        <v>543</v>
      </c>
      <c r="C1142" s="177" t="str">
        <f t="shared" si="1343"/>
        <v>Indiana Pacers</v>
      </c>
      <c r="D1142" s="177">
        <v>118</v>
      </c>
      <c r="E1142" s="336">
        <v>145</v>
      </c>
      <c r="F1142" s="327">
        <f t="shared" si="1344"/>
        <v>1</v>
      </c>
      <c r="G1142" s="177" t="str">
        <f t="shared" si="1345"/>
        <v>Chicago Bulls</v>
      </c>
      <c r="H1142" s="177">
        <v>118</v>
      </c>
      <c r="I1142" s="336">
        <v>126</v>
      </c>
      <c r="J1142" s="327">
        <f t="shared" si="1346"/>
        <v>1</v>
      </c>
      <c r="K1142" s="177">
        <f t="shared" si="1347"/>
        <v>236</v>
      </c>
      <c r="L1142" s="336">
        <f t="shared" si="1348"/>
        <v>271</v>
      </c>
      <c r="M1142" s="327">
        <f t="shared" si="1349"/>
        <v>1</v>
      </c>
      <c r="N1142" s="337">
        <f t="shared" si="1350"/>
        <v>0</v>
      </c>
      <c r="O1142" s="395">
        <f t="shared" si="1351"/>
        <v>-19</v>
      </c>
      <c r="P1142" s="289">
        <f t="shared" si="1352"/>
        <v>0</v>
      </c>
      <c r="Q1142" s="460">
        <f>WEEKNUM(tblResultadosNBA[[#This Row],[Fecha]],2)</f>
        <v>14</v>
      </c>
      <c r="R1142" s="460" t="str">
        <f>TEXT(tblResultadosNBA[[#This Row],[Fecha]],"mmm")</f>
        <v>abr</v>
      </c>
    </row>
    <row r="1143" spans="1:18">
      <c r="A1143" s="419">
        <v>46113</v>
      </c>
      <c r="B1143" s="302" t="s">
        <v>544</v>
      </c>
      <c r="C1143" s="177" t="str">
        <f t="shared" si="1343"/>
        <v>Milwaukee Bucks</v>
      </c>
      <c r="D1143" s="177">
        <v>110</v>
      </c>
      <c r="E1143" s="336">
        <v>113</v>
      </c>
      <c r="F1143" s="327">
        <f t="shared" si="1344"/>
        <v>1</v>
      </c>
      <c r="G1143" s="177" t="str">
        <f t="shared" si="1345"/>
        <v>Houston Rockets</v>
      </c>
      <c r="H1143" s="177">
        <v>119</v>
      </c>
      <c r="I1143" s="336">
        <v>119</v>
      </c>
      <c r="J1143" s="327">
        <f t="shared" si="1346"/>
        <v>0</v>
      </c>
      <c r="K1143" s="177">
        <f t="shared" si="1347"/>
        <v>229</v>
      </c>
      <c r="L1143" s="336">
        <f t="shared" si="1348"/>
        <v>232</v>
      </c>
      <c r="M1143" s="327">
        <f t="shared" si="1349"/>
        <v>1</v>
      </c>
      <c r="N1143" s="337">
        <f t="shared" si="1350"/>
        <v>9</v>
      </c>
      <c r="O1143" s="395">
        <f t="shared" si="1351"/>
        <v>6</v>
      </c>
      <c r="P1143" s="289">
        <f t="shared" si="1352"/>
        <v>1</v>
      </c>
      <c r="Q1143" s="460">
        <f>WEEKNUM(tblResultadosNBA[[#This Row],[Fecha]],2)</f>
        <v>14</v>
      </c>
      <c r="R1143" s="460" t="str">
        <f>TEXT(tblResultadosNBA[[#This Row],[Fecha]],"mmm")</f>
        <v>abr</v>
      </c>
    </row>
    <row r="1144" spans="1:18">
      <c r="A1144" s="419">
        <v>46113</v>
      </c>
      <c r="B1144" s="302" t="s">
        <v>419</v>
      </c>
      <c r="C1144" s="177" t="str">
        <f t="shared" si="1343"/>
        <v>Denver Nuggets</v>
      </c>
      <c r="D1144" s="177">
        <v>120</v>
      </c>
      <c r="E1144" s="336">
        <v>130</v>
      </c>
      <c r="F1144" s="327">
        <f t="shared" si="1344"/>
        <v>1</v>
      </c>
      <c r="G1144" s="177" t="str">
        <f t="shared" si="1345"/>
        <v>Utah Jazz</v>
      </c>
      <c r="H1144" s="177">
        <v>117</v>
      </c>
      <c r="I1144" s="336">
        <v>117</v>
      </c>
      <c r="J1144" s="327">
        <f t="shared" si="1346"/>
        <v>0</v>
      </c>
      <c r="K1144" s="177">
        <f t="shared" si="1347"/>
        <v>237</v>
      </c>
      <c r="L1144" s="336">
        <f t="shared" si="1348"/>
        <v>247</v>
      </c>
      <c r="M1144" s="327">
        <f t="shared" si="1349"/>
        <v>1</v>
      </c>
      <c r="N1144" s="337">
        <f t="shared" si="1350"/>
        <v>-3</v>
      </c>
      <c r="O1144" s="395">
        <f t="shared" si="1351"/>
        <v>-13</v>
      </c>
      <c r="P1144" s="289">
        <f t="shared" si="1352"/>
        <v>1</v>
      </c>
      <c r="Q1144" s="460">
        <f>WEEKNUM(tblResultadosNBA[[#This Row],[Fecha]],2)</f>
        <v>14</v>
      </c>
      <c r="R1144" s="460" t="str">
        <f>TEXT(tblResultadosNBA[[#This Row],[Fecha]],"mmm")</f>
        <v>abr</v>
      </c>
    </row>
    <row r="1145" spans="1:18">
      <c r="A1145" s="445">
        <v>46113</v>
      </c>
      <c r="B1145" s="331" t="s">
        <v>366</v>
      </c>
      <c r="C1145" s="286" t="str">
        <f t="shared" si="1343"/>
        <v>San Antonio Spurs</v>
      </c>
      <c r="D1145" s="286">
        <v>116</v>
      </c>
      <c r="E1145" s="431">
        <v>127</v>
      </c>
      <c r="F1145" s="332">
        <f t="shared" si="1344"/>
        <v>1</v>
      </c>
      <c r="G1145" s="286" t="str">
        <f t="shared" si="1345"/>
        <v>Golden State Warriors</v>
      </c>
      <c r="H1145" s="286">
        <v>117</v>
      </c>
      <c r="I1145" s="431">
        <v>113</v>
      </c>
      <c r="J1145" s="332">
        <f t="shared" si="1346"/>
        <v>0</v>
      </c>
      <c r="K1145" s="286">
        <f t="shared" si="1347"/>
        <v>233</v>
      </c>
      <c r="L1145" s="431">
        <f t="shared" si="1348"/>
        <v>240</v>
      </c>
      <c r="M1145" s="332">
        <f t="shared" si="1349"/>
        <v>1</v>
      </c>
      <c r="N1145" s="432">
        <f t="shared" si="1350"/>
        <v>1</v>
      </c>
      <c r="O1145" s="451">
        <f t="shared" si="1351"/>
        <v>-14</v>
      </c>
      <c r="P1145" s="433">
        <f t="shared" si="1352"/>
        <v>0</v>
      </c>
      <c r="Q1145" s="460">
        <f>WEEKNUM(tblResultadosNBA[[#This Row],[Fecha]],2)</f>
        <v>14</v>
      </c>
      <c r="R1145" s="460" t="str">
        <f>TEXT(tblResultadosNBA[[#This Row],[Fecha]],"mmm")</f>
        <v>abr</v>
      </c>
    </row>
    <row r="1146" spans="1:18">
      <c r="A1146" s="439">
        <v>46114</v>
      </c>
      <c r="B1146" s="422" t="s">
        <v>545</v>
      </c>
      <c r="C1146" s="341" t="str">
        <f>LEFT(B1146,FIND("@",B1146)-2)</f>
        <v>Phoenix Suns</v>
      </c>
      <c r="D1146" s="341">
        <v>116</v>
      </c>
      <c r="E1146" s="342">
        <v>107</v>
      </c>
      <c r="F1146" s="333">
        <f>IF(E1146&gt;D1146, 1, 0)</f>
        <v>0</v>
      </c>
      <c r="G1146" s="341" t="str">
        <f>MID(B1146,FIND("@",B1146)+2,LEN(B1146)-FIND("@",B1146)-1)</f>
        <v>Charlotte Hornets</v>
      </c>
      <c r="H1146" s="341">
        <v>112</v>
      </c>
      <c r="I1146" s="342">
        <v>127</v>
      </c>
      <c r="J1146" s="333">
        <f>IF(I1146&gt;H1146, 1, 0)</f>
        <v>1</v>
      </c>
      <c r="K1146" s="341">
        <f>+D1146+H1146</f>
        <v>228</v>
      </c>
      <c r="L1146" s="342">
        <f>E1146+I1146</f>
        <v>234</v>
      </c>
      <c r="M1146" s="333">
        <f>IF(L1146&gt;K1146, 1, 0)</f>
        <v>1</v>
      </c>
      <c r="N1146" s="343">
        <f>(+H1146-D1146)</f>
        <v>-4</v>
      </c>
      <c r="O1146" s="449">
        <f>I1146-E1146</f>
        <v>20</v>
      </c>
      <c r="P1146" s="289">
        <f>IF(OR(AND(N1146&gt;0,O1146&gt;0),AND(N1146&lt;0,O1146&lt;0)),1,0)</f>
        <v>0</v>
      </c>
      <c r="Q1146" s="460">
        <f>WEEKNUM(tblResultadosNBA[[#This Row],[Fecha]],2)</f>
        <v>14</v>
      </c>
      <c r="R1146" s="460" t="str">
        <f>TEXT(tblResultadosNBA[[#This Row],[Fecha]],"mmm")</f>
        <v>abr</v>
      </c>
    </row>
    <row r="1147" spans="1:18">
      <c r="A1147" s="419">
        <v>46114</v>
      </c>
      <c r="B1147" s="302" t="s">
        <v>546</v>
      </c>
      <c r="C1147" s="177" t="str">
        <f t="shared" ref="C1147:C1151" si="1353">LEFT(B1147,FIND("@",B1147)-2)</f>
        <v>Minnesota Timberwolves</v>
      </c>
      <c r="D1147" s="177">
        <v>117</v>
      </c>
      <c r="E1147" s="336">
        <v>108</v>
      </c>
      <c r="F1147" s="327">
        <f t="shared" ref="F1147:F1151" si="1354">IF(E1147&gt;D1147, 1, 0)</f>
        <v>0</v>
      </c>
      <c r="G1147" s="177" t="str">
        <f t="shared" ref="G1147:G1151" si="1355">MID(B1147,FIND("@",B1147)+2,LEN(B1147)-FIND("@",B1147)-1)</f>
        <v>Detroit Pistons</v>
      </c>
      <c r="H1147" s="177">
        <v>117</v>
      </c>
      <c r="I1147" s="336">
        <v>113</v>
      </c>
      <c r="J1147" s="327">
        <f t="shared" ref="J1147:J1151" si="1356">IF(I1147&gt;H1147, 1, 0)</f>
        <v>0</v>
      </c>
      <c r="K1147" s="177">
        <f t="shared" ref="K1147:K1151" si="1357">+D1147+H1147</f>
        <v>234</v>
      </c>
      <c r="L1147" s="336">
        <f t="shared" ref="L1147:L1151" si="1358">E1147+I1147</f>
        <v>221</v>
      </c>
      <c r="M1147" s="327">
        <f t="shared" ref="M1147:M1151" si="1359">IF(L1147&gt;K1147, 1, 0)</f>
        <v>0</v>
      </c>
      <c r="N1147" s="337">
        <f t="shared" ref="N1147:N1151" si="1360">(+H1147-D1147)</f>
        <v>0</v>
      </c>
      <c r="O1147" s="395">
        <f t="shared" ref="O1147:O1151" si="1361">I1147-E1147</f>
        <v>5</v>
      </c>
      <c r="P1147" s="289">
        <f t="shared" ref="P1147:P1151" si="1362">IF(OR(AND(N1147&gt;0,O1147&gt;0),AND(N1147&lt;0,O1147&lt;0)),1,0)</f>
        <v>0</v>
      </c>
      <c r="Q1147" s="460">
        <f>WEEKNUM(tblResultadosNBA[[#This Row],[Fecha]],2)</f>
        <v>14</v>
      </c>
      <c r="R1147" s="460" t="str">
        <f>TEXT(tblResultadosNBA[[#This Row],[Fecha]],"mmm")</f>
        <v>abr</v>
      </c>
    </row>
    <row r="1148" spans="1:18">
      <c r="A1148" s="419">
        <v>46114</v>
      </c>
      <c r="B1148" s="302" t="s">
        <v>44</v>
      </c>
      <c r="C1148" s="177" t="str">
        <f t="shared" si="1353"/>
        <v>Los Angeles Lakers</v>
      </c>
      <c r="D1148" s="177">
        <v>112</v>
      </c>
      <c r="E1148" s="336">
        <v>96</v>
      </c>
      <c r="F1148" s="327">
        <f t="shared" si="1354"/>
        <v>0</v>
      </c>
      <c r="G1148" s="177" t="str">
        <f t="shared" si="1355"/>
        <v>Oklahoma City Thunder</v>
      </c>
      <c r="H1148" s="177">
        <v>121</v>
      </c>
      <c r="I1148" s="336">
        <v>139</v>
      </c>
      <c r="J1148" s="327">
        <f t="shared" si="1356"/>
        <v>1</v>
      </c>
      <c r="K1148" s="177">
        <f t="shared" si="1357"/>
        <v>233</v>
      </c>
      <c r="L1148" s="336">
        <f t="shared" si="1358"/>
        <v>235</v>
      </c>
      <c r="M1148" s="327">
        <f t="shared" si="1359"/>
        <v>1</v>
      </c>
      <c r="N1148" s="337">
        <f t="shared" si="1360"/>
        <v>9</v>
      </c>
      <c r="O1148" s="395">
        <f t="shared" si="1361"/>
        <v>43</v>
      </c>
      <c r="P1148" s="289">
        <f t="shared" si="1362"/>
        <v>1</v>
      </c>
      <c r="Q1148" s="460">
        <f>WEEKNUM(tblResultadosNBA[[#This Row],[Fecha]],2)</f>
        <v>14</v>
      </c>
      <c r="R1148" s="460" t="str">
        <f>TEXT(tblResultadosNBA[[#This Row],[Fecha]],"mmm")</f>
        <v>abr</v>
      </c>
    </row>
    <row r="1149" spans="1:18">
      <c r="A1149" s="419">
        <v>46114</v>
      </c>
      <c r="B1149" s="302" t="s">
        <v>547</v>
      </c>
      <c r="C1149" s="177" t="str">
        <f t="shared" si="1353"/>
        <v>Cleveland Cavaliers</v>
      </c>
      <c r="D1149" s="177">
        <v>112</v>
      </c>
      <c r="E1149" s="336">
        <v>118</v>
      </c>
      <c r="F1149" s="327">
        <f t="shared" si="1354"/>
        <v>1</v>
      </c>
      <c r="G1149" s="177" t="str">
        <f t="shared" si="1355"/>
        <v>Golden State Warriors</v>
      </c>
      <c r="H1149" s="177">
        <v>115</v>
      </c>
      <c r="I1149" s="336">
        <v>111</v>
      </c>
      <c r="J1149" s="327">
        <f t="shared" si="1356"/>
        <v>0</v>
      </c>
      <c r="K1149" s="177">
        <f t="shared" si="1357"/>
        <v>227</v>
      </c>
      <c r="L1149" s="336">
        <f t="shared" si="1358"/>
        <v>229</v>
      </c>
      <c r="M1149" s="327">
        <f t="shared" si="1359"/>
        <v>1</v>
      </c>
      <c r="N1149" s="337">
        <f t="shared" si="1360"/>
        <v>3</v>
      </c>
      <c r="O1149" s="395">
        <f t="shared" si="1361"/>
        <v>-7</v>
      </c>
      <c r="P1149" s="289">
        <f t="shared" si="1362"/>
        <v>0</v>
      </c>
      <c r="Q1149" s="460">
        <f>WEEKNUM(tblResultadosNBA[[#This Row],[Fecha]],2)</f>
        <v>14</v>
      </c>
      <c r="R1149" s="460" t="str">
        <f>TEXT(tblResultadosNBA[[#This Row],[Fecha]],"mmm")</f>
        <v>abr</v>
      </c>
    </row>
    <row r="1150" spans="1:18">
      <c r="A1150" s="419">
        <v>46114</v>
      </c>
      <c r="B1150" s="302" t="s">
        <v>548</v>
      </c>
      <c r="C1150" s="177" t="str">
        <f t="shared" si="1353"/>
        <v>New Orleans Pelicans</v>
      </c>
      <c r="D1150" s="177">
        <v>120</v>
      </c>
      <c r="E1150" s="336">
        <v>106</v>
      </c>
      <c r="F1150" s="327">
        <f t="shared" si="1354"/>
        <v>0</v>
      </c>
      <c r="G1150" s="177" t="str">
        <f t="shared" si="1355"/>
        <v>Portland Trail Blazers</v>
      </c>
      <c r="H1150" s="177">
        <v>120</v>
      </c>
      <c r="I1150" s="336">
        <v>118</v>
      </c>
      <c r="J1150" s="327">
        <f t="shared" si="1356"/>
        <v>0</v>
      </c>
      <c r="K1150" s="177">
        <f t="shared" si="1357"/>
        <v>240</v>
      </c>
      <c r="L1150" s="336">
        <f t="shared" si="1358"/>
        <v>224</v>
      </c>
      <c r="M1150" s="327">
        <f t="shared" si="1359"/>
        <v>0</v>
      </c>
      <c r="N1150" s="337">
        <f t="shared" si="1360"/>
        <v>0</v>
      </c>
      <c r="O1150" s="395">
        <f t="shared" si="1361"/>
        <v>12</v>
      </c>
      <c r="P1150" s="289">
        <f t="shared" si="1362"/>
        <v>0</v>
      </c>
      <c r="Q1150" s="460">
        <f>WEEKNUM(tblResultadosNBA[[#This Row],[Fecha]],2)</f>
        <v>14</v>
      </c>
      <c r="R1150" s="460" t="str">
        <f>TEXT(tblResultadosNBA[[#This Row],[Fecha]],"mmm")</f>
        <v>abr</v>
      </c>
    </row>
    <row r="1151" spans="1:18">
      <c r="A1151" s="445">
        <v>46114</v>
      </c>
      <c r="B1151" s="331" t="s">
        <v>549</v>
      </c>
      <c r="C1151" s="286" t="str">
        <f t="shared" si="1353"/>
        <v>San Antonio Spurs</v>
      </c>
      <c r="D1151" s="286">
        <v>113</v>
      </c>
      <c r="E1151" s="431">
        <v>118</v>
      </c>
      <c r="F1151" s="332">
        <f t="shared" si="1354"/>
        <v>1</v>
      </c>
      <c r="G1151" s="286" t="str">
        <f t="shared" si="1355"/>
        <v>LA Clippers</v>
      </c>
      <c r="H1151" s="286">
        <v>116</v>
      </c>
      <c r="I1151" s="431">
        <v>99</v>
      </c>
      <c r="J1151" s="332">
        <f t="shared" si="1356"/>
        <v>0</v>
      </c>
      <c r="K1151" s="286">
        <f t="shared" si="1357"/>
        <v>229</v>
      </c>
      <c r="L1151" s="431">
        <f t="shared" si="1358"/>
        <v>217</v>
      </c>
      <c r="M1151" s="332">
        <f t="shared" si="1359"/>
        <v>0</v>
      </c>
      <c r="N1151" s="432">
        <f t="shared" si="1360"/>
        <v>3</v>
      </c>
      <c r="O1151" s="451">
        <f t="shared" si="1361"/>
        <v>-19</v>
      </c>
      <c r="P1151" s="433">
        <f t="shared" si="1362"/>
        <v>0</v>
      </c>
      <c r="Q1151" s="460">
        <f>WEEKNUM(tblResultadosNBA[[#This Row],[Fecha]],2)</f>
        <v>14</v>
      </c>
      <c r="R1151" s="460" t="str">
        <f>TEXT(tblResultadosNBA[[#This Row],[Fecha]],"mmm")</f>
        <v>abr</v>
      </c>
    </row>
    <row r="1152" spans="1:18">
      <c r="A1152" s="439">
        <v>46115</v>
      </c>
      <c r="B1152" s="422" t="s">
        <v>550</v>
      </c>
      <c r="C1152" s="341" t="str">
        <f>LEFT(B1152,FIND("@",B1152)-2)</f>
        <v>Indiana Pacers</v>
      </c>
      <c r="D1152" s="341">
        <v>117</v>
      </c>
      <c r="E1152" s="342">
        <v>108</v>
      </c>
      <c r="F1152" s="333">
        <f>IF(E1152&gt;D1152, 1, 0)</f>
        <v>0</v>
      </c>
      <c r="G1152" s="341" t="str">
        <f>MID(B1152,FIND("@",B1152)+2,LEN(B1152)-FIND("@",B1152)-1)</f>
        <v>Charlotte Hornets</v>
      </c>
      <c r="H1152" s="341">
        <v>116</v>
      </c>
      <c r="I1152" s="342">
        <v>129</v>
      </c>
      <c r="J1152" s="333">
        <f>IF(I1152&gt;H1152, 1, 0)</f>
        <v>1</v>
      </c>
      <c r="K1152" s="341">
        <f>+D1152+H1152</f>
        <v>233</v>
      </c>
      <c r="L1152" s="342">
        <f>E1152+I1152</f>
        <v>237</v>
      </c>
      <c r="M1152" s="333">
        <f>IF(L1152&gt;K1152, 1, 0)</f>
        <v>1</v>
      </c>
      <c r="N1152" s="343">
        <f>(+H1152-D1152)</f>
        <v>-1</v>
      </c>
      <c r="O1152" s="449">
        <f>I1152-E1152</f>
        <v>21</v>
      </c>
      <c r="P1152" s="289">
        <f>IF(OR(AND(N1152&gt;0,O1152&gt;0),AND(N1152&lt;0,O1152&lt;0)),1,0)</f>
        <v>0</v>
      </c>
      <c r="Q1152" s="460">
        <f>WEEKNUM(tblResultadosNBA[[#This Row],[Fecha]],2)</f>
        <v>14</v>
      </c>
      <c r="R1152" s="460" t="str">
        <f>TEXT(tblResultadosNBA[[#This Row],[Fecha]],"mmm")</f>
        <v>abr</v>
      </c>
    </row>
    <row r="1153" spans="1:18">
      <c r="A1153" s="419">
        <v>46115</v>
      </c>
      <c r="B1153" s="302" t="s">
        <v>551</v>
      </c>
      <c r="C1153" s="177" t="str">
        <f t="shared" ref="C1153:C1160" si="1363">LEFT(B1153,FIND("@",B1153)-2)</f>
        <v>Minnesota Timberwolves</v>
      </c>
      <c r="D1153" s="177">
        <v>114</v>
      </c>
      <c r="E1153" s="336">
        <v>103</v>
      </c>
      <c r="F1153" s="327">
        <f t="shared" ref="F1153:F1160" si="1364">IF(E1153&gt;D1153, 1, 0)</f>
        <v>0</v>
      </c>
      <c r="G1153" s="177" t="str">
        <f t="shared" ref="G1153:G1160" si="1365">MID(B1153,FIND("@",B1153)+2,LEN(B1153)-FIND("@",B1153)-1)</f>
        <v>Philadelphia 76ers</v>
      </c>
      <c r="H1153" s="177">
        <v>115</v>
      </c>
      <c r="I1153" s="336">
        <v>115</v>
      </c>
      <c r="J1153" s="327">
        <f t="shared" ref="J1153:J1160" si="1366">IF(I1153&gt;H1153, 1, 0)</f>
        <v>0</v>
      </c>
      <c r="K1153" s="177">
        <f t="shared" ref="K1153:K1160" si="1367">+D1153+H1153</f>
        <v>229</v>
      </c>
      <c r="L1153" s="336">
        <f t="shared" ref="L1153:L1160" si="1368">E1153+I1153</f>
        <v>218</v>
      </c>
      <c r="M1153" s="327">
        <f t="shared" ref="M1153:M1160" si="1369">IF(L1153&gt;K1153, 1, 0)</f>
        <v>0</v>
      </c>
      <c r="N1153" s="337">
        <f t="shared" ref="N1153:N1160" si="1370">(+H1153-D1153)</f>
        <v>1</v>
      </c>
      <c r="O1153" s="395">
        <f t="shared" ref="O1153:O1160" si="1371">I1153-E1153</f>
        <v>12</v>
      </c>
      <c r="P1153" s="289">
        <f t="shared" ref="P1153:P1160" si="1372">IF(OR(AND(N1153&gt;0,O1153&gt;0),AND(N1153&lt;0,O1153&lt;0)),1,0)</f>
        <v>1</v>
      </c>
      <c r="Q1153" s="460">
        <f>WEEKNUM(tblResultadosNBA[[#This Row],[Fecha]],2)</f>
        <v>14</v>
      </c>
      <c r="R1153" s="460" t="str">
        <f>TEXT(tblResultadosNBA[[#This Row],[Fecha]],"mmm")</f>
        <v>abr</v>
      </c>
    </row>
    <row r="1154" spans="1:18">
      <c r="A1154" s="419">
        <v>46115</v>
      </c>
      <c r="B1154" s="302" t="s">
        <v>552</v>
      </c>
      <c r="C1154" s="177" t="str">
        <f t="shared" si="1363"/>
        <v>Atlanta Hawks</v>
      </c>
      <c r="D1154" s="177">
        <v>115</v>
      </c>
      <c r="E1154" s="336">
        <v>141</v>
      </c>
      <c r="F1154" s="327">
        <f t="shared" si="1364"/>
        <v>1</v>
      </c>
      <c r="G1154" s="177" t="str">
        <f t="shared" si="1365"/>
        <v>Brooklyn Nets</v>
      </c>
      <c r="H1154" s="177">
        <v>114</v>
      </c>
      <c r="I1154" s="336">
        <v>107</v>
      </c>
      <c r="J1154" s="327">
        <f t="shared" si="1366"/>
        <v>0</v>
      </c>
      <c r="K1154" s="177">
        <f t="shared" si="1367"/>
        <v>229</v>
      </c>
      <c r="L1154" s="336">
        <f t="shared" si="1368"/>
        <v>248</v>
      </c>
      <c r="M1154" s="327">
        <f t="shared" si="1369"/>
        <v>1</v>
      </c>
      <c r="N1154" s="337">
        <f t="shared" si="1370"/>
        <v>-1</v>
      </c>
      <c r="O1154" s="395">
        <f t="shared" si="1371"/>
        <v>-34</v>
      </c>
      <c r="P1154" s="289">
        <f t="shared" si="1372"/>
        <v>1</v>
      </c>
      <c r="Q1154" s="460">
        <f>WEEKNUM(tblResultadosNBA[[#This Row],[Fecha]],2)</f>
        <v>14</v>
      </c>
      <c r="R1154" s="460" t="str">
        <f>TEXT(tblResultadosNBA[[#This Row],[Fecha]],"mmm")</f>
        <v>abr</v>
      </c>
    </row>
    <row r="1155" spans="1:18">
      <c r="A1155" s="419">
        <v>46115</v>
      </c>
      <c r="B1155" s="302" t="s">
        <v>553</v>
      </c>
      <c r="C1155" s="177" t="str">
        <f t="shared" si="1363"/>
        <v>Chicago Bulls</v>
      </c>
      <c r="D1155" s="177">
        <v>111</v>
      </c>
      <c r="E1155" s="336">
        <v>96</v>
      </c>
      <c r="F1155" s="327">
        <f t="shared" si="1364"/>
        <v>0</v>
      </c>
      <c r="G1155" s="177" t="str">
        <f t="shared" si="1365"/>
        <v>New York Knicks</v>
      </c>
      <c r="H1155" s="177">
        <v>117</v>
      </c>
      <c r="I1155" s="336">
        <v>136</v>
      </c>
      <c r="J1155" s="327">
        <f t="shared" si="1366"/>
        <v>1</v>
      </c>
      <c r="K1155" s="177">
        <f t="shared" si="1367"/>
        <v>228</v>
      </c>
      <c r="L1155" s="336">
        <f t="shared" si="1368"/>
        <v>232</v>
      </c>
      <c r="M1155" s="327">
        <f t="shared" si="1369"/>
        <v>1</v>
      </c>
      <c r="N1155" s="337">
        <f t="shared" si="1370"/>
        <v>6</v>
      </c>
      <c r="O1155" s="395">
        <f t="shared" si="1371"/>
        <v>40</v>
      </c>
      <c r="P1155" s="289">
        <f t="shared" si="1372"/>
        <v>1</v>
      </c>
      <c r="Q1155" s="460">
        <f>WEEKNUM(tblResultadosNBA[[#This Row],[Fecha]],2)</f>
        <v>14</v>
      </c>
      <c r="R1155" s="460" t="str">
        <f>TEXT(tblResultadosNBA[[#This Row],[Fecha]],"mmm")</f>
        <v>abr</v>
      </c>
    </row>
    <row r="1156" spans="1:18">
      <c r="A1156" s="419">
        <v>46115</v>
      </c>
      <c r="B1156" s="302" t="s">
        <v>554</v>
      </c>
      <c r="C1156" s="177" t="str">
        <f t="shared" si="1363"/>
        <v>Utah Jazz</v>
      </c>
      <c r="D1156" s="177">
        <v>112</v>
      </c>
      <c r="E1156" s="336">
        <v>106</v>
      </c>
      <c r="F1156" s="327">
        <f t="shared" si="1364"/>
        <v>0</v>
      </c>
      <c r="G1156" s="177" t="str">
        <f t="shared" si="1365"/>
        <v>Houston Rockets</v>
      </c>
      <c r="H1156" s="177">
        <v>119</v>
      </c>
      <c r="I1156" s="336">
        <v>140</v>
      </c>
      <c r="J1156" s="327">
        <f t="shared" si="1366"/>
        <v>1</v>
      </c>
      <c r="K1156" s="177">
        <f t="shared" si="1367"/>
        <v>231</v>
      </c>
      <c r="L1156" s="336">
        <f t="shared" si="1368"/>
        <v>246</v>
      </c>
      <c r="M1156" s="327">
        <f t="shared" si="1369"/>
        <v>1</v>
      </c>
      <c r="N1156" s="337">
        <f t="shared" si="1370"/>
        <v>7</v>
      </c>
      <c r="O1156" s="395">
        <f t="shared" si="1371"/>
        <v>34</v>
      </c>
      <c r="P1156" s="289">
        <f t="shared" si="1372"/>
        <v>1</v>
      </c>
      <c r="Q1156" s="460">
        <f>WEEKNUM(tblResultadosNBA[[#This Row],[Fecha]],2)</f>
        <v>14</v>
      </c>
      <c r="R1156" s="460" t="str">
        <f>TEXT(tblResultadosNBA[[#This Row],[Fecha]],"mmm")</f>
        <v>abr</v>
      </c>
    </row>
    <row r="1157" spans="1:18">
      <c r="A1157" s="419">
        <v>46115</v>
      </c>
      <c r="B1157" s="302" t="s">
        <v>555</v>
      </c>
      <c r="C1157" s="177" t="str">
        <f t="shared" si="1363"/>
        <v>Toronto Raptors</v>
      </c>
      <c r="D1157" s="177">
        <v>113</v>
      </c>
      <c r="E1157" s="336">
        <v>128</v>
      </c>
      <c r="F1157" s="327">
        <f t="shared" si="1364"/>
        <v>1</v>
      </c>
      <c r="G1157" s="177" t="str">
        <f t="shared" si="1365"/>
        <v>Memphis Grizzlies</v>
      </c>
      <c r="H1157" s="177">
        <v>114</v>
      </c>
      <c r="I1157" s="336">
        <v>96</v>
      </c>
      <c r="J1157" s="327">
        <f t="shared" si="1366"/>
        <v>0</v>
      </c>
      <c r="K1157" s="177">
        <f t="shared" si="1367"/>
        <v>227</v>
      </c>
      <c r="L1157" s="336">
        <f t="shared" si="1368"/>
        <v>224</v>
      </c>
      <c r="M1157" s="327">
        <f t="shared" si="1369"/>
        <v>0</v>
      </c>
      <c r="N1157" s="337">
        <f t="shared" si="1370"/>
        <v>1</v>
      </c>
      <c r="O1157" s="395">
        <f t="shared" si="1371"/>
        <v>-32</v>
      </c>
      <c r="P1157" s="289">
        <f t="shared" si="1372"/>
        <v>0</v>
      </c>
      <c r="Q1157" s="460">
        <f>WEEKNUM(tblResultadosNBA[[#This Row],[Fecha]],2)</f>
        <v>14</v>
      </c>
      <c r="R1157" s="460" t="str">
        <f>TEXT(tblResultadosNBA[[#This Row],[Fecha]],"mmm")</f>
        <v>abr</v>
      </c>
    </row>
    <row r="1158" spans="1:18">
      <c r="A1158" s="419">
        <v>46115</v>
      </c>
      <c r="B1158" s="302" t="s">
        <v>171</v>
      </c>
      <c r="C1158" s="177" t="str">
        <f t="shared" si="1363"/>
        <v>Boston Celtics</v>
      </c>
      <c r="D1158" s="177">
        <v>110</v>
      </c>
      <c r="E1158" s="336">
        <v>133</v>
      </c>
      <c r="F1158" s="327">
        <f t="shared" si="1364"/>
        <v>1</v>
      </c>
      <c r="G1158" s="177" t="str">
        <f t="shared" si="1365"/>
        <v>Milwaukee Bucks</v>
      </c>
      <c r="H1158" s="177">
        <v>107</v>
      </c>
      <c r="I1158" s="336">
        <v>101</v>
      </c>
      <c r="J1158" s="327">
        <f t="shared" si="1366"/>
        <v>0</v>
      </c>
      <c r="K1158" s="177">
        <f t="shared" si="1367"/>
        <v>217</v>
      </c>
      <c r="L1158" s="336">
        <f t="shared" si="1368"/>
        <v>234</v>
      </c>
      <c r="M1158" s="327">
        <f t="shared" si="1369"/>
        <v>1</v>
      </c>
      <c r="N1158" s="337">
        <f t="shared" si="1370"/>
        <v>-3</v>
      </c>
      <c r="O1158" s="395">
        <f t="shared" si="1371"/>
        <v>-32</v>
      </c>
      <c r="P1158" s="289">
        <f t="shared" si="1372"/>
        <v>1</v>
      </c>
      <c r="Q1158" s="460">
        <f>WEEKNUM(tblResultadosNBA[[#This Row],[Fecha]],2)</f>
        <v>14</v>
      </c>
      <c r="R1158" s="460" t="str">
        <f>TEXT(tblResultadosNBA[[#This Row],[Fecha]],"mmm")</f>
        <v>abr</v>
      </c>
    </row>
    <row r="1159" spans="1:18">
      <c r="A1159" s="419">
        <v>46115</v>
      </c>
      <c r="B1159" s="302" t="s">
        <v>556</v>
      </c>
      <c r="C1159" s="177" t="str">
        <f t="shared" si="1363"/>
        <v>Orlando Magic</v>
      </c>
      <c r="D1159" s="177">
        <v>112</v>
      </c>
      <c r="E1159" s="336">
        <v>138</v>
      </c>
      <c r="F1159" s="327">
        <f t="shared" si="1364"/>
        <v>1</v>
      </c>
      <c r="G1159" s="177" t="str">
        <f t="shared" si="1365"/>
        <v>Dallas Mavericks</v>
      </c>
      <c r="H1159" s="177">
        <v>113</v>
      </c>
      <c r="I1159" s="336">
        <v>127</v>
      </c>
      <c r="J1159" s="327">
        <f t="shared" si="1366"/>
        <v>1</v>
      </c>
      <c r="K1159" s="177">
        <f t="shared" si="1367"/>
        <v>225</v>
      </c>
      <c r="L1159" s="336">
        <f t="shared" si="1368"/>
        <v>265</v>
      </c>
      <c r="M1159" s="327">
        <f t="shared" si="1369"/>
        <v>1</v>
      </c>
      <c r="N1159" s="337">
        <f t="shared" si="1370"/>
        <v>1</v>
      </c>
      <c r="O1159" s="395">
        <f t="shared" si="1371"/>
        <v>-11</v>
      </c>
      <c r="P1159" s="289">
        <f t="shared" si="1372"/>
        <v>0</v>
      </c>
      <c r="Q1159" s="460">
        <f>WEEKNUM(tblResultadosNBA[[#This Row],[Fecha]],2)</f>
        <v>14</v>
      </c>
      <c r="R1159" s="460" t="str">
        <f>TEXT(tblResultadosNBA[[#This Row],[Fecha]],"mmm")</f>
        <v>abr</v>
      </c>
    </row>
    <row r="1160" spans="1:18">
      <c r="A1160" s="445">
        <v>46115</v>
      </c>
      <c r="B1160" s="331" t="s">
        <v>432</v>
      </c>
      <c r="C1160" s="286" t="str">
        <f t="shared" si="1363"/>
        <v>New Orleans Pelicans</v>
      </c>
      <c r="D1160" s="286">
        <v>116</v>
      </c>
      <c r="E1160" s="431">
        <v>113</v>
      </c>
      <c r="F1160" s="332">
        <f t="shared" si="1364"/>
        <v>0</v>
      </c>
      <c r="G1160" s="286" t="str">
        <f t="shared" si="1365"/>
        <v>Sacramento Kings</v>
      </c>
      <c r="H1160" s="286">
        <v>120</v>
      </c>
      <c r="I1160" s="431">
        <v>117</v>
      </c>
      <c r="J1160" s="332">
        <f t="shared" si="1366"/>
        <v>0</v>
      </c>
      <c r="K1160" s="286">
        <f t="shared" si="1367"/>
        <v>236</v>
      </c>
      <c r="L1160" s="431">
        <f t="shared" si="1368"/>
        <v>230</v>
      </c>
      <c r="M1160" s="332">
        <f t="shared" si="1369"/>
        <v>0</v>
      </c>
      <c r="N1160" s="432">
        <f t="shared" si="1370"/>
        <v>4</v>
      </c>
      <c r="O1160" s="451">
        <f t="shared" si="1371"/>
        <v>4</v>
      </c>
      <c r="P1160" s="433">
        <f t="shared" si="1372"/>
        <v>1</v>
      </c>
      <c r="Q1160" s="460">
        <f>WEEKNUM(tblResultadosNBA[[#This Row],[Fecha]],2)</f>
        <v>14</v>
      </c>
      <c r="R1160" s="460" t="str">
        <f>TEXT(tblResultadosNBA[[#This Row],[Fecha]],"mmm")</f>
        <v>abr</v>
      </c>
    </row>
    <row r="1161" spans="1:18">
      <c r="A1161" s="439">
        <v>46116</v>
      </c>
      <c r="B1161" s="422" t="s">
        <v>447</v>
      </c>
      <c r="C1161" s="341" t="str">
        <f>LEFT(B1161,FIND("@",B1161)-2)</f>
        <v>Washington Wizards</v>
      </c>
      <c r="D1161" s="341">
        <v>110</v>
      </c>
      <c r="E1161" s="342">
        <v>136</v>
      </c>
      <c r="F1161" s="333">
        <f>IF(E1161&gt;D1161, 1, 0)</f>
        <v>1</v>
      </c>
      <c r="G1161" s="341" t="str">
        <f>MID(B1161,FIND("@",B1161)+2,LEN(B1161)-FIND("@",B1161)-1)</f>
        <v>Miami Heat</v>
      </c>
      <c r="H1161" s="341">
        <v>121</v>
      </c>
      <c r="I1161" s="342">
        <v>152</v>
      </c>
      <c r="J1161" s="333">
        <f>IF(I1161&gt;H1161, 1, 0)</f>
        <v>1</v>
      </c>
      <c r="K1161" s="341">
        <f>+D1161+H1161</f>
        <v>231</v>
      </c>
      <c r="L1161" s="342">
        <f>E1161+I1161</f>
        <v>288</v>
      </c>
      <c r="M1161" s="333">
        <f>IF(L1161&gt;K1161, 1, 0)</f>
        <v>1</v>
      </c>
      <c r="N1161" s="343">
        <f>(+H1161-D1161)</f>
        <v>11</v>
      </c>
      <c r="O1161" s="449">
        <f>I1161-E1161</f>
        <v>16</v>
      </c>
      <c r="P1161" s="289">
        <f>IF(OR(AND(N1161&gt;0,O1161&gt;0),AND(N1161&lt;0,O1161&lt;0)),1,0)</f>
        <v>1</v>
      </c>
      <c r="Q1161" s="460">
        <f>WEEKNUM(tblResultadosNBA[[#This Row],[Fecha]],2)</f>
        <v>14</v>
      </c>
      <c r="R1161" s="460" t="str">
        <f>TEXT(tblResultadosNBA[[#This Row],[Fecha]],"mmm")</f>
        <v>abr</v>
      </c>
    </row>
    <row r="1162" spans="1:18">
      <c r="A1162" s="419">
        <v>46116</v>
      </c>
      <c r="B1162" s="302" t="s">
        <v>114</v>
      </c>
      <c r="C1162" s="177" t="str">
        <f t="shared" ref="C1162:C1163" si="1373">LEFT(B1162,FIND("@",B1162)-2)</f>
        <v>San Antonio Spurs</v>
      </c>
      <c r="D1162" s="177">
        <v>115</v>
      </c>
      <c r="E1162" s="336">
        <v>134</v>
      </c>
      <c r="F1162" s="327">
        <f t="shared" ref="F1162:F1163" si="1374">IF(E1162&gt;D1162, 1, 0)</f>
        <v>1</v>
      </c>
      <c r="G1162" s="177" t="str">
        <f t="shared" ref="G1162:G1163" si="1375">MID(B1162,FIND("@",B1162)+2,LEN(B1162)-FIND("@",B1162)-1)</f>
        <v>Denver Nuggets</v>
      </c>
      <c r="H1162" s="177">
        <v>119</v>
      </c>
      <c r="I1162" s="336">
        <v>136</v>
      </c>
      <c r="J1162" s="327">
        <f t="shared" ref="J1162:J1163" si="1376">IF(I1162&gt;H1162, 1, 0)</f>
        <v>1</v>
      </c>
      <c r="K1162" s="177">
        <f t="shared" ref="K1162:K1163" si="1377">+D1162+H1162</f>
        <v>234</v>
      </c>
      <c r="L1162" s="336">
        <f t="shared" ref="L1162:L1163" si="1378">E1162+I1162</f>
        <v>270</v>
      </c>
      <c r="M1162" s="327">
        <f t="shared" ref="M1162:M1163" si="1379">IF(L1162&gt;K1162, 1, 0)</f>
        <v>1</v>
      </c>
      <c r="N1162" s="337">
        <f t="shared" ref="N1162:N1163" si="1380">(+H1162-D1162)</f>
        <v>4</v>
      </c>
      <c r="O1162" s="395">
        <f t="shared" ref="O1162:O1163" si="1381">I1162-E1162</f>
        <v>2</v>
      </c>
      <c r="P1162" s="289">
        <f t="shared" ref="P1162:P1163" si="1382">IF(OR(AND(N1162&gt;0,O1162&gt;0),AND(N1162&lt;0,O1162&lt;0)),1,0)</f>
        <v>1</v>
      </c>
      <c r="Q1162" s="460">
        <f>WEEKNUM(tblResultadosNBA[[#This Row],[Fecha]],2)</f>
        <v>14</v>
      </c>
      <c r="R1162" s="460" t="str">
        <f>TEXT(tblResultadosNBA[[#This Row],[Fecha]],"mmm")</f>
        <v>abr</v>
      </c>
    </row>
    <row r="1163" spans="1:18">
      <c r="A1163" s="445">
        <v>46116</v>
      </c>
      <c r="B1163" s="331" t="s">
        <v>557</v>
      </c>
      <c r="C1163" s="286" t="str">
        <f t="shared" si="1373"/>
        <v>Detroit Pistons</v>
      </c>
      <c r="D1163" s="286">
        <v>113</v>
      </c>
      <c r="E1163" s="431">
        <v>116</v>
      </c>
      <c r="F1163" s="332">
        <f t="shared" si="1374"/>
        <v>1</v>
      </c>
      <c r="G1163" s="286" t="str">
        <f t="shared" si="1375"/>
        <v>Philadelphia 76ers</v>
      </c>
      <c r="H1163" s="286">
        <v>112</v>
      </c>
      <c r="I1163" s="431">
        <v>93</v>
      </c>
      <c r="J1163" s="332">
        <f t="shared" si="1376"/>
        <v>0</v>
      </c>
      <c r="K1163" s="286">
        <f t="shared" si="1377"/>
        <v>225</v>
      </c>
      <c r="L1163" s="431">
        <f t="shared" si="1378"/>
        <v>209</v>
      </c>
      <c r="M1163" s="332">
        <f t="shared" si="1379"/>
        <v>0</v>
      </c>
      <c r="N1163" s="432">
        <f t="shared" si="1380"/>
        <v>-1</v>
      </c>
      <c r="O1163" s="451">
        <f t="shared" si="1381"/>
        <v>-23</v>
      </c>
      <c r="P1163" s="433">
        <f t="shared" si="1382"/>
        <v>1</v>
      </c>
      <c r="Q1163" s="460">
        <f>WEEKNUM(tblResultadosNBA[[#This Row],[Fecha]],2)</f>
        <v>14</v>
      </c>
      <c r="R1163" s="460" t="str">
        <f>TEXT(tblResultadosNBA[[#This Row],[Fecha]],"mmm")</f>
        <v>abr</v>
      </c>
    </row>
    <row r="1164" spans="1:18">
      <c r="A1164" s="439">
        <v>46117</v>
      </c>
      <c r="B1164" s="422" t="s">
        <v>558</v>
      </c>
      <c r="C1164" s="341" t="str">
        <f>LEFT(B1164,FIND("@",B1164)-2)</f>
        <v>Toronto Raptors</v>
      </c>
      <c r="D1164" s="341">
        <v>108</v>
      </c>
      <c r="E1164" s="342">
        <v>101</v>
      </c>
      <c r="F1164" s="333">
        <f>IF(E1164&gt;D1164, 1, 0)</f>
        <v>0</v>
      </c>
      <c r="G1164" s="341" t="str">
        <f>MID(B1164,FIND("@",B1164)+2,LEN(B1164)-FIND("@",B1164)-1)</f>
        <v>Boston Celtics</v>
      </c>
      <c r="H1164" s="341">
        <v>116</v>
      </c>
      <c r="I1164" s="342">
        <v>115</v>
      </c>
      <c r="J1164" s="333">
        <f>IF(I1164&gt;H1164, 1, 0)</f>
        <v>0</v>
      </c>
      <c r="K1164" s="341">
        <f>+D1164+H1164</f>
        <v>224</v>
      </c>
      <c r="L1164" s="342">
        <f>E1164+I1164</f>
        <v>216</v>
      </c>
      <c r="M1164" s="333">
        <f>IF(L1164&gt;K1164, 1, 0)</f>
        <v>0</v>
      </c>
      <c r="N1164" s="343">
        <f>(+H1164-D1164)</f>
        <v>8</v>
      </c>
      <c r="O1164" s="449">
        <f>I1164-E1164</f>
        <v>14</v>
      </c>
      <c r="P1164" s="289">
        <f>IF(OR(AND(N1164&gt;0,O1164&gt;0),AND(N1164&lt;0,O1164&lt;0)),1,0)</f>
        <v>1</v>
      </c>
      <c r="Q1164" s="460">
        <f>WEEKNUM(tblResultadosNBA[[#This Row],[Fecha]],2)</f>
        <v>14</v>
      </c>
      <c r="R1164" s="460" t="str">
        <f>TEXT(tblResultadosNBA[[#This Row],[Fecha]],"mmm")</f>
        <v>abr</v>
      </c>
    </row>
    <row r="1165" spans="1:18">
      <c r="A1165" s="419">
        <v>46117</v>
      </c>
      <c r="B1165" s="302" t="s">
        <v>342</v>
      </c>
      <c r="C1165" s="177" t="str">
        <f t="shared" ref="C1165:C1174" si="1383">LEFT(B1165,FIND("@",B1165)-2)</f>
        <v>Washington Wizards</v>
      </c>
      <c r="D1165" s="177">
        <v>107</v>
      </c>
      <c r="E1165" s="336">
        <v>115</v>
      </c>
      <c r="F1165" s="327">
        <f t="shared" ref="F1165:F1174" si="1384">IF(E1165&gt;D1165, 1, 0)</f>
        <v>1</v>
      </c>
      <c r="G1165" s="177" t="str">
        <f t="shared" ref="G1165:G1174" si="1385">MID(B1165,FIND("@",B1165)+2,LEN(B1165)-FIND("@",B1165)-1)</f>
        <v>Brooklyn Nets</v>
      </c>
      <c r="H1165" s="177">
        <v>116</v>
      </c>
      <c r="I1165" s="336">
        <v>121</v>
      </c>
      <c r="J1165" s="327">
        <f t="shared" ref="J1165:J1174" si="1386">IF(I1165&gt;H1165, 1, 0)</f>
        <v>1</v>
      </c>
      <c r="K1165" s="177">
        <f t="shared" ref="K1165:K1174" si="1387">+D1165+H1165</f>
        <v>223</v>
      </c>
      <c r="L1165" s="336">
        <f t="shared" ref="L1165:L1174" si="1388">E1165+I1165</f>
        <v>236</v>
      </c>
      <c r="M1165" s="327">
        <f t="shared" ref="M1165:M1174" si="1389">IF(L1165&gt;K1165, 1, 0)</f>
        <v>1</v>
      </c>
      <c r="N1165" s="337">
        <f t="shared" ref="N1165:N1174" si="1390">(+H1165-D1165)</f>
        <v>9</v>
      </c>
      <c r="O1165" s="395">
        <f t="shared" ref="O1165:O1174" si="1391">I1165-E1165</f>
        <v>6</v>
      </c>
      <c r="P1165" s="289">
        <f t="shared" ref="P1165:P1174" si="1392">IF(OR(AND(N1165&gt;0,O1165&gt;0),AND(N1165&lt;0,O1165&lt;0)),1,0)</f>
        <v>1</v>
      </c>
      <c r="Q1165" s="460">
        <f>WEEKNUM(tblResultadosNBA[[#This Row],[Fecha]],2)</f>
        <v>14</v>
      </c>
      <c r="R1165" s="460" t="str">
        <f>TEXT(tblResultadosNBA[[#This Row],[Fecha]],"mmm")</f>
        <v>abr</v>
      </c>
    </row>
    <row r="1166" spans="1:18">
      <c r="A1166" s="419">
        <v>46117</v>
      </c>
      <c r="B1166" s="302" t="s">
        <v>559</v>
      </c>
      <c r="C1166" s="177" t="str">
        <f t="shared" si="1383"/>
        <v>Phoenix Suns</v>
      </c>
      <c r="D1166" s="177">
        <v>115</v>
      </c>
      <c r="E1166" s="336">
        <v>120</v>
      </c>
      <c r="F1166" s="327">
        <f t="shared" si="1384"/>
        <v>1</v>
      </c>
      <c r="G1166" s="177" t="str">
        <f t="shared" si="1385"/>
        <v>Chicago Bulls</v>
      </c>
      <c r="H1166" s="177">
        <v>114</v>
      </c>
      <c r="I1166" s="336">
        <v>110</v>
      </c>
      <c r="J1166" s="327">
        <f t="shared" si="1386"/>
        <v>0</v>
      </c>
      <c r="K1166" s="177">
        <f t="shared" si="1387"/>
        <v>229</v>
      </c>
      <c r="L1166" s="336">
        <f t="shared" si="1388"/>
        <v>230</v>
      </c>
      <c r="M1166" s="327">
        <f t="shared" si="1389"/>
        <v>1</v>
      </c>
      <c r="N1166" s="337">
        <f t="shared" si="1390"/>
        <v>-1</v>
      </c>
      <c r="O1166" s="395">
        <f t="shared" si="1391"/>
        <v>-10</v>
      </c>
      <c r="P1166" s="289">
        <f t="shared" si="1392"/>
        <v>1</v>
      </c>
      <c r="Q1166" s="460">
        <f>WEEKNUM(tblResultadosNBA[[#This Row],[Fecha]],2)</f>
        <v>14</v>
      </c>
      <c r="R1166" s="460" t="str">
        <f>TEXT(tblResultadosNBA[[#This Row],[Fecha]],"mmm")</f>
        <v>abr</v>
      </c>
    </row>
    <row r="1167" spans="1:18">
      <c r="A1167" s="419">
        <v>46117</v>
      </c>
      <c r="B1167" s="302" t="s">
        <v>560</v>
      </c>
      <c r="C1167" s="177" t="str">
        <f t="shared" si="1383"/>
        <v>Memphis Grizzlies</v>
      </c>
      <c r="D1167" s="177">
        <v>111</v>
      </c>
      <c r="E1167" s="336">
        <v>115</v>
      </c>
      <c r="F1167" s="327">
        <f t="shared" si="1384"/>
        <v>1</v>
      </c>
      <c r="G1167" s="177" t="str">
        <f t="shared" si="1385"/>
        <v>Milwaukee Bucks</v>
      </c>
      <c r="H1167" s="177">
        <v>121</v>
      </c>
      <c r="I1167" s="336">
        <v>131</v>
      </c>
      <c r="J1167" s="327">
        <f t="shared" si="1386"/>
        <v>1</v>
      </c>
      <c r="K1167" s="177">
        <f t="shared" si="1387"/>
        <v>232</v>
      </c>
      <c r="L1167" s="336">
        <f t="shared" si="1388"/>
        <v>246</v>
      </c>
      <c r="M1167" s="327">
        <f t="shared" si="1389"/>
        <v>1</v>
      </c>
      <c r="N1167" s="337">
        <f t="shared" si="1390"/>
        <v>10</v>
      </c>
      <c r="O1167" s="395">
        <f t="shared" si="1391"/>
        <v>16</v>
      </c>
      <c r="P1167" s="289">
        <f t="shared" si="1392"/>
        <v>1</v>
      </c>
      <c r="Q1167" s="460">
        <f>WEEKNUM(tblResultadosNBA[[#This Row],[Fecha]],2)</f>
        <v>14</v>
      </c>
      <c r="R1167" s="460" t="str">
        <f>TEXT(tblResultadosNBA[[#This Row],[Fecha]],"mmm")</f>
        <v>abr</v>
      </c>
    </row>
    <row r="1168" spans="1:18">
      <c r="A1168" s="419">
        <v>46117</v>
      </c>
      <c r="B1168" s="302" t="s">
        <v>86</v>
      </c>
      <c r="C1168" s="177" t="str">
        <f t="shared" si="1383"/>
        <v>Indiana Pacers</v>
      </c>
      <c r="D1168" s="177">
        <v>113</v>
      </c>
      <c r="E1168" s="336">
        <v>108</v>
      </c>
      <c r="F1168" s="327">
        <f t="shared" si="1384"/>
        <v>0</v>
      </c>
      <c r="G1168" s="177" t="str">
        <f t="shared" si="1385"/>
        <v>Cleveland Cavaliers</v>
      </c>
      <c r="H1168" s="177">
        <v>118</v>
      </c>
      <c r="I1168" s="336">
        <v>117</v>
      </c>
      <c r="J1168" s="327">
        <f t="shared" si="1386"/>
        <v>0</v>
      </c>
      <c r="K1168" s="177">
        <f t="shared" si="1387"/>
        <v>231</v>
      </c>
      <c r="L1168" s="336">
        <f t="shared" si="1388"/>
        <v>225</v>
      </c>
      <c r="M1168" s="327">
        <f t="shared" si="1389"/>
        <v>0</v>
      </c>
      <c r="N1168" s="337">
        <f t="shared" si="1390"/>
        <v>5</v>
      </c>
      <c r="O1168" s="395">
        <f t="shared" si="1391"/>
        <v>9</v>
      </c>
      <c r="P1168" s="289">
        <f t="shared" si="1392"/>
        <v>1</v>
      </c>
      <c r="Q1168" s="460">
        <f>WEEKNUM(tblResultadosNBA[[#This Row],[Fecha]],2)</f>
        <v>14</v>
      </c>
      <c r="R1168" s="460" t="str">
        <f>TEXT(tblResultadosNBA[[#This Row],[Fecha]],"mmm")</f>
        <v>abr</v>
      </c>
    </row>
    <row r="1169" spans="1:18">
      <c r="A1169" s="419">
        <v>46117</v>
      </c>
      <c r="B1169" s="302" t="s">
        <v>561</v>
      </c>
      <c r="C1169" s="177" t="str">
        <f t="shared" si="1383"/>
        <v>Charlotte Hornets</v>
      </c>
      <c r="D1169" s="177">
        <v>112</v>
      </c>
      <c r="E1169" s="336">
        <v>122</v>
      </c>
      <c r="F1169" s="327">
        <f t="shared" si="1384"/>
        <v>1</v>
      </c>
      <c r="G1169" s="177" t="str">
        <f t="shared" si="1385"/>
        <v>Minnesota Timberwolves</v>
      </c>
      <c r="H1169" s="177">
        <v>117</v>
      </c>
      <c r="I1169" s="336">
        <v>108</v>
      </c>
      <c r="J1169" s="327">
        <f t="shared" si="1386"/>
        <v>0</v>
      </c>
      <c r="K1169" s="177">
        <f t="shared" si="1387"/>
        <v>229</v>
      </c>
      <c r="L1169" s="336">
        <f t="shared" si="1388"/>
        <v>230</v>
      </c>
      <c r="M1169" s="327">
        <f t="shared" si="1389"/>
        <v>1</v>
      </c>
      <c r="N1169" s="337">
        <f t="shared" si="1390"/>
        <v>5</v>
      </c>
      <c r="O1169" s="395">
        <f t="shared" si="1391"/>
        <v>-14</v>
      </c>
      <c r="P1169" s="289">
        <f t="shared" si="1392"/>
        <v>0</v>
      </c>
      <c r="Q1169" s="460">
        <f>WEEKNUM(tblResultadosNBA[[#This Row],[Fecha]],2)</f>
        <v>14</v>
      </c>
      <c r="R1169" s="460" t="str">
        <f>TEXT(tblResultadosNBA[[#This Row],[Fecha]],"mmm")</f>
        <v>abr</v>
      </c>
    </row>
    <row r="1170" spans="1:18">
      <c r="A1170" s="419">
        <v>46117</v>
      </c>
      <c r="B1170" s="302" t="s">
        <v>562</v>
      </c>
      <c r="C1170" s="177" t="str">
        <f t="shared" si="1383"/>
        <v>Orlando Magic</v>
      </c>
      <c r="D1170" s="177">
        <v>116</v>
      </c>
      <c r="E1170" s="336">
        <v>112</v>
      </c>
      <c r="F1170" s="327">
        <f t="shared" si="1384"/>
        <v>0</v>
      </c>
      <c r="G1170" s="177" t="str">
        <f t="shared" si="1385"/>
        <v>New Orleans Pelicans</v>
      </c>
      <c r="H1170" s="177">
        <v>117</v>
      </c>
      <c r="I1170" s="336">
        <v>108</v>
      </c>
      <c r="J1170" s="327">
        <f t="shared" si="1386"/>
        <v>0</v>
      </c>
      <c r="K1170" s="177">
        <f t="shared" si="1387"/>
        <v>233</v>
      </c>
      <c r="L1170" s="336">
        <f t="shared" si="1388"/>
        <v>220</v>
      </c>
      <c r="M1170" s="327">
        <f t="shared" si="1389"/>
        <v>0</v>
      </c>
      <c r="N1170" s="337">
        <f t="shared" si="1390"/>
        <v>1</v>
      </c>
      <c r="O1170" s="395">
        <f t="shared" si="1391"/>
        <v>-4</v>
      </c>
      <c r="P1170" s="289">
        <f t="shared" si="1392"/>
        <v>0</v>
      </c>
      <c r="Q1170" s="460">
        <f>WEEKNUM(tblResultadosNBA[[#This Row],[Fecha]],2)</f>
        <v>14</v>
      </c>
      <c r="R1170" s="460" t="str">
        <f>TEXT(tblResultadosNBA[[#This Row],[Fecha]],"mmm")</f>
        <v>abr</v>
      </c>
    </row>
    <row r="1171" spans="1:18">
      <c r="A1171" s="419">
        <v>46117</v>
      </c>
      <c r="B1171" s="302" t="s">
        <v>563</v>
      </c>
      <c r="C1171" s="177" t="str">
        <f t="shared" si="1383"/>
        <v>Utah Jazz</v>
      </c>
      <c r="D1171" s="177">
        <v>108</v>
      </c>
      <c r="E1171" s="336">
        <v>111</v>
      </c>
      <c r="F1171" s="327">
        <f t="shared" si="1384"/>
        <v>1</v>
      </c>
      <c r="G1171" s="177" t="str">
        <f t="shared" si="1385"/>
        <v>Oklahoma City Thunder</v>
      </c>
      <c r="H1171" s="177">
        <v>122</v>
      </c>
      <c r="I1171" s="336">
        <v>146</v>
      </c>
      <c r="J1171" s="327">
        <f t="shared" si="1386"/>
        <v>1</v>
      </c>
      <c r="K1171" s="177">
        <f t="shared" si="1387"/>
        <v>230</v>
      </c>
      <c r="L1171" s="336">
        <f t="shared" si="1388"/>
        <v>257</v>
      </c>
      <c r="M1171" s="327">
        <f t="shared" si="1389"/>
        <v>1</v>
      </c>
      <c r="N1171" s="337">
        <f t="shared" si="1390"/>
        <v>14</v>
      </c>
      <c r="O1171" s="395">
        <f t="shared" si="1391"/>
        <v>35</v>
      </c>
      <c r="P1171" s="289">
        <f t="shared" si="1392"/>
        <v>1</v>
      </c>
      <c r="Q1171" s="460">
        <f>WEEKNUM(tblResultadosNBA[[#This Row],[Fecha]],2)</f>
        <v>14</v>
      </c>
      <c r="R1171" s="460" t="str">
        <f>TEXT(tblResultadosNBA[[#This Row],[Fecha]],"mmm")</f>
        <v>abr</v>
      </c>
    </row>
    <row r="1172" spans="1:18">
      <c r="A1172" s="419">
        <v>46117</v>
      </c>
      <c r="B1172" s="302" t="s">
        <v>294</v>
      </c>
      <c r="C1172" s="177" t="str">
        <f t="shared" si="1383"/>
        <v>Los Angeles Lakers</v>
      </c>
      <c r="D1172" s="177">
        <v>115</v>
      </c>
      <c r="E1172" s="336">
        <v>128</v>
      </c>
      <c r="F1172" s="327">
        <f t="shared" si="1384"/>
        <v>1</v>
      </c>
      <c r="G1172" s="177" t="str">
        <f t="shared" si="1385"/>
        <v>Dallas Mavericks</v>
      </c>
      <c r="H1172" s="177">
        <v>114</v>
      </c>
      <c r="I1172" s="336">
        <v>134</v>
      </c>
      <c r="J1172" s="327">
        <f t="shared" si="1386"/>
        <v>1</v>
      </c>
      <c r="K1172" s="177">
        <f t="shared" si="1387"/>
        <v>229</v>
      </c>
      <c r="L1172" s="336">
        <f t="shared" si="1388"/>
        <v>262</v>
      </c>
      <c r="M1172" s="327">
        <f t="shared" si="1389"/>
        <v>1</v>
      </c>
      <c r="N1172" s="337">
        <f t="shared" si="1390"/>
        <v>-1</v>
      </c>
      <c r="O1172" s="395">
        <f t="shared" si="1391"/>
        <v>6</v>
      </c>
      <c r="P1172" s="289">
        <f t="shared" si="1392"/>
        <v>0</v>
      </c>
      <c r="Q1172" s="460">
        <f>WEEKNUM(tblResultadosNBA[[#This Row],[Fecha]],2)</f>
        <v>14</v>
      </c>
      <c r="R1172" s="460" t="str">
        <f>TEXT(tblResultadosNBA[[#This Row],[Fecha]],"mmm")</f>
        <v>abr</v>
      </c>
    </row>
    <row r="1173" spans="1:18">
      <c r="A1173" s="419">
        <v>46117</v>
      </c>
      <c r="B1173" s="302" t="s">
        <v>341</v>
      </c>
      <c r="C1173" s="177" t="str">
        <f t="shared" si="1383"/>
        <v>LA Clippers</v>
      </c>
      <c r="D1173" s="177">
        <v>119</v>
      </c>
      <c r="E1173" s="336">
        <v>138</v>
      </c>
      <c r="F1173" s="327">
        <f t="shared" si="1384"/>
        <v>1</v>
      </c>
      <c r="G1173" s="177" t="str">
        <f t="shared" si="1385"/>
        <v>Sacramento Kings</v>
      </c>
      <c r="H1173" s="177">
        <v>116</v>
      </c>
      <c r="I1173" s="336">
        <v>109</v>
      </c>
      <c r="J1173" s="327">
        <f t="shared" si="1386"/>
        <v>0</v>
      </c>
      <c r="K1173" s="177">
        <f t="shared" si="1387"/>
        <v>235</v>
      </c>
      <c r="L1173" s="336">
        <f t="shared" si="1388"/>
        <v>247</v>
      </c>
      <c r="M1173" s="327">
        <f t="shared" si="1389"/>
        <v>1</v>
      </c>
      <c r="N1173" s="337">
        <f t="shared" si="1390"/>
        <v>-3</v>
      </c>
      <c r="O1173" s="395">
        <f t="shared" si="1391"/>
        <v>-29</v>
      </c>
      <c r="P1173" s="289">
        <f t="shared" si="1392"/>
        <v>1</v>
      </c>
      <c r="Q1173" s="460">
        <f>WEEKNUM(tblResultadosNBA[[#This Row],[Fecha]],2)</f>
        <v>14</v>
      </c>
      <c r="R1173" s="460" t="str">
        <f>TEXT(tblResultadosNBA[[#This Row],[Fecha]],"mmm")</f>
        <v>abr</v>
      </c>
    </row>
    <row r="1174" spans="1:18">
      <c r="A1174" s="445">
        <v>46117</v>
      </c>
      <c r="B1174" s="331" t="s">
        <v>109</v>
      </c>
      <c r="C1174" s="286" t="str">
        <f t="shared" si="1383"/>
        <v>Houston Rockets</v>
      </c>
      <c r="D1174" s="286">
        <v>114</v>
      </c>
      <c r="E1174" s="431">
        <v>117</v>
      </c>
      <c r="F1174" s="332">
        <f t="shared" si="1384"/>
        <v>1</v>
      </c>
      <c r="G1174" s="286" t="str">
        <f t="shared" si="1385"/>
        <v>Golden State Warriors</v>
      </c>
      <c r="H1174" s="286">
        <v>116</v>
      </c>
      <c r="I1174" s="431">
        <v>116</v>
      </c>
      <c r="J1174" s="332">
        <f t="shared" si="1386"/>
        <v>0</v>
      </c>
      <c r="K1174" s="286">
        <f t="shared" si="1387"/>
        <v>230</v>
      </c>
      <c r="L1174" s="431">
        <f t="shared" si="1388"/>
        <v>233</v>
      </c>
      <c r="M1174" s="332">
        <f t="shared" si="1389"/>
        <v>1</v>
      </c>
      <c r="N1174" s="432">
        <f t="shared" si="1390"/>
        <v>2</v>
      </c>
      <c r="O1174" s="451">
        <f t="shared" si="1391"/>
        <v>-1</v>
      </c>
      <c r="P1174" s="433">
        <f t="shared" si="1392"/>
        <v>0</v>
      </c>
      <c r="Q1174" s="460">
        <f>WEEKNUM(tblResultadosNBA[[#This Row],[Fecha]],2)</f>
        <v>14</v>
      </c>
      <c r="R1174" s="460" t="str">
        <f>TEXT(tblResultadosNBA[[#This Row],[Fecha]],"mmm")</f>
        <v>abr</v>
      </c>
    </row>
    <row r="1175" spans="1:18">
      <c r="A1175" s="439">
        <v>46118</v>
      </c>
      <c r="B1175" s="422" t="s">
        <v>234</v>
      </c>
      <c r="C1175" s="341" t="str">
        <f>LEFT(B1175,FIND("@",B1175)-2)</f>
        <v>New York Knicks</v>
      </c>
      <c r="D1175" s="341">
        <v>113</v>
      </c>
      <c r="E1175" s="342">
        <v>108</v>
      </c>
      <c r="F1175" s="333">
        <f>IF(E1175&gt;D1175, 1, 0)</f>
        <v>0</v>
      </c>
      <c r="G1175" s="341" t="str">
        <f>MID(B1175,FIND("@",B1175)+2,LEN(B1175)-FIND("@",B1175)-1)</f>
        <v>Atlanta Hawks</v>
      </c>
      <c r="H1175" s="341">
        <v>115</v>
      </c>
      <c r="I1175" s="342">
        <v>105</v>
      </c>
      <c r="J1175" s="333">
        <f>IF(I1175&gt;H1175, 1, 0)</f>
        <v>0</v>
      </c>
      <c r="K1175" s="341">
        <f>+D1175+H1175</f>
        <v>228</v>
      </c>
      <c r="L1175" s="342">
        <f>E1175+I1175</f>
        <v>213</v>
      </c>
      <c r="M1175" s="333">
        <f>IF(L1175&gt;K1175, 1, 0)</f>
        <v>0</v>
      </c>
      <c r="N1175" s="343">
        <f>(+H1175-D1175)</f>
        <v>2</v>
      </c>
      <c r="O1175" s="449">
        <f>I1175-E1175</f>
        <v>-3</v>
      </c>
      <c r="P1175" s="289">
        <f>IF(OR(AND(N1175&gt;0,O1175&gt;0),AND(N1175&lt;0,O1175&lt;0)),1,0)</f>
        <v>0</v>
      </c>
      <c r="Q1175" s="460">
        <f>WEEKNUM(tblResultadosNBA[[#This Row],[Fecha]],2)</f>
        <v>15</v>
      </c>
      <c r="R1175" s="460" t="str">
        <f>TEXT(tblResultadosNBA[[#This Row],[Fecha]],"mmm")</f>
        <v>abr</v>
      </c>
    </row>
    <row r="1176" spans="1:18">
      <c r="A1176" s="419">
        <v>46118</v>
      </c>
      <c r="B1176" s="302" t="s">
        <v>416</v>
      </c>
      <c r="C1176" s="177" t="str">
        <f t="shared" ref="C1176:C1179" si="1393">LEFT(B1176,FIND("@",B1176)-2)</f>
        <v>Detroit Pistons</v>
      </c>
      <c r="D1176" s="177">
        <v>112</v>
      </c>
      <c r="E1176" s="336">
        <v>107</v>
      </c>
      <c r="F1176" s="327">
        <f t="shared" ref="F1176:F1179" si="1394">IF(E1176&gt;D1176, 1, 0)</f>
        <v>0</v>
      </c>
      <c r="G1176" s="177" t="str">
        <f t="shared" ref="G1176:G1179" si="1395">MID(B1176,FIND("@",B1176)+2,LEN(B1176)-FIND("@",B1176)-1)</f>
        <v>Orlando Magic</v>
      </c>
      <c r="H1176" s="177">
        <v>109</v>
      </c>
      <c r="I1176" s="336">
        <v>123</v>
      </c>
      <c r="J1176" s="327">
        <f t="shared" ref="J1176:J1179" si="1396">IF(I1176&gt;H1176, 1, 0)</f>
        <v>1</v>
      </c>
      <c r="K1176" s="177">
        <f t="shared" ref="K1176:K1179" si="1397">+D1176+H1176</f>
        <v>221</v>
      </c>
      <c r="L1176" s="336">
        <f t="shared" ref="L1176:L1179" si="1398">E1176+I1176</f>
        <v>230</v>
      </c>
      <c r="M1176" s="327">
        <f t="shared" ref="M1176:M1179" si="1399">IF(L1176&gt;K1176, 1, 0)</f>
        <v>1</v>
      </c>
      <c r="N1176" s="337">
        <f t="shared" ref="N1176:N1179" si="1400">(+H1176-D1176)</f>
        <v>-3</v>
      </c>
      <c r="O1176" s="395">
        <f t="shared" ref="O1176:O1179" si="1401">I1176-E1176</f>
        <v>16</v>
      </c>
      <c r="P1176" s="289">
        <f t="shared" ref="P1176:P1179" si="1402">IF(OR(AND(N1176&gt;0,O1176&gt;0),AND(N1176&lt;0,O1176&lt;0)),1,0)</f>
        <v>0</v>
      </c>
      <c r="Q1176" s="460">
        <f>WEEKNUM(tblResultadosNBA[[#This Row],[Fecha]],2)</f>
        <v>15</v>
      </c>
      <c r="R1176" s="460" t="str">
        <f>TEXT(tblResultadosNBA[[#This Row],[Fecha]],"mmm")</f>
        <v>abr</v>
      </c>
    </row>
    <row r="1177" spans="1:18">
      <c r="A1177" s="419">
        <v>46118</v>
      </c>
      <c r="B1177" s="302" t="s">
        <v>564</v>
      </c>
      <c r="C1177" s="177" t="str">
        <f t="shared" si="1393"/>
        <v>Cleveland Cavaliers</v>
      </c>
      <c r="D1177" s="177">
        <v>114</v>
      </c>
      <c r="E1177" s="336">
        <v>142</v>
      </c>
      <c r="F1177" s="327">
        <f t="shared" si="1394"/>
        <v>1</v>
      </c>
      <c r="G1177" s="177" t="str">
        <f t="shared" si="1395"/>
        <v>Memphis Grizzlies</v>
      </c>
      <c r="H1177" s="177">
        <v>115</v>
      </c>
      <c r="I1177" s="336">
        <v>126</v>
      </c>
      <c r="J1177" s="327">
        <f t="shared" si="1396"/>
        <v>1</v>
      </c>
      <c r="K1177" s="177">
        <f t="shared" si="1397"/>
        <v>229</v>
      </c>
      <c r="L1177" s="336">
        <f t="shared" si="1398"/>
        <v>268</v>
      </c>
      <c r="M1177" s="327">
        <f t="shared" si="1399"/>
        <v>1</v>
      </c>
      <c r="N1177" s="337">
        <f t="shared" si="1400"/>
        <v>1</v>
      </c>
      <c r="O1177" s="395">
        <f t="shared" si="1401"/>
        <v>-16</v>
      </c>
      <c r="P1177" s="289">
        <f t="shared" si="1402"/>
        <v>0</v>
      </c>
      <c r="Q1177" s="460">
        <f>WEEKNUM(tblResultadosNBA[[#This Row],[Fecha]],2)</f>
        <v>15</v>
      </c>
      <c r="R1177" s="460" t="str">
        <f>TEXT(tblResultadosNBA[[#This Row],[Fecha]],"mmm")</f>
        <v>abr</v>
      </c>
    </row>
    <row r="1178" spans="1:18">
      <c r="A1178" s="419">
        <v>46118</v>
      </c>
      <c r="B1178" s="302" t="s">
        <v>565</v>
      </c>
      <c r="C1178" s="177" t="str">
        <f t="shared" si="1393"/>
        <v>Philadelphia 76ers</v>
      </c>
      <c r="D1178" s="177">
        <v>115</v>
      </c>
      <c r="E1178" s="336">
        <v>102</v>
      </c>
      <c r="F1178" s="327">
        <f t="shared" si="1394"/>
        <v>0</v>
      </c>
      <c r="G1178" s="177" t="str">
        <f t="shared" si="1395"/>
        <v>San Antonio Spurs</v>
      </c>
      <c r="H1178" s="177">
        <v>119</v>
      </c>
      <c r="I1178" s="336">
        <v>115</v>
      </c>
      <c r="J1178" s="327">
        <f t="shared" si="1396"/>
        <v>0</v>
      </c>
      <c r="K1178" s="177">
        <f t="shared" si="1397"/>
        <v>234</v>
      </c>
      <c r="L1178" s="336">
        <f t="shared" si="1398"/>
        <v>217</v>
      </c>
      <c r="M1178" s="327">
        <f t="shared" si="1399"/>
        <v>0</v>
      </c>
      <c r="N1178" s="337">
        <f t="shared" si="1400"/>
        <v>4</v>
      </c>
      <c r="O1178" s="395">
        <f t="shared" si="1401"/>
        <v>13</v>
      </c>
      <c r="P1178" s="289">
        <f t="shared" si="1402"/>
        <v>1</v>
      </c>
      <c r="Q1178" s="460">
        <f>WEEKNUM(tblResultadosNBA[[#This Row],[Fecha]],2)</f>
        <v>15</v>
      </c>
      <c r="R1178" s="460" t="str">
        <f>TEXT(tblResultadosNBA[[#This Row],[Fecha]],"mmm")</f>
        <v>abr</v>
      </c>
    </row>
    <row r="1179" spans="1:18">
      <c r="A1179" s="445">
        <v>46118</v>
      </c>
      <c r="B1179" s="331" t="s">
        <v>492</v>
      </c>
      <c r="C1179" s="286" t="str">
        <f t="shared" si="1393"/>
        <v>Portland Trail Blazers</v>
      </c>
      <c r="D1179" s="286">
        <v>113</v>
      </c>
      <c r="E1179" s="431">
        <v>132</v>
      </c>
      <c r="F1179" s="332">
        <f t="shared" si="1394"/>
        <v>1</v>
      </c>
      <c r="G1179" s="286" t="str">
        <f t="shared" si="1395"/>
        <v>Denver Nuggets</v>
      </c>
      <c r="H1179" s="286">
        <v>120</v>
      </c>
      <c r="I1179" s="431">
        <v>137</v>
      </c>
      <c r="J1179" s="332">
        <f t="shared" si="1396"/>
        <v>1</v>
      </c>
      <c r="K1179" s="286">
        <f t="shared" si="1397"/>
        <v>233</v>
      </c>
      <c r="L1179" s="431">
        <f t="shared" si="1398"/>
        <v>269</v>
      </c>
      <c r="M1179" s="332">
        <f t="shared" si="1399"/>
        <v>1</v>
      </c>
      <c r="N1179" s="432">
        <f t="shared" si="1400"/>
        <v>7</v>
      </c>
      <c r="O1179" s="451">
        <f t="shared" si="1401"/>
        <v>5</v>
      </c>
      <c r="P1179" s="433">
        <f t="shared" si="1402"/>
        <v>1</v>
      </c>
      <c r="Q1179" s="460">
        <f>WEEKNUM(tblResultadosNBA[[#This Row],[Fecha]],2)</f>
        <v>15</v>
      </c>
      <c r="R1179" s="460" t="str">
        <f>TEXT(tblResultadosNBA[[#This Row],[Fecha]],"mmm")</f>
        <v>abr</v>
      </c>
    </row>
    <row r="1180" spans="1:18">
      <c r="A1180" s="439">
        <v>46119</v>
      </c>
      <c r="B1180" s="422" t="s">
        <v>566</v>
      </c>
      <c r="C1180" s="341" t="str">
        <f>LEFT(B1180,FIND("@",B1180)-2)</f>
        <v>Chicago Bulls</v>
      </c>
      <c r="D1180" s="341">
        <v>116</v>
      </c>
      <c r="E1180" s="342">
        <v>129</v>
      </c>
      <c r="F1180" s="333">
        <f>IF(E1180&gt;D1180, 1, 0)</f>
        <v>1</v>
      </c>
      <c r="G1180" s="341" t="str">
        <f>MID(B1180,FIND("@",B1180)+2,LEN(B1180)-FIND("@",B1180)-1)</f>
        <v>Washington Wizards</v>
      </c>
      <c r="H1180" s="341">
        <v>119</v>
      </c>
      <c r="I1180" s="342">
        <v>98</v>
      </c>
      <c r="J1180" s="333">
        <f>IF(I1180&gt;H1180, 1, 0)</f>
        <v>0</v>
      </c>
      <c r="K1180" s="341">
        <f>+D1180+H1180</f>
        <v>235</v>
      </c>
      <c r="L1180" s="342">
        <f>E1180+I1180</f>
        <v>227</v>
      </c>
      <c r="M1180" s="333">
        <f>IF(L1180&gt;K1180, 1, 0)</f>
        <v>0</v>
      </c>
      <c r="N1180" s="343">
        <f>(+H1180-D1180)</f>
        <v>3</v>
      </c>
      <c r="O1180" s="449">
        <f>I1180-E1180</f>
        <v>-31</v>
      </c>
      <c r="P1180" s="289">
        <f>IF(OR(AND(N1180&gt;0,O1180&gt;0),AND(N1180&lt;0,O1180&lt;0)),1,0)</f>
        <v>0</v>
      </c>
      <c r="Q1180" s="460">
        <f>WEEKNUM(tblResultadosNBA[[#This Row],[Fecha]],2)</f>
        <v>15</v>
      </c>
      <c r="R1180" s="460" t="str">
        <f>TEXT(tblResultadosNBA[[#This Row],[Fecha]],"mmm")</f>
        <v>abr</v>
      </c>
    </row>
    <row r="1181" spans="1:18">
      <c r="A1181" s="419">
        <v>46119</v>
      </c>
      <c r="B1181" s="302" t="s">
        <v>567</v>
      </c>
      <c r="C1181" s="177" t="str">
        <f t="shared" ref="C1181:C1189" si="1403">LEFT(B1181,FIND("@",B1181)-2)</f>
        <v>Minnesota Timberwolves</v>
      </c>
      <c r="D1181" s="177">
        <v>122</v>
      </c>
      <c r="E1181" s="336">
        <v>124</v>
      </c>
      <c r="F1181" s="327">
        <f t="shared" ref="F1181:F1189" si="1404">IF(E1181&gt;D1181, 1, 0)</f>
        <v>1</v>
      </c>
      <c r="G1181" s="177" t="str">
        <f t="shared" ref="G1181:G1189" si="1405">MID(B1181,FIND("@",B1181)+2,LEN(B1181)-FIND("@",B1181)-1)</f>
        <v>Indiana Pacers</v>
      </c>
      <c r="H1181" s="177">
        <v>113</v>
      </c>
      <c r="I1181" s="336">
        <v>104</v>
      </c>
      <c r="J1181" s="327">
        <f t="shared" ref="J1181:J1189" si="1406">IF(I1181&gt;H1181, 1, 0)</f>
        <v>0</v>
      </c>
      <c r="K1181" s="177">
        <f t="shared" ref="K1181:K1189" si="1407">+D1181+H1181</f>
        <v>235</v>
      </c>
      <c r="L1181" s="336">
        <f t="shared" ref="L1181:L1189" si="1408">E1181+I1181</f>
        <v>228</v>
      </c>
      <c r="M1181" s="327">
        <f t="shared" ref="M1181:M1189" si="1409">IF(L1181&gt;K1181, 1, 0)</f>
        <v>0</v>
      </c>
      <c r="N1181" s="337">
        <f t="shared" ref="N1181:N1189" si="1410">(+H1181-D1181)</f>
        <v>-9</v>
      </c>
      <c r="O1181" s="395">
        <f t="shared" ref="O1181:O1189" si="1411">I1181-E1181</f>
        <v>-20</v>
      </c>
      <c r="P1181" s="289">
        <f t="shared" ref="P1181:P1189" si="1412">IF(OR(AND(N1181&gt;0,O1181&gt;0),AND(N1181&lt;0,O1181&lt;0)),1,0)</f>
        <v>1</v>
      </c>
      <c r="Q1181" s="460">
        <f>WEEKNUM(tblResultadosNBA[[#This Row],[Fecha]],2)</f>
        <v>15</v>
      </c>
      <c r="R1181" s="460" t="str">
        <f>TEXT(tblResultadosNBA[[#This Row],[Fecha]],"mmm")</f>
        <v>abr</v>
      </c>
    </row>
    <row r="1182" spans="1:18">
      <c r="A1182" s="419">
        <v>46119</v>
      </c>
      <c r="B1182" s="302" t="s">
        <v>179</v>
      </c>
      <c r="C1182" s="177" t="str">
        <f t="shared" si="1403"/>
        <v>Milwaukee Bucks</v>
      </c>
      <c r="D1182" s="177">
        <v>110</v>
      </c>
      <c r="E1182" s="336">
        <v>90</v>
      </c>
      <c r="F1182" s="327">
        <f t="shared" si="1404"/>
        <v>0</v>
      </c>
      <c r="G1182" s="177" t="str">
        <f t="shared" si="1405"/>
        <v>Brooklyn Nets</v>
      </c>
      <c r="H1182" s="177">
        <v>111</v>
      </c>
      <c r="I1182" s="336">
        <v>96</v>
      </c>
      <c r="J1182" s="327">
        <f t="shared" si="1406"/>
        <v>0</v>
      </c>
      <c r="K1182" s="177">
        <f t="shared" si="1407"/>
        <v>221</v>
      </c>
      <c r="L1182" s="336">
        <f t="shared" si="1408"/>
        <v>186</v>
      </c>
      <c r="M1182" s="327">
        <f t="shared" si="1409"/>
        <v>0</v>
      </c>
      <c r="N1182" s="337">
        <f t="shared" si="1410"/>
        <v>1</v>
      </c>
      <c r="O1182" s="395">
        <f t="shared" si="1411"/>
        <v>6</v>
      </c>
      <c r="P1182" s="289">
        <f t="shared" si="1412"/>
        <v>1</v>
      </c>
      <c r="Q1182" s="460">
        <f>WEEKNUM(tblResultadosNBA[[#This Row],[Fecha]],2)</f>
        <v>15</v>
      </c>
      <c r="R1182" s="460" t="str">
        <f>TEXT(tblResultadosNBA[[#This Row],[Fecha]],"mmm")</f>
        <v>abr</v>
      </c>
    </row>
    <row r="1183" spans="1:18">
      <c r="A1183" s="419">
        <v>46119</v>
      </c>
      <c r="B1183" s="302" t="s">
        <v>568</v>
      </c>
      <c r="C1183" s="177" t="str">
        <f t="shared" si="1403"/>
        <v>Miami Heat</v>
      </c>
      <c r="D1183" s="177">
        <v>111</v>
      </c>
      <c r="E1183" s="336">
        <v>95</v>
      </c>
      <c r="F1183" s="327">
        <f t="shared" si="1404"/>
        <v>0</v>
      </c>
      <c r="G1183" s="177" t="str">
        <f t="shared" si="1405"/>
        <v>Toronto Raptors</v>
      </c>
      <c r="H1183" s="177">
        <v>112</v>
      </c>
      <c r="I1183" s="336">
        <v>121</v>
      </c>
      <c r="J1183" s="327">
        <f t="shared" si="1406"/>
        <v>1</v>
      </c>
      <c r="K1183" s="177">
        <f t="shared" si="1407"/>
        <v>223</v>
      </c>
      <c r="L1183" s="336">
        <f t="shared" si="1408"/>
        <v>216</v>
      </c>
      <c r="M1183" s="327">
        <f t="shared" si="1409"/>
        <v>0</v>
      </c>
      <c r="N1183" s="337">
        <f t="shared" si="1410"/>
        <v>1</v>
      </c>
      <c r="O1183" s="395">
        <f t="shared" si="1411"/>
        <v>26</v>
      </c>
      <c r="P1183" s="289">
        <f t="shared" si="1412"/>
        <v>1</v>
      </c>
      <c r="Q1183" s="460">
        <f>WEEKNUM(tblResultadosNBA[[#This Row],[Fecha]],2)</f>
        <v>15</v>
      </c>
      <c r="R1183" s="460" t="str">
        <f>TEXT(tblResultadosNBA[[#This Row],[Fecha]],"mmm")</f>
        <v>abr</v>
      </c>
    </row>
    <row r="1184" spans="1:18">
      <c r="A1184" s="419">
        <v>46119</v>
      </c>
      <c r="B1184" s="302" t="s">
        <v>569</v>
      </c>
      <c r="C1184" s="177" t="str">
        <f t="shared" si="1403"/>
        <v>Charlotte Hornets</v>
      </c>
      <c r="D1184" s="177">
        <v>102</v>
      </c>
      <c r="E1184" s="336">
        <v>102</v>
      </c>
      <c r="F1184" s="327">
        <f t="shared" si="1404"/>
        <v>0</v>
      </c>
      <c r="G1184" s="177" t="str">
        <f t="shared" si="1405"/>
        <v>Boston Celtics</v>
      </c>
      <c r="H1184" s="177">
        <v>115</v>
      </c>
      <c r="I1184" s="336">
        <v>113</v>
      </c>
      <c r="J1184" s="327">
        <f t="shared" si="1406"/>
        <v>0</v>
      </c>
      <c r="K1184" s="177">
        <f t="shared" si="1407"/>
        <v>217</v>
      </c>
      <c r="L1184" s="336">
        <f t="shared" si="1408"/>
        <v>215</v>
      </c>
      <c r="M1184" s="327">
        <f t="shared" si="1409"/>
        <v>0</v>
      </c>
      <c r="N1184" s="337">
        <f t="shared" si="1410"/>
        <v>13</v>
      </c>
      <c r="O1184" s="395">
        <f t="shared" si="1411"/>
        <v>11</v>
      </c>
      <c r="P1184" s="289">
        <f t="shared" si="1412"/>
        <v>1</v>
      </c>
      <c r="Q1184" s="460">
        <f>WEEKNUM(tblResultadosNBA[[#This Row],[Fecha]],2)</f>
        <v>15</v>
      </c>
      <c r="R1184" s="460" t="str">
        <f>TEXT(tblResultadosNBA[[#This Row],[Fecha]],"mmm")</f>
        <v>abr</v>
      </c>
    </row>
    <row r="1185" spans="1:18">
      <c r="A1185" s="419">
        <v>46119</v>
      </c>
      <c r="B1185" s="302" t="s">
        <v>570</v>
      </c>
      <c r="C1185" s="177" t="str">
        <f t="shared" si="1403"/>
        <v>Utah Jazz</v>
      </c>
      <c r="D1185" s="177">
        <v>117</v>
      </c>
      <c r="E1185" s="336">
        <v>137</v>
      </c>
      <c r="F1185" s="327">
        <f t="shared" si="1404"/>
        <v>1</v>
      </c>
      <c r="G1185" s="177" t="str">
        <f t="shared" si="1405"/>
        <v>New Orleans Pelicans</v>
      </c>
      <c r="H1185" s="177">
        <v>123</v>
      </c>
      <c r="I1185" s="336">
        <v>156</v>
      </c>
      <c r="J1185" s="327">
        <f t="shared" si="1406"/>
        <v>1</v>
      </c>
      <c r="K1185" s="177">
        <f t="shared" si="1407"/>
        <v>240</v>
      </c>
      <c r="L1185" s="336">
        <f t="shared" si="1408"/>
        <v>293</v>
      </c>
      <c r="M1185" s="327">
        <f t="shared" si="1409"/>
        <v>1</v>
      </c>
      <c r="N1185" s="337">
        <f t="shared" si="1410"/>
        <v>6</v>
      </c>
      <c r="O1185" s="395">
        <f t="shared" si="1411"/>
        <v>19</v>
      </c>
      <c r="P1185" s="289">
        <f t="shared" si="1412"/>
        <v>1</v>
      </c>
      <c r="Q1185" s="460">
        <f>WEEKNUM(tblResultadosNBA[[#This Row],[Fecha]],2)</f>
        <v>15</v>
      </c>
      <c r="R1185" s="460" t="str">
        <f>TEXT(tblResultadosNBA[[#This Row],[Fecha]],"mmm")</f>
        <v>abr</v>
      </c>
    </row>
    <row r="1186" spans="1:18">
      <c r="A1186" s="419">
        <v>46119</v>
      </c>
      <c r="B1186" s="302" t="s">
        <v>571</v>
      </c>
      <c r="C1186" s="177" t="str">
        <f t="shared" si="1403"/>
        <v>Sacramento Kings</v>
      </c>
      <c r="D1186" s="177">
        <v>110</v>
      </c>
      <c r="E1186" s="336">
        <v>105</v>
      </c>
      <c r="F1186" s="327">
        <f t="shared" si="1404"/>
        <v>0</v>
      </c>
      <c r="G1186" s="177" t="str">
        <f t="shared" si="1405"/>
        <v>Golden State Warriors</v>
      </c>
      <c r="H1186" s="177">
        <v>122</v>
      </c>
      <c r="I1186" s="336">
        <v>110</v>
      </c>
      <c r="J1186" s="327">
        <f t="shared" si="1406"/>
        <v>0</v>
      </c>
      <c r="K1186" s="177">
        <f t="shared" si="1407"/>
        <v>232</v>
      </c>
      <c r="L1186" s="336">
        <f t="shared" si="1408"/>
        <v>215</v>
      </c>
      <c r="M1186" s="327">
        <f t="shared" si="1409"/>
        <v>0</v>
      </c>
      <c r="N1186" s="337">
        <f t="shared" si="1410"/>
        <v>12</v>
      </c>
      <c r="O1186" s="395">
        <f t="shared" si="1411"/>
        <v>5</v>
      </c>
      <c r="P1186" s="289">
        <f t="shared" si="1412"/>
        <v>1</v>
      </c>
      <c r="Q1186" s="460">
        <f>WEEKNUM(tblResultadosNBA[[#This Row],[Fecha]],2)</f>
        <v>15</v>
      </c>
      <c r="R1186" s="460" t="str">
        <f>TEXT(tblResultadosNBA[[#This Row],[Fecha]],"mmm")</f>
        <v>abr</v>
      </c>
    </row>
    <row r="1187" spans="1:18">
      <c r="A1187" s="419">
        <v>46119</v>
      </c>
      <c r="B1187" s="302" t="s">
        <v>357</v>
      </c>
      <c r="C1187" s="177" t="str">
        <f t="shared" si="1403"/>
        <v>Oklahoma City Thunder</v>
      </c>
      <c r="D1187" s="177">
        <v>116</v>
      </c>
      <c r="E1187" s="336">
        <v>123</v>
      </c>
      <c r="F1187" s="327">
        <f t="shared" si="1404"/>
        <v>1</v>
      </c>
      <c r="G1187" s="177" t="str">
        <f t="shared" si="1405"/>
        <v>Los Angeles Lakers</v>
      </c>
      <c r="H1187" s="177">
        <v>114</v>
      </c>
      <c r="I1187" s="336">
        <v>87</v>
      </c>
      <c r="J1187" s="327">
        <f t="shared" si="1406"/>
        <v>0</v>
      </c>
      <c r="K1187" s="177">
        <f t="shared" si="1407"/>
        <v>230</v>
      </c>
      <c r="L1187" s="336">
        <f t="shared" si="1408"/>
        <v>210</v>
      </c>
      <c r="M1187" s="327">
        <f t="shared" si="1409"/>
        <v>0</v>
      </c>
      <c r="N1187" s="337">
        <f t="shared" si="1410"/>
        <v>-2</v>
      </c>
      <c r="O1187" s="395">
        <f t="shared" si="1411"/>
        <v>-36</v>
      </c>
      <c r="P1187" s="289">
        <f t="shared" si="1412"/>
        <v>1</v>
      </c>
      <c r="Q1187" s="460">
        <f>WEEKNUM(tblResultadosNBA[[#This Row],[Fecha]],2)</f>
        <v>15</v>
      </c>
      <c r="R1187" s="460" t="str">
        <f>TEXT(tblResultadosNBA[[#This Row],[Fecha]],"mmm")</f>
        <v>abr</v>
      </c>
    </row>
    <row r="1188" spans="1:18">
      <c r="A1188" s="419">
        <v>46119</v>
      </c>
      <c r="B1188" s="302" t="s">
        <v>572</v>
      </c>
      <c r="C1188" s="177" t="str">
        <f t="shared" si="1403"/>
        <v>Dallas Mavericks</v>
      </c>
      <c r="D1188" s="177">
        <v>115</v>
      </c>
      <c r="E1188" s="336">
        <v>103</v>
      </c>
      <c r="F1188" s="327">
        <f t="shared" si="1404"/>
        <v>0</v>
      </c>
      <c r="G1188" s="177" t="str">
        <f t="shared" si="1405"/>
        <v>LA Clippers</v>
      </c>
      <c r="H1188" s="177">
        <v>117</v>
      </c>
      <c r="I1188" s="336">
        <v>116</v>
      </c>
      <c r="J1188" s="327">
        <f t="shared" si="1406"/>
        <v>0</v>
      </c>
      <c r="K1188" s="177">
        <f t="shared" si="1407"/>
        <v>232</v>
      </c>
      <c r="L1188" s="336">
        <f t="shared" si="1408"/>
        <v>219</v>
      </c>
      <c r="M1188" s="327">
        <f t="shared" si="1409"/>
        <v>0</v>
      </c>
      <c r="N1188" s="337">
        <f t="shared" si="1410"/>
        <v>2</v>
      </c>
      <c r="O1188" s="395">
        <f t="shared" si="1411"/>
        <v>13</v>
      </c>
      <c r="P1188" s="289">
        <f t="shared" si="1412"/>
        <v>1</v>
      </c>
      <c r="Q1188" s="460">
        <f>WEEKNUM(tblResultadosNBA[[#This Row],[Fecha]],2)</f>
        <v>15</v>
      </c>
      <c r="R1188" s="460" t="str">
        <f>TEXT(tblResultadosNBA[[#This Row],[Fecha]],"mmm")</f>
        <v>abr</v>
      </c>
    </row>
    <row r="1189" spans="1:18">
      <c r="A1189" s="445">
        <v>46119</v>
      </c>
      <c r="B1189" s="331" t="s">
        <v>100</v>
      </c>
      <c r="C1189" s="286" t="str">
        <f t="shared" si="1403"/>
        <v>Houston Rockets</v>
      </c>
      <c r="D1189" s="286">
        <v>112</v>
      </c>
      <c r="E1189" s="431">
        <v>119</v>
      </c>
      <c r="F1189" s="332">
        <f t="shared" si="1404"/>
        <v>1</v>
      </c>
      <c r="G1189" s="286" t="str">
        <f t="shared" si="1405"/>
        <v>Phoenix Suns</v>
      </c>
      <c r="H1189" s="286">
        <v>109</v>
      </c>
      <c r="I1189" s="431">
        <v>105</v>
      </c>
      <c r="J1189" s="332">
        <f t="shared" si="1406"/>
        <v>0</v>
      </c>
      <c r="K1189" s="286">
        <f t="shared" si="1407"/>
        <v>221</v>
      </c>
      <c r="L1189" s="431">
        <f t="shared" si="1408"/>
        <v>224</v>
      </c>
      <c r="M1189" s="332">
        <f t="shared" si="1409"/>
        <v>1</v>
      </c>
      <c r="N1189" s="432">
        <f t="shared" si="1410"/>
        <v>-3</v>
      </c>
      <c r="O1189" s="451">
        <f t="shared" si="1411"/>
        <v>-14</v>
      </c>
      <c r="P1189" s="433">
        <f t="shared" si="1412"/>
        <v>1</v>
      </c>
      <c r="Q1189" s="460">
        <f>WEEKNUM(tblResultadosNBA[[#This Row],[Fecha]],2)</f>
        <v>15</v>
      </c>
      <c r="R1189" s="460" t="str">
        <f>TEXT(tblResultadosNBA[[#This Row],[Fecha]],"mmm")</f>
        <v>abr</v>
      </c>
    </row>
    <row r="1190" spans="1:18">
      <c r="A1190" s="439">
        <v>46120</v>
      </c>
      <c r="B1190" s="422" t="s">
        <v>573</v>
      </c>
      <c r="C1190" s="341" t="str">
        <f>LEFT(B1190,FIND("@",B1190)-2)</f>
        <v>Atlanta Hawks</v>
      </c>
      <c r="D1190" s="341">
        <v>117</v>
      </c>
      <c r="E1190" s="342">
        <v>116</v>
      </c>
      <c r="F1190" s="333">
        <f>IF(E1190&gt;D1190, 1, 0)</f>
        <v>0</v>
      </c>
      <c r="G1190" s="341" t="str">
        <f>MID(B1190,FIND("@",B1190)+2,LEN(B1190)-FIND("@",B1190)-1)</f>
        <v>Cleveland Cavaliers</v>
      </c>
      <c r="H1190" s="341">
        <v>120</v>
      </c>
      <c r="I1190" s="342">
        <v>122</v>
      </c>
      <c r="J1190" s="333">
        <f>IF(I1190&gt;H1190, 1, 0)</f>
        <v>1</v>
      </c>
      <c r="K1190" s="341">
        <f>+D1190+H1190</f>
        <v>237</v>
      </c>
      <c r="L1190" s="342">
        <f>E1190+I1190</f>
        <v>238</v>
      </c>
      <c r="M1190" s="333">
        <f>IF(L1190&gt;K1190, 1, 0)</f>
        <v>1</v>
      </c>
      <c r="N1190" s="343">
        <f>(+H1190-D1190)</f>
        <v>3</v>
      </c>
      <c r="O1190" s="449">
        <f>I1190-E1190</f>
        <v>6</v>
      </c>
      <c r="P1190" s="289">
        <f>IF(OR(AND(N1190&gt;0,O1190&gt;0),AND(N1190&lt;0,O1190&lt;0)),1,0)</f>
        <v>1</v>
      </c>
      <c r="Q1190" s="460">
        <f>WEEKNUM(tblResultadosNBA[[#This Row],[Fecha]],2)</f>
        <v>15</v>
      </c>
      <c r="R1190" s="460" t="str">
        <f>TEXT(tblResultadosNBA[[#This Row],[Fecha]],"mmm")</f>
        <v>abr</v>
      </c>
    </row>
    <row r="1191" spans="1:18">
      <c r="A1191" s="419">
        <v>46120</v>
      </c>
      <c r="B1191" s="302" t="s">
        <v>574</v>
      </c>
      <c r="C1191" s="177" t="str">
        <f t="shared" ref="C1191:C1196" si="1413">LEFT(B1191,FIND("@",B1191)-2)</f>
        <v>Minnesota Timberwolves</v>
      </c>
      <c r="D1191" s="177">
        <v>116</v>
      </c>
      <c r="E1191" s="336">
        <v>120</v>
      </c>
      <c r="F1191" s="327">
        <f t="shared" ref="F1191:F1196" si="1414">IF(E1191&gt;D1191, 1, 0)</f>
        <v>1</v>
      </c>
      <c r="G1191" s="177" t="str">
        <f t="shared" ref="G1191:G1196" si="1415">MID(B1191,FIND("@",B1191)+2,LEN(B1191)-FIND("@",B1191)-1)</f>
        <v>Orlando Magic</v>
      </c>
      <c r="H1191" s="177">
        <v>114</v>
      </c>
      <c r="I1191" s="336">
        <v>132</v>
      </c>
      <c r="J1191" s="327">
        <f t="shared" ref="J1191:J1196" si="1416">IF(I1191&gt;H1191, 1, 0)</f>
        <v>1</v>
      </c>
      <c r="K1191" s="177">
        <f t="shared" ref="K1191:K1196" si="1417">+D1191+H1191</f>
        <v>230</v>
      </c>
      <c r="L1191" s="336">
        <f t="shared" ref="L1191:L1196" si="1418">E1191+I1191</f>
        <v>252</v>
      </c>
      <c r="M1191" s="327">
        <f t="shared" ref="M1191:M1196" si="1419">IF(L1191&gt;K1191, 1, 0)</f>
        <v>1</v>
      </c>
      <c r="N1191" s="337">
        <f t="shared" ref="N1191:N1196" si="1420">(+H1191-D1191)</f>
        <v>-2</v>
      </c>
      <c r="O1191" s="395">
        <f t="shared" ref="O1191:O1196" si="1421">I1191-E1191</f>
        <v>12</v>
      </c>
      <c r="P1191" s="289">
        <f t="shared" ref="P1191:P1196" si="1422">IF(OR(AND(N1191&gt;0,O1191&gt;0),AND(N1191&lt;0,O1191&lt;0)),1,0)</f>
        <v>0</v>
      </c>
      <c r="Q1191" s="460">
        <f>WEEKNUM(tblResultadosNBA[[#This Row],[Fecha]],2)</f>
        <v>15</v>
      </c>
      <c r="R1191" s="460" t="str">
        <f>TEXT(tblResultadosNBA[[#This Row],[Fecha]],"mmm")</f>
        <v>abr</v>
      </c>
    </row>
    <row r="1192" spans="1:18">
      <c r="A1192" s="419">
        <v>46120</v>
      </c>
      <c r="B1192" s="302" t="s">
        <v>157</v>
      </c>
      <c r="C1192" s="177" t="str">
        <f t="shared" si="1413"/>
        <v>Milwaukee Bucks</v>
      </c>
      <c r="D1192" s="177">
        <v>113</v>
      </c>
      <c r="E1192" s="336">
        <v>111</v>
      </c>
      <c r="F1192" s="327">
        <f t="shared" si="1414"/>
        <v>0</v>
      </c>
      <c r="G1192" s="177" t="str">
        <f t="shared" si="1415"/>
        <v>Detroit Pistons</v>
      </c>
      <c r="H1192" s="177">
        <v>116</v>
      </c>
      <c r="I1192" s="336">
        <v>137</v>
      </c>
      <c r="J1192" s="327">
        <f t="shared" si="1416"/>
        <v>1</v>
      </c>
      <c r="K1192" s="177">
        <f t="shared" si="1417"/>
        <v>229</v>
      </c>
      <c r="L1192" s="336">
        <f t="shared" si="1418"/>
        <v>248</v>
      </c>
      <c r="M1192" s="327">
        <f t="shared" si="1419"/>
        <v>1</v>
      </c>
      <c r="N1192" s="337">
        <f t="shared" si="1420"/>
        <v>3</v>
      </c>
      <c r="O1192" s="395">
        <f t="shared" si="1421"/>
        <v>26</v>
      </c>
      <c r="P1192" s="289">
        <f t="shared" si="1422"/>
        <v>1</v>
      </c>
      <c r="Q1192" s="460">
        <f>WEEKNUM(tblResultadosNBA[[#This Row],[Fecha]],2)</f>
        <v>15</v>
      </c>
      <c r="R1192" s="460" t="str">
        <f>TEXT(tblResultadosNBA[[#This Row],[Fecha]],"mmm")</f>
        <v>abr</v>
      </c>
    </row>
    <row r="1193" spans="1:18">
      <c r="A1193" s="419">
        <v>46120</v>
      </c>
      <c r="B1193" s="302" t="s">
        <v>365</v>
      </c>
      <c r="C1193" s="177" t="str">
        <f t="shared" si="1413"/>
        <v>Memphis Grizzlies</v>
      </c>
      <c r="D1193" s="177">
        <v>113</v>
      </c>
      <c r="E1193" s="336">
        <v>119</v>
      </c>
      <c r="F1193" s="327">
        <f t="shared" si="1414"/>
        <v>1</v>
      </c>
      <c r="G1193" s="177" t="str">
        <f t="shared" si="1415"/>
        <v>Denver Nuggets</v>
      </c>
      <c r="H1193" s="177">
        <v>119</v>
      </c>
      <c r="I1193" s="336">
        <v>136</v>
      </c>
      <c r="J1193" s="327">
        <f t="shared" si="1416"/>
        <v>1</v>
      </c>
      <c r="K1193" s="177">
        <f t="shared" si="1417"/>
        <v>232</v>
      </c>
      <c r="L1193" s="336">
        <f t="shared" si="1418"/>
        <v>255</v>
      </c>
      <c r="M1193" s="327">
        <f t="shared" si="1419"/>
        <v>1</v>
      </c>
      <c r="N1193" s="337">
        <f t="shared" si="1420"/>
        <v>6</v>
      </c>
      <c r="O1193" s="395">
        <f t="shared" si="1421"/>
        <v>17</v>
      </c>
      <c r="P1193" s="289">
        <f t="shared" si="1422"/>
        <v>1</v>
      </c>
      <c r="Q1193" s="460">
        <f>WEEKNUM(tblResultadosNBA[[#This Row],[Fecha]],2)</f>
        <v>15</v>
      </c>
      <c r="R1193" s="460" t="str">
        <f>TEXT(tblResultadosNBA[[#This Row],[Fecha]],"mmm")</f>
        <v>abr</v>
      </c>
    </row>
    <row r="1194" spans="1:18">
      <c r="A1194" s="419">
        <v>46120</v>
      </c>
      <c r="B1194" s="302" t="s">
        <v>262</v>
      </c>
      <c r="C1194" s="177" t="str">
        <f t="shared" si="1413"/>
        <v>Portland Trail Blazers</v>
      </c>
      <c r="D1194" s="177">
        <v>115</v>
      </c>
      <c r="E1194" s="336">
        <v>101</v>
      </c>
      <c r="F1194" s="327">
        <f t="shared" si="1414"/>
        <v>0</v>
      </c>
      <c r="G1194" s="177" t="str">
        <f t="shared" si="1415"/>
        <v>San Antonio Spurs</v>
      </c>
      <c r="H1194" s="177">
        <v>121</v>
      </c>
      <c r="I1194" s="336">
        <v>112</v>
      </c>
      <c r="J1194" s="327">
        <f t="shared" si="1416"/>
        <v>0</v>
      </c>
      <c r="K1194" s="177">
        <f t="shared" si="1417"/>
        <v>236</v>
      </c>
      <c r="L1194" s="336">
        <f t="shared" si="1418"/>
        <v>213</v>
      </c>
      <c r="M1194" s="327">
        <f t="shared" si="1419"/>
        <v>0</v>
      </c>
      <c r="N1194" s="337">
        <f t="shared" si="1420"/>
        <v>6</v>
      </c>
      <c r="O1194" s="395">
        <f t="shared" si="1421"/>
        <v>11</v>
      </c>
      <c r="P1194" s="289">
        <f t="shared" si="1422"/>
        <v>1</v>
      </c>
      <c r="Q1194" s="460">
        <f>WEEKNUM(tblResultadosNBA[[#This Row],[Fecha]],2)</f>
        <v>15</v>
      </c>
      <c r="R1194" s="460" t="str">
        <f>TEXT(tblResultadosNBA[[#This Row],[Fecha]],"mmm")</f>
        <v>abr</v>
      </c>
    </row>
    <row r="1195" spans="1:18">
      <c r="A1195" s="419">
        <v>46120</v>
      </c>
      <c r="B1195" s="302" t="s">
        <v>575</v>
      </c>
      <c r="C1195" s="177" t="str">
        <f t="shared" si="1413"/>
        <v>Oklahoma City Thunder</v>
      </c>
      <c r="D1195" s="177">
        <v>113</v>
      </c>
      <c r="E1195" s="336">
        <v>128</v>
      </c>
      <c r="F1195" s="327">
        <f t="shared" si="1414"/>
        <v>1</v>
      </c>
      <c r="G1195" s="177" t="str">
        <f t="shared" si="1415"/>
        <v>LA Clippers</v>
      </c>
      <c r="H1195" s="177">
        <v>111</v>
      </c>
      <c r="I1195" s="336">
        <v>110</v>
      </c>
      <c r="J1195" s="327">
        <f t="shared" si="1416"/>
        <v>0</v>
      </c>
      <c r="K1195" s="177">
        <f t="shared" si="1417"/>
        <v>224</v>
      </c>
      <c r="L1195" s="336">
        <f t="shared" si="1418"/>
        <v>238</v>
      </c>
      <c r="M1195" s="327">
        <f t="shared" si="1419"/>
        <v>1</v>
      </c>
      <c r="N1195" s="337">
        <f t="shared" si="1420"/>
        <v>-2</v>
      </c>
      <c r="O1195" s="395">
        <f t="shared" si="1421"/>
        <v>-18</v>
      </c>
      <c r="P1195" s="289">
        <f t="shared" si="1422"/>
        <v>1</v>
      </c>
      <c r="Q1195" s="460">
        <f>WEEKNUM(tblResultadosNBA[[#This Row],[Fecha]],2)</f>
        <v>15</v>
      </c>
      <c r="R1195" s="460" t="str">
        <f>TEXT(tblResultadosNBA[[#This Row],[Fecha]],"mmm")</f>
        <v>abr</v>
      </c>
    </row>
    <row r="1196" spans="1:18" ht="15.75" thickBot="1">
      <c r="A1196" s="445">
        <v>46120</v>
      </c>
      <c r="B1196" s="331" t="s">
        <v>358</v>
      </c>
      <c r="C1196" s="286" t="str">
        <f t="shared" si="1413"/>
        <v>Dallas Mavericks</v>
      </c>
      <c r="D1196" s="286">
        <v>110</v>
      </c>
      <c r="E1196" s="431">
        <v>107</v>
      </c>
      <c r="F1196" s="332">
        <f t="shared" si="1414"/>
        <v>0</v>
      </c>
      <c r="G1196" s="286" t="str">
        <f t="shared" si="1415"/>
        <v>Phoenix Suns</v>
      </c>
      <c r="H1196" s="286">
        <v>115</v>
      </c>
      <c r="I1196" s="431">
        <v>112</v>
      </c>
      <c r="J1196" s="332">
        <f t="shared" si="1416"/>
        <v>0</v>
      </c>
      <c r="K1196" s="286">
        <f t="shared" si="1417"/>
        <v>225</v>
      </c>
      <c r="L1196" s="431">
        <f t="shared" si="1418"/>
        <v>219</v>
      </c>
      <c r="M1196" s="332">
        <f t="shared" si="1419"/>
        <v>0</v>
      </c>
      <c r="N1196" s="432">
        <f t="shared" si="1420"/>
        <v>5</v>
      </c>
      <c r="O1196" s="451">
        <f t="shared" si="1421"/>
        <v>5</v>
      </c>
      <c r="P1196" s="433">
        <f t="shared" si="1422"/>
        <v>1</v>
      </c>
      <c r="Q1196" s="460">
        <f>WEEKNUM(tblResultadosNBA[[#This Row],[Fecha]],2)</f>
        <v>15</v>
      </c>
      <c r="R1196" s="460" t="str">
        <f>TEXT(tblResultadosNBA[[#This Row],[Fecha]],"mmm")</f>
        <v>abr</v>
      </c>
    </row>
    <row r="1197" spans="1:18">
      <c r="A1197" s="439">
        <v>46121</v>
      </c>
      <c r="B1197" s="422" t="s">
        <v>568</v>
      </c>
      <c r="C1197" s="341" t="str">
        <f>LEFT(B1197,FIND("@",B1197)-2)</f>
        <v>Miami Heat</v>
      </c>
      <c r="D1197" s="341">
        <v>112</v>
      </c>
      <c r="E1197" s="342">
        <v>114</v>
      </c>
      <c r="F1197" s="333">
        <f>IF(E1197&gt;D1197, 1, 0)</f>
        <v>1</v>
      </c>
      <c r="G1197" s="341" t="str">
        <f>MID(B1197,FIND("@",B1197)+2,LEN(B1197)-FIND("@",B1197)-1)</f>
        <v>Toronto Raptors</v>
      </c>
      <c r="H1197" s="341">
        <v>114</v>
      </c>
      <c r="I1197" s="342">
        <v>128</v>
      </c>
      <c r="J1197" s="333">
        <f>IF(I1197&gt;H1197, 1, 0)</f>
        <v>1</v>
      </c>
      <c r="K1197" s="341">
        <f>+D1197+H1197</f>
        <v>226</v>
      </c>
      <c r="L1197" s="342">
        <f>E1197+I1197</f>
        <v>242</v>
      </c>
      <c r="M1197" s="333">
        <f>IF(L1197&gt;K1197, 1, 0)</f>
        <v>1</v>
      </c>
      <c r="N1197" s="343">
        <f>(+H1197-D1197)</f>
        <v>2</v>
      </c>
      <c r="O1197" s="449">
        <f>I1197-E1197</f>
        <v>14</v>
      </c>
      <c r="P1197">
        <f>IF(OR(AND(N1197&gt;0,O1197&gt;0),AND(N1197&lt;0,O1197&lt;0)),1,0)</f>
        <v>1</v>
      </c>
      <c r="Q1197" s="416">
        <f>WEEKNUM(tblResultadosNBA[[#This Row],[Fecha]],2)</f>
        <v>15</v>
      </c>
      <c r="R1197" s="416" t="str">
        <f>TEXT(tblResultadosNBA[[#This Row],[Fecha]],"mmm")</f>
        <v>abr</v>
      </c>
    </row>
    <row r="1198" spans="1:18">
      <c r="A1198" s="419">
        <v>46121</v>
      </c>
      <c r="B1198" s="302" t="s">
        <v>566</v>
      </c>
      <c r="C1198" s="177" t="str">
        <f>LEFT(B1198,FIND("@",B1198)-2)</f>
        <v>Chicago Bulls</v>
      </c>
      <c r="D1198" s="177">
        <v>117</v>
      </c>
      <c r="E1198" s="336">
        <v>119</v>
      </c>
      <c r="F1198" s="327">
        <f>IF(E1198&gt;D1198, 1, 0)</f>
        <v>1</v>
      </c>
      <c r="G1198" s="177" t="str">
        <f>MID(B1198,FIND("@",B1198)+2,LEN(B1198)-FIND("@",B1198)-1)</f>
        <v>Washington Wizards</v>
      </c>
      <c r="H1198" s="177">
        <v>117</v>
      </c>
      <c r="I1198" s="336">
        <v>108</v>
      </c>
      <c r="J1198" s="327">
        <f>IF(I1198&gt;H1198, 1, 0)</f>
        <v>0</v>
      </c>
      <c r="K1198" s="177">
        <f>+D1198+H1198</f>
        <v>234</v>
      </c>
      <c r="L1198" s="336">
        <f>E1198+I1198</f>
        <v>227</v>
      </c>
      <c r="M1198" s="327">
        <f>IF(L1198&gt;K1198, 1, 0)</f>
        <v>0</v>
      </c>
      <c r="N1198" s="337">
        <f>(+H1198-D1198)</f>
        <v>0</v>
      </c>
      <c r="O1198" s="395">
        <f>I1198-E1198</f>
        <v>-11</v>
      </c>
      <c r="P1198">
        <f>IF(OR(AND(N1198&gt;0,O1198&gt;0),AND(N1198&lt;0,O1198&lt;0)),1,0)</f>
        <v>0</v>
      </c>
      <c r="Q1198" s="416">
        <f>WEEKNUM(tblResultadosNBA[[#This Row],[Fecha]],2)</f>
        <v>15</v>
      </c>
      <c r="R1198" s="416" t="str">
        <f>TEXT(tblResultadosNBA[[#This Row],[Fecha]],"mmm")</f>
        <v>abr</v>
      </c>
    </row>
    <row r="1199" spans="1:18">
      <c r="A1199" s="419">
        <v>46121</v>
      </c>
      <c r="B1199" s="302" t="s">
        <v>361</v>
      </c>
      <c r="C1199" s="177" t="str">
        <f>LEFT(B1199,FIND("@",B1199)-2)</f>
        <v>Indiana Pacers</v>
      </c>
      <c r="D1199" s="177">
        <v>113</v>
      </c>
      <c r="E1199" s="336">
        <v>123</v>
      </c>
      <c r="F1199" s="327">
        <f>IF(E1199&gt;D1199, 1, 0)</f>
        <v>1</v>
      </c>
      <c r="G1199" s="177" t="str">
        <f>MID(B1199,FIND("@",B1199)+2,LEN(B1199)-FIND("@",B1199)-1)</f>
        <v>Brooklyn Nets</v>
      </c>
      <c r="H1199" s="177">
        <v>114</v>
      </c>
      <c r="I1199" s="336">
        <v>94</v>
      </c>
      <c r="J1199" s="327">
        <f>IF(I1199&gt;H1199, 1, 0)</f>
        <v>0</v>
      </c>
      <c r="K1199" s="177">
        <f>+D1199+H1199</f>
        <v>227</v>
      </c>
      <c r="L1199" s="336">
        <f>E1199+I1199</f>
        <v>217</v>
      </c>
      <c r="M1199" s="327">
        <f>IF(L1199&gt;K1199, 1, 0)</f>
        <v>0</v>
      </c>
      <c r="N1199" s="337">
        <f>(+H1199-D1199)</f>
        <v>1</v>
      </c>
      <c r="O1199" s="395">
        <f>I1199-E1199</f>
        <v>-29</v>
      </c>
      <c r="P1199">
        <f>IF(OR(AND(N1199&gt;0,O1199&gt;0),AND(N1199&lt;0,O1199&lt;0)),1,0)</f>
        <v>0</v>
      </c>
      <c r="Q1199" s="416">
        <f>WEEKNUM(tblResultadosNBA[[#This Row],[Fecha]],2)</f>
        <v>15</v>
      </c>
      <c r="R1199" s="416" t="str">
        <f>TEXT(tblResultadosNBA[[#This Row],[Fecha]],"mmm")</f>
        <v>abr</v>
      </c>
    </row>
    <row r="1200" spans="1:18">
      <c r="A1200" s="419">
        <v>46121</v>
      </c>
      <c r="B1200" s="302" t="s">
        <v>576</v>
      </c>
      <c r="C1200" s="177" t="str">
        <f>LEFT(B1200,FIND("@",B1200)-2)</f>
        <v>Boston Celtics</v>
      </c>
      <c r="D1200" s="177">
        <v>113</v>
      </c>
      <c r="E1200" s="336">
        <v>106</v>
      </c>
      <c r="F1200" s="327">
        <f>IF(E1200&gt;D1200, 1, 0)</f>
        <v>0</v>
      </c>
      <c r="G1200" s="177" t="str">
        <f>MID(B1200,FIND("@",B1200)+2,LEN(B1200)-FIND("@",B1200)-1)</f>
        <v>New York Knicks</v>
      </c>
      <c r="H1200" s="177">
        <v>108</v>
      </c>
      <c r="I1200" s="336">
        <v>112</v>
      </c>
      <c r="J1200" s="327">
        <f>IF(I1200&gt;H1200, 1, 0)</f>
        <v>1</v>
      </c>
      <c r="K1200" s="177">
        <f>+D1200+H1200</f>
        <v>221</v>
      </c>
      <c r="L1200" s="336">
        <f>E1200+I1200</f>
        <v>218</v>
      </c>
      <c r="M1200" s="327">
        <f>IF(L1200&gt;K1200, 1, 0)</f>
        <v>0</v>
      </c>
      <c r="N1200" s="337">
        <f>(+H1200-D1200)</f>
        <v>-5</v>
      </c>
      <c r="O1200" s="395">
        <f>I1200-E1200</f>
        <v>6</v>
      </c>
      <c r="P1200">
        <f>IF(OR(AND(N1200&gt;0,O1200&gt;0),AND(N1200&lt;0,O1200&lt;0)),1,0)</f>
        <v>0</v>
      </c>
      <c r="Q1200" s="416">
        <f>WEEKNUM(tblResultadosNBA[[#This Row],[Fecha]],2)</f>
        <v>15</v>
      </c>
      <c r="R1200" s="416" t="str">
        <f>TEXT(tblResultadosNBA[[#This Row],[Fecha]],"mmm")</f>
        <v>abr</v>
      </c>
    </row>
    <row r="1201" spans="1:18">
      <c r="A1201" s="419">
        <v>46121</v>
      </c>
      <c r="B1201" s="302" t="s">
        <v>577</v>
      </c>
      <c r="C1201" s="177" t="str">
        <f>LEFT(B1201,FIND("@",B1201)-2)</f>
        <v>Philadelphia 76ers</v>
      </c>
      <c r="D1201" s="177">
        <v>114</v>
      </c>
      <c r="E1201" s="336">
        <v>102</v>
      </c>
      <c r="F1201" s="327">
        <f>IF(E1201&gt;D1201, 1, 0)</f>
        <v>0</v>
      </c>
      <c r="G1201" s="177" t="str">
        <f>MID(B1201,FIND("@",B1201)+2,LEN(B1201)-FIND("@",B1201)-1)</f>
        <v>Houston Rockets</v>
      </c>
      <c r="H1201" s="177">
        <v>116</v>
      </c>
      <c r="I1201" s="336">
        <v>113</v>
      </c>
      <c r="J1201" s="327">
        <f>IF(I1201&gt;H1201, 1, 0)</f>
        <v>0</v>
      </c>
      <c r="K1201" s="177">
        <f>+D1201+H1201</f>
        <v>230</v>
      </c>
      <c r="L1201" s="336">
        <f>E1201+I1201</f>
        <v>215</v>
      </c>
      <c r="M1201" s="327">
        <f>IF(L1201&gt;K1201, 1, 0)</f>
        <v>0</v>
      </c>
      <c r="N1201" s="337">
        <f>(+H1201-D1201)</f>
        <v>2</v>
      </c>
      <c r="O1201" s="395">
        <f>I1201-E1201</f>
        <v>11</v>
      </c>
      <c r="P1201">
        <f>IF(OR(AND(N1201&gt;0,O1201&gt;0),AND(N1201&lt;0,O1201&lt;0)),1,0)</f>
        <v>1</v>
      </c>
      <c r="Q1201" s="416">
        <f>WEEKNUM(tblResultadosNBA[[#This Row],[Fecha]],2)</f>
        <v>15</v>
      </c>
      <c r="R1201" s="416" t="str">
        <f>TEXT(tblResultadosNBA[[#This Row],[Fecha]],"mmm")</f>
        <v>abr</v>
      </c>
    </row>
    <row r="1202" spans="1:18">
      <c r="A1202" s="445">
        <v>46121</v>
      </c>
      <c r="B1202" s="331" t="s">
        <v>578</v>
      </c>
      <c r="C1202" s="286" t="str">
        <f>LEFT(B1202,FIND("@",B1202)-2)</f>
        <v>Los Angeles Lakers</v>
      </c>
      <c r="D1202" s="286">
        <v>113</v>
      </c>
      <c r="E1202" s="431">
        <v>119</v>
      </c>
      <c r="F1202" s="332">
        <f>IF(E1202&gt;D1202, 1, 0)</f>
        <v>1</v>
      </c>
      <c r="G1202" s="286" t="str">
        <f>MID(B1202,FIND("@",B1202)+2,LEN(B1202)-FIND("@",B1202)-1)</f>
        <v>Golden State Warriors</v>
      </c>
      <c r="H1202" s="286">
        <v>116</v>
      </c>
      <c r="I1202" s="431">
        <v>103</v>
      </c>
      <c r="J1202" s="332">
        <f>IF(I1202&gt;H1202, 1, 0)</f>
        <v>0</v>
      </c>
      <c r="K1202" s="286">
        <f>+D1202+H1202</f>
        <v>229</v>
      </c>
      <c r="L1202" s="431">
        <f>E1202+I1202</f>
        <v>222</v>
      </c>
      <c r="M1202" s="332">
        <f>IF(L1202&gt;K1202, 1, 0)</f>
        <v>0</v>
      </c>
      <c r="N1202" s="432">
        <f>(+H1202-D1202)</f>
        <v>3</v>
      </c>
      <c r="O1202" s="451">
        <f>I1202-E1202</f>
        <v>-16</v>
      </c>
      <c r="P1202" s="433">
        <f>IF(OR(AND(N1202&gt;0,O1202&gt;0),AND(N1202&lt;0,O1202&lt;0)),1,0)</f>
        <v>0</v>
      </c>
      <c r="Q1202" s="416">
        <f>WEEKNUM(tblResultadosNBA[[#This Row],[Fecha]],2)</f>
        <v>15</v>
      </c>
      <c r="R1202" s="416" t="str">
        <f>TEXT(tblResultadosNBA[[#This Row],[Fecha]],"mmm")</f>
        <v>abr</v>
      </c>
    </row>
    <row r="1203" spans="1:18">
      <c r="A1203" s="439">
        <v>46122</v>
      </c>
      <c r="B1203" s="422" t="s">
        <v>579</v>
      </c>
      <c r="C1203" s="341" t="str">
        <f>LEFT(B1203,FIND("@",B1203)-2)</f>
        <v>Detroit Pistons</v>
      </c>
      <c r="D1203" s="341">
        <v>114</v>
      </c>
      <c r="E1203" s="342">
        <v>118</v>
      </c>
      <c r="F1203" s="333">
        <f>IF(E1203&gt;D1203, 1, 0)</f>
        <v>1</v>
      </c>
      <c r="G1203" s="341" t="str">
        <f>MID(B1203,FIND("@",B1203)+2,LEN(B1203)-FIND("@",B1203)-1)</f>
        <v>Charlotte Hornets</v>
      </c>
      <c r="H1203" s="341">
        <v>111</v>
      </c>
      <c r="I1203" s="342">
        <v>100</v>
      </c>
      <c r="J1203" s="333">
        <f>IF(I1203&gt;H1203, 1, 0)</f>
        <v>0</v>
      </c>
      <c r="K1203" s="341">
        <f>+D1203+H1203</f>
        <v>225</v>
      </c>
      <c r="L1203" s="342">
        <f>E1203+I1203</f>
        <v>218</v>
      </c>
      <c r="M1203" s="333">
        <f>IF(L1203&gt;K1203, 1, 0)</f>
        <v>0</v>
      </c>
      <c r="N1203" s="343">
        <f>(+H1203-D1203)</f>
        <v>-3</v>
      </c>
      <c r="O1203" s="449">
        <f>I1203-E1203</f>
        <v>-18</v>
      </c>
      <c r="P1203">
        <f>IF(OR(AND(N1203&gt;0,O1203&gt;0),AND(N1203&lt;0,O1203&lt;0)),1,0)</f>
        <v>1</v>
      </c>
      <c r="Q1203" s="416">
        <f>WEEKNUM(tblResultadosNBA[[#This Row],[Fecha]],2)</f>
        <v>15</v>
      </c>
      <c r="R1203" s="416" t="str">
        <f>TEXT(tblResultadosNBA[[#This Row],[Fecha]],"mmm")</f>
        <v>abr</v>
      </c>
    </row>
    <row r="1204" spans="1:18">
      <c r="A1204" s="419">
        <v>46122</v>
      </c>
      <c r="B1204" s="302" t="s">
        <v>350</v>
      </c>
      <c r="C1204" s="177" t="str">
        <f t="shared" ref="C1204:C1217" si="1423">LEFT(B1204,FIND("@",B1204)-2)</f>
        <v>Miami Heat</v>
      </c>
      <c r="D1204" s="177">
        <v>118</v>
      </c>
      <c r="E1204" s="336">
        <v>140</v>
      </c>
      <c r="F1204" s="327">
        <f t="shared" ref="F1204:F1217" si="1424">IF(E1204&gt;D1204, 1, 0)</f>
        <v>1</v>
      </c>
      <c r="G1204" s="177" t="str">
        <f t="shared" ref="G1204:G1217" si="1425">MID(B1204,FIND("@",B1204)+2,LEN(B1204)-FIND("@",B1204)-1)</f>
        <v>Washington Wizards</v>
      </c>
      <c r="H1204" s="177">
        <v>113</v>
      </c>
      <c r="I1204" s="336">
        <v>117</v>
      </c>
      <c r="J1204" s="327">
        <f t="shared" ref="J1204:J1217" si="1426">IF(I1204&gt;H1204, 1, 0)</f>
        <v>1</v>
      </c>
      <c r="K1204" s="177">
        <f t="shared" ref="K1204:K1217" si="1427">+D1204+H1204</f>
        <v>231</v>
      </c>
      <c r="L1204" s="336">
        <f t="shared" ref="L1204:L1217" si="1428">E1204+I1204</f>
        <v>257</v>
      </c>
      <c r="M1204" s="327">
        <f t="shared" ref="M1204:M1217" si="1429">IF(L1204&gt;K1204, 1, 0)</f>
        <v>1</v>
      </c>
      <c r="N1204" s="337">
        <f t="shared" ref="N1204:N1217" si="1430">(+H1204-D1204)</f>
        <v>-5</v>
      </c>
      <c r="O1204" s="395">
        <f t="shared" ref="O1204:O1217" si="1431">I1204-E1204</f>
        <v>-23</v>
      </c>
      <c r="P1204">
        <f t="shared" ref="P1204:P1217" si="1432">IF(OR(AND(N1204&gt;0,O1204&gt;0),AND(N1204&lt;0,O1204&lt;0)),1,0)</f>
        <v>1</v>
      </c>
      <c r="Q1204" s="416">
        <f>WEEKNUM(tblResultadosNBA[[#This Row],[Fecha]],2)</f>
        <v>15</v>
      </c>
      <c r="R1204" s="416" t="str">
        <f>TEXT(tblResultadosNBA[[#This Row],[Fecha]],"mmm")</f>
        <v>abr</v>
      </c>
    </row>
    <row r="1205" spans="1:18">
      <c r="A1205" s="419">
        <v>46122</v>
      </c>
      <c r="B1205" s="302" t="s">
        <v>111</v>
      </c>
      <c r="C1205" s="177" t="str">
        <f t="shared" si="1423"/>
        <v>Cleveland Cavaliers</v>
      </c>
      <c r="D1205" s="177">
        <v>117</v>
      </c>
      <c r="E1205" s="336">
        <v>102</v>
      </c>
      <c r="F1205" s="327">
        <f t="shared" si="1424"/>
        <v>0</v>
      </c>
      <c r="G1205" s="177" t="str">
        <f t="shared" si="1425"/>
        <v>Atlanta Hawks</v>
      </c>
      <c r="H1205" s="177">
        <v>118</v>
      </c>
      <c r="I1205" s="336">
        <v>124</v>
      </c>
      <c r="J1205" s="327">
        <f t="shared" si="1426"/>
        <v>1</v>
      </c>
      <c r="K1205" s="177">
        <f t="shared" si="1427"/>
        <v>235</v>
      </c>
      <c r="L1205" s="336">
        <f t="shared" si="1428"/>
        <v>226</v>
      </c>
      <c r="M1205" s="327">
        <f t="shared" si="1429"/>
        <v>0</v>
      </c>
      <c r="N1205" s="337">
        <f t="shared" si="1430"/>
        <v>1</v>
      </c>
      <c r="O1205" s="395">
        <f t="shared" si="1431"/>
        <v>22</v>
      </c>
      <c r="P1205">
        <f t="shared" si="1432"/>
        <v>1</v>
      </c>
      <c r="Q1205" s="416">
        <f>WEEKNUM(tblResultadosNBA[[#This Row],[Fecha]],2)</f>
        <v>15</v>
      </c>
      <c r="R1205" s="416" t="str">
        <f>TEXT(tblResultadosNBA[[#This Row],[Fecha]],"mmm")</f>
        <v>abr</v>
      </c>
    </row>
    <row r="1206" spans="1:18">
      <c r="A1206" s="419">
        <v>46122</v>
      </c>
      <c r="B1206" s="302" t="s">
        <v>580</v>
      </c>
      <c r="C1206" s="177" t="str">
        <f t="shared" si="1423"/>
        <v>New Orleans Pelicans</v>
      </c>
      <c r="D1206" s="177">
        <v>108</v>
      </c>
      <c r="E1206" s="336">
        <v>118</v>
      </c>
      <c r="F1206" s="327">
        <f t="shared" si="1424"/>
        <v>1</v>
      </c>
      <c r="G1206" s="177" t="str">
        <f t="shared" si="1425"/>
        <v>Boston Celtics</v>
      </c>
      <c r="H1206" s="177">
        <v>115</v>
      </c>
      <c r="I1206" s="336">
        <v>144</v>
      </c>
      <c r="J1206" s="327">
        <f t="shared" si="1426"/>
        <v>1</v>
      </c>
      <c r="K1206" s="177">
        <f t="shared" si="1427"/>
        <v>223</v>
      </c>
      <c r="L1206" s="336">
        <f t="shared" si="1428"/>
        <v>262</v>
      </c>
      <c r="M1206" s="327">
        <f t="shared" si="1429"/>
        <v>1</v>
      </c>
      <c r="N1206" s="337">
        <f t="shared" si="1430"/>
        <v>7</v>
      </c>
      <c r="O1206" s="395">
        <f t="shared" si="1431"/>
        <v>26</v>
      </c>
      <c r="P1206">
        <f t="shared" si="1432"/>
        <v>1</v>
      </c>
      <c r="Q1206" s="416">
        <f>WEEKNUM(tblResultadosNBA[[#This Row],[Fecha]],2)</f>
        <v>15</v>
      </c>
      <c r="R1206" s="416" t="str">
        <f>TEXT(tblResultadosNBA[[#This Row],[Fecha]],"mmm")</f>
        <v>abr</v>
      </c>
    </row>
    <row r="1207" spans="1:18">
      <c r="A1207" s="419">
        <v>46122</v>
      </c>
      <c r="B1207" s="302" t="s">
        <v>392</v>
      </c>
      <c r="C1207" s="177" t="str">
        <f t="shared" si="1423"/>
        <v>Philadelphia 76ers</v>
      </c>
      <c r="D1207" s="177">
        <v>114</v>
      </c>
      <c r="E1207" s="336">
        <v>105</v>
      </c>
      <c r="F1207" s="327">
        <f t="shared" si="1424"/>
        <v>0</v>
      </c>
      <c r="G1207" s="177" t="str">
        <f t="shared" si="1425"/>
        <v>Indiana Pacers</v>
      </c>
      <c r="H1207" s="177">
        <v>113</v>
      </c>
      <c r="I1207" s="336">
        <v>94</v>
      </c>
      <c r="J1207" s="327">
        <f t="shared" si="1426"/>
        <v>0</v>
      </c>
      <c r="K1207" s="177">
        <f t="shared" si="1427"/>
        <v>227</v>
      </c>
      <c r="L1207" s="336">
        <f t="shared" si="1428"/>
        <v>199</v>
      </c>
      <c r="M1207" s="327">
        <f t="shared" si="1429"/>
        <v>0</v>
      </c>
      <c r="N1207" s="337">
        <f t="shared" si="1430"/>
        <v>-1</v>
      </c>
      <c r="O1207" s="395">
        <f t="shared" si="1431"/>
        <v>-11</v>
      </c>
      <c r="P1207">
        <f t="shared" si="1432"/>
        <v>1</v>
      </c>
      <c r="Q1207" s="416">
        <f>WEEKNUM(tblResultadosNBA[[#This Row],[Fecha]],2)</f>
        <v>15</v>
      </c>
      <c r="R1207" s="416" t="str">
        <f>TEXT(tblResultadosNBA[[#This Row],[Fecha]],"mmm")</f>
        <v>abr</v>
      </c>
    </row>
    <row r="1208" spans="1:18">
      <c r="A1208" s="419">
        <v>46122</v>
      </c>
      <c r="B1208" s="302" t="s">
        <v>783</v>
      </c>
      <c r="C1208" s="177" t="str">
        <f t="shared" si="1423"/>
        <v>Toronto Raptors</v>
      </c>
      <c r="D1208" s="177">
        <v>112</v>
      </c>
      <c r="E1208" s="336">
        <v>95</v>
      </c>
      <c r="F1208" s="327">
        <f t="shared" si="1424"/>
        <v>0</v>
      </c>
      <c r="G1208" s="177" t="str">
        <f t="shared" si="1425"/>
        <v>New York Knicks</v>
      </c>
      <c r="H1208" s="177">
        <v>114</v>
      </c>
      <c r="I1208" s="336">
        <v>112</v>
      </c>
      <c r="J1208" s="327">
        <f t="shared" si="1426"/>
        <v>0</v>
      </c>
      <c r="K1208" s="177">
        <f t="shared" si="1427"/>
        <v>226</v>
      </c>
      <c r="L1208" s="336">
        <f t="shared" si="1428"/>
        <v>207</v>
      </c>
      <c r="M1208" s="327">
        <f t="shared" si="1429"/>
        <v>0</v>
      </c>
      <c r="N1208" s="337">
        <f t="shared" si="1430"/>
        <v>2</v>
      </c>
      <c r="O1208" s="395">
        <f t="shared" si="1431"/>
        <v>17</v>
      </c>
      <c r="P1208">
        <f t="shared" si="1432"/>
        <v>1</v>
      </c>
      <c r="Q1208" s="416">
        <f>WEEKNUM(tblResultadosNBA[[#This Row],[Fecha]],2)</f>
        <v>15</v>
      </c>
      <c r="R1208" s="416" t="str">
        <f>TEXT(tblResultadosNBA[[#This Row],[Fecha]],"mmm")</f>
        <v>abr</v>
      </c>
    </row>
    <row r="1209" spans="1:18">
      <c r="A1209" s="419">
        <v>46122</v>
      </c>
      <c r="B1209" s="302" t="s">
        <v>581</v>
      </c>
      <c r="C1209" s="177" t="str">
        <f t="shared" si="1423"/>
        <v>Orlando Magic</v>
      </c>
      <c r="D1209" s="177">
        <v>114</v>
      </c>
      <c r="E1209" s="336">
        <v>127</v>
      </c>
      <c r="F1209" s="327">
        <f t="shared" si="1424"/>
        <v>1</v>
      </c>
      <c r="G1209" s="177" t="str">
        <f t="shared" si="1425"/>
        <v>Chicago Bulls</v>
      </c>
      <c r="H1209" s="177">
        <v>114</v>
      </c>
      <c r="I1209" s="336">
        <v>103</v>
      </c>
      <c r="J1209" s="327">
        <f t="shared" si="1426"/>
        <v>0</v>
      </c>
      <c r="K1209" s="177">
        <f t="shared" si="1427"/>
        <v>228</v>
      </c>
      <c r="L1209" s="336">
        <f t="shared" si="1428"/>
        <v>230</v>
      </c>
      <c r="M1209" s="327">
        <f t="shared" si="1429"/>
        <v>1</v>
      </c>
      <c r="N1209" s="337">
        <f t="shared" si="1430"/>
        <v>0</v>
      </c>
      <c r="O1209" s="395">
        <f t="shared" si="1431"/>
        <v>-24</v>
      </c>
      <c r="P1209">
        <f t="shared" si="1432"/>
        <v>0</v>
      </c>
      <c r="Q1209" s="416">
        <f>WEEKNUM(tblResultadosNBA[[#This Row],[Fecha]],2)</f>
        <v>15</v>
      </c>
      <c r="R1209" s="416" t="str">
        <f>TEXT(tblResultadosNBA[[#This Row],[Fecha]],"mmm")</f>
        <v>abr</v>
      </c>
    </row>
    <row r="1210" spans="1:18">
      <c r="A1210" s="419">
        <v>46122</v>
      </c>
      <c r="B1210" s="302" t="s">
        <v>119</v>
      </c>
      <c r="C1210" s="177" t="str">
        <f t="shared" si="1423"/>
        <v>Brooklyn Nets</v>
      </c>
      <c r="D1210" s="177">
        <v>106</v>
      </c>
      <c r="E1210" s="336">
        <v>108</v>
      </c>
      <c r="F1210" s="327">
        <f t="shared" si="1424"/>
        <v>1</v>
      </c>
      <c r="G1210" s="177" t="str">
        <f t="shared" si="1425"/>
        <v>Milwaukee Bucks</v>
      </c>
      <c r="H1210" s="177">
        <v>117</v>
      </c>
      <c r="I1210" s="336">
        <v>125</v>
      </c>
      <c r="J1210" s="327">
        <f t="shared" si="1426"/>
        <v>1</v>
      </c>
      <c r="K1210" s="177">
        <f t="shared" si="1427"/>
        <v>223</v>
      </c>
      <c r="L1210" s="336">
        <f t="shared" si="1428"/>
        <v>233</v>
      </c>
      <c r="M1210" s="327">
        <f t="shared" si="1429"/>
        <v>1</v>
      </c>
      <c r="N1210" s="337">
        <f t="shared" si="1430"/>
        <v>11</v>
      </c>
      <c r="O1210" s="395">
        <f t="shared" si="1431"/>
        <v>17</v>
      </c>
      <c r="P1210">
        <f t="shared" si="1432"/>
        <v>1</v>
      </c>
      <c r="Q1210" s="416">
        <f>WEEKNUM(tblResultadosNBA[[#This Row],[Fecha]],2)</f>
        <v>15</v>
      </c>
      <c r="R1210" s="416" t="str">
        <f>TEXT(tblResultadosNBA[[#This Row],[Fecha]],"mmm")</f>
        <v>abr</v>
      </c>
    </row>
    <row r="1211" spans="1:18">
      <c r="A1211" s="419">
        <v>46122</v>
      </c>
      <c r="B1211" s="302" t="s">
        <v>344</v>
      </c>
      <c r="C1211" s="177" t="str">
        <f t="shared" si="1423"/>
        <v>Dallas Mavericks</v>
      </c>
      <c r="D1211" s="177">
        <v>115</v>
      </c>
      <c r="E1211" s="336">
        <v>120</v>
      </c>
      <c r="F1211" s="327">
        <f t="shared" si="1424"/>
        <v>1</v>
      </c>
      <c r="G1211" s="177" t="str">
        <f t="shared" si="1425"/>
        <v>San Antonio Spurs</v>
      </c>
      <c r="H1211" s="177">
        <v>120</v>
      </c>
      <c r="I1211" s="336">
        <v>139</v>
      </c>
      <c r="J1211" s="327">
        <f t="shared" si="1426"/>
        <v>1</v>
      </c>
      <c r="K1211" s="177">
        <f t="shared" si="1427"/>
        <v>235</v>
      </c>
      <c r="L1211" s="336">
        <f t="shared" si="1428"/>
        <v>259</v>
      </c>
      <c r="M1211" s="327">
        <f t="shared" si="1429"/>
        <v>1</v>
      </c>
      <c r="N1211" s="337">
        <f t="shared" si="1430"/>
        <v>5</v>
      </c>
      <c r="O1211" s="395">
        <f t="shared" si="1431"/>
        <v>19</v>
      </c>
      <c r="P1211">
        <f t="shared" si="1432"/>
        <v>1</v>
      </c>
      <c r="Q1211" s="416">
        <f>WEEKNUM(tblResultadosNBA[[#This Row],[Fecha]],2)</f>
        <v>15</v>
      </c>
      <c r="R1211" s="416" t="str">
        <f>TEXT(tblResultadosNBA[[#This Row],[Fecha]],"mmm")</f>
        <v>abr</v>
      </c>
    </row>
    <row r="1212" spans="1:18">
      <c r="A1212" s="419">
        <v>46122</v>
      </c>
      <c r="B1212" s="302" t="s">
        <v>582</v>
      </c>
      <c r="C1212" s="177" t="str">
        <f t="shared" si="1423"/>
        <v>Oklahoma City Thunder</v>
      </c>
      <c r="D1212" s="177">
        <v>113</v>
      </c>
      <c r="E1212" s="336">
        <v>107</v>
      </c>
      <c r="F1212" s="327">
        <f t="shared" si="1424"/>
        <v>0</v>
      </c>
      <c r="G1212" s="177" t="str">
        <f t="shared" si="1425"/>
        <v>Denver Nuggets</v>
      </c>
      <c r="H1212" s="177">
        <v>117</v>
      </c>
      <c r="I1212" s="336">
        <v>127</v>
      </c>
      <c r="J1212" s="327">
        <f t="shared" si="1426"/>
        <v>1</v>
      </c>
      <c r="K1212" s="177">
        <f t="shared" si="1427"/>
        <v>230</v>
      </c>
      <c r="L1212" s="336">
        <f t="shared" si="1428"/>
        <v>234</v>
      </c>
      <c r="M1212" s="327">
        <f t="shared" si="1429"/>
        <v>1</v>
      </c>
      <c r="N1212" s="337">
        <f t="shared" si="1430"/>
        <v>4</v>
      </c>
      <c r="O1212" s="395">
        <f t="shared" si="1431"/>
        <v>20</v>
      </c>
      <c r="P1212">
        <f t="shared" si="1432"/>
        <v>1</v>
      </c>
      <c r="Q1212" s="416">
        <f>WEEKNUM(tblResultadosNBA[[#This Row],[Fecha]],2)</f>
        <v>15</v>
      </c>
      <c r="R1212" s="416" t="str">
        <f>TEXT(tblResultadosNBA[[#This Row],[Fecha]],"mmm")</f>
        <v>abr</v>
      </c>
    </row>
    <row r="1213" spans="1:18">
      <c r="A1213" s="419">
        <v>46122</v>
      </c>
      <c r="B1213" s="302" t="s">
        <v>583</v>
      </c>
      <c r="C1213" s="177" t="str">
        <f t="shared" si="1423"/>
        <v>Minnesota Timberwolves</v>
      </c>
      <c r="D1213" s="177">
        <v>115</v>
      </c>
      <c r="E1213" s="336">
        <v>136</v>
      </c>
      <c r="F1213" s="327">
        <f t="shared" si="1424"/>
        <v>1</v>
      </c>
      <c r="G1213" s="177" t="str">
        <f t="shared" si="1425"/>
        <v>Houston Rockets</v>
      </c>
      <c r="H1213" s="177">
        <v>117</v>
      </c>
      <c r="I1213" s="336">
        <v>132</v>
      </c>
      <c r="J1213" s="327">
        <f t="shared" si="1426"/>
        <v>1</v>
      </c>
      <c r="K1213" s="177">
        <f t="shared" si="1427"/>
        <v>232</v>
      </c>
      <c r="L1213" s="336">
        <f t="shared" si="1428"/>
        <v>268</v>
      </c>
      <c r="M1213" s="327">
        <f t="shared" si="1429"/>
        <v>1</v>
      </c>
      <c r="N1213" s="337">
        <f t="shared" si="1430"/>
        <v>2</v>
      </c>
      <c r="O1213" s="395">
        <f t="shared" si="1431"/>
        <v>-4</v>
      </c>
      <c r="P1213">
        <f t="shared" si="1432"/>
        <v>0</v>
      </c>
      <c r="Q1213" s="416">
        <f>WEEKNUM(tblResultadosNBA[[#This Row],[Fecha]],2)</f>
        <v>15</v>
      </c>
      <c r="R1213" s="416" t="str">
        <f>TEXT(tblResultadosNBA[[#This Row],[Fecha]],"mmm")</f>
        <v>abr</v>
      </c>
    </row>
    <row r="1214" spans="1:18">
      <c r="A1214" s="419">
        <v>46122</v>
      </c>
      <c r="B1214" s="302" t="s">
        <v>220</v>
      </c>
      <c r="C1214" s="177" t="str">
        <f t="shared" si="1423"/>
        <v>Memphis Grizzlies</v>
      </c>
      <c r="D1214" s="177">
        <v>117</v>
      </c>
      <c r="E1214" s="336">
        <v>101</v>
      </c>
      <c r="F1214" s="327">
        <f t="shared" si="1424"/>
        <v>0</v>
      </c>
      <c r="G1214" s="177" t="str">
        <f t="shared" si="1425"/>
        <v>Utah Jazz</v>
      </c>
      <c r="H1214" s="177">
        <v>119</v>
      </c>
      <c r="I1214" s="336">
        <v>147</v>
      </c>
      <c r="J1214" s="327">
        <f t="shared" si="1426"/>
        <v>1</v>
      </c>
      <c r="K1214" s="177">
        <f t="shared" si="1427"/>
        <v>236</v>
      </c>
      <c r="L1214" s="336">
        <f t="shared" si="1428"/>
        <v>248</v>
      </c>
      <c r="M1214" s="327">
        <f t="shared" si="1429"/>
        <v>1</v>
      </c>
      <c r="N1214" s="337">
        <f t="shared" si="1430"/>
        <v>2</v>
      </c>
      <c r="O1214" s="395">
        <f t="shared" si="1431"/>
        <v>46</v>
      </c>
      <c r="P1214">
        <f t="shared" si="1432"/>
        <v>1</v>
      </c>
      <c r="Q1214" s="416">
        <f>WEEKNUM(tblResultadosNBA[[#This Row],[Fecha]],2)</f>
        <v>15</v>
      </c>
      <c r="R1214" s="416" t="str">
        <f>TEXT(tblResultadosNBA[[#This Row],[Fecha]],"mmm")</f>
        <v>abr</v>
      </c>
    </row>
    <row r="1215" spans="1:18">
      <c r="A1215" s="419">
        <v>46122</v>
      </c>
      <c r="B1215" s="302" t="s">
        <v>232</v>
      </c>
      <c r="C1215" s="177" t="str">
        <f t="shared" si="1423"/>
        <v>LA Clippers</v>
      </c>
      <c r="D1215" s="177">
        <v>116</v>
      </c>
      <c r="E1215" s="336">
        <v>97</v>
      </c>
      <c r="F1215" s="327">
        <f t="shared" si="1424"/>
        <v>0</v>
      </c>
      <c r="G1215" s="177" t="str">
        <f t="shared" si="1425"/>
        <v>Portland Trail Blazers</v>
      </c>
      <c r="H1215" s="177">
        <v>114</v>
      </c>
      <c r="I1215" s="336">
        <v>116</v>
      </c>
      <c r="J1215" s="327">
        <f t="shared" si="1426"/>
        <v>1</v>
      </c>
      <c r="K1215" s="177">
        <f t="shared" si="1427"/>
        <v>230</v>
      </c>
      <c r="L1215" s="336">
        <f t="shared" si="1428"/>
        <v>213</v>
      </c>
      <c r="M1215" s="327">
        <f t="shared" si="1429"/>
        <v>0</v>
      </c>
      <c r="N1215" s="337">
        <f t="shared" si="1430"/>
        <v>-2</v>
      </c>
      <c r="O1215" s="395">
        <f t="shared" si="1431"/>
        <v>19</v>
      </c>
      <c r="P1215">
        <f t="shared" si="1432"/>
        <v>0</v>
      </c>
      <c r="Q1215" s="416">
        <f>WEEKNUM(tblResultadosNBA[[#This Row],[Fecha]],2)</f>
        <v>15</v>
      </c>
      <c r="R1215" s="416" t="str">
        <f>TEXT(tblResultadosNBA[[#This Row],[Fecha]],"mmm")</f>
        <v>abr</v>
      </c>
    </row>
    <row r="1216" spans="1:18">
      <c r="A1216" s="419">
        <v>46122</v>
      </c>
      <c r="B1216" s="302" t="s">
        <v>738</v>
      </c>
      <c r="C1216" s="177" t="str">
        <f t="shared" si="1423"/>
        <v>Golden State Warriors</v>
      </c>
      <c r="D1216" s="177">
        <v>118</v>
      </c>
      <c r="E1216" s="336">
        <v>118</v>
      </c>
      <c r="F1216" s="327">
        <f t="shared" si="1424"/>
        <v>0</v>
      </c>
      <c r="G1216" s="177" t="str">
        <f t="shared" si="1425"/>
        <v>Sacramento Kings</v>
      </c>
      <c r="H1216" s="177">
        <v>115</v>
      </c>
      <c r="I1216" s="336">
        <v>124</v>
      </c>
      <c r="J1216" s="327">
        <f t="shared" si="1426"/>
        <v>1</v>
      </c>
      <c r="K1216" s="177">
        <f t="shared" si="1427"/>
        <v>233</v>
      </c>
      <c r="L1216" s="336">
        <f t="shared" si="1428"/>
        <v>242</v>
      </c>
      <c r="M1216" s="327">
        <f t="shared" si="1429"/>
        <v>1</v>
      </c>
      <c r="N1216" s="337">
        <f t="shared" si="1430"/>
        <v>-3</v>
      </c>
      <c r="O1216" s="395">
        <f t="shared" si="1431"/>
        <v>6</v>
      </c>
      <c r="P1216">
        <f t="shared" si="1432"/>
        <v>0</v>
      </c>
      <c r="Q1216" s="416">
        <f>WEEKNUM(tblResultadosNBA[[#This Row],[Fecha]],2)</f>
        <v>15</v>
      </c>
      <c r="R1216" s="416" t="str">
        <f>TEXT(tblResultadosNBA[[#This Row],[Fecha]],"mmm")</f>
        <v>abr</v>
      </c>
    </row>
    <row r="1217" spans="1:18">
      <c r="A1217" s="445">
        <v>46122</v>
      </c>
      <c r="B1217" s="331" t="s">
        <v>131</v>
      </c>
      <c r="C1217" s="286" t="str">
        <f t="shared" si="1423"/>
        <v>Phoenix Suns</v>
      </c>
      <c r="D1217" s="286">
        <v>118</v>
      </c>
      <c r="E1217" s="431">
        <v>73</v>
      </c>
      <c r="F1217" s="332">
        <f t="shared" si="1424"/>
        <v>0</v>
      </c>
      <c r="G1217" s="286" t="str">
        <f t="shared" si="1425"/>
        <v>Los Angeles Lakers</v>
      </c>
      <c r="H1217" s="286">
        <v>116</v>
      </c>
      <c r="I1217" s="431">
        <v>101</v>
      </c>
      <c r="J1217" s="332">
        <f t="shared" si="1426"/>
        <v>0</v>
      </c>
      <c r="K1217" s="286">
        <f t="shared" si="1427"/>
        <v>234</v>
      </c>
      <c r="L1217" s="431">
        <f t="shared" si="1428"/>
        <v>174</v>
      </c>
      <c r="M1217" s="332">
        <f t="shared" si="1429"/>
        <v>0</v>
      </c>
      <c r="N1217" s="432">
        <f t="shared" si="1430"/>
        <v>-2</v>
      </c>
      <c r="O1217" s="451">
        <f t="shared" si="1431"/>
        <v>28</v>
      </c>
      <c r="P1217" s="433">
        <f t="shared" si="1432"/>
        <v>0</v>
      </c>
      <c r="Q1217" s="416">
        <f>WEEKNUM(tblResultadosNBA[[#This Row],[Fecha]],2)</f>
        <v>15</v>
      </c>
      <c r="R1217" s="416" t="str">
        <f>TEXT(tblResultadosNBA[[#This Row],[Fecha]],"mmm")</f>
        <v>abr</v>
      </c>
    </row>
    <row r="1218" spans="1:18">
      <c r="A1218" s="439">
        <v>46124</v>
      </c>
      <c r="B1218" s="422" t="s">
        <v>775</v>
      </c>
      <c r="C1218" s="341" t="str">
        <f>LEFT(B1218,FIND("@",B1218)-2)</f>
        <v>Orlando Magic</v>
      </c>
      <c r="D1218" s="341">
        <v>109</v>
      </c>
      <c r="E1218" s="342">
        <v>108</v>
      </c>
      <c r="F1218" s="333">
        <f>IF(E1218&gt;D1218, 1, 0)</f>
        <v>0</v>
      </c>
      <c r="G1218" s="341" t="str">
        <f>MID(B1218,FIND("@",B1218)+2,LEN(B1218)-FIND("@",B1218)-1)</f>
        <v>Boston Celtics</v>
      </c>
      <c r="H1218" s="341">
        <v>117</v>
      </c>
      <c r="I1218" s="342">
        <v>113</v>
      </c>
      <c r="J1218" s="333">
        <f>IF(I1218&gt;H1218, 1, 0)</f>
        <v>0</v>
      </c>
      <c r="K1218" s="341">
        <f>+D1218+H1218</f>
        <v>226</v>
      </c>
      <c r="L1218" s="342">
        <f>E1218+I1218</f>
        <v>221</v>
      </c>
      <c r="M1218" s="333">
        <f>IF(L1218&gt;K1218, 1, 0)</f>
        <v>0</v>
      </c>
      <c r="N1218" s="343">
        <f>(+H1218-D1218)</f>
        <v>8</v>
      </c>
      <c r="O1218" s="449">
        <f>I1218-E1218</f>
        <v>5</v>
      </c>
      <c r="P1218">
        <f>IF(OR(AND(N1218&gt;0,O1218&gt;0),AND(N1218&lt;0,O1218&lt;0)),1,0)</f>
        <v>1</v>
      </c>
      <c r="Q1218" s="416">
        <f>WEEKNUM(tblResultadosNBA[[#This Row],[Fecha]],2)</f>
        <v>15</v>
      </c>
      <c r="R1218" s="416" t="str">
        <f>TEXT(tblResultadosNBA[[#This Row],[Fecha]],"mmm")</f>
        <v>abr</v>
      </c>
    </row>
    <row r="1219" spans="1:18">
      <c r="A1219" s="419">
        <v>46124</v>
      </c>
      <c r="B1219" s="302" t="s">
        <v>359</v>
      </c>
      <c r="C1219" s="177" t="str">
        <f>LEFT(B1219,FIND("@",B1219)-2)</f>
        <v>Washington Wizards</v>
      </c>
      <c r="D1219" s="177">
        <v>111</v>
      </c>
      <c r="E1219" s="336">
        <v>117</v>
      </c>
      <c r="F1219" s="327">
        <f>IF(E1219&gt;D1219, 1, 0)</f>
        <v>1</v>
      </c>
      <c r="G1219" s="177" t="str">
        <f>MID(B1219,FIND("@",B1219)+2,LEN(B1219)-FIND("@",B1219)-1)</f>
        <v>Cleveland Cavaliers</v>
      </c>
      <c r="H1219" s="177">
        <v>122</v>
      </c>
      <c r="I1219" s="336">
        <v>130</v>
      </c>
      <c r="J1219" s="327">
        <f>IF(I1219&gt;H1219, 1, 0)</f>
        <v>1</v>
      </c>
      <c r="K1219" s="177">
        <f>+D1219+H1219</f>
        <v>233</v>
      </c>
      <c r="L1219" s="336">
        <f>E1219+I1219</f>
        <v>247</v>
      </c>
      <c r="M1219" s="327">
        <f>IF(L1219&gt;K1219, 1, 0)</f>
        <v>1</v>
      </c>
      <c r="N1219" s="337">
        <f>(+H1219-D1219)</f>
        <v>11</v>
      </c>
      <c r="O1219" s="395">
        <f>I1219-E1219</f>
        <v>13</v>
      </c>
      <c r="P1219">
        <f>IF(OR(AND(N1219&gt;0,O1219&gt;0),AND(N1219&lt;0,O1219&lt;0)),1,0)</f>
        <v>1</v>
      </c>
      <c r="Q1219" s="416">
        <f>WEEKNUM(tblResultadosNBA[[#This Row],[Fecha]],2)</f>
        <v>15</v>
      </c>
      <c r="R1219" s="416" t="str">
        <f>TEXT(tblResultadosNBA[[#This Row],[Fecha]],"mmm")</f>
        <v>abr</v>
      </c>
    </row>
    <row r="1220" spans="1:18">
      <c r="A1220" s="419">
        <v>46124</v>
      </c>
      <c r="B1220" s="302" t="s">
        <v>98</v>
      </c>
      <c r="C1220" s="177" t="str">
        <f t="shared" ref="C1220:C1225" si="1433">LEFT(B1220,FIND("@",B1220)-2)</f>
        <v>Detroit Pistons</v>
      </c>
      <c r="D1220" s="177">
        <v>115</v>
      </c>
      <c r="E1220" s="336">
        <v>133</v>
      </c>
      <c r="F1220" s="327">
        <f t="shared" ref="F1220:F1225" si="1434">IF(E1220&gt;D1220, 1, 0)</f>
        <v>1</v>
      </c>
      <c r="G1220" s="177" t="str">
        <f t="shared" ref="G1220:G1225" si="1435">MID(B1220,FIND("@",B1220)+2,LEN(B1220)-FIND("@",B1220)-1)</f>
        <v>Indiana Pacers</v>
      </c>
      <c r="H1220" s="177">
        <v>112</v>
      </c>
      <c r="I1220" s="336">
        <v>121</v>
      </c>
      <c r="J1220" s="327">
        <f t="shared" ref="J1220:J1225" si="1436">IF(I1220&gt;H1220, 1, 0)</f>
        <v>1</v>
      </c>
      <c r="K1220" s="177">
        <f t="shared" ref="K1220:K1225" si="1437">+D1220+H1220</f>
        <v>227</v>
      </c>
      <c r="L1220" s="336">
        <f t="shared" ref="L1220:L1225" si="1438">E1220+I1220</f>
        <v>254</v>
      </c>
      <c r="M1220" s="327">
        <f t="shared" ref="M1220:M1225" si="1439">IF(L1220&gt;K1220, 1, 0)</f>
        <v>1</v>
      </c>
      <c r="N1220" s="337">
        <f t="shared" ref="N1220:N1225" si="1440">(+H1220-D1220)</f>
        <v>-3</v>
      </c>
      <c r="O1220" s="395">
        <f t="shared" ref="O1220:O1225" si="1441">I1220-E1220</f>
        <v>-12</v>
      </c>
      <c r="P1220">
        <f t="shared" ref="P1220:P1225" si="1442">IF(OR(AND(N1220&gt;0,O1220&gt;0),AND(N1220&lt;0,O1220&lt;0)),1,0)</f>
        <v>1</v>
      </c>
      <c r="Q1220" s="416">
        <f>WEEKNUM(tblResultadosNBA[[#This Row],[Fecha]],2)</f>
        <v>15</v>
      </c>
      <c r="R1220" s="416" t="str">
        <f>TEXT(tblResultadosNBA[[#This Row],[Fecha]],"mmm")</f>
        <v>abr</v>
      </c>
    </row>
    <row r="1221" spans="1:18">
      <c r="A1221" s="419">
        <v>46124</v>
      </c>
      <c r="B1221" s="302" t="s">
        <v>333</v>
      </c>
      <c r="C1221" s="177" t="str">
        <f t="shared" si="1433"/>
        <v>Atlanta Hawks</v>
      </c>
      <c r="D1221" s="177">
        <v>116</v>
      </c>
      <c r="E1221" s="336">
        <v>117</v>
      </c>
      <c r="F1221" s="327">
        <f t="shared" si="1434"/>
        <v>1</v>
      </c>
      <c r="G1221" s="177" t="str">
        <f t="shared" si="1435"/>
        <v>Miami Heat</v>
      </c>
      <c r="H1221" s="177">
        <v>118</v>
      </c>
      <c r="I1221" s="336">
        <v>143</v>
      </c>
      <c r="J1221" s="327">
        <f t="shared" si="1436"/>
        <v>1</v>
      </c>
      <c r="K1221" s="177">
        <f t="shared" si="1437"/>
        <v>234</v>
      </c>
      <c r="L1221" s="336">
        <f t="shared" si="1438"/>
        <v>260</v>
      </c>
      <c r="M1221" s="327">
        <f t="shared" si="1439"/>
        <v>1</v>
      </c>
      <c r="N1221" s="337">
        <f t="shared" si="1440"/>
        <v>2</v>
      </c>
      <c r="O1221" s="395">
        <f t="shared" si="1441"/>
        <v>26</v>
      </c>
      <c r="P1221">
        <f t="shared" si="1442"/>
        <v>1</v>
      </c>
      <c r="Q1221" s="416">
        <f>WEEKNUM(tblResultadosNBA[[#This Row],[Fecha]],2)</f>
        <v>15</v>
      </c>
      <c r="R1221" s="416" t="str">
        <f>TEXT(tblResultadosNBA[[#This Row],[Fecha]],"mmm")</f>
        <v>abr</v>
      </c>
    </row>
    <row r="1222" spans="1:18">
      <c r="A1222" s="419">
        <v>46124</v>
      </c>
      <c r="B1222" s="302" t="s">
        <v>140</v>
      </c>
      <c r="C1222" s="177" t="str">
        <f t="shared" si="1433"/>
        <v>Charlotte Hornets</v>
      </c>
      <c r="D1222" s="177">
        <v>110</v>
      </c>
      <c r="E1222" s="336">
        <v>110</v>
      </c>
      <c r="F1222" s="327">
        <f t="shared" si="1434"/>
        <v>0</v>
      </c>
      <c r="G1222" s="177" t="str">
        <f t="shared" si="1435"/>
        <v>New York Knicks</v>
      </c>
      <c r="H1222" s="177">
        <v>116</v>
      </c>
      <c r="I1222" s="336">
        <v>96</v>
      </c>
      <c r="J1222" s="327">
        <f t="shared" si="1436"/>
        <v>0</v>
      </c>
      <c r="K1222" s="177">
        <f t="shared" si="1437"/>
        <v>226</v>
      </c>
      <c r="L1222" s="336">
        <f t="shared" si="1438"/>
        <v>206</v>
      </c>
      <c r="M1222" s="327">
        <f t="shared" si="1439"/>
        <v>0</v>
      </c>
      <c r="N1222" s="337">
        <f t="shared" si="1440"/>
        <v>6</v>
      </c>
      <c r="O1222" s="395">
        <f t="shared" si="1441"/>
        <v>-14</v>
      </c>
      <c r="P1222">
        <f t="shared" si="1442"/>
        <v>0</v>
      </c>
      <c r="Q1222" s="416">
        <f>WEEKNUM(tblResultadosNBA[[#This Row],[Fecha]],2)</f>
        <v>15</v>
      </c>
      <c r="R1222" s="416" t="str">
        <f>TEXT(tblResultadosNBA[[#This Row],[Fecha]],"mmm")</f>
        <v>abr</v>
      </c>
    </row>
    <row r="1223" spans="1:18">
      <c r="A1223" s="419">
        <v>46124</v>
      </c>
      <c r="B1223" s="302" t="s">
        <v>304</v>
      </c>
      <c r="C1223" s="177" t="str">
        <f t="shared" si="1433"/>
        <v>Milwaukee Bucks</v>
      </c>
      <c r="D1223" s="177">
        <v>111</v>
      </c>
      <c r="E1223" s="336">
        <v>106</v>
      </c>
      <c r="F1223" s="327">
        <f t="shared" si="1434"/>
        <v>0</v>
      </c>
      <c r="G1223" s="177" t="str">
        <f t="shared" si="1435"/>
        <v>Philadelphia 76ers</v>
      </c>
      <c r="H1223" s="177">
        <v>117</v>
      </c>
      <c r="I1223" s="336">
        <v>126</v>
      </c>
      <c r="J1223" s="327">
        <f t="shared" si="1436"/>
        <v>1</v>
      </c>
      <c r="K1223" s="177">
        <f t="shared" si="1437"/>
        <v>228</v>
      </c>
      <c r="L1223" s="336">
        <f t="shared" si="1438"/>
        <v>232</v>
      </c>
      <c r="M1223" s="327">
        <f t="shared" si="1439"/>
        <v>1</v>
      </c>
      <c r="N1223" s="337">
        <f t="shared" si="1440"/>
        <v>6</v>
      </c>
      <c r="O1223" s="395">
        <f t="shared" si="1441"/>
        <v>20</v>
      </c>
      <c r="P1223">
        <f t="shared" si="1442"/>
        <v>1</v>
      </c>
      <c r="Q1223" s="416">
        <f>WEEKNUM(tblResultadosNBA[[#This Row],[Fecha]],2)</f>
        <v>15</v>
      </c>
      <c r="R1223" s="416" t="str">
        <f>TEXT(tblResultadosNBA[[#This Row],[Fecha]],"mmm")</f>
        <v>abr</v>
      </c>
    </row>
    <row r="1224" spans="1:18">
      <c r="A1224" s="419">
        <v>46124</v>
      </c>
      <c r="B1224" s="302" t="s">
        <v>776</v>
      </c>
      <c r="C1224" s="177" t="str">
        <f t="shared" si="1433"/>
        <v>Brooklyn Nets</v>
      </c>
      <c r="D1224" s="177">
        <v>109</v>
      </c>
      <c r="E1224" s="336">
        <v>101</v>
      </c>
      <c r="F1224" s="327">
        <f t="shared" si="1434"/>
        <v>0</v>
      </c>
      <c r="G1224" s="177" t="str">
        <f t="shared" si="1435"/>
        <v>Toronto Raptors</v>
      </c>
      <c r="H1224" s="177">
        <v>114</v>
      </c>
      <c r="I1224" s="336">
        <v>136</v>
      </c>
      <c r="J1224" s="327">
        <f t="shared" si="1436"/>
        <v>1</v>
      </c>
      <c r="K1224" s="177">
        <f t="shared" si="1437"/>
        <v>223</v>
      </c>
      <c r="L1224" s="336">
        <f t="shared" si="1438"/>
        <v>237</v>
      </c>
      <c r="M1224" s="327">
        <f t="shared" si="1439"/>
        <v>1</v>
      </c>
      <c r="N1224" s="337">
        <f t="shared" si="1440"/>
        <v>5</v>
      </c>
      <c r="O1224" s="395">
        <f t="shared" si="1441"/>
        <v>35</v>
      </c>
      <c r="P1224">
        <f t="shared" si="1442"/>
        <v>1</v>
      </c>
      <c r="Q1224" s="416">
        <f>WEEKNUM(tblResultadosNBA[[#This Row],[Fecha]],2)</f>
        <v>15</v>
      </c>
      <c r="R1224" s="416" t="str">
        <f>TEXT(tblResultadosNBA[[#This Row],[Fecha]],"mmm")</f>
        <v>abr</v>
      </c>
    </row>
    <row r="1225" spans="1:18">
      <c r="A1225" s="419">
        <v>46124</v>
      </c>
      <c r="B1225" s="302" t="s">
        <v>584</v>
      </c>
      <c r="C1225" s="177" t="str">
        <f t="shared" si="1433"/>
        <v>Chicago Bulls</v>
      </c>
      <c r="D1225" s="177">
        <v>115</v>
      </c>
      <c r="E1225" s="336">
        <v>128</v>
      </c>
      <c r="F1225" s="327">
        <f t="shared" si="1434"/>
        <v>1</v>
      </c>
      <c r="G1225" s="177" t="str">
        <f t="shared" si="1435"/>
        <v>Dallas Mavericks</v>
      </c>
      <c r="H1225" s="177">
        <v>117</v>
      </c>
      <c r="I1225" s="336">
        <v>149</v>
      </c>
      <c r="J1225" s="327">
        <f t="shared" si="1436"/>
        <v>1</v>
      </c>
      <c r="K1225" s="177">
        <f t="shared" si="1437"/>
        <v>232</v>
      </c>
      <c r="L1225" s="336">
        <f t="shared" si="1438"/>
        <v>277</v>
      </c>
      <c r="M1225" s="327">
        <f t="shared" si="1439"/>
        <v>1</v>
      </c>
      <c r="N1225" s="337">
        <f t="shared" si="1440"/>
        <v>2</v>
      </c>
      <c r="O1225" s="395">
        <f t="shared" si="1441"/>
        <v>21</v>
      </c>
      <c r="P1225">
        <f t="shared" si="1442"/>
        <v>1</v>
      </c>
      <c r="Q1225" s="416">
        <f>WEEKNUM(tblResultadosNBA[[#This Row],[Fecha]],2)</f>
        <v>15</v>
      </c>
      <c r="R1225" s="416" t="str">
        <f>TEXT(tblResultadosNBA[[#This Row],[Fecha]],"mmm")</f>
        <v>abr</v>
      </c>
    </row>
    <row r="1226" spans="1:18">
      <c r="A1226" s="419">
        <v>46124</v>
      </c>
      <c r="B1226" s="302" t="s">
        <v>585</v>
      </c>
      <c r="C1226" s="177" t="str">
        <f t="shared" ref="C1226:C1229" si="1443">LEFT(B1226,FIND("@",B1226)-2)</f>
        <v>Memphis Grizzlies</v>
      </c>
      <c r="D1226" s="177">
        <v>111</v>
      </c>
      <c r="E1226" s="336">
        <v>101</v>
      </c>
      <c r="F1226" s="327">
        <f t="shared" ref="F1226:F1229" si="1444">IF(E1226&gt;D1226, 1, 0)</f>
        <v>0</v>
      </c>
      <c r="G1226" s="177" t="str">
        <f t="shared" ref="G1226:G1229" si="1445">MID(B1226,FIND("@",B1226)+2,LEN(B1226)-FIND("@",B1226)-1)</f>
        <v>Houston Rockets</v>
      </c>
      <c r="H1226" s="177">
        <v>117</v>
      </c>
      <c r="I1226" s="336">
        <v>132</v>
      </c>
      <c r="J1226" s="327">
        <f t="shared" ref="J1226:J1229" si="1446">IF(I1226&gt;H1226, 1, 0)</f>
        <v>1</v>
      </c>
      <c r="K1226" s="177">
        <f t="shared" ref="K1226:K1229" si="1447">+D1226+H1226</f>
        <v>228</v>
      </c>
      <c r="L1226" s="336">
        <f t="shared" ref="L1226:L1229" si="1448">E1226+I1226</f>
        <v>233</v>
      </c>
      <c r="M1226" s="327">
        <f t="shared" ref="M1226:M1229" si="1449">IF(L1226&gt;K1226, 1, 0)</f>
        <v>1</v>
      </c>
      <c r="N1226" s="337">
        <f t="shared" ref="N1226:N1229" si="1450">(+H1226-D1226)</f>
        <v>6</v>
      </c>
      <c r="O1226" s="395">
        <f t="shared" ref="O1226:O1229" si="1451">I1226-E1226</f>
        <v>31</v>
      </c>
      <c r="P1226">
        <f t="shared" ref="P1226:P1229" si="1452">IF(OR(AND(N1226&gt;0,O1226&gt;0),AND(N1226&lt;0,O1226&lt;0)),1,0)</f>
        <v>1</v>
      </c>
      <c r="Q1226" s="416">
        <f>WEEKNUM(tblResultadosNBA[[#This Row],[Fecha]],2)</f>
        <v>15</v>
      </c>
      <c r="R1226" s="416" t="str">
        <f>TEXT(tblResultadosNBA[[#This Row],[Fecha]],"mmm")</f>
        <v>abr</v>
      </c>
    </row>
    <row r="1227" spans="1:18">
      <c r="A1227" s="419">
        <v>46124</v>
      </c>
      <c r="B1227" s="302" t="s">
        <v>340</v>
      </c>
      <c r="C1227" s="177" t="str">
        <f t="shared" si="1443"/>
        <v>New Orleans Pelicans</v>
      </c>
      <c r="D1227" s="177">
        <v>113</v>
      </c>
      <c r="E1227" s="336">
        <v>126</v>
      </c>
      <c r="F1227" s="327">
        <f t="shared" si="1444"/>
        <v>1</v>
      </c>
      <c r="G1227" s="177" t="str">
        <f t="shared" si="1445"/>
        <v>Minnesota Timberwolves</v>
      </c>
      <c r="H1227" s="177">
        <v>118</v>
      </c>
      <c r="I1227" s="336">
        <v>132</v>
      </c>
      <c r="J1227" s="327">
        <f t="shared" si="1446"/>
        <v>1</v>
      </c>
      <c r="K1227" s="177">
        <f t="shared" si="1447"/>
        <v>231</v>
      </c>
      <c r="L1227" s="336">
        <f t="shared" si="1448"/>
        <v>258</v>
      </c>
      <c r="M1227" s="327">
        <f t="shared" si="1449"/>
        <v>1</v>
      </c>
      <c r="N1227" s="337">
        <f t="shared" si="1450"/>
        <v>5</v>
      </c>
      <c r="O1227" s="395">
        <f t="shared" si="1451"/>
        <v>6</v>
      </c>
      <c r="P1227">
        <f t="shared" si="1452"/>
        <v>1</v>
      </c>
      <c r="Q1227" s="416">
        <f>WEEKNUM(tblResultadosNBA[[#This Row],[Fecha]],2)</f>
        <v>15</v>
      </c>
      <c r="R1227" s="416" t="str">
        <f>TEXT(tblResultadosNBA[[#This Row],[Fecha]],"mmm")</f>
        <v>abr</v>
      </c>
    </row>
    <row r="1228" spans="1:18">
      <c r="A1228" s="419">
        <v>46124</v>
      </c>
      <c r="B1228" s="302" t="s">
        <v>586</v>
      </c>
      <c r="C1228" s="177" t="str">
        <f t="shared" si="1443"/>
        <v>Phoenix Suns</v>
      </c>
      <c r="D1228" s="177">
        <v>112</v>
      </c>
      <c r="E1228" s="336">
        <v>135</v>
      </c>
      <c r="F1228" s="327">
        <f t="shared" si="1444"/>
        <v>1</v>
      </c>
      <c r="G1228" s="177" t="str">
        <f t="shared" si="1445"/>
        <v>Oklahoma City Thunder</v>
      </c>
      <c r="H1228" s="177">
        <v>119</v>
      </c>
      <c r="I1228" s="336">
        <v>103</v>
      </c>
      <c r="J1228" s="327">
        <f t="shared" si="1446"/>
        <v>0</v>
      </c>
      <c r="K1228" s="177">
        <f t="shared" si="1447"/>
        <v>231</v>
      </c>
      <c r="L1228" s="336">
        <f t="shared" si="1448"/>
        <v>238</v>
      </c>
      <c r="M1228" s="327">
        <f t="shared" si="1449"/>
        <v>1</v>
      </c>
      <c r="N1228" s="337">
        <f t="shared" si="1450"/>
        <v>7</v>
      </c>
      <c r="O1228" s="395">
        <f t="shared" si="1451"/>
        <v>-32</v>
      </c>
      <c r="P1228">
        <f t="shared" si="1452"/>
        <v>0</v>
      </c>
      <c r="Q1228" s="416">
        <f>WEEKNUM(tblResultadosNBA[[#This Row],[Fecha]],2)</f>
        <v>15</v>
      </c>
      <c r="R1228" s="416" t="str">
        <f>TEXT(tblResultadosNBA[[#This Row],[Fecha]],"mmm")</f>
        <v>abr</v>
      </c>
    </row>
    <row r="1229" spans="1:18">
      <c r="A1229" s="419">
        <v>46124</v>
      </c>
      <c r="B1229" s="302" t="s">
        <v>459</v>
      </c>
      <c r="C1229" s="177" t="str">
        <f t="shared" si="1443"/>
        <v>Denver Nuggets</v>
      </c>
      <c r="D1229" s="177">
        <v>118</v>
      </c>
      <c r="E1229" s="336">
        <v>128</v>
      </c>
      <c r="F1229" s="327">
        <f t="shared" si="1444"/>
        <v>1</v>
      </c>
      <c r="G1229" s="177" t="str">
        <f t="shared" si="1445"/>
        <v>San Antonio Spurs</v>
      </c>
      <c r="H1229" s="177">
        <v>123</v>
      </c>
      <c r="I1229" s="336">
        <v>118</v>
      </c>
      <c r="J1229" s="327">
        <f t="shared" si="1446"/>
        <v>0</v>
      </c>
      <c r="K1229" s="177">
        <f t="shared" si="1447"/>
        <v>241</v>
      </c>
      <c r="L1229" s="336">
        <f t="shared" si="1448"/>
        <v>246</v>
      </c>
      <c r="M1229" s="327">
        <f t="shared" si="1449"/>
        <v>1</v>
      </c>
      <c r="N1229" s="337">
        <f t="shared" si="1450"/>
        <v>5</v>
      </c>
      <c r="O1229" s="395">
        <f t="shared" si="1451"/>
        <v>-10</v>
      </c>
      <c r="P1229">
        <f t="shared" si="1452"/>
        <v>0</v>
      </c>
      <c r="Q1229" s="416">
        <f>WEEKNUM(tblResultadosNBA[[#This Row],[Fecha]],2)</f>
        <v>15</v>
      </c>
      <c r="R1229" s="416" t="str">
        <f>TEXT(tblResultadosNBA[[#This Row],[Fecha]],"mmm")</f>
        <v>abr</v>
      </c>
    </row>
    <row r="1230" spans="1:18">
      <c r="A1230" s="419">
        <v>46124</v>
      </c>
      <c r="B1230" s="302" t="s">
        <v>764</v>
      </c>
      <c r="C1230" s="177" t="str">
        <f t="shared" ref="C1230:C1232" si="1453">LEFT(B1230,FIND("@",B1230)-2)</f>
        <v>Utah Jazz</v>
      </c>
      <c r="D1230" s="177">
        <v>116</v>
      </c>
      <c r="E1230" s="336">
        <v>107</v>
      </c>
      <c r="F1230" s="327">
        <f t="shared" ref="F1230:F1232" si="1454">IF(E1230&gt;D1230, 1, 0)</f>
        <v>0</v>
      </c>
      <c r="G1230" s="177" t="str">
        <f t="shared" ref="G1230:G1232" si="1455">MID(B1230,FIND("@",B1230)+2,LEN(B1230)-FIND("@",B1230)-1)</f>
        <v>Los Angeles Lakers</v>
      </c>
      <c r="H1230" s="177">
        <v>122</v>
      </c>
      <c r="I1230" s="336">
        <v>131</v>
      </c>
      <c r="J1230" s="327">
        <f t="shared" ref="J1230:J1232" si="1456">IF(I1230&gt;H1230, 1, 0)</f>
        <v>1</v>
      </c>
      <c r="K1230" s="177">
        <f t="shared" ref="K1230:K1232" si="1457">+D1230+H1230</f>
        <v>238</v>
      </c>
      <c r="L1230" s="336">
        <f t="shared" ref="L1230:L1232" si="1458">E1230+I1230</f>
        <v>238</v>
      </c>
      <c r="M1230" s="327">
        <f t="shared" ref="M1230:M1232" si="1459">IF(L1230&gt;K1230, 1, 0)</f>
        <v>0</v>
      </c>
      <c r="N1230" s="337">
        <f t="shared" ref="N1230:N1232" si="1460">(+H1230-D1230)</f>
        <v>6</v>
      </c>
      <c r="O1230" s="395">
        <f t="shared" ref="O1230:O1232" si="1461">I1230-E1230</f>
        <v>24</v>
      </c>
      <c r="P1230">
        <f t="shared" ref="P1230:P1232" si="1462">IF(OR(AND(N1230&gt;0,O1230&gt;0),AND(N1230&lt;0,O1230&lt;0)),1,0)</f>
        <v>1</v>
      </c>
      <c r="Q1230" s="416">
        <f>WEEKNUM(tblResultadosNBA[[#This Row],[Fecha]],2)</f>
        <v>15</v>
      </c>
      <c r="R1230" s="416" t="str">
        <f>TEXT(tblResultadosNBA[[#This Row],[Fecha]],"mmm")</f>
        <v>abr</v>
      </c>
    </row>
    <row r="1231" spans="1:18">
      <c r="A1231" s="419">
        <v>46124</v>
      </c>
      <c r="B1231" s="302" t="s">
        <v>272</v>
      </c>
      <c r="C1231" s="177" t="str">
        <f t="shared" si="1453"/>
        <v>Golden State Warriors</v>
      </c>
      <c r="D1231" s="177">
        <v>122</v>
      </c>
      <c r="E1231" s="336">
        <v>110</v>
      </c>
      <c r="F1231" s="327">
        <f t="shared" si="1454"/>
        <v>0</v>
      </c>
      <c r="G1231" s="177" t="str">
        <f t="shared" si="1455"/>
        <v>LA Clippers</v>
      </c>
      <c r="H1231" s="177">
        <v>116</v>
      </c>
      <c r="I1231" s="336">
        <v>115</v>
      </c>
      <c r="J1231" s="327">
        <f t="shared" si="1456"/>
        <v>0</v>
      </c>
      <c r="K1231" s="177">
        <f t="shared" si="1457"/>
        <v>238</v>
      </c>
      <c r="L1231" s="336">
        <f t="shared" si="1458"/>
        <v>225</v>
      </c>
      <c r="M1231" s="327">
        <f t="shared" si="1459"/>
        <v>0</v>
      </c>
      <c r="N1231" s="337">
        <f t="shared" si="1460"/>
        <v>-6</v>
      </c>
      <c r="O1231" s="395">
        <f t="shared" si="1461"/>
        <v>5</v>
      </c>
      <c r="P1231">
        <f t="shared" si="1462"/>
        <v>0</v>
      </c>
      <c r="Q1231" s="416">
        <f>WEEKNUM(tblResultadosNBA[[#This Row],[Fecha]],2)</f>
        <v>15</v>
      </c>
      <c r="R1231" s="416" t="str">
        <f>TEXT(tblResultadosNBA[[#This Row],[Fecha]],"mmm")</f>
        <v>abr</v>
      </c>
    </row>
    <row r="1232" spans="1:18">
      <c r="A1232" s="445">
        <v>46124</v>
      </c>
      <c r="B1232" s="331" t="s">
        <v>587</v>
      </c>
      <c r="C1232" s="286" t="str">
        <f t="shared" si="1453"/>
        <v>Sacramento Kings</v>
      </c>
      <c r="D1232" s="286">
        <v>115</v>
      </c>
      <c r="E1232" s="431">
        <v>110</v>
      </c>
      <c r="F1232" s="332">
        <f t="shared" si="1454"/>
        <v>0</v>
      </c>
      <c r="G1232" s="286" t="str">
        <f t="shared" si="1455"/>
        <v>Portland Trail Blazers</v>
      </c>
      <c r="H1232" s="286">
        <v>121</v>
      </c>
      <c r="I1232" s="431">
        <v>122</v>
      </c>
      <c r="J1232" s="332">
        <f t="shared" si="1456"/>
        <v>1</v>
      </c>
      <c r="K1232" s="286">
        <f t="shared" si="1457"/>
        <v>236</v>
      </c>
      <c r="L1232" s="431">
        <f t="shared" si="1458"/>
        <v>232</v>
      </c>
      <c r="M1232" s="332">
        <f t="shared" si="1459"/>
        <v>0</v>
      </c>
      <c r="N1232" s="432">
        <f t="shared" si="1460"/>
        <v>6</v>
      </c>
      <c r="O1232" s="451">
        <f t="shared" si="1461"/>
        <v>12</v>
      </c>
      <c r="P1232" s="433">
        <f t="shared" si="1462"/>
        <v>1</v>
      </c>
      <c r="Q1232" s="416">
        <f>WEEKNUM(tblResultadosNBA[[#This Row],[Fecha]],2)</f>
        <v>15</v>
      </c>
      <c r="R1232" s="416" t="str">
        <f>TEXT(tblResultadosNBA[[#This Row],[Fecha]],"mmm")</f>
        <v>abr</v>
      </c>
    </row>
    <row r="1233" spans="1:18">
      <c r="A1233" s="439">
        <v>46126</v>
      </c>
      <c r="B1233" s="422" t="s">
        <v>434</v>
      </c>
      <c r="C1233" s="341" t="str">
        <f t="shared" ref="C1233:C1234" si="1463">LEFT(B1233,FIND("@",B1233)-2)</f>
        <v>Miami Heat</v>
      </c>
      <c r="D1233" s="341">
        <v>115</v>
      </c>
      <c r="E1233" s="342">
        <v>126</v>
      </c>
      <c r="F1233" s="333">
        <f t="shared" ref="F1233:F1234" si="1464">IF(E1233&gt;D1233, 1, 0)</f>
        <v>1</v>
      </c>
      <c r="G1233" s="341" t="str">
        <f t="shared" ref="G1233:G1234" si="1465">MID(B1233,FIND("@",B1233)+2,LEN(B1233)-FIND("@",B1233)-1)</f>
        <v>Charlotte Hornets</v>
      </c>
      <c r="H1233" s="341">
        <v>113</v>
      </c>
      <c r="I1233" s="342">
        <v>127</v>
      </c>
      <c r="J1233" s="333">
        <f t="shared" ref="J1233:J1234" si="1466">IF(I1233&gt;H1233, 1, 0)</f>
        <v>1</v>
      </c>
      <c r="K1233" s="341">
        <f t="shared" ref="K1233:K1234" si="1467">+D1233+H1233</f>
        <v>228</v>
      </c>
      <c r="L1233" s="342">
        <f t="shared" ref="L1233:L1234" si="1468">E1233+I1233</f>
        <v>253</v>
      </c>
      <c r="M1233" s="333">
        <f t="shared" ref="M1233:M1234" si="1469">IF(L1233&gt;K1233, 1, 0)</f>
        <v>1</v>
      </c>
      <c r="N1233" s="343">
        <f t="shared" ref="N1233:N1234" si="1470">(+H1233-D1233)</f>
        <v>-2</v>
      </c>
      <c r="O1233" s="449">
        <f t="shared" ref="O1233:O1234" si="1471">I1233-E1233</f>
        <v>1</v>
      </c>
      <c r="P1233">
        <f t="shared" ref="P1233:P1234" si="1472">IF(OR(AND(N1233&gt;0,O1233&gt;0),AND(N1233&lt;0,O1233&lt;0)),1,0)</f>
        <v>0</v>
      </c>
      <c r="Q1233" s="416">
        <f>WEEKNUM(tblResultadosNBA[[#This Row],[Fecha]],2)</f>
        <v>16</v>
      </c>
      <c r="R1233" s="416" t="str">
        <f>TEXT(tblResultadosNBA[[#This Row],[Fecha]],"mmm")</f>
        <v>abr</v>
      </c>
    </row>
    <row r="1234" spans="1:18">
      <c r="A1234" s="445">
        <v>46126</v>
      </c>
      <c r="B1234" s="331" t="s">
        <v>588</v>
      </c>
      <c r="C1234" s="286" t="str">
        <f t="shared" si="1463"/>
        <v>Portland Trail Blazers</v>
      </c>
      <c r="D1234" s="286">
        <v>110</v>
      </c>
      <c r="E1234" s="431">
        <v>114</v>
      </c>
      <c r="F1234" s="332">
        <f t="shared" si="1464"/>
        <v>1</v>
      </c>
      <c r="G1234" s="286" t="str">
        <f t="shared" si="1465"/>
        <v>Phoenix Suns</v>
      </c>
      <c r="H1234" s="286">
        <v>117</v>
      </c>
      <c r="I1234" s="431">
        <v>110</v>
      </c>
      <c r="J1234" s="332">
        <f t="shared" si="1466"/>
        <v>0</v>
      </c>
      <c r="K1234" s="286">
        <f t="shared" si="1467"/>
        <v>227</v>
      </c>
      <c r="L1234" s="431">
        <f t="shared" si="1468"/>
        <v>224</v>
      </c>
      <c r="M1234" s="332">
        <f t="shared" si="1469"/>
        <v>0</v>
      </c>
      <c r="N1234" s="432">
        <f t="shared" si="1470"/>
        <v>7</v>
      </c>
      <c r="O1234" s="451">
        <f t="shared" si="1471"/>
        <v>-4</v>
      </c>
      <c r="P1234" s="433">
        <f t="shared" si="1472"/>
        <v>0</v>
      </c>
      <c r="Q1234" s="416">
        <f>WEEKNUM(tblResultadosNBA[[#This Row],[Fecha]],2)</f>
        <v>16</v>
      </c>
      <c r="R1234" s="416" t="str">
        <f>TEXT(tblResultadosNBA[[#This Row],[Fecha]],"mmm")</f>
        <v>abr</v>
      </c>
    </row>
    <row r="1235" spans="1:18">
      <c r="A1235" s="439">
        <v>46127</v>
      </c>
      <c r="B1235" s="422" t="s">
        <v>103</v>
      </c>
      <c r="C1235" s="341" t="str">
        <f>LEFT(B1235,FIND("@",B1235)-2)</f>
        <v>Orlando Magic</v>
      </c>
      <c r="D1235" s="341">
        <v>112</v>
      </c>
      <c r="E1235" s="342">
        <v>97</v>
      </c>
      <c r="F1235" s="333">
        <f>IF(E1235&gt;D1235, 1, 0)</f>
        <v>0</v>
      </c>
      <c r="G1235" s="341" t="str">
        <f>MID(B1235,FIND("@",B1235)+2,LEN(B1235)-FIND("@",B1235)-1)</f>
        <v>Philadelphia 76ers</v>
      </c>
      <c r="H1235" s="341">
        <v>116</v>
      </c>
      <c r="I1235" s="342">
        <v>109</v>
      </c>
      <c r="J1235" s="333">
        <f>IF(I1235&gt;H1235, 1, 0)</f>
        <v>0</v>
      </c>
      <c r="K1235" s="341">
        <f>+D1235+H1235</f>
        <v>228</v>
      </c>
      <c r="L1235" s="342">
        <f>E1235+I1235</f>
        <v>206</v>
      </c>
      <c r="M1235" s="333">
        <f>IF(L1235&gt;K1235, 1, 0)</f>
        <v>0</v>
      </c>
      <c r="N1235" s="343">
        <f>(+H1235-D1235)</f>
        <v>4</v>
      </c>
      <c r="O1235" s="449">
        <f>I1235-E1235</f>
        <v>12</v>
      </c>
      <c r="P1235">
        <f>IF(OR(AND(N1235&gt;0,O1235&gt;0),AND(N1235&lt;0,O1235&lt;0)),1,0)</f>
        <v>1</v>
      </c>
      <c r="Q1235" s="416">
        <f>WEEKNUM(tblResultadosNBA[[#This Row],[Fecha]],2)</f>
        <v>16</v>
      </c>
      <c r="R1235" s="416" t="str">
        <f>TEXT(tblResultadosNBA[[#This Row],[Fecha]],"mmm")</f>
        <v>abr</v>
      </c>
    </row>
    <row r="1236" spans="1:18">
      <c r="A1236" s="445">
        <v>46127</v>
      </c>
      <c r="B1236" s="331" t="s">
        <v>272</v>
      </c>
      <c r="C1236" s="286" t="str">
        <f>LEFT(B1236,FIND("@",B1236)-2)</f>
        <v>Golden State Warriors</v>
      </c>
      <c r="D1236" s="286">
        <v>111</v>
      </c>
      <c r="E1236" s="431">
        <v>126</v>
      </c>
      <c r="F1236" s="332">
        <f>IF(E1236&gt;D1236, 1, 0)</f>
        <v>1</v>
      </c>
      <c r="G1236" s="286" t="str">
        <f>MID(B1236,FIND("@",B1236)+2,LEN(B1236)-FIND("@",B1236)-1)</f>
        <v>LA Clippers</v>
      </c>
      <c r="H1236" s="286">
        <v>114</v>
      </c>
      <c r="I1236" s="431">
        <v>121</v>
      </c>
      <c r="J1236" s="332">
        <f>IF(I1236&gt;H1236, 1, 0)</f>
        <v>1</v>
      </c>
      <c r="K1236" s="286">
        <f>+D1236+H1236</f>
        <v>225</v>
      </c>
      <c r="L1236" s="431">
        <f>E1236+I1236</f>
        <v>247</v>
      </c>
      <c r="M1236" s="332">
        <f>IF(L1236&gt;K1236, 1, 0)</f>
        <v>1</v>
      </c>
      <c r="N1236" s="432">
        <f>(+H1236-D1236)</f>
        <v>3</v>
      </c>
      <c r="O1236" s="451">
        <f>I1236-E1236</f>
        <v>-5</v>
      </c>
      <c r="P1236" s="433">
        <f>IF(OR(AND(N1236&gt;0,O1236&gt;0),AND(N1236&lt;0,O1236&lt;0)),1,0)</f>
        <v>0</v>
      </c>
      <c r="Q1236" s="416">
        <f>WEEKNUM(tblResultadosNBA[[#This Row],[Fecha]],2)</f>
        <v>16</v>
      </c>
      <c r="R1236" s="416" t="str">
        <f>TEXT(tblResultadosNBA[[#This Row],[Fecha]],"mmm")</f>
        <v>abr</v>
      </c>
    </row>
    <row r="1237" spans="1:18">
      <c r="A1237" s="439">
        <v>46129</v>
      </c>
      <c r="B1237" s="422" t="s">
        <v>589</v>
      </c>
      <c r="C1237" s="341" t="str">
        <f t="shared" ref="C1237:C1238" si="1473">LEFT(B1237,FIND("@",B1237)-2)</f>
        <v>Charlotte Hornets</v>
      </c>
      <c r="D1237" s="341">
        <v>110</v>
      </c>
      <c r="E1237" s="342">
        <v>90</v>
      </c>
      <c r="F1237" s="333">
        <f t="shared" ref="F1237:F1238" si="1474">IF(E1237&gt;D1237, 1, 0)</f>
        <v>0</v>
      </c>
      <c r="G1237" s="341" t="str">
        <f t="shared" ref="G1237:G1238" si="1475">MID(B1237,FIND("@",B1237)+2,LEN(B1237)-FIND("@",B1237)-1)</f>
        <v>Orlando Magic</v>
      </c>
      <c r="H1237" s="341">
        <v>113</v>
      </c>
      <c r="I1237" s="342">
        <v>121</v>
      </c>
      <c r="J1237" s="333">
        <f t="shared" ref="J1237:J1238" si="1476">IF(I1237&gt;H1237, 1, 0)</f>
        <v>1</v>
      </c>
      <c r="K1237" s="341">
        <f t="shared" ref="K1237:K1238" si="1477">+D1237+H1237</f>
        <v>223</v>
      </c>
      <c r="L1237" s="342">
        <f t="shared" ref="L1237:L1238" si="1478">E1237+I1237</f>
        <v>211</v>
      </c>
      <c r="M1237" s="333">
        <f t="shared" ref="M1237:M1238" si="1479">IF(L1237&gt;K1237, 1, 0)</f>
        <v>0</v>
      </c>
      <c r="N1237" s="343">
        <f t="shared" ref="N1237:N1238" si="1480">(+H1237-D1237)</f>
        <v>3</v>
      </c>
      <c r="O1237" s="449">
        <f t="shared" ref="O1237:O1238" si="1481">I1237-E1237</f>
        <v>31</v>
      </c>
      <c r="P1237">
        <f t="shared" ref="P1237:P1238" si="1482">IF(OR(AND(N1237&gt;0,O1237&gt;0),AND(N1237&lt;0,O1237&lt;0)),1,0)</f>
        <v>1</v>
      </c>
      <c r="Q1237" s="416">
        <f>WEEKNUM(tblResultadosNBA[[#This Row],[Fecha]],2)</f>
        <v>16</v>
      </c>
      <c r="R1237" s="416" t="str">
        <f>TEXT(tblResultadosNBA[[#This Row],[Fecha]],"mmm")</f>
        <v>abr</v>
      </c>
    </row>
    <row r="1238" spans="1:18">
      <c r="A1238" s="445">
        <v>46129</v>
      </c>
      <c r="B1238" s="331" t="s">
        <v>193</v>
      </c>
      <c r="C1238" s="286" t="str">
        <f t="shared" si="1473"/>
        <v>Golden State Warriors</v>
      </c>
      <c r="D1238" s="286">
        <v>114</v>
      </c>
      <c r="E1238" s="431">
        <v>96</v>
      </c>
      <c r="F1238" s="332">
        <f t="shared" si="1474"/>
        <v>0</v>
      </c>
      <c r="G1238" s="286" t="str">
        <f t="shared" si="1475"/>
        <v>Phoenix Suns</v>
      </c>
      <c r="H1238" s="286">
        <v>115</v>
      </c>
      <c r="I1238" s="431">
        <v>111</v>
      </c>
      <c r="J1238" s="332">
        <f t="shared" si="1476"/>
        <v>0</v>
      </c>
      <c r="K1238" s="286">
        <f t="shared" si="1477"/>
        <v>229</v>
      </c>
      <c r="L1238" s="431">
        <f t="shared" si="1478"/>
        <v>207</v>
      </c>
      <c r="M1238" s="332">
        <f t="shared" si="1479"/>
        <v>0</v>
      </c>
      <c r="N1238" s="432">
        <f t="shared" si="1480"/>
        <v>1</v>
      </c>
      <c r="O1238" s="451">
        <f t="shared" si="1481"/>
        <v>15</v>
      </c>
      <c r="P1238" s="433">
        <f t="shared" si="1482"/>
        <v>1</v>
      </c>
      <c r="Q1238" s="416">
        <f>WEEKNUM(tblResultadosNBA[[#This Row],[Fecha]],2)</f>
        <v>16</v>
      </c>
      <c r="R1238" s="416" t="str">
        <f>TEXT(tblResultadosNBA[[#This Row],[Fecha]],"mmm")</f>
        <v>abr</v>
      </c>
    </row>
    <row r="1239" spans="1:18">
      <c r="A1239" s="439">
        <v>46130</v>
      </c>
      <c r="B1239" s="422" t="s">
        <v>48</v>
      </c>
      <c r="C1239" s="341" t="str">
        <f t="shared" ref="C1239:C1240" si="1483">LEFT(B1239,FIND("@",B1239)-2)</f>
        <v>Toronto Raptors</v>
      </c>
      <c r="D1239" s="341">
        <v>112</v>
      </c>
      <c r="E1239" s="342">
        <v>113</v>
      </c>
      <c r="F1239" s="333">
        <f t="shared" ref="F1239:F1240" si="1484">IF(E1239&gt;D1239, 1, 0)</f>
        <v>1</v>
      </c>
      <c r="G1239" s="341" t="str">
        <f t="shared" ref="G1239:G1240" si="1485">MID(B1239,FIND("@",B1239)+2,LEN(B1239)-FIND("@",B1239)-1)</f>
        <v>Cleveland Cavaliers</v>
      </c>
      <c r="H1239" s="341">
        <v>115</v>
      </c>
      <c r="I1239" s="342">
        <v>126</v>
      </c>
      <c r="J1239" s="333">
        <f t="shared" ref="J1239:J1240" si="1486">IF(I1239&gt;H1239, 1, 0)</f>
        <v>1</v>
      </c>
      <c r="K1239" s="341">
        <f t="shared" ref="K1239:K1240" si="1487">+D1239+H1239</f>
        <v>227</v>
      </c>
      <c r="L1239" s="342">
        <f t="shared" ref="L1239:L1240" si="1488">E1239+I1239</f>
        <v>239</v>
      </c>
      <c r="M1239" s="333">
        <f t="shared" ref="M1239:M1240" si="1489">IF(L1239&gt;K1239, 1, 0)</f>
        <v>1</v>
      </c>
      <c r="N1239" s="343">
        <f t="shared" ref="N1239:N1240" si="1490">(+H1239-D1239)</f>
        <v>3</v>
      </c>
      <c r="O1239" s="449">
        <f t="shared" ref="O1239:O1240" si="1491">I1239-E1239</f>
        <v>13</v>
      </c>
      <c r="P1239">
        <f t="shared" ref="P1239:P1240" si="1492">IF(OR(AND(N1239&gt;0,O1239&gt;0),AND(N1239&lt;0,O1239&lt;0)),1,0)</f>
        <v>1</v>
      </c>
      <c r="Q1239" s="416">
        <f>WEEKNUM(tblResultadosNBA[[#This Row],[Fecha]],2)</f>
        <v>16</v>
      </c>
      <c r="R1239" s="416" t="str">
        <f>TEXT(tblResultadosNBA[[#This Row],[Fecha]],"mmm")</f>
        <v>abr</v>
      </c>
    </row>
    <row r="1240" spans="1:18">
      <c r="A1240" s="419">
        <v>46130</v>
      </c>
      <c r="B1240" s="302" t="s">
        <v>413</v>
      </c>
      <c r="C1240" s="177" t="str">
        <f t="shared" si="1483"/>
        <v>Minnesota Timberwolves</v>
      </c>
      <c r="D1240" s="177">
        <v>115</v>
      </c>
      <c r="E1240" s="336">
        <v>105</v>
      </c>
      <c r="F1240" s="327">
        <f t="shared" si="1484"/>
        <v>0</v>
      </c>
      <c r="G1240" s="177" t="str">
        <f t="shared" si="1485"/>
        <v>Denver Nuggets</v>
      </c>
      <c r="H1240" s="177">
        <v>118</v>
      </c>
      <c r="I1240" s="336">
        <v>116</v>
      </c>
      <c r="J1240" s="327">
        <f t="shared" si="1486"/>
        <v>0</v>
      </c>
      <c r="K1240" s="177">
        <f t="shared" si="1487"/>
        <v>233</v>
      </c>
      <c r="L1240" s="336">
        <f t="shared" si="1488"/>
        <v>221</v>
      </c>
      <c r="M1240" s="327">
        <f t="shared" si="1489"/>
        <v>0</v>
      </c>
      <c r="N1240" s="337">
        <f t="shared" si="1490"/>
        <v>3</v>
      </c>
      <c r="O1240" s="395">
        <f t="shared" si="1491"/>
        <v>11</v>
      </c>
      <c r="P1240">
        <f t="shared" si="1492"/>
        <v>1</v>
      </c>
      <c r="Q1240" s="416">
        <f>WEEKNUM(tblResultadosNBA[[#This Row],[Fecha]],2)</f>
        <v>16</v>
      </c>
      <c r="R1240" s="416" t="str">
        <f>TEXT(tblResultadosNBA[[#This Row],[Fecha]],"mmm")</f>
        <v>abr</v>
      </c>
    </row>
    <row r="1241" spans="1:18">
      <c r="A1241" s="419">
        <v>46130</v>
      </c>
      <c r="B1241" s="302" t="s">
        <v>260</v>
      </c>
      <c r="C1241" s="177" t="str">
        <f>LEFT(B1241,FIND("@",B1241)-2)</f>
        <v>Atlanta Hawks</v>
      </c>
      <c r="D1241" s="177">
        <v>116</v>
      </c>
      <c r="E1241" s="336">
        <v>102</v>
      </c>
      <c r="F1241" s="327">
        <f>IF(E1241&gt;D1241, 1, 0)</f>
        <v>0</v>
      </c>
      <c r="G1241" s="177" t="str">
        <f>MID(B1241,FIND("@",B1241)+2,LEN(B1241)-FIND("@",B1241)-1)</f>
        <v>New York Knicks</v>
      </c>
      <c r="H1241" s="177">
        <v>120</v>
      </c>
      <c r="I1241" s="336">
        <v>113</v>
      </c>
      <c r="J1241" s="327">
        <f>IF(I1241&gt;H1241, 1, 0)</f>
        <v>0</v>
      </c>
      <c r="K1241" s="177">
        <f>+D1241+H1241</f>
        <v>236</v>
      </c>
      <c r="L1241" s="336">
        <f>E1241+I1241</f>
        <v>215</v>
      </c>
      <c r="M1241" s="327">
        <f>IF(L1241&gt;K1241, 1, 0)</f>
        <v>0</v>
      </c>
      <c r="N1241" s="337">
        <f>(+H1241-D1241)</f>
        <v>4</v>
      </c>
      <c r="O1241" s="395">
        <f>I1241-E1241</f>
        <v>11</v>
      </c>
      <c r="P1241">
        <f>IF(OR(AND(N1241&gt;0,O1241&gt;0),AND(N1241&lt;0,O1241&lt;0)),1,0)</f>
        <v>1</v>
      </c>
      <c r="Q1241" s="416">
        <f>WEEKNUM(tblResultadosNBA[[#This Row],[Fecha]],2)</f>
        <v>16</v>
      </c>
      <c r="R1241" s="416" t="str">
        <f>TEXT(tblResultadosNBA[[#This Row],[Fecha]],"mmm")</f>
        <v>abr</v>
      </c>
    </row>
    <row r="1242" spans="1:18">
      <c r="A1242" s="445">
        <v>46130</v>
      </c>
      <c r="B1242" s="331" t="s">
        <v>226</v>
      </c>
      <c r="C1242" s="286" t="str">
        <f t="shared" ref="C1242" si="1493">LEFT(B1242,FIND("@",B1242)-2)</f>
        <v>Houston Rockets</v>
      </c>
      <c r="D1242" s="286">
        <v>115</v>
      </c>
      <c r="E1242" s="431">
        <v>98</v>
      </c>
      <c r="F1242" s="332">
        <f t="shared" ref="F1242" si="1494">IF(E1242&gt;D1242, 1, 0)</f>
        <v>0</v>
      </c>
      <c r="G1242" s="286" t="str">
        <f t="shared" ref="G1242" si="1495">MID(B1242,FIND("@",B1242)+2,LEN(B1242)-FIND("@",B1242)-1)</f>
        <v>Los Angeles Lakers</v>
      </c>
      <c r="H1242" s="286">
        <v>118</v>
      </c>
      <c r="I1242" s="431">
        <v>107</v>
      </c>
      <c r="J1242" s="332">
        <f t="shared" ref="J1242" si="1496">IF(I1242&gt;H1242, 1, 0)</f>
        <v>0</v>
      </c>
      <c r="K1242" s="286">
        <f t="shared" ref="K1242" si="1497">+D1242+H1242</f>
        <v>233</v>
      </c>
      <c r="L1242" s="431">
        <f t="shared" ref="L1242" si="1498">E1242+I1242</f>
        <v>205</v>
      </c>
      <c r="M1242" s="332">
        <f t="shared" ref="M1242" si="1499">IF(L1242&gt;K1242, 1, 0)</f>
        <v>0</v>
      </c>
      <c r="N1242" s="432">
        <f t="shared" ref="N1242" si="1500">(+H1242-D1242)</f>
        <v>3</v>
      </c>
      <c r="O1242" s="451">
        <f t="shared" ref="O1242" si="1501">I1242-E1242</f>
        <v>9</v>
      </c>
      <c r="P1242" s="433">
        <f t="shared" ref="P1242" si="1502">IF(OR(AND(N1242&gt;0,O1242&gt;0),AND(N1242&lt;0,O1242&lt;0)),1,0)</f>
        <v>1</v>
      </c>
      <c r="Q1242" s="416">
        <f>WEEKNUM(tblResultadosNBA[[#This Row],[Fecha]],2)</f>
        <v>16</v>
      </c>
      <c r="R1242" s="416" t="str">
        <f>TEXT(tblResultadosNBA[[#This Row],[Fecha]],"mmm")</f>
        <v>abr</v>
      </c>
    </row>
    <row r="1243" spans="1:18">
      <c r="A1243" s="439">
        <v>46131</v>
      </c>
      <c r="B1243" s="422" t="s">
        <v>417</v>
      </c>
      <c r="C1243" s="341" t="str">
        <f>LEFT(B1243,FIND("@",B1243)-2)</f>
        <v>Philadelphia 76ers</v>
      </c>
      <c r="D1243" s="341">
        <v>110</v>
      </c>
      <c r="E1243" s="342">
        <v>91</v>
      </c>
      <c r="F1243" s="333">
        <f>IF(E1243&gt;D1243, 1, 0)</f>
        <v>0</v>
      </c>
      <c r="G1243" s="341" t="str">
        <f>MID(B1243,FIND("@",B1243)+2,LEN(B1243)-FIND("@",B1243)-1)</f>
        <v>Boston Celtics</v>
      </c>
      <c r="H1243" s="341">
        <v>120</v>
      </c>
      <c r="I1243" s="342">
        <v>123</v>
      </c>
      <c r="J1243" s="333">
        <f>IF(I1243&gt;H1243, 1, 0)</f>
        <v>1</v>
      </c>
      <c r="K1243" s="341">
        <f>+D1243+H1243</f>
        <v>230</v>
      </c>
      <c r="L1243" s="342">
        <f>E1243+I1243</f>
        <v>214</v>
      </c>
      <c r="M1243" s="333">
        <f>IF(L1243&gt;K1243, 1, 0)</f>
        <v>0</v>
      </c>
      <c r="N1243" s="343">
        <f>(+H1243-D1243)</f>
        <v>10</v>
      </c>
      <c r="O1243" s="449">
        <f>I1243-E1243</f>
        <v>32</v>
      </c>
      <c r="P1243">
        <f>IF(OR(AND(N1243&gt;0,O1243&gt;0),AND(N1243&lt;0,O1243&lt;0)),1,0)</f>
        <v>1</v>
      </c>
      <c r="Q1243" s="416">
        <f>WEEKNUM(tblResultadosNBA[[#This Row],[Fecha]],2)</f>
        <v>16</v>
      </c>
      <c r="R1243" s="416" t="str">
        <f>TEXT(tblResultadosNBA[[#This Row],[Fecha]],"mmm")</f>
        <v>abr</v>
      </c>
    </row>
    <row r="1244" spans="1:18">
      <c r="A1244" s="419">
        <v>46131</v>
      </c>
      <c r="B1244" s="302" t="s">
        <v>586</v>
      </c>
      <c r="C1244" s="177" t="str">
        <f t="shared" ref="C1244:C1246" si="1503">LEFT(B1244,FIND("@",B1244)-2)</f>
        <v>Phoenix Suns</v>
      </c>
      <c r="D1244" s="177">
        <v>112</v>
      </c>
      <c r="E1244" s="336">
        <v>84</v>
      </c>
      <c r="F1244" s="327">
        <f t="shared" ref="F1244:F1246" si="1504">IF(E1244&gt;D1244, 1, 0)</f>
        <v>0</v>
      </c>
      <c r="G1244" s="177" t="str">
        <f t="shared" ref="G1244:G1246" si="1505">MID(B1244,FIND("@",B1244)+2,LEN(B1244)-FIND("@",B1244)-1)</f>
        <v>Oklahoma City Thunder</v>
      </c>
      <c r="H1244" s="177">
        <v>120</v>
      </c>
      <c r="I1244" s="336">
        <v>119</v>
      </c>
      <c r="J1244" s="327">
        <f t="shared" ref="J1244:J1246" si="1506">IF(I1244&gt;H1244, 1, 0)</f>
        <v>0</v>
      </c>
      <c r="K1244" s="177">
        <f t="shared" ref="K1244:K1246" si="1507">+D1244+H1244</f>
        <v>232</v>
      </c>
      <c r="L1244" s="336">
        <f t="shared" ref="L1244:L1246" si="1508">E1244+I1244</f>
        <v>203</v>
      </c>
      <c r="M1244" s="327">
        <f t="shared" ref="M1244:M1246" si="1509">IF(L1244&gt;K1244, 1, 0)</f>
        <v>0</v>
      </c>
      <c r="N1244" s="337">
        <f t="shared" ref="N1244:N1246" si="1510">(+H1244-D1244)</f>
        <v>8</v>
      </c>
      <c r="O1244" s="395">
        <f t="shared" ref="O1244:O1246" si="1511">I1244-E1244</f>
        <v>35</v>
      </c>
      <c r="P1244">
        <f t="shared" ref="P1244:P1246" si="1512">IF(OR(AND(N1244&gt;0,O1244&gt;0),AND(N1244&lt;0,O1244&lt;0)),1,0)</f>
        <v>1</v>
      </c>
      <c r="Q1244" s="416">
        <f>WEEKNUM(tblResultadosNBA[[#This Row],[Fecha]],2)</f>
        <v>16</v>
      </c>
      <c r="R1244" s="416" t="str">
        <f>TEXT(tblResultadosNBA[[#This Row],[Fecha]],"mmm")</f>
        <v>abr</v>
      </c>
    </row>
    <row r="1245" spans="1:18">
      <c r="A1245" s="419">
        <v>46131</v>
      </c>
      <c r="B1245" s="302" t="s">
        <v>113</v>
      </c>
      <c r="C1245" s="177" t="str">
        <f t="shared" si="1503"/>
        <v>Orlando Magic</v>
      </c>
      <c r="D1245" s="177">
        <v>111</v>
      </c>
      <c r="E1245" s="336">
        <v>112</v>
      </c>
      <c r="F1245" s="327">
        <f t="shared" si="1504"/>
        <v>1</v>
      </c>
      <c r="G1245" s="177" t="str">
        <f t="shared" si="1505"/>
        <v>Detroit Pistons</v>
      </c>
      <c r="H1245" s="177">
        <v>117</v>
      </c>
      <c r="I1245" s="336">
        <v>101</v>
      </c>
      <c r="J1245" s="327">
        <f t="shared" si="1506"/>
        <v>0</v>
      </c>
      <c r="K1245" s="177">
        <f t="shared" si="1507"/>
        <v>228</v>
      </c>
      <c r="L1245" s="336">
        <f t="shared" si="1508"/>
        <v>213</v>
      </c>
      <c r="M1245" s="327">
        <f t="shared" si="1509"/>
        <v>0</v>
      </c>
      <c r="N1245" s="337">
        <f t="shared" si="1510"/>
        <v>6</v>
      </c>
      <c r="O1245" s="395">
        <f t="shared" si="1511"/>
        <v>-11</v>
      </c>
      <c r="P1245">
        <f t="shared" si="1512"/>
        <v>0</v>
      </c>
      <c r="Q1245" s="416">
        <f>WEEKNUM(tblResultadosNBA[[#This Row],[Fecha]],2)</f>
        <v>16</v>
      </c>
      <c r="R1245" s="416" t="str">
        <f>TEXT(tblResultadosNBA[[#This Row],[Fecha]],"mmm")</f>
        <v>abr</v>
      </c>
    </row>
    <row r="1246" spans="1:18">
      <c r="A1246" s="445">
        <v>46131</v>
      </c>
      <c r="B1246" s="331" t="s">
        <v>262</v>
      </c>
      <c r="C1246" s="286" t="str">
        <f t="shared" si="1503"/>
        <v>Portland Trail Blazers</v>
      </c>
      <c r="D1246" s="286">
        <v>115</v>
      </c>
      <c r="E1246" s="431">
        <v>98</v>
      </c>
      <c r="F1246" s="332">
        <f t="shared" si="1504"/>
        <v>0</v>
      </c>
      <c r="G1246" s="286" t="str">
        <f t="shared" si="1505"/>
        <v>San Antonio Spurs</v>
      </c>
      <c r="H1246" s="286">
        <v>122</v>
      </c>
      <c r="I1246" s="431">
        <v>111</v>
      </c>
      <c r="J1246" s="332">
        <f t="shared" si="1506"/>
        <v>0</v>
      </c>
      <c r="K1246" s="286">
        <f t="shared" si="1507"/>
        <v>237</v>
      </c>
      <c r="L1246" s="431">
        <f t="shared" si="1508"/>
        <v>209</v>
      </c>
      <c r="M1246" s="332">
        <f t="shared" si="1509"/>
        <v>0</v>
      </c>
      <c r="N1246" s="432">
        <f t="shared" si="1510"/>
        <v>7</v>
      </c>
      <c r="O1246" s="451">
        <f t="shared" si="1511"/>
        <v>13</v>
      </c>
      <c r="P1246" s="433">
        <f t="shared" si="1512"/>
        <v>1</v>
      </c>
      <c r="Q1246" s="416">
        <f>WEEKNUM(tblResultadosNBA[[#This Row],[Fecha]],2)</f>
        <v>16</v>
      </c>
      <c r="R1246" s="416" t="str">
        <f>TEXT(tblResultadosNBA[[#This Row],[Fecha]],"mmm")</f>
        <v>abr</v>
      </c>
    </row>
    <row r="1247" spans="1:18">
      <c r="A1247" s="439">
        <v>46132</v>
      </c>
      <c r="B1247" s="422" t="s">
        <v>48</v>
      </c>
      <c r="C1247" s="341" t="str">
        <f>LEFT(B1247,FIND("@",B1247)-2)</f>
        <v>Toronto Raptors</v>
      </c>
      <c r="D1247" s="341">
        <v>113</v>
      </c>
      <c r="E1247" s="342">
        <v>105</v>
      </c>
      <c r="F1247" s="333">
        <f>IF(E1247&gt;D1247, 1, 0)</f>
        <v>0</v>
      </c>
      <c r="G1247" s="341" t="str">
        <f>MID(B1247,FIND("@",B1247)+2,LEN(B1247)-FIND("@",B1247)-1)</f>
        <v>Cleveland Cavaliers</v>
      </c>
      <c r="H1247" s="341">
        <v>114</v>
      </c>
      <c r="I1247" s="342">
        <v>115</v>
      </c>
      <c r="J1247" s="333">
        <f>IF(I1247&gt;H1247, 1, 0)</f>
        <v>1</v>
      </c>
      <c r="K1247" s="341">
        <f>+D1247+H1247</f>
        <v>227</v>
      </c>
      <c r="L1247" s="342">
        <f>E1247+I1247</f>
        <v>220</v>
      </c>
      <c r="M1247" s="333">
        <f>IF(L1247&gt;K1247, 1, 0)</f>
        <v>0</v>
      </c>
      <c r="N1247" s="343">
        <f>(+H1247-D1247)</f>
        <v>1</v>
      </c>
      <c r="O1247" s="449">
        <f>I1247-E1247</f>
        <v>10</v>
      </c>
      <c r="P1247">
        <f>IF(OR(AND(N1247&gt;0,O1247&gt;0),AND(N1247&lt;0,O1247&lt;0)),1,0)</f>
        <v>1</v>
      </c>
      <c r="Q1247" s="416">
        <f>WEEKNUM(tblResultadosNBA[[#This Row],[Fecha]],2)</f>
        <v>17</v>
      </c>
      <c r="R1247" s="416" t="str">
        <f>TEXT(tblResultadosNBA[[#This Row],[Fecha]],"mmm")</f>
        <v>abr</v>
      </c>
    </row>
    <row r="1248" spans="1:18">
      <c r="A1248" s="419">
        <v>46132</v>
      </c>
      <c r="B1248" s="302" t="s">
        <v>260</v>
      </c>
      <c r="C1248" s="177" t="str">
        <f t="shared" ref="C1248:C1249" si="1513">LEFT(B1248,FIND("@",B1248)-2)</f>
        <v>Atlanta Hawks</v>
      </c>
      <c r="D1248" s="177">
        <v>116</v>
      </c>
      <c r="E1248" s="336">
        <v>107</v>
      </c>
      <c r="F1248" s="327">
        <f t="shared" ref="F1248:F1249" si="1514">IF(E1248&gt;D1248, 1, 0)</f>
        <v>0</v>
      </c>
      <c r="G1248" s="177" t="str">
        <f t="shared" ref="G1248:G1249" si="1515">MID(B1248,FIND("@",B1248)+2,LEN(B1248)-FIND("@",B1248)-1)</f>
        <v>New York Knicks</v>
      </c>
      <c r="H1248" s="177">
        <v>117</v>
      </c>
      <c r="I1248" s="336">
        <v>106</v>
      </c>
      <c r="J1248" s="327">
        <f t="shared" ref="J1248:J1249" si="1516">IF(I1248&gt;H1248, 1, 0)</f>
        <v>0</v>
      </c>
      <c r="K1248" s="177">
        <f t="shared" ref="K1248:K1249" si="1517">+D1248+H1248</f>
        <v>233</v>
      </c>
      <c r="L1248" s="336">
        <f t="shared" ref="L1248:L1249" si="1518">E1248+I1248</f>
        <v>213</v>
      </c>
      <c r="M1248" s="327">
        <f t="shared" ref="M1248:M1249" si="1519">IF(L1248&gt;K1248, 1, 0)</f>
        <v>0</v>
      </c>
      <c r="N1248" s="337">
        <f t="shared" ref="N1248:N1249" si="1520">(+H1248-D1248)</f>
        <v>1</v>
      </c>
      <c r="O1248" s="395">
        <f t="shared" ref="O1248:O1249" si="1521">I1248-E1248</f>
        <v>-1</v>
      </c>
      <c r="P1248">
        <f t="shared" ref="P1248:P1249" si="1522">IF(OR(AND(N1248&gt;0,O1248&gt;0),AND(N1248&lt;0,O1248&lt;0)),1,0)</f>
        <v>0</v>
      </c>
      <c r="Q1248" s="416">
        <f>WEEKNUM(tblResultadosNBA[[#This Row],[Fecha]],2)</f>
        <v>17</v>
      </c>
      <c r="R1248" s="416" t="str">
        <f>TEXT(tblResultadosNBA[[#This Row],[Fecha]],"mmm")</f>
        <v>abr</v>
      </c>
    </row>
    <row r="1249" spans="1:18">
      <c r="A1249" s="445">
        <v>46132</v>
      </c>
      <c r="B1249" s="331" t="s">
        <v>413</v>
      </c>
      <c r="C1249" s="286" t="str">
        <f t="shared" si="1513"/>
        <v>Minnesota Timberwolves</v>
      </c>
      <c r="D1249" s="286">
        <v>115</v>
      </c>
      <c r="E1249" s="431">
        <v>119</v>
      </c>
      <c r="F1249" s="332">
        <f t="shared" si="1514"/>
        <v>1</v>
      </c>
      <c r="G1249" s="286" t="str">
        <f t="shared" si="1515"/>
        <v>Denver Nuggets</v>
      </c>
      <c r="H1249" s="286">
        <v>118</v>
      </c>
      <c r="I1249" s="431">
        <v>114</v>
      </c>
      <c r="J1249" s="332">
        <f t="shared" si="1516"/>
        <v>0</v>
      </c>
      <c r="K1249" s="286">
        <f t="shared" si="1517"/>
        <v>233</v>
      </c>
      <c r="L1249" s="431">
        <f t="shared" si="1518"/>
        <v>233</v>
      </c>
      <c r="M1249" s="332">
        <f t="shared" si="1519"/>
        <v>0</v>
      </c>
      <c r="N1249" s="432">
        <f t="shared" si="1520"/>
        <v>3</v>
      </c>
      <c r="O1249" s="451">
        <f t="shared" si="1521"/>
        <v>-5</v>
      </c>
      <c r="P1249" s="433">
        <f t="shared" si="1522"/>
        <v>0</v>
      </c>
      <c r="Q1249" s="416">
        <f>WEEKNUM(tblResultadosNBA[[#This Row],[Fecha]],2)</f>
        <v>17</v>
      </c>
      <c r="R1249" s="416" t="str">
        <f>TEXT(tblResultadosNBA[[#This Row],[Fecha]],"mmm")</f>
        <v>abr</v>
      </c>
    </row>
    <row r="1250" spans="1:18">
      <c r="A1250" s="439">
        <v>46133</v>
      </c>
      <c r="B1250" s="422" t="s">
        <v>417</v>
      </c>
      <c r="C1250" s="341" t="str">
        <f>LEFT(B1250,FIND("@",B1250)-2)</f>
        <v>Philadelphia 76ers</v>
      </c>
      <c r="D1250" s="341">
        <v>109</v>
      </c>
      <c r="E1250" s="342">
        <v>111</v>
      </c>
      <c r="F1250" s="333">
        <f>IF(E1250&gt;D1250, 1, 0)</f>
        <v>1</v>
      </c>
      <c r="G1250" s="341" t="str">
        <f>MID(B1250,FIND("@",B1250)+2,LEN(B1250)-FIND("@",B1250)-1)</f>
        <v>Boston Celtics</v>
      </c>
      <c r="H1250" s="341">
        <v>119</v>
      </c>
      <c r="I1250" s="342">
        <v>97</v>
      </c>
      <c r="J1250" s="333">
        <f>IF(I1250&gt;H1250, 1, 0)</f>
        <v>0</v>
      </c>
      <c r="K1250" s="341">
        <f>+D1250+H1250</f>
        <v>228</v>
      </c>
      <c r="L1250" s="342">
        <f>E1250+I1250</f>
        <v>208</v>
      </c>
      <c r="M1250" s="333">
        <f>IF(L1250&gt;K1250, 1, 0)</f>
        <v>0</v>
      </c>
      <c r="N1250" s="343">
        <f>(+H1250-D1250)</f>
        <v>10</v>
      </c>
      <c r="O1250" s="449">
        <f>I1250-E1250</f>
        <v>-14</v>
      </c>
      <c r="P1250">
        <f>IF(OR(AND(N1250&gt;0,O1250&gt;0),AND(N1250&lt;0,O1250&lt;0)),1,0)</f>
        <v>0</v>
      </c>
      <c r="Q1250" s="416">
        <f>WEEKNUM(tblResultadosNBA[[#This Row],[Fecha]],2)</f>
        <v>17</v>
      </c>
      <c r="R1250" s="416" t="str">
        <f>TEXT(tblResultadosNBA[[#This Row],[Fecha]],"mmm")</f>
        <v>abr</v>
      </c>
    </row>
    <row r="1251" spans="1:18">
      <c r="A1251" s="419">
        <v>46133</v>
      </c>
      <c r="B1251" s="302" t="s">
        <v>262</v>
      </c>
      <c r="C1251" s="177" t="str">
        <f t="shared" ref="C1251:C1252" si="1523">LEFT(B1251,FIND("@",B1251)-2)</f>
        <v>Portland Trail Blazers</v>
      </c>
      <c r="D1251" s="177">
        <v>114</v>
      </c>
      <c r="E1251" s="336">
        <v>106</v>
      </c>
      <c r="F1251" s="327">
        <f t="shared" ref="F1251:F1252" si="1524">IF(E1251&gt;D1251, 1, 0)</f>
        <v>0</v>
      </c>
      <c r="G1251" s="177" t="str">
        <f t="shared" ref="G1251:G1252" si="1525">MID(B1251,FIND("@",B1251)+2,LEN(B1251)-FIND("@",B1251)-1)</f>
        <v>San Antonio Spurs</v>
      </c>
      <c r="H1251" s="177">
        <v>120</v>
      </c>
      <c r="I1251" s="336">
        <v>103</v>
      </c>
      <c r="J1251" s="327">
        <f t="shared" ref="J1251:J1252" si="1526">IF(I1251&gt;H1251, 1, 0)</f>
        <v>0</v>
      </c>
      <c r="K1251" s="177">
        <f t="shared" ref="K1251:K1252" si="1527">+D1251+H1251</f>
        <v>234</v>
      </c>
      <c r="L1251" s="336">
        <f t="shared" ref="L1251:L1252" si="1528">E1251+I1251</f>
        <v>209</v>
      </c>
      <c r="M1251" s="327">
        <f t="shared" ref="M1251:M1252" si="1529">IF(L1251&gt;K1251, 1, 0)</f>
        <v>0</v>
      </c>
      <c r="N1251" s="337">
        <f t="shared" ref="N1251:N1252" si="1530">(+H1251-D1251)</f>
        <v>6</v>
      </c>
      <c r="O1251" s="395">
        <f t="shared" ref="O1251:O1252" si="1531">I1251-E1251</f>
        <v>-3</v>
      </c>
      <c r="P1251">
        <f t="shared" ref="P1251:P1252" si="1532">IF(OR(AND(N1251&gt;0,O1251&gt;0),AND(N1251&lt;0,O1251&lt;0)),1,0)</f>
        <v>0</v>
      </c>
      <c r="Q1251" s="416">
        <f>WEEKNUM(tblResultadosNBA[[#This Row],[Fecha]],2)</f>
        <v>17</v>
      </c>
      <c r="R1251" s="416" t="str">
        <f>TEXT(tblResultadosNBA[[#This Row],[Fecha]],"mmm")</f>
        <v>abr</v>
      </c>
    </row>
    <row r="1252" spans="1:18">
      <c r="A1252" s="445">
        <v>46133</v>
      </c>
      <c r="B1252" s="331" t="s">
        <v>226</v>
      </c>
      <c r="C1252" s="286" t="str">
        <f t="shared" si="1523"/>
        <v>Houston Rockets</v>
      </c>
      <c r="D1252" s="286">
        <v>114</v>
      </c>
      <c r="E1252" s="431">
        <v>94</v>
      </c>
      <c r="F1252" s="332">
        <f t="shared" si="1524"/>
        <v>0</v>
      </c>
      <c r="G1252" s="286" t="str">
        <f t="shared" si="1525"/>
        <v>Los Angeles Lakers</v>
      </c>
      <c r="H1252" s="286">
        <v>115</v>
      </c>
      <c r="I1252" s="431">
        <v>101</v>
      </c>
      <c r="J1252" s="332">
        <f t="shared" si="1526"/>
        <v>0</v>
      </c>
      <c r="K1252" s="286">
        <f t="shared" si="1527"/>
        <v>229</v>
      </c>
      <c r="L1252" s="431">
        <f t="shared" si="1528"/>
        <v>195</v>
      </c>
      <c r="M1252" s="332">
        <f t="shared" si="1529"/>
        <v>0</v>
      </c>
      <c r="N1252" s="432">
        <f t="shared" si="1530"/>
        <v>1</v>
      </c>
      <c r="O1252" s="451">
        <f t="shared" si="1531"/>
        <v>7</v>
      </c>
      <c r="P1252" s="433">
        <f t="shared" si="1532"/>
        <v>1</v>
      </c>
      <c r="Q1252" s="416">
        <f>WEEKNUM(tblResultadosNBA[[#This Row],[Fecha]],2)</f>
        <v>17</v>
      </c>
      <c r="R1252" s="416" t="str">
        <f>TEXT(tblResultadosNBA[[#This Row],[Fecha]],"mmm")</f>
        <v>abr</v>
      </c>
    </row>
    <row r="1253" spans="1:18">
      <c r="A1253" s="439">
        <v>46134</v>
      </c>
      <c r="B1253" s="422" t="s">
        <v>113</v>
      </c>
      <c r="C1253" s="341" t="str">
        <f>LEFT(B1253,FIND("@",B1253)-2)</f>
        <v>Orlando Magic</v>
      </c>
      <c r="D1253" s="341">
        <v>111</v>
      </c>
      <c r="E1253" s="342">
        <v>83</v>
      </c>
      <c r="F1253" s="333">
        <f>IF(E1253&gt;D1253, 1, 0)</f>
        <v>0</v>
      </c>
      <c r="G1253" s="341" t="str">
        <f>MID(B1253,FIND("@",B1253)+2,LEN(B1253)-FIND("@",B1253)-1)</f>
        <v>Detroit Pistons</v>
      </c>
      <c r="H1253" s="341">
        <v>114</v>
      </c>
      <c r="I1253" s="342">
        <v>98</v>
      </c>
      <c r="J1253" s="333">
        <f>IF(I1253&gt;H1253, 1, 0)</f>
        <v>0</v>
      </c>
      <c r="K1253" s="341">
        <f>+D1253+H1253</f>
        <v>225</v>
      </c>
      <c r="L1253" s="342">
        <f>E1253+I1253</f>
        <v>181</v>
      </c>
      <c r="M1253" s="333">
        <f>IF(L1253&gt;K1253, 1, 0)</f>
        <v>0</v>
      </c>
      <c r="N1253" s="343">
        <f>(+H1253-D1253)</f>
        <v>3</v>
      </c>
      <c r="O1253" s="449">
        <f>I1253-E1253</f>
        <v>15</v>
      </c>
      <c r="P1253">
        <f>IF(OR(AND(N1253&gt;0,O1253&gt;0),AND(N1253&lt;0,O1253&lt;0)),1,0)</f>
        <v>1</v>
      </c>
      <c r="Q1253" s="416">
        <f>WEEKNUM(tblResultadosNBA[[#This Row],[Fecha]],2)</f>
        <v>17</v>
      </c>
      <c r="R1253" s="416" t="str">
        <f>TEXT(tblResultadosNBA[[#This Row],[Fecha]],"mmm")</f>
        <v>abr</v>
      </c>
    </row>
    <row r="1254" spans="1:18">
      <c r="A1254" s="445">
        <v>46134</v>
      </c>
      <c r="B1254" s="331" t="s">
        <v>586</v>
      </c>
      <c r="C1254" s="286" t="str">
        <f>LEFT(B1254,FIND("@",B1254)-2)</f>
        <v>Phoenix Suns</v>
      </c>
      <c r="D1254" s="286">
        <v>110</v>
      </c>
      <c r="E1254" s="431">
        <v>107</v>
      </c>
      <c r="F1254" s="332">
        <f>IF(E1254&gt;D1254, 1, 0)</f>
        <v>0</v>
      </c>
      <c r="G1254" s="286" t="str">
        <f>MID(B1254,FIND("@",B1254)+2,LEN(B1254)-FIND("@",B1254)-1)</f>
        <v>Oklahoma City Thunder</v>
      </c>
      <c r="H1254" s="286">
        <v>118</v>
      </c>
      <c r="I1254" s="431">
        <v>120</v>
      </c>
      <c r="J1254" s="332">
        <f>IF(I1254&gt;H1254, 1, 0)</f>
        <v>1</v>
      </c>
      <c r="K1254" s="286">
        <f>+D1254+H1254</f>
        <v>228</v>
      </c>
      <c r="L1254" s="431">
        <f>E1254+I1254</f>
        <v>227</v>
      </c>
      <c r="M1254" s="332">
        <f>IF(L1254&gt;K1254, 1, 0)</f>
        <v>0</v>
      </c>
      <c r="N1254" s="432">
        <f>(+H1254-D1254)</f>
        <v>8</v>
      </c>
      <c r="O1254" s="451">
        <f>I1254-E1254</f>
        <v>13</v>
      </c>
      <c r="P1254" s="433">
        <f>IF(OR(AND(N1254&gt;0,O1254&gt;0),AND(N1254&lt;0,O1254&lt;0)),1,0)</f>
        <v>1</v>
      </c>
      <c r="Q1254" s="416">
        <f>WEEKNUM(tblResultadosNBA[[#This Row],[Fecha]],2)</f>
        <v>17</v>
      </c>
      <c r="R1254" s="416" t="str">
        <f>TEXT(tblResultadosNBA[[#This Row],[Fecha]],"mmm")</f>
        <v>abr</v>
      </c>
    </row>
    <row r="1255" spans="1:18">
      <c r="A1255" s="439">
        <v>46135</v>
      </c>
      <c r="B1255" s="422" t="s">
        <v>234</v>
      </c>
      <c r="C1255" s="341" t="str">
        <f>LEFT(B1255,FIND("@",B1255)-2)</f>
        <v>New York Knicks</v>
      </c>
      <c r="D1255" s="341">
        <v>113</v>
      </c>
      <c r="E1255" s="342">
        <v>108</v>
      </c>
      <c r="F1255" s="333">
        <f>IF(E1255&gt;D1255, 1, 0)</f>
        <v>0</v>
      </c>
      <c r="G1255" s="341" t="str">
        <f>MID(B1255,FIND("@",B1255)+2,LEN(B1255)-FIND("@",B1255)-1)</f>
        <v>Atlanta Hawks</v>
      </c>
      <c r="H1255" s="341">
        <v>114</v>
      </c>
      <c r="I1255" s="342">
        <v>109</v>
      </c>
      <c r="J1255" s="333">
        <f>IF(I1255&gt;H1255, 1, 0)</f>
        <v>0</v>
      </c>
      <c r="K1255" s="341">
        <f>+D1255+H1255</f>
        <v>227</v>
      </c>
      <c r="L1255" s="342">
        <f>E1255+I1255</f>
        <v>217</v>
      </c>
      <c r="M1255" s="333">
        <f>IF(L1255&gt;K1255, 1, 0)</f>
        <v>0</v>
      </c>
      <c r="N1255" s="343">
        <f>(+H1255-D1255)</f>
        <v>1</v>
      </c>
      <c r="O1255" s="449">
        <f>I1255-E1255</f>
        <v>1</v>
      </c>
      <c r="P1255">
        <f>IF(OR(AND(N1255&gt;0,O1255&gt;0),AND(N1255&lt;0,O1255&lt;0)),1,0)</f>
        <v>1</v>
      </c>
      <c r="Q1255" s="416">
        <f>WEEKNUM(tblResultadosNBA[[#This Row],[Fecha]],2)</f>
        <v>17</v>
      </c>
      <c r="R1255" s="416" t="str">
        <f>TEXT(tblResultadosNBA[[#This Row],[Fecha]],"mmm")</f>
        <v>abr</v>
      </c>
    </row>
    <row r="1256" spans="1:18">
      <c r="A1256" s="419">
        <v>46135</v>
      </c>
      <c r="B1256" s="302" t="s">
        <v>590</v>
      </c>
      <c r="C1256" s="177" t="str">
        <f t="shared" ref="C1256:C1257" si="1533">LEFT(B1256,FIND("@",B1256)-2)</f>
        <v>Cleveland Cavaliers</v>
      </c>
      <c r="D1256" s="177">
        <v>113</v>
      </c>
      <c r="E1256" s="336">
        <v>104</v>
      </c>
      <c r="F1256" s="327">
        <f t="shared" ref="F1256:F1257" si="1534">IF(E1256&gt;D1256, 1, 0)</f>
        <v>0</v>
      </c>
      <c r="G1256" s="177" t="str">
        <f t="shared" ref="G1256:G1257" si="1535">MID(B1256,FIND("@",B1256)+2,LEN(B1256)-FIND("@",B1256)-1)</f>
        <v>Toronto Raptors</v>
      </c>
      <c r="H1256" s="177">
        <v>113</v>
      </c>
      <c r="I1256" s="336">
        <v>126</v>
      </c>
      <c r="J1256" s="327">
        <f t="shared" ref="J1256:J1257" si="1536">IF(I1256&gt;H1256, 1, 0)</f>
        <v>1</v>
      </c>
      <c r="K1256" s="177">
        <f t="shared" ref="K1256:K1257" si="1537">+D1256+H1256</f>
        <v>226</v>
      </c>
      <c r="L1256" s="336">
        <f t="shared" ref="L1256:L1257" si="1538">E1256+I1256</f>
        <v>230</v>
      </c>
      <c r="M1256" s="327">
        <f t="shared" ref="M1256:M1257" si="1539">IF(L1256&gt;K1256, 1, 0)</f>
        <v>1</v>
      </c>
      <c r="N1256" s="337">
        <f t="shared" ref="N1256:N1257" si="1540">(+H1256-D1256)</f>
        <v>0</v>
      </c>
      <c r="O1256" s="395">
        <f t="shared" ref="O1256:O1257" si="1541">I1256-E1256</f>
        <v>22</v>
      </c>
      <c r="P1256">
        <f t="shared" ref="P1256:P1257" si="1542">IF(OR(AND(N1256&gt;0,O1256&gt;0),AND(N1256&lt;0,O1256&lt;0)),1,0)</f>
        <v>0</v>
      </c>
      <c r="Q1256" s="416">
        <f>WEEKNUM(tblResultadosNBA[[#This Row],[Fecha]],2)</f>
        <v>17</v>
      </c>
      <c r="R1256" s="416" t="str">
        <f>TEXT(tblResultadosNBA[[#This Row],[Fecha]],"mmm")</f>
        <v>abr</v>
      </c>
    </row>
    <row r="1257" spans="1:18">
      <c r="A1257" s="445">
        <v>46135</v>
      </c>
      <c r="B1257" s="331" t="s">
        <v>591</v>
      </c>
      <c r="C1257" s="286" t="str">
        <f t="shared" si="1533"/>
        <v>Denver Nuggets</v>
      </c>
      <c r="D1257" s="286">
        <v>114</v>
      </c>
      <c r="E1257" s="431">
        <v>96</v>
      </c>
      <c r="F1257" s="332">
        <f t="shared" si="1534"/>
        <v>0</v>
      </c>
      <c r="G1257" s="286" t="str">
        <f t="shared" si="1535"/>
        <v>Minnesota Timberwolves</v>
      </c>
      <c r="H1257" s="286">
        <v>114</v>
      </c>
      <c r="I1257" s="431">
        <v>113</v>
      </c>
      <c r="J1257" s="332">
        <f t="shared" si="1536"/>
        <v>0</v>
      </c>
      <c r="K1257" s="286">
        <f t="shared" si="1537"/>
        <v>228</v>
      </c>
      <c r="L1257" s="431">
        <f t="shared" si="1538"/>
        <v>209</v>
      </c>
      <c r="M1257" s="332">
        <f t="shared" si="1539"/>
        <v>0</v>
      </c>
      <c r="N1257" s="432">
        <f t="shared" si="1540"/>
        <v>0</v>
      </c>
      <c r="O1257" s="451">
        <f t="shared" si="1541"/>
        <v>17</v>
      </c>
      <c r="P1257" s="433">
        <f t="shared" si="1542"/>
        <v>0</v>
      </c>
      <c r="Q1257" s="416">
        <f>WEEKNUM(tblResultadosNBA[[#This Row],[Fecha]],2)</f>
        <v>17</v>
      </c>
      <c r="R1257" s="416" t="str">
        <f>TEXT(tblResultadosNBA[[#This Row],[Fecha]],"mmm")</f>
        <v>abr</v>
      </c>
    </row>
    <row r="1258" spans="1:18">
      <c r="A1258" s="439">
        <v>46136</v>
      </c>
      <c r="B1258" s="422" t="s">
        <v>592</v>
      </c>
      <c r="C1258" s="341" t="str">
        <f>LEFT(B1258,FIND("@",B1258)-2)</f>
        <v>Boston Celtics</v>
      </c>
      <c r="D1258" s="341">
        <v>113</v>
      </c>
      <c r="E1258" s="342">
        <v>108</v>
      </c>
      <c r="F1258" s="333">
        <f>IF(E1258&gt;D1258, 1, 0)</f>
        <v>0</v>
      </c>
      <c r="G1258" s="341" t="str">
        <f>MID(B1258,FIND("@",B1258)+2,LEN(B1258)-FIND("@",B1258)-1)</f>
        <v>Philadelphia 76ers</v>
      </c>
      <c r="H1258" s="341">
        <v>107</v>
      </c>
      <c r="I1258" s="342">
        <v>100</v>
      </c>
      <c r="J1258" s="333">
        <f>IF(I1258&gt;H1258, 1, 0)</f>
        <v>0</v>
      </c>
      <c r="K1258" s="341">
        <f>+D1258+H1258</f>
        <v>220</v>
      </c>
      <c r="L1258" s="342">
        <f>E1258+I1258</f>
        <v>208</v>
      </c>
      <c r="M1258" s="333">
        <f>IF(L1258&gt;K1258, 1, 0)</f>
        <v>0</v>
      </c>
      <c r="N1258" s="343">
        <f>(+H1258-D1258)</f>
        <v>-6</v>
      </c>
      <c r="O1258" s="449">
        <f>I1258-E1258</f>
        <v>-8</v>
      </c>
      <c r="P1258">
        <f>IF(OR(AND(N1258&gt;0,O1258&gt;0),AND(N1258&lt;0,O1258&lt;0)),1,0)</f>
        <v>1</v>
      </c>
      <c r="Q1258" s="416">
        <f>WEEKNUM(tblResultadosNBA[[#This Row],[Fecha]],2)</f>
        <v>17</v>
      </c>
      <c r="R1258" s="416" t="str">
        <f>TEXT(tblResultadosNBA[[#This Row],[Fecha]],"mmm")</f>
        <v>abr</v>
      </c>
    </row>
    <row r="1259" spans="1:18">
      <c r="A1259" s="419">
        <v>46136</v>
      </c>
      <c r="B1259" s="302" t="s">
        <v>476</v>
      </c>
      <c r="C1259" s="177" t="str">
        <f t="shared" ref="C1259:C1260" si="1543">LEFT(B1259,FIND("@",B1259)-2)</f>
        <v>Los Angeles Lakers</v>
      </c>
      <c r="D1259" s="177">
        <v>116</v>
      </c>
      <c r="E1259" s="336">
        <v>112</v>
      </c>
      <c r="F1259" s="327">
        <f t="shared" ref="F1259:F1260" si="1544">IF(E1259&gt;D1259, 1, 0)</f>
        <v>0</v>
      </c>
      <c r="G1259" s="177" t="str">
        <f t="shared" ref="G1259:G1260" si="1545">MID(B1259,FIND("@",B1259)+2,LEN(B1259)-FIND("@",B1259)-1)</f>
        <v>Houston Rockets</v>
      </c>
      <c r="H1259" s="177">
        <v>116</v>
      </c>
      <c r="I1259" s="336">
        <v>108</v>
      </c>
      <c r="J1259" s="327">
        <f t="shared" ref="J1259:J1260" si="1546">IF(I1259&gt;H1259, 1, 0)</f>
        <v>0</v>
      </c>
      <c r="K1259" s="177">
        <f t="shared" ref="K1259:K1260" si="1547">+D1259+H1259</f>
        <v>232</v>
      </c>
      <c r="L1259" s="336">
        <f t="shared" ref="L1259:L1260" si="1548">E1259+I1259</f>
        <v>220</v>
      </c>
      <c r="M1259" s="327">
        <f t="shared" ref="M1259:M1260" si="1549">IF(L1259&gt;K1259, 1, 0)</f>
        <v>0</v>
      </c>
      <c r="N1259" s="337">
        <f t="shared" ref="N1259:N1260" si="1550">(+H1259-D1259)</f>
        <v>0</v>
      </c>
      <c r="O1259" s="395">
        <f t="shared" ref="O1259:O1260" si="1551">I1259-E1259</f>
        <v>-4</v>
      </c>
      <c r="P1259">
        <f t="shared" ref="P1259:P1260" si="1552">IF(OR(AND(N1259&gt;0,O1259&gt;0),AND(N1259&lt;0,O1259&lt;0)),1,0)</f>
        <v>0</v>
      </c>
      <c r="Q1259" s="416">
        <f>WEEKNUM(tblResultadosNBA[[#This Row],[Fecha]],2)</f>
        <v>17</v>
      </c>
      <c r="R1259" s="416" t="str">
        <f>TEXT(tblResultadosNBA[[#This Row],[Fecha]],"mmm")</f>
        <v>abr</v>
      </c>
    </row>
    <row r="1260" spans="1:18">
      <c r="A1260" s="445">
        <v>46136</v>
      </c>
      <c r="B1260" s="331" t="s">
        <v>594</v>
      </c>
      <c r="C1260" s="286" t="str">
        <f t="shared" si="1543"/>
        <v>San Antonio Spurs</v>
      </c>
      <c r="D1260" s="286">
        <v>122</v>
      </c>
      <c r="E1260" s="431">
        <v>120</v>
      </c>
      <c r="F1260" s="332">
        <f t="shared" si="1544"/>
        <v>0</v>
      </c>
      <c r="G1260" s="286" t="str">
        <f t="shared" si="1545"/>
        <v>Portland Trail Blazers</v>
      </c>
      <c r="H1260" s="286">
        <v>114</v>
      </c>
      <c r="I1260" s="431">
        <v>108</v>
      </c>
      <c r="J1260" s="332">
        <f t="shared" si="1546"/>
        <v>0</v>
      </c>
      <c r="K1260" s="286">
        <f t="shared" si="1547"/>
        <v>236</v>
      </c>
      <c r="L1260" s="431">
        <f t="shared" si="1548"/>
        <v>228</v>
      </c>
      <c r="M1260" s="332">
        <f t="shared" si="1549"/>
        <v>0</v>
      </c>
      <c r="N1260" s="432">
        <f t="shared" si="1550"/>
        <v>-8</v>
      </c>
      <c r="O1260" s="451">
        <f t="shared" si="1551"/>
        <v>-12</v>
      </c>
      <c r="P1260" s="433">
        <f t="shared" si="1552"/>
        <v>1</v>
      </c>
      <c r="Q1260" s="416">
        <f>WEEKNUM(tblResultadosNBA[[#This Row],[Fecha]],2)</f>
        <v>17</v>
      </c>
      <c r="R1260" s="416" t="str">
        <f>TEXT(tblResultadosNBA[[#This Row],[Fecha]],"mmm")</f>
        <v>abr</v>
      </c>
    </row>
    <row r="1261" spans="1:18">
      <c r="A1261" s="439">
        <v>46137</v>
      </c>
      <c r="B1261" s="422" t="s">
        <v>416</v>
      </c>
      <c r="C1261" s="341" t="str">
        <f>LEFT(B1261,FIND("@",B1261)-2)</f>
        <v>Detroit Pistons</v>
      </c>
      <c r="D1261" s="341">
        <v>114</v>
      </c>
      <c r="E1261" s="342">
        <v>105</v>
      </c>
      <c r="F1261" s="333">
        <f>IF(E1261&gt;D1261, 1, 0)</f>
        <v>0</v>
      </c>
      <c r="G1261" s="341" t="str">
        <f>MID(B1261,FIND("@",B1261)+2,LEN(B1261)-FIND("@",B1261)-1)</f>
        <v>Orlando Magic</v>
      </c>
      <c r="H1261" s="341">
        <v>109</v>
      </c>
      <c r="I1261" s="342">
        <v>113</v>
      </c>
      <c r="J1261" s="333">
        <f>IF(I1261&gt;H1261, 1, 0)</f>
        <v>1</v>
      </c>
      <c r="K1261" s="341">
        <f>+D1261+H1261</f>
        <v>223</v>
      </c>
      <c r="L1261" s="342">
        <f>E1261+I1261</f>
        <v>218</v>
      </c>
      <c r="M1261" s="333">
        <f>IF(L1261&gt;K1261, 1, 0)</f>
        <v>0</v>
      </c>
      <c r="N1261" s="343">
        <f>(+H1261-D1261)</f>
        <v>-5</v>
      </c>
      <c r="O1261" s="449">
        <f>I1261-E1261</f>
        <v>8</v>
      </c>
      <c r="P1261">
        <f>IF(OR(AND(N1261&gt;0,O1261&gt;0),AND(N1261&lt;0,O1261&lt;0)),1,0)</f>
        <v>0</v>
      </c>
      <c r="Q1261" s="416">
        <f>WEEKNUM(tblResultadosNBA[[#This Row],[Fecha]],2)</f>
        <v>17</v>
      </c>
      <c r="R1261" s="416" t="str">
        <f>TEXT(tblResultadosNBA[[#This Row],[Fecha]],"mmm")</f>
        <v>abr</v>
      </c>
    </row>
    <row r="1262" spans="1:18">
      <c r="A1262" s="419">
        <v>46137</v>
      </c>
      <c r="B1262" s="302" t="s">
        <v>595</v>
      </c>
      <c r="C1262" s="177" t="str">
        <f t="shared" ref="C1262:C1264" si="1553">LEFT(B1262,FIND("@",B1262)-2)</f>
        <v>Oklahoma City Thunder</v>
      </c>
      <c r="D1262" s="177">
        <v>112</v>
      </c>
      <c r="E1262" s="336">
        <v>121</v>
      </c>
      <c r="F1262" s="327">
        <f t="shared" ref="F1262:F1264" si="1554">IF(E1262&gt;D1262, 1, 0)</f>
        <v>1</v>
      </c>
      <c r="G1262" s="177" t="str">
        <f t="shared" ref="G1262:G1264" si="1555">MID(B1262,FIND("@",B1262)+2,LEN(B1262)-FIND("@",B1262)-1)</f>
        <v>Phoenix Suns</v>
      </c>
      <c r="H1262" s="177">
        <v>110</v>
      </c>
      <c r="I1262" s="336">
        <v>109</v>
      </c>
      <c r="J1262" s="327">
        <f t="shared" ref="J1262:J1264" si="1556">IF(I1262&gt;H1262, 1, 0)</f>
        <v>0</v>
      </c>
      <c r="K1262" s="177">
        <f t="shared" ref="K1262:K1264" si="1557">+D1262+H1262</f>
        <v>222</v>
      </c>
      <c r="L1262" s="336">
        <f t="shared" ref="L1262:L1264" si="1558">E1262+I1262</f>
        <v>230</v>
      </c>
      <c r="M1262" s="327">
        <f t="shared" ref="M1262:M1264" si="1559">IF(L1262&gt;K1262, 1, 0)</f>
        <v>1</v>
      </c>
      <c r="N1262" s="337">
        <f t="shared" ref="N1262:N1264" si="1560">(+H1262-D1262)</f>
        <v>-2</v>
      </c>
      <c r="O1262" s="395">
        <f t="shared" ref="O1262:O1264" si="1561">I1262-E1262</f>
        <v>-12</v>
      </c>
      <c r="P1262">
        <f t="shared" ref="P1262:P1264" si="1562">IF(OR(AND(N1262&gt;0,O1262&gt;0),AND(N1262&lt;0,O1262&lt;0)),1,0)</f>
        <v>1</v>
      </c>
      <c r="Q1262" s="416">
        <f>WEEKNUM(tblResultadosNBA[[#This Row],[Fecha]],2)</f>
        <v>17</v>
      </c>
      <c r="R1262" s="416" t="str">
        <f>TEXT(tblResultadosNBA[[#This Row],[Fecha]],"mmm")</f>
        <v>abr</v>
      </c>
    </row>
    <row r="1263" spans="1:18">
      <c r="A1263" s="419">
        <v>46137</v>
      </c>
      <c r="B1263" s="302" t="s">
        <v>234</v>
      </c>
      <c r="C1263" s="177" t="str">
        <f t="shared" si="1553"/>
        <v>New York Knicks</v>
      </c>
      <c r="D1263" s="177">
        <v>115</v>
      </c>
      <c r="E1263" s="336">
        <v>114</v>
      </c>
      <c r="F1263" s="327">
        <f t="shared" si="1554"/>
        <v>0</v>
      </c>
      <c r="G1263" s="177" t="str">
        <f t="shared" si="1555"/>
        <v>Atlanta Hawks</v>
      </c>
      <c r="H1263" s="177">
        <v>116</v>
      </c>
      <c r="I1263" s="336">
        <v>98</v>
      </c>
      <c r="J1263" s="327">
        <f t="shared" si="1556"/>
        <v>0</v>
      </c>
      <c r="K1263" s="177">
        <f t="shared" si="1557"/>
        <v>231</v>
      </c>
      <c r="L1263" s="336">
        <f t="shared" si="1558"/>
        <v>212</v>
      </c>
      <c r="M1263" s="327">
        <f t="shared" si="1559"/>
        <v>0</v>
      </c>
      <c r="N1263" s="337">
        <f t="shared" si="1560"/>
        <v>1</v>
      </c>
      <c r="O1263" s="395">
        <f t="shared" si="1561"/>
        <v>-16</v>
      </c>
      <c r="P1263">
        <f t="shared" si="1562"/>
        <v>0</v>
      </c>
      <c r="Q1263" s="416">
        <f>WEEKNUM(tblResultadosNBA[[#This Row],[Fecha]],2)</f>
        <v>17</v>
      </c>
      <c r="R1263" s="416" t="str">
        <f>TEXT(tblResultadosNBA[[#This Row],[Fecha]],"mmm")</f>
        <v>abr</v>
      </c>
    </row>
    <row r="1264" spans="1:18">
      <c r="A1264" s="445">
        <v>46137</v>
      </c>
      <c r="B1264" s="331" t="s">
        <v>591</v>
      </c>
      <c r="C1264" s="286" t="str">
        <f t="shared" si="1553"/>
        <v>Denver Nuggets</v>
      </c>
      <c r="D1264" s="286">
        <v>115</v>
      </c>
      <c r="E1264" s="431">
        <v>96</v>
      </c>
      <c r="F1264" s="332">
        <f t="shared" si="1554"/>
        <v>0</v>
      </c>
      <c r="G1264" s="286" t="str">
        <f t="shared" si="1555"/>
        <v>Minnesota Timberwolves</v>
      </c>
      <c r="H1264" s="286">
        <v>116</v>
      </c>
      <c r="I1264" s="431">
        <v>112</v>
      </c>
      <c r="J1264" s="332">
        <f t="shared" si="1556"/>
        <v>0</v>
      </c>
      <c r="K1264" s="286">
        <f t="shared" si="1557"/>
        <v>231</v>
      </c>
      <c r="L1264" s="431">
        <f t="shared" si="1558"/>
        <v>208</v>
      </c>
      <c r="M1264" s="332">
        <f t="shared" si="1559"/>
        <v>0</v>
      </c>
      <c r="N1264" s="432">
        <f t="shared" si="1560"/>
        <v>1</v>
      </c>
      <c r="O1264" s="451">
        <f t="shared" si="1561"/>
        <v>16</v>
      </c>
      <c r="P1264" s="433">
        <f t="shared" si="1562"/>
        <v>1</v>
      </c>
      <c r="Q1264" s="416">
        <f>WEEKNUM(tblResultadosNBA[[#This Row],[Fecha]],2)</f>
        <v>17</v>
      </c>
      <c r="R1264" s="416" t="str">
        <f>TEXT(tblResultadosNBA[[#This Row],[Fecha]],"mmm")</f>
        <v>abr</v>
      </c>
    </row>
    <row r="1265" spans="1:18">
      <c r="A1265" s="439">
        <v>46138</v>
      </c>
      <c r="B1265" s="422" t="s">
        <v>590</v>
      </c>
      <c r="C1265" s="341" t="str">
        <f>LEFT(B1265,FIND("@",B1265)-2)</f>
        <v>Cleveland Cavaliers</v>
      </c>
      <c r="D1265" s="341">
        <v>112</v>
      </c>
      <c r="E1265" s="342">
        <v>89</v>
      </c>
      <c r="F1265" s="333">
        <f>IF(E1265&gt;D1265, 1, 0)</f>
        <v>0</v>
      </c>
      <c r="G1265" s="341" t="str">
        <f>MID(B1265,FIND("@",B1265)+2,LEN(B1265)-FIND("@",B1265)-1)</f>
        <v>Toronto Raptors</v>
      </c>
      <c r="H1265" s="341">
        <v>115</v>
      </c>
      <c r="I1265" s="342">
        <v>93</v>
      </c>
      <c r="J1265" s="333">
        <f>IF(I1265&gt;H1265, 1, 0)</f>
        <v>0</v>
      </c>
      <c r="K1265" s="341">
        <f>+D1265+H1265</f>
        <v>227</v>
      </c>
      <c r="L1265" s="342">
        <f>E1265+I1265</f>
        <v>182</v>
      </c>
      <c r="M1265" s="333">
        <f>IF(L1265&gt;K1265, 1, 0)</f>
        <v>0</v>
      </c>
      <c r="N1265" s="343">
        <f>(+H1265-D1265)</f>
        <v>3</v>
      </c>
      <c r="O1265" s="449">
        <f>I1265-E1265</f>
        <v>4</v>
      </c>
      <c r="P1265">
        <f>IF(OR(AND(N1265&gt;0,O1265&gt;0),AND(N1265&lt;0,O1265&lt;0)),1,0)</f>
        <v>1</v>
      </c>
      <c r="Q1265" s="416">
        <f>WEEKNUM(tblResultadosNBA[[#This Row],[Fecha]],2)</f>
        <v>17</v>
      </c>
      <c r="R1265" s="416" t="str">
        <f>TEXT(tblResultadosNBA[[#This Row],[Fecha]],"mmm")</f>
        <v>abr</v>
      </c>
    </row>
    <row r="1266" spans="1:18">
      <c r="A1266" s="419">
        <v>46138</v>
      </c>
      <c r="B1266" s="302" t="s">
        <v>594</v>
      </c>
      <c r="C1266" s="177" t="str">
        <f t="shared" ref="C1266:C1268" si="1563">LEFT(B1266,FIND("@",B1266)-2)</f>
        <v>San Antonio Spurs</v>
      </c>
      <c r="D1266" s="177">
        <v>119</v>
      </c>
      <c r="E1266" s="336">
        <v>114</v>
      </c>
      <c r="F1266" s="327">
        <f t="shared" ref="F1266:F1268" si="1564">IF(E1266&gt;D1266, 1, 0)</f>
        <v>0</v>
      </c>
      <c r="G1266" s="177" t="str">
        <f t="shared" ref="G1266:G1268" si="1565">MID(B1266,FIND("@",B1266)+2,LEN(B1266)-FIND("@",B1266)-1)</f>
        <v>Portland Trail Blazers</v>
      </c>
      <c r="H1266" s="177">
        <v>116</v>
      </c>
      <c r="I1266" s="336">
        <v>93</v>
      </c>
      <c r="J1266" s="327">
        <f t="shared" ref="J1266:J1268" si="1566">IF(I1266&gt;H1266, 1, 0)</f>
        <v>0</v>
      </c>
      <c r="K1266" s="177">
        <f t="shared" ref="K1266:K1268" si="1567">+D1266+H1266</f>
        <v>235</v>
      </c>
      <c r="L1266" s="336">
        <f t="shared" ref="L1266:L1268" si="1568">E1266+I1266</f>
        <v>207</v>
      </c>
      <c r="M1266" s="327">
        <f t="shared" ref="M1266:M1268" si="1569">IF(L1266&gt;K1266, 1, 0)</f>
        <v>0</v>
      </c>
      <c r="N1266" s="337">
        <f t="shared" ref="N1266:N1268" si="1570">(+H1266-D1266)</f>
        <v>-3</v>
      </c>
      <c r="O1266" s="395">
        <f t="shared" ref="O1266:O1268" si="1571">I1266-E1266</f>
        <v>-21</v>
      </c>
      <c r="P1266">
        <f t="shared" ref="P1266:P1268" si="1572">IF(OR(AND(N1266&gt;0,O1266&gt;0),AND(N1266&lt;0,O1266&lt;0)),1,0)</f>
        <v>1</v>
      </c>
      <c r="Q1266" s="416">
        <f>WEEKNUM(tblResultadosNBA[[#This Row],[Fecha]],2)</f>
        <v>17</v>
      </c>
      <c r="R1266" s="416" t="str">
        <f>TEXT(tblResultadosNBA[[#This Row],[Fecha]],"mmm")</f>
        <v>abr</v>
      </c>
    </row>
    <row r="1267" spans="1:18">
      <c r="A1267" s="419">
        <v>46138</v>
      </c>
      <c r="B1267" s="302" t="s">
        <v>592</v>
      </c>
      <c r="C1267" s="177" t="str">
        <f t="shared" si="1563"/>
        <v>Boston Celtics</v>
      </c>
      <c r="D1267" s="177">
        <v>113</v>
      </c>
      <c r="E1267" s="336">
        <v>128</v>
      </c>
      <c r="F1267" s="327">
        <f t="shared" si="1564"/>
        <v>1</v>
      </c>
      <c r="G1267" s="177" t="str">
        <f t="shared" si="1565"/>
        <v>Philadelphia 76ers</v>
      </c>
      <c r="H1267" s="177">
        <v>109</v>
      </c>
      <c r="I1267" s="336">
        <v>96</v>
      </c>
      <c r="J1267" s="327">
        <f t="shared" si="1566"/>
        <v>0</v>
      </c>
      <c r="K1267" s="177">
        <f t="shared" si="1567"/>
        <v>222</v>
      </c>
      <c r="L1267" s="336">
        <f t="shared" si="1568"/>
        <v>224</v>
      </c>
      <c r="M1267" s="327">
        <f t="shared" si="1569"/>
        <v>1</v>
      </c>
      <c r="N1267" s="337">
        <f t="shared" si="1570"/>
        <v>-4</v>
      </c>
      <c r="O1267" s="395">
        <f t="shared" si="1571"/>
        <v>-32</v>
      </c>
      <c r="P1267">
        <f t="shared" si="1572"/>
        <v>1</v>
      </c>
      <c r="Q1267" s="416">
        <f>WEEKNUM(tblResultadosNBA[[#This Row],[Fecha]],2)</f>
        <v>17</v>
      </c>
      <c r="R1267" s="416" t="str">
        <f>TEXT(tblResultadosNBA[[#This Row],[Fecha]],"mmm")</f>
        <v>abr</v>
      </c>
    </row>
    <row r="1268" spans="1:18">
      <c r="A1268" s="445">
        <v>46138</v>
      </c>
      <c r="B1268" s="331" t="s">
        <v>476</v>
      </c>
      <c r="C1268" s="286" t="str">
        <f t="shared" si="1563"/>
        <v>Los Angeles Lakers</v>
      </c>
      <c r="D1268" s="286">
        <v>115</v>
      </c>
      <c r="E1268" s="431">
        <v>96</v>
      </c>
      <c r="F1268" s="332">
        <f t="shared" si="1564"/>
        <v>0</v>
      </c>
      <c r="G1268" s="286" t="str">
        <f t="shared" si="1565"/>
        <v>Houston Rockets</v>
      </c>
      <c r="H1268" s="286">
        <v>115</v>
      </c>
      <c r="I1268" s="431">
        <v>115</v>
      </c>
      <c r="J1268" s="332">
        <f t="shared" si="1566"/>
        <v>0</v>
      </c>
      <c r="K1268" s="286">
        <f t="shared" si="1567"/>
        <v>230</v>
      </c>
      <c r="L1268" s="431">
        <f t="shared" si="1568"/>
        <v>211</v>
      </c>
      <c r="M1268" s="332">
        <f t="shared" si="1569"/>
        <v>0</v>
      </c>
      <c r="N1268" s="432">
        <f t="shared" si="1570"/>
        <v>0</v>
      </c>
      <c r="O1268" s="451">
        <f t="shared" si="1571"/>
        <v>19</v>
      </c>
      <c r="P1268" s="433">
        <f t="shared" si="1572"/>
        <v>0</v>
      </c>
      <c r="Q1268" s="416">
        <f>WEEKNUM(tblResultadosNBA[[#This Row],[Fecha]],2)</f>
        <v>17</v>
      </c>
      <c r="R1268" s="416" t="str">
        <f>TEXT(tblResultadosNBA[[#This Row],[Fecha]],"mmm")</f>
        <v>abr</v>
      </c>
    </row>
    <row r="1269" spans="1:18">
      <c r="A1269" s="439">
        <v>46139</v>
      </c>
      <c r="B1269" s="422" t="s">
        <v>416</v>
      </c>
      <c r="C1269" s="341" t="str">
        <f>LEFT(B1269,FIND("@",B1269)-2)</f>
        <v>Detroit Pistons</v>
      </c>
      <c r="D1269" s="341">
        <v>113</v>
      </c>
      <c r="E1269" s="342">
        <v>88</v>
      </c>
      <c r="F1269" s="333">
        <f>IF(E1269&gt;D1269, 1, 0)</f>
        <v>0</v>
      </c>
      <c r="G1269" s="341" t="str">
        <f>MID(B1269,FIND("@",B1269)+2,LEN(B1269)-FIND("@",B1269)-1)</f>
        <v>Orlando Magic</v>
      </c>
      <c r="H1269" s="341">
        <v>109</v>
      </c>
      <c r="I1269" s="342">
        <v>94</v>
      </c>
      <c r="J1269" s="333">
        <f>IF(I1269&gt;H1269, 1, 0)</f>
        <v>0</v>
      </c>
      <c r="K1269" s="341">
        <f>+D1269+H1269</f>
        <v>222</v>
      </c>
      <c r="L1269" s="342">
        <f>E1269+I1269</f>
        <v>182</v>
      </c>
      <c r="M1269" s="333">
        <f>IF(L1269&gt;K1269, 1, 0)</f>
        <v>0</v>
      </c>
      <c r="N1269" s="343">
        <f>(+H1269-D1269)</f>
        <v>-4</v>
      </c>
      <c r="O1269" s="449">
        <f>I1269-E1269</f>
        <v>6</v>
      </c>
      <c r="P1269">
        <f>IF(OR(AND(N1269&gt;0,O1269&gt;0),AND(N1269&lt;0,O1269&lt;0)),1,0)</f>
        <v>0</v>
      </c>
      <c r="Q1269" s="416">
        <f>WEEKNUM(tblResultadosNBA[[#This Row],[Fecha]],2)</f>
        <v>18</v>
      </c>
      <c r="R1269" s="416" t="str">
        <f>TEXT(tblResultadosNBA[[#This Row],[Fecha]],"mmm")</f>
        <v>abr</v>
      </c>
    </row>
    <row r="1270" spans="1:18">
      <c r="A1270" s="419">
        <v>46139</v>
      </c>
      <c r="B1270" s="302" t="s">
        <v>595</v>
      </c>
      <c r="C1270" s="177" t="str">
        <f t="shared" ref="C1270:C1271" si="1573">LEFT(B1270,FIND("@",B1270)-2)</f>
        <v>Oklahoma City Thunder</v>
      </c>
      <c r="D1270" s="177">
        <v>113</v>
      </c>
      <c r="E1270" s="336">
        <v>131</v>
      </c>
      <c r="F1270" s="327">
        <f t="shared" ref="F1270:F1271" si="1574">IF(E1270&gt;D1270, 1, 0)</f>
        <v>1</v>
      </c>
      <c r="G1270" s="177" t="str">
        <f t="shared" ref="G1270:G1271" si="1575">MID(B1270,FIND("@",B1270)+2,LEN(B1270)-FIND("@",B1270)-1)</f>
        <v>Phoenix Suns</v>
      </c>
      <c r="H1270" s="177">
        <v>112</v>
      </c>
      <c r="I1270" s="336">
        <v>122</v>
      </c>
      <c r="J1270" s="327">
        <f t="shared" ref="J1270:J1271" si="1576">IF(I1270&gt;H1270, 1, 0)</f>
        <v>1</v>
      </c>
      <c r="K1270" s="177">
        <f t="shared" ref="K1270:K1271" si="1577">+D1270+H1270</f>
        <v>225</v>
      </c>
      <c r="L1270" s="336">
        <f t="shared" ref="L1270:L1271" si="1578">E1270+I1270</f>
        <v>253</v>
      </c>
      <c r="M1270" s="327">
        <f t="shared" ref="M1270:M1271" si="1579">IF(L1270&gt;K1270, 1, 0)</f>
        <v>1</v>
      </c>
      <c r="N1270" s="337">
        <f t="shared" ref="N1270:N1271" si="1580">(+H1270-D1270)</f>
        <v>-1</v>
      </c>
      <c r="O1270" s="395">
        <f t="shared" ref="O1270:O1271" si="1581">I1270-E1270</f>
        <v>-9</v>
      </c>
      <c r="P1270">
        <f t="shared" ref="P1270:P1271" si="1582">IF(OR(AND(N1270&gt;0,O1270&gt;0),AND(N1270&lt;0,O1270&lt;0)),1,0)</f>
        <v>1</v>
      </c>
      <c r="Q1270" s="416">
        <f>WEEKNUM(tblResultadosNBA[[#This Row],[Fecha]],2)</f>
        <v>18</v>
      </c>
      <c r="R1270" s="416" t="str">
        <f>TEXT(tblResultadosNBA[[#This Row],[Fecha]],"mmm")</f>
        <v>abr</v>
      </c>
    </row>
    <row r="1271" spans="1:18">
      <c r="A1271" s="445">
        <v>46139</v>
      </c>
      <c r="B1271" s="331" t="s">
        <v>413</v>
      </c>
      <c r="C1271" s="286" t="str">
        <f t="shared" si="1573"/>
        <v>Minnesota Timberwolves</v>
      </c>
      <c r="D1271" s="286">
        <v>115</v>
      </c>
      <c r="E1271" s="431">
        <v>113</v>
      </c>
      <c r="F1271" s="332">
        <f t="shared" si="1574"/>
        <v>0</v>
      </c>
      <c r="G1271" s="286" t="str">
        <f t="shared" si="1575"/>
        <v>Denver Nuggets</v>
      </c>
      <c r="H1271" s="286">
        <v>118</v>
      </c>
      <c r="I1271" s="431">
        <v>125</v>
      </c>
      <c r="J1271" s="332">
        <f t="shared" si="1576"/>
        <v>1</v>
      </c>
      <c r="K1271" s="286">
        <f t="shared" si="1577"/>
        <v>233</v>
      </c>
      <c r="L1271" s="431">
        <f t="shared" si="1578"/>
        <v>238</v>
      </c>
      <c r="M1271" s="332">
        <f t="shared" si="1579"/>
        <v>1</v>
      </c>
      <c r="N1271" s="432">
        <f t="shared" si="1580"/>
        <v>3</v>
      </c>
      <c r="O1271" s="451">
        <f t="shared" si="1581"/>
        <v>12</v>
      </c>
      <c r="P1271" s="433">
        <f t="shared" si="1582"/>
        <v>1</v>
      </c>
      <c r="Q1271" s="416">
        <f>WEEKNUM(tblResultadosNBA[[#This Row],[Fecha]],2)</f>
        <v>18</v>
      </c>
      <c r="R1271" s="416" t="str">
        <f>TEXT(tblResultadosNBA[[#This Row],[Fecha]],"mmm")</f>
        <v>abr</v>
      </c>
    </row>
    <row r="1272" spans="1:18">
      <c r="A1272" s="439">
        <v>46140</v>
      </c>
      <c r="B1272" s="422" t="s">
        <v>417</v>
      </c>
      <c r="C1272" s="341" t="str">
        <f>LEFT(B1272,FIND("@",B1272)-2)</f>
        <v>Philadelphia 76ers</v>
      </c>
      <c r="D1272" s="341">
        <v>108</v>
      </c>
      <c r="E1272" s="342">
        <v>113</v>
      </c>
      <c r="F1272" s="333">
        <f>IF(E1272&gt;D1272, 1, 0)</f>
        <v>1</v>
      </c>
      <c r="G1272" s="341" t="str">
        <f>MID(B1272,FIND("@",B1272)+2,LEN(B1272)-FIND("@",B1272)-1)</f>
        <v>Boston Celtics</v>
      </c>
      <c r="H1272" s="341">
        <v>119</v>
      </c>
      <c r="I1272" s="342">
        <v>97</v>
      </c>
      <c r="J1272" s="333">
        <f>IF(I1272&gt;H1272, 1, 0)</f>
        <v>0</v>
      </c>
      <c r="K1272" s="341">
        <f>+D1272+H1272</f>
        <v>227</v>
      </c>
      <c r="L1272" s="342">
        <f>E1272+I1272</f>
        <v>210</v>
      </c>
      <c r="M1272" s="333">
        <f>IF(L1272&gt;K1272, 1, 0)</f>
        <v>0</v>
      </c>
      <c r="N1272" s="343">
        <f>(+H1272-D1272)</f>
        <v>11</v>
      </c>
      <c r="O1272" s="449">
        <f>I1272-E1272</f>
        <v>-16</v>
      </c>
      <c r="P1272">
        <f>IF(OR(AND(N1272&gt;0,O1272&gt;0),AND(N1272&lt;0,O1272&lt;0)),1,0)</f>
        <v>0</v>
      </c>
      <c r="Q1272" s="416">
        <f>WEEKNUM(tblResultadosNBA[[#This Row],[Fecha]],2)</f>
        <v>18</v>
      </c>
      <c r="R1272" s="416" t="str">
        <f>TEXT(tblResultadosNBA[[#This Row],[Fecha]],"mmm")</f>
        <v>abr</v>
      </c>
    </row>
    <row r="1273" spans="1:18">
      <c r="A1273" s="419">
        <v>46140</v>
      </c>
      <c r="B1273" s="302" t="s">
        <v>260</v>
      </c>
      <c r="C1273" s="177" t="str">
        <f t="shared" ref="C1273:C1274" si="1583">LEFT(B1273,FIND("@",B1273)-2)</f>
        <v>Atlanta Hawks</v>
      </c>
      <c r="D1273" s="177">
        <v>117</v>
      </c>
      <c r="E1273" s="336">
        <v>97</v>
      </c>
      <c r="F1273" s="327">
        <f t="shared" ref="F1273:F1274" si="1584">IF(E1273&gt;D1273, 1, 0)</f>
        <v>0</v>
      </c>
      <c r="G1273" s="177" t="str">
        <f t="shared" ref="G1273:G1274" si="1585">MID(B1273,FIND("@",B1273)+2,LEN(B1273)-FIND("@",B1273)-1)</f>
        <v>New York Knicks</v>
      </c>
      <c r="H1273" s="177">
        <v>117</v>
      </c>
      <c r="I1273" s="336">
        <v>126</v>
      </c>
      <c r="J1273" s="327">
        <f t="shared" ref="J1273:J1274" si="1586">IF(I1273&gt;H1273, 1, 0)</f>
        <v>1</v>
      </c>
      <c r="K1273" s="177">
        <f t="shared" ref="K1273:K1274" si="1587">+D1273+H1273</f>
        <v>234</v>
      </c>
      <c r="L1273" s="336">
        <f t="shared" ref="L1273:L1274" si="1588">E1273+I1273</f>
        <v>223</v>
      </c>
      <c r="M1273" s="327">
        <f t="shared" ref="M1273:M1274" si="1589">IF(L1273&gt;K1273, 1, 0)</f>
        <v>0</v>
      </c>
      <c r="N1273" s="337">
        <f t="shared" ref="N1273:N1274" si="1590">(+H1273-D1273)</f>
        <v>0</v>
      </c>
      <c r="O1273" s="395">
        <f t="shared" ref="O1273:O1274" si="1591">I1273-E1273</f>
        <v>29</v>
      </c>
      <c r="P1273">
        <f t="shared" ref="P1273:P1274" si="1592">IF(OR(AND(N1273&gt;0,O1273&gt;0),AND(N1273&lt;0,O1273&lt;0)),1,0)</f>
        <v>0</v>
      </c>
      <c r="Q1273" s="416">
        <f>WEEKNUM(tblResultadosNBA[[#This Row],[Fecha]],2)</f>
        <v>18</v>
      </c>
      <c r="R1273" s="416" t="str">
        <f>TEXT(tblResultadosNBA[[#This Row],[Fecha]],"mmm")</f>
        <v>abr</v>
      </c>
    </row>
    <row r="1274" spans="1:18">
      <c r="A1274" s="445">
        <v>46140</v>
      </c>
      <c r="B1274" s="331" t="s">
        <v>262</v>
      </c>
      <c r="C1274" s="286" t="str">
        <f t="shared" si="1583"/>
        <v>Portland Trail Blazers</v>
      </c>
      <c r="D1274" s="286">
        <v>114</v>
      </c>
      <c r="E1274" s="431">
        <v>95</v>
      </c>
      <c r="F1274" s="332">
        <f t="shared" si="1584"/>
        <v>0</v>
      </c>
      <c r="G1274" s="286" t="str">
        <f t="shared" si="1585"/>
        <v>San Antonio Spurs</v>
      </c>
      <c r="H1274" s="286">
        <v>119</v>
      </c>
      <c r="I1274" s="431">
        <v>114</v>
      </c>
      <c r="J1274" s="332">
        <f t="shared" si="1586"/>
        <v>0</v>
      </c>
      <c r="K1274" s="286">
        <f t="shared" si="1587"/>
        <v>233</v>
      </c>
      <c r="L1274" s="431">
        <f t="shared" si="1588"/>
        <v>209</v>
      </c>
      <c r="M1274" s="332">
        <f t="shared" si="1589"/>
        <v>0</v>
      </c>
      <c r="N1274" s="432">
        <f t="shared" si="1590"/>
        <v>5</v>
      </c>
      <c r="O1274" s="451">
        <f t="shared" si="1591"/>
        <v>19</v>
      </c>
      <c r="P1274" s="433">
        <f t="shared" si="1592"/>
        <v>1</v>
      </c>
      <c r="Q1274" s="416">
        <f>WEEKNUM(tblResultadosNBA[[#This Row],[Fecha]],2)</f>
        <v>18</v>
      </c>
      <c r="R1274" s="416" t="str">
        <f>TEXT(tblResultadosNBA[[#This Row],[Fecha]],"mmm")</f>
        <v>abr</v>
      </c>
    </row>
    <row r="1275" spans="1:18">
      <c r="A1275" s="439">
        <v>46141</v>
      </c>
      <c r="B1275" s="422" t="s">
        <v>113</v>
      </c>
      <c r="C1275" s="341" t="str">
        <f>LEFT(B1275,FIND("@",B1275)-2)</f>
        <v>Orlando Magic</v>
      </c>
      <c r="D1275" s="341">
        <v>111</v>
      </c>
      <c r="E1275" s="342">
        <v>109</v>
      </c>
      <c r="F1275" s="333">
        <f>IF(E1275&gt;D1275, 1, 0)</f>
        <v>0</v>
      </c>
      <c r="G1275" s="341" t="str">
        <f>MID(B1275,FIND("@",B1275)+2,LEN(B1275)-FIND("@",B1275)-1)</f>
        <v>Detroit Pistons</v>
      </c>
      <c r="H1275" s="341">
        <v>115</v>
      </c>
      <c r="I1275" s="342">
        <v>116</v>
      </c>
      <c r="J1275" s="333">
        <f>IF(I1275&gt;H1275, 1, 0)</f>
        <v>1</v>
      </c>
      <c r="K1275" s="341">
        <f>+D1275+H1275</f>
        <v>226</v>
      </c>
      <c r="L1275" s="342">
        <f>E1275+I1275</f>
        <v>225</v>
      </c>
      <c r="M1275" s="333">
        <f>IF(L1275&gt;K1275, 1, 0)</f>
        <v>0</v>
      </c>
      <c r="N1275" s="343">
        <f>(+H1275-D1275)</f>
        <v>4</v>
      </c>
      <c r="O1275" s="449">
        <f>I1275-E1275</f>
        <v>7</v>
      </c>
      <c r="P1275">
        <f>IF(OR(AND(N1275&gt;0,O1275&gt;0),AND(N1275&lt;0,O1275&lt;0)),1,0)</f>
        <v>1</v>
      </c>
      <c r="Q1275" s="416">
        <f>WEEKNUM(tblResultadosNBA[[#This Row],[Fecha]],2)</f>
        <v>18</v>
      </c>
      <c r="R1275" s="416" t="str">
        <f>TEXT(tblResultadosNBA[[#This Row],[Fecha]],"mmm")</f>
        <v>abr</v>
      </c>
    </row>
    <row r="1276" spans="1:18">
      <c r="A1276" s="419">
        <v>46141</v>
      </c>
      <c r="B1276" s="302" t="s">
        <v>48</v>
      </c>
      <c r="C1276" s="177" t="str">
        <f t="shared" ref="C1276:C1277" si="1593">LEFT(B1276,FIND("@",B1276)-2)</f>
        <v>Toronto Raptors</v>
      </c>
      <c r="D1276" s="177">
        <v>112</v>
      </c>
      <c r="E1276" s="336">
        <v>120</v>
      </c>
      <c r="F1276" s="327">
        <f t="shared" ref="F1276:F1277" si="1594">IF(E1276&gt;D1276, 1, 0)</f>
        <v>1</v>
      </c>
      <c r="G1276" s="177" t="str">
        <f t="shared" ref="G1276:G1277" si="1595">MID(B1276,FIND("@",B1276)+2,LEN(B1276)-FIND("@",B1276)-1)</f>
        <v>Cleveland Cavaliers</v>
      </c>
      <c r="H1276" s="177">
        <v>114</v>
      </c>
      <c r="I1276" s="336">
        <v>125</v>
      </c>
      <c r="J1276" s="327">
        <f t="shared" ref="J1276:J1277" si="1596">IF(I1276&gt;H1276, 1, 0)</f>
        <v>1</v>
      </c>
      <c r="K1276" s="177">
        <f t="shared" ref="K1276:K1277" si="1597">+D1276+H1276</f>
        <v>226</v>
      </c>
      <c r="L1276" s="336">
        <f t="shared" ref="L1276:L1277" si="1598">E1276+I1276</f>
        <v>245</v>
      </c>
      <c r="M1276" s="327">
        <f t="shared" ref="M1276:M1277" si="1599">IF(L1276&gt;K1276, 1, 0)</f>
        <v>1</v>
      </c>
      <c r="N1276" s="337">
        <f t="shared" ref="N1276:N1277" si="1600">(+H1276-D1276)</f>
        <v>2</v>
      </c>
      <c r="O1276" s="395">
        <f t="shared" ref="O1276:O1277" si="1601">I1276-E1276</f>
        <v>5</v>
      </c>
      <c r="P1276">
        <f t="shared" ref="P1276:P1277" si="1602">IF(OR(AND(N1276&gt;0,O1276&gt;0),AND(N1276&lt;0,O1276&lt;0)),1,0)</f>
        <v>1</v>
      </c>
      <c r="Q1276" s="416">
        <f>WEEKNUM(tblResultadosNBA[[#This Row],[Fecha]],2)</f>
        <v>18</v>
      </c>
      <c r="R1276" s="416" t="str">
        <f>TEXT(tblResultadosNBA[[#This Row],[Fecha]],"mmm")</f>
        <v>abr</v>
      </c>
    </row>
    <row r="1277" spans="1:18">
      <c r="A1277" s="445">
        <v>46141</v>
      </c>
      <c r="B1277" s="331" t="s">
        <v>226</v>
      </c>
      <c r="C1277" s="286" t="str">
        <f t="shared" si="1593"/>
        <v>Houston Rockets</v>
      </c>
      <c r="D1277" s="286">
        <v>114</v>
      </c>
      <c r="E1277" s="431">
        <v>99</v>
      </c>
      <c r="F1277" s="332">
        <f t="shared" si="1594"/>
        <v>0</v>
      </c>
      <c r="G1277" s="286" t="str">
        <f t="shared" si="1595"/>
        <v>Los Angeles Lakers</v>
      </c>
      <c r="H1277" s="286">
        <v>115</v>
      </c>
      <c r="I1277" s="431">
        <v>93</v>
      </c>
      <c r="J1277" s="332">
        <f t="shared" si="1596"/>
        <v>0</v>
      </c>
      <c r="K1277" s="286">
        <f t="shared" si="1597"/>
        <v>229</v>
      </c>
      <c r="L1277" s="431">
        <f t="shared" si="1598"/>
        <v>192</v>
      </c>
      <c r="M1277" s="332">
        <f t="shared" si="1599"/>
        <v>0</v>
      </c>
      <c r="N1277" s="432">
        <f t="shared" si="1600"/>
        <v>1</v>
      </c>
      <c r="O1277" s="451">
        <f t="shared" si="1601"/>
        <v>-6</v>
      </c>
      <c r="P1277" s="433">
        <f t="shared" si="1602"/>
        <v>0</v>
      </c>
      <c r="Q1277" s="416">
        <f>WEEKNUM(tblResultadosNBA[[#This Row],[Fecha]],2)</f>
        <v>18</v>
      </c>
      <c r="R1277" s="416" t="str">
        <f>TEXT(tblResultadosNBA[[#This Row],[Fecha]],"mmm")</f>
        <v>abr</v>
      </c>
    </row>
    <row r="1278" spans="1:18">
      <c r="A1278" s="439">
        <v>46142</v>
      </c>
      <c r="B1278" s="422" t="s">
        <v>234</v>
      </c>
      <c r="C1278" s="341" t="str">
        <f>LEFT(B1278,FIND("@",B1278)-2)</f>
        <v>New York Knicks</v>
      </c>
      <c r="D1278" s="341">
        <v>115</v>
      </c>
      <c r="E1278" s="342">
        <v>140</v>
      </c>
      <c r="F1278" s="333">
        <f>IF(E1278&gt;D1278, 1, 0)</f>
        <v>1</v>
      </c>
      <c r="G1278" s="341" t="str">
        <f>MID(B1278,FIND("@",B1278)+2,LEN(B1278)-FIND("@",B1278)-1)</f>
        <v>Atlanta Hawks</v>
      </c>
      <c r="H1278" s="341">
        <v>116</v>
      </c>
      <c r="I1278" s="342">
        <v>89</v>
      </c>
      <c r="J1278" s="333">
        <f>IF(I1278&gt;H1278, 1, 0)</f>
        <v>0</v>
      </c>
      <c r="K1278" s="341">
        <f>+D1278+H1278</f>
        <v>231</v>
      </c>
      <c r="L1278" s="342">
        <f>E1278+I1278</f>
        <v>229</v>
      </c>
      <c r="M1278" s="333">
        <f>IF(L1278&gt;K1278, 1, 0)</f>
        <v>0</v>
      </c>
      <c r="N1278" s="343">
        <f>(+H1278-D1278)</f>
        <v>1</v>
      </c>
      <c r="O1278" s="449">
        <f>I1278-E1278</f>
        <v>-51</v>
      </c>
      <c r="P1278">
        <f>IF(OR(AND(N1278&gt;0,O1278&gt;0),AND(N1278&lt;0,O1278&lt;0)),1,0)</f>
        <v>0</v>
      </c>
      <c r="Q1278" s="416">
        <f>WEEKNUM(tblResultadosNBA[[#This Row],[Fecha]],2)</f>
        <v>18</v>
      </c>
      <c r="R1278" s="416" t="str">
        <f>TEXT(tblResultadosNBA[[#This Row],[Fecha]],"mmm")</f>
        <v>abr</v>
      </c>
    </row>
    <row r="1279" spans="1:18">
      <c r="A1279" s="419">
        <v>46142</v>
      </c>
      <c r="B1279" s="302" t="s">
        <v>592</v>
      </c>
      <c r="C1279" s="177" t="str">
        <f>LEFT(B1279,FIND("@",B1279)-2)</f>
        <v>Boston Celtics</v>
      </c>
      <c r="D1279" s="177">
        <v>110</v>
      </c>
      <c r="E1279" s="336">
        <v>93</v>
      </c>
      <c r="F1279" s="327">
        <f>IF(E1279&gt;D1279, 1, 0)</f>
        <v>0</v>
      </c>
      <c r="G1279" s="177" t="str">
        <f>MID(B1279,FIND("@",B1279)+2,LEN(B1279)-FIND("@",B1279)-1)</f>
        <v>Philadelphia 76ers</v>
      </c>
      <c r="H1279" s="177">
        <v>105</v>
      </c>
      <c r="I1279" s="336">
        <v>106</v>
      </c>
      <c r="J1279" s="327">
        <f>IF(I1279&gt;H1279, 1, 0)</f>
        <v>1</v>
      </c>
      <c r="K1279" s="177">
        <f>+D1279+H1279</f>
        <v>215</v>
      </c>
      <c r="L1279" s="336">
        <f>E1279+I1279</f>
        <v>199</v>
      </c>
      <c r="M1279" s="327">
        <f>IF(L1279&gt;K1279, 1, 0)</f>
        <v>0</v>
      </c>
      <c r="N1279" s="337">
        <f>(+H1279-D1279)</f>
        <v>-5</v>
      </c>
      <c r="O1279" s="395">
        <f>I1279-E1279</f>
        <v>13</v>
      </c>
      <c r="P1279">
        <f>IF(OR(AND(N1279&gt;0,O1279&gt;0),AND(N1279&lt;0,O1279&lt;0)),1,0)</f>
        <v>0</v>
      </c>
      <c r="Q1279" s="416">
        <f>WEEKNUM(tblResultadosNBA[[#This Row],[Fecha]],2)</f>
        <v>18</v>
      </c>
      <c r="R1279" s="416" t="str">
        <f>TEXT(tblResultadosNBA[[#This Row],[Fecha]],"mmm")</f>
        <v>abr</v>
      </c>
    </row>
    <row r="1280" spans="1:18">
      <c r="A1280" s="445">
        <v>46142</v>
      </c>
      <c r="B1280" s="331" t="s">
        <v>591</v>
      </c>
      <c r="C1280" s="286" t="str">
        <f>LEFT(B1280,FIND("@",B1280)-2)</f>
        <v>Denver Nuggets</v>
      </c>
      <c r="D1280" s="286">
        <v>114</v>
      </c>
      <c r="E1280" s="431">
        <v>98</v>
      </c>
      <c r="F1280" s="332">
        <f>IF(E1280&gt;D1280, 1, 0)</f>
        <v>0</v>
      </c>
      <c r="G1280" s="286" t="str">
        <f>MID(B1280,FIND("@",B1280)+2,LEN(B1280)-FIND("@",B1280)-1)</f>
        <v>Minnesota Timberwolves</v>
      </c>
      <c r="H1280" s="286">
        <v>115</v>
      </c>
      <c r="I1280" s="431">
        <v>110</v>
      </c>
      <c r="J1280" s="332">
        <f>IF(I1280&gt;H1280, 1, 0)</f>
        <v>0</v>
      </c>
      <c r="K1280" s="286">
        <f>+D1280+H1280</f>
        <v>229</v>
      </c>
      <c r="L1280" s="431">
        <f>E1280+I1280</f>
        <v>208</v>
      </c>
      <c r="M1280" s="332">
        <f>IF(L1280&gt;K1280, 1, 0)</f>
        <v>0</v>
      </c>
      <c r="N1280" s="432">
        <f>(+H1280-D1280)</f>
        <v>1</v>
      </c>
      <c r="O1280" s="451">
        <f>I1280-E1280</f>
        <v>12</v>
      </c>
      <c r="P1280" s="433">
        <f>IF(OR(AND(N1280&gt;0,O1280&gt;0),AND(N1280&lt;0,O1280&lt;0)),1,0)</f>
        <v>1</v>
      </c>
      <c r="Q1280" s="416">
        <f>WEEKNUM(tblResultadosNBA[[#This Row],[Fecha]],2)</f>
        <v>18</v>
      </c>
      <c r="R1280" s="416" t="str">
        <f>TEXT(tblResultadosNBA[[#This Row],[Fecha]],"mmm")</f>
        <v>abr</v>
      </c>
    </row>
    <row r="1281" spans="1:18">
      <c r="A1281" s="439">
        <v>46143</v>
      </c>
      <c r="B1281" s="422" t="s">
        <v>416</v>
      </c>
      <c r="C1281" s="341" t="str">
        <f>LEFT(B1281,FIND("@",B1281)-2)</f>
        <v>Detroit Pistons</v>
      </c>
      <c r="D1281" s="341">
        <v>112</v>
      </c>
      <c r="E1281" s="342">
        <v>93</v>
      </c>
      <c r="F1281" s="333">
        <f>IF(E1281&gt;D1281, 1, 0)</f>
        <v>0</v>
      </c>
      <c r="G1281" s="341" t="str">
        <f>MID(B1281,FIND("@",B1281)+2,LEN(B1281)-FIND("@",B1281)-1)</f>
        <v>Orlando Magic</v>
      </c>
      <c r="H1281" s="341">
        <v>109</v>
      </c>
      <c r="I1281" s="342">
        <v>79</v>
      </c>
      <c r="J1281" s="333">
        <f>IF(I1281&gt;H1281, 1, 0)</f>
        <v>0</v>
      </c>
      <c r="K1281" s="341">
        <f>+D1281+H1281</f>
        <v>221</v>
      </c>
      <c r="L1281" s="342">
        <f>E1281+I1281</f>
        <v>172</v>
      </c>
      <c r="M1281" s="333">
        <f>IF(L1281&gt;K1281, 1, 0)</f>
        <v>0</v>
      </c>
      <c r="N1281" s="343">
        <f>(+H1281-D1281)</f>
        <v>-3</v>
      </c>
      <c r="O1281" s="449">
        <f>I1281-E1281</f>
        <v>-14</v>
      </c>
      <c r="P1281">
        <f>IF(OR(AND(N1281&gt;0,O1281&gt;0),AND(N1281&lt;0,O1281&lt;0)),1,0)</f>
        <v>1</v>
      </c>
      <c r="Q1281" s="416">
        <f>WEEKNUM(tblResultadosNBA[[#This Row],[Fecha]],2)</f>
        <v>18</v>
      </c>
      <c r="R1281" s="416" t="str">
        <f>TEXT(tblResultadosNBA[[#This Row],[Fecha]],"mmm")</f>
        <v>may</v>
      </c>
    </row>
    <row r="1282" spans="1:18">
      <c r="A1282" s="419">
        <v>46143</v>
      </c>
      <c r="B1282" s="302" t="s">
        <v>590</v>
      </c>
      <c r="C1282" s="177" t="str">
        <f t="shared" ref="C1282:C1283" si="1603">LEFT(B1282,FIND("@",B1282)-2)</f>
        <v>Cleveland Cavaliers</v>
      </c>
      <c r="D1282" s="177">
        <v>112</v>
      </c>
      <c r="E1282" s="336">
        <v>110</v>
      </c>
      <c r="F1282" s="327">
        <f t="shared" ref="F1282:F1283" si="1604">IF(E1282&gt;D1282, 1, 0)</f>
        <v>0</v>
      </c>
      <c r="G1282" s="177" t="str">
        <f t="shared" ref="G1282:G1283" si="1605">MID(B1282,FIND("@",B1282)+2,LEN(B1282)-FIND("@",B1282)-1)</f>
        <v>Toronto Raptors</v>
      </c>
      <c r="H1282" s="177">
        <v>115</v>
      </c>
      <c r="I1282" s="336">
        <v>112</v>
      </c>
      <c r="J1282" s="327">
        <f t="shared" ref="J1282:J1283" si="1606">IF(I1282&gt;H1282, 1, 0)</f>
        <v>0</v>
      </c>
      <c r="K1282" s="177">
        <f t="shared" ref="K1282:K1283" si="1607">+D1282+H1282</f>
        <v>227</v>
      </c>
      <c r="L1282" s="336">
        <f t="shared" ref="L1282:L1283" si="1608">E1282+I1282</f>
        <v>222</v>
      </c>
      <c r="M1282" s="327">
        <f t="shared" ref="M1282:M1283" si="1609">IF(L1282&gt;K1282, 1, 0)</f>
        <v>0</v>
      </c>
      <c r="N1282" s="337">
        <f t="shared" ref="N1282:N1283" si="1610">(+H1282-D1282)</f>
        <v>3</v>
      </c>
      <c r="O1282" s="395">
        <f t="shared" ref="O1282:O1283" si="1611">I1282-E1282</f>
        <v>2</v>
      </c>
      <c r="P1282">
        <f t="shared" ref="P1282:P1283" si="1612">IF(OR(AND(N1282&gt;0,O1282&gt;0),AND(N1282&lt;0,O1282&lt;0)),1,0)</f>
        <v>1</v>
      </c>
      <c r="Q1282" s="416">
        <f>WEEKNUM(tblResultadosNBA[[#This Row],[Fecha]],2)</f>
        <v>18</v>
      </c>
      <c r="R1282" s="416" t="str">
        <f>TEXT(tblResultadosNBA[[#This Row],[Fecha]],"mmm")</f>
        <v>may</v>
      </c>
    </row>
    <row r="1283" spans="1:18">
      <c r="A1283" s="445">
        <v>46143</v>
      </c>
      <c r="B1283" s="331" t="s">
        <v>476</v>
      </c>
      <c r="C1283" s="286" t="str">
        <f t="shared" si="1603"/>
        <v>Los Angeles Lakers</v>
      </c>
      <c r="D1283" s="286">
        <v>117</v>
      </c>
      <c r="E1283" s="431">
        <v>98</v>
      </c>
      <c r="F1283" s="332">
        <f t="shared" si="1604"/>
        <v>0</v>
      </c>
      <c r="G1283" s="286" t="str">
        <f t="shared" si="1605"/>
        <v>Houston Rockets</v>
      </c>
      <c r="H1283" s="286">
        <v>116</v>
      </c>
      <c r="I1283" s="431">
        <v>78</v>
      </c>
      <c r="J1283" s="332">
        <f t="shared" si="1606"/>
        <v>0</v>
      </c>
      <c r="K1283" s="286">
        <f t="shared" si="1607"/>
        <v>233</v>
      </c>
      <c r="L1283" s="431">
        <f t="shared" si="1608"/>
        <v>176</v>
      </c>
      <c r="M1283" s="332">
        <f t="shared" si="1609"/>
        <v>0</v>
      </c>
      <c r="N1283" s="432">
        <f t="shared" si="1610"/>
        <v>-1</v>
      </c>
      <c r="O1283" s="451">
        <f t="shared" si="1611"/>
        <v>-20</v>
      </c>
      <c r="P1283" s="433">
        <f t="shared" si="1612"/>
        <v>1</v>
      </c>
      <c r="Q1283" s="416">
        <f>WEEKNUM(tblResultadosNBA[[#This Row],[Fecha]],2)</f>
        <v>18</v>
      </c>
      <c r="R1283" s="416" t="str">
        <f>TEXT(tblResultadosNBA[[#This Row],[Fecha]],"mmm")</f>
        <v>may</v>
      </c>
    </row>
    <row r="1284" spans="1:18">
      <c r="A1284" s="446">
        <v>46144</v>
      </c>
      <c r="B1284" s="520" t="s">
        <v>417</v>
      </c>
      <c r="C1284" s="521" t="str">
        <f>LEFT(B1284,FIND("@",B1284)-2)</f>
        <v>Philadelphia 76ers</v>
      </c>
      <c r="D1284" s="521">
        <v>107</v>
      </c>
      <c r="E1284" s="522">
        <v>109</v>
      </c>
      <c r="F1284" s="523">
        <f>IF(E1284&gt;D1284, 1, 0)</f>
        <v>1</v>
      </c>
      <c r="G1284" s="521" t="str">
        <f>MID(B1284,FIND("@",B1284)+2,LEN(B1284)-FIND("@",B1284)-1)</f>
        <v>Boston Celtics</v>
      </c>
      <c r="H1284" s="521">
        <v>116</v>
      </c>
      <c r="I1284" s="522">
        <v>100</v>
      </c>
      <c r="J1284" s="523">
        <f>IF(I1284&gt;H1284, 1, 0)</f>
        <v>0</v>
      </c>
      <c r="K1284" s="521">
        <f>+D1284+H1284</f>
        <v>223</v>
      </c>
      <c r="L1284" s="522">
        <f>E1284+I1284</f>
        <v>209</v>
      </c>
      <c r="M1284" s="523">
        <f>IF(L1284&gt;K1284, 1, 0)</f>
        <v>0</v>
      </c>
      <c r="N1284" s="524">
        <f>(+H1284-D1284)</f>
        <v>9</v>
      </c>
      <c r="O1284" s="525">
        <f>I1284-E1284</f>
        <v>-9</v>
      </c>
      <c r="P1284" s="433">
        <f>IF(OR(AND(N1284&gt;0,O1284&gt;0),AND(N1284&lt;0,O1284&lt;0)),1,0)</f>
        <v>0</v>
      </c>
      <c r="Q1284" s="416">
        <f>WEEKNUM(tblResultadosNBA[[#This Row],[Fecha]],2)</f>
        <v>18</v>
      </c>
      <c r="R1284" s="416" t="str">
        <f>TEXT(tblResultadosNBA[[#This Row],[Fecha]],"mmm")</f>
        <v>may</v>
      </c>
    </row>
    <row r="1285" spans="1:18">
      <c r="A1285" s="439">
        <v>46145</v>
      </c>
      <c r="B1285" s="422" t="s">
        <v>113</v>
      </c>
      <c r="C1285" s="341" t="str">
        <f>LEFT(B1285,FIND("@",B1285)-2)</f>
        <v>Orlando Magic</v>
      </c>
      <c r="D1285" s="341">
        <v>110</v>
      </c>
      <c r="E1285" s="342">
        <v>94</v>
      </c>
      <c r="F1285" s="333">
        <f>IF(E1285&gt;D1285, 1, 0)</f>
        <v>0</v>
      </c>
      <c r="G1285" s="341" t="str">
        <f>MID(B1285,FIND("@",B1285)+2,LEN(B1285)-FIND("@",B1285)-1)</f>
        <v>Detroit Pistons</v>
      </c>
      <c r="H1285" s="341">
        <v>114</v>
      </c>
      <c r="I1285" s="342">
        <v>116</v>
      </c>
      <c r="J1285" s="333">
        <f>IF(I1285&gt;H1285, 1, 0)</f>
        <v>1</v>
      </c>
      <c r="K1285" s="341">
        <f>+D1285+H1285</f>
        <v>224</v>
      </c>
      <c r="L1285" s="342">
        <f>E1285+I1285</f>
        <v>210</v>
      </c>
      <c r="M1285" s="333">
        <f>IF(L1285&gt;K1285, 1, 0)</f>
        <v>0</v>
      </c>
      <c r="N1285" s="343">
        <f>(+H1285-D1285)</f>
        <v>4</v>
      </c>
      <c r="O1285" s="449">
        <f>I1285-E1285</f>
        <v>22</v>
      </c>
      <c r="P1285">
        <f>IF(OR(AND(N1285&gt;0,O1285&gt;0),AND(N1285&lt;0,O1285&lt;0)),1,0)</f>
        <v>1</v>
      </c>
      <c r="Q1285" s="416">
        <f>WEEKNUM(tblResultadosNBA[[#This Row],[Fecha]],2)</f>
        <v>18</v>
      </c>
      <c r="R1285" s="416" t="str">
        <f>TEXT(tblResultadosNBA[[#This Row],[Fecha]],"mmm")</f>
        <v>may</v>
      </c>
    </row>
    <row r="1286" spans="1:18">
      <c r="A1286" s="446">
        <v>46145</v>
      </c>
      <c r="B1286" s="331" t="s">
        <v>48</v>
      </c>
      <c r="C1286" s="286" t="str">
        <f>LEFT(B1286,FIND("@",B1286)-2)</f>
        <v>Toronto Raptors</v>
      </c>
      <c r="D1286" s="286">
        <v>112</v>
      </c>
      <c r="E1286" s="431">
        <v>102</v>
      </c>
      <c r="F1286" s="332">
        <f>IF(E1286&gt;D1286, 1, 0)</f>
        <v>0</v>
      </c>
      <c r="G1286" s="286" t="str">
        <f>MID(B1286,FIND("@",B1286)+2,LEN(B1286)-FIND("@",B1286)-1)</f>
        <v>Cleveland Cavaliers</v>
      </c>
      <c r="H1286" s="286">
        <v>115</v>
      </c>
      <c r="I1286" s="431">
        <v>114</v>
      </c>
      <c r="J1286" s="332">
        <f>IF(I1286&gt;H1286, 1, 0)</f>
        <v>0</v>
      </c>
      <c r="K1286" s="286">
        <f>+D1286+H1286</f>
        <v>227</v>
      </c>
      <c r="L1286" s="431">
        <f>E1286+I1286</f>
        <v>216</v>
      </c>
      <c r="M1286" s="332">
        <f>IF(L1286&gt;K1286, 1, 0)</f>
        <v>0</v>
      </c>
      <c r="N1286" s="432">
        <f>(+H1286-D1286)</f>
        <v>3</v>
      </c>
      <c r="O1286" s="451">
        <f>I1286-E1286</f>
        <v>12</v>
      </c>
      <c r="P1286" s="433">
        <f>IF(OR(AND(N1286&gt;0,O1286&gt;0),AND(N1286&lt;0,O1286&lt;0)),1,0)</f>
        <v>1</v>
      </c>
      <c r="Q1286" s="416">
        <f>WEEKNUM(tblResultadosNBA[[#This Row],[Fecha]],2)</f>
        <v>18</v>
      </c>
      <c r="R1286" s="416" t="str">
        <f>TEXT(tblResultadosNBA[[#This Row],[Fecha]],"mmm")</f>
        <v>may</v>
      </c>
    </row>
    <row r="1287" spans="1:18">
      <c r="A1287" s="439">
        <v>46146</v>
      </c>
      <c r="B1287" s="422" t="s">
        <v>196</v>
      </c>
      <c r="C1287" s="341" t="str">
        <f>LEFT(B1287,FIND("@",B1287)-2)</f>
        <v>Philadelphia 76ers</v>
      </c>
      <c r="D1287" s="341">
        <v>114</v>
      </c>
      <c r="E1287" s="342">
        <v>98</v>
      </c>
      <c r="F1287" s="333">
        <f>IF(E1287&gt;D1287, 1, 0)</f>
        <v>0</v>
      </c>
      <c r="G1287" s="341" t="str">
        <f>MID(B1287,FIND("@",B1287)+2,LEN(B1287)-FIND("@",B1287)-1)</f>
        <v>New York Knicks</v>
      </c>
      <c r="H1287" s="341">
        <v>114</v>
      </c>
      <c r="I1287" s="342">
        <v>137</v>
      </c>
      <c r="J1287" s="333">
        <f>IF(I1287&gt;H1287, 1, 0)</f>
        <v>1</v>
      </c>
      <c r="K1287" s="341">
        <f>+D1287+H1287</f>
        <v>228</v>
      </c>
      <c r="L1287" s="342">
        <f>E1287+I1287</f>
        <v>235</v>
      </c>
      <c r="M1287" s="333">
        <f>IF(L1287&gt;K1287, 1, 0)</f>
        <v>1</v>
      </c>
      <c r="N1287" s="343">
        <f>(+H1287-D1287)</f>
        <v>0</v>
      </c>
      <c r="O1287" s="449">
        <f>I1287-E1287</f>
        <v>39</v>
      </c>
      <c r="P1287">
        <f>IF(OR(AND(N1287&gt;0,O1287&gt;0),AND(N1287&lt;0,O1287&lt;0)),1,0)</f>
        <v>0</v>
      </c>
      <c r="Q1287" s="416">
        <f>WEEKNUM(tblResultadosNBA[[#This Row],[Fecha]],2)</f>
        <v>19</v>
      </c>
      <c r="R1287" s="416" t="str">
        <f>TEXT(tblResultadosNBA[[#This Row],[Fecha]],"mmm")</f>
        <v>may</v>
      </c>
    </row>
    <row r="1288" spans="1:18">
      <c r="A1288" s="446">
        <v>46146</v>
      </c>
      <c r="B1288" s="331" t="s">
        <v>599</v>
      </c>
      <c r="C1288" s="286" t="str">
        <f>LEFT(B1288,FIND("@",B1288)-2)</f>
        <v>Minnesota Timberwolves</v>
      </c>
      <c r="D1288" s="286">
        <v>118</v>
      </c>
      <c r="E1288" s="431">
        <v>104</v>
      </c>
      <c r="F1288" s="332">
        <f>IF(E1288&gt;D1288, 1, 0)</f>
        <v>0</v>
      </c>
      <c r="G1288" s="286" t="str">
        <f>MID(B1288,FIND("@",B1288)+2,LEN(B1288)-FIND("@",B1288)-1)</f>
        <v>San Antonio Spurs</v>
      </c>
      <c r="H1288" s="286">
        <v>119</v>
      </c>
      <c r="I1288" s="431">
        <v>102</v>
      </c>
      <c r="J1288" s="332">
        <f>IF(I1288&gt;H1288, 1, 0)</f>
        <v>0</v>
      </c>
      <c r="K1288" s="286">
        <f>+D1288+H1288</f>
        <v>237</v>
      </c>
      <c r="L1288" s="431">
        <f>E1288+I1288</f>
        <v>206</v>
      </c>
      <c r="M1288" s="332">
        <f>IF(L1288&gt;K1288, 1, 0)</f>
        <v>0</v>
      </c>
      <c r="N1288" s="432">
        <f>(+H1288-D1288)</f>
        <v>1</v>
      </c>
      <c r="O1288" s="451">
        <f>I1288-E1288</f>
        <v>-2</v>
      </c>
      <c r="P1288" s="433">
        <f>IF(OR(AND(N1288&gt;0,O1288&gt;0),AND(N1288&lt;0,O1288&lt;0)),1,0)</f>
        <v>0</v>
      </c>
      <c r="Q1288" s="416">
        <f>WEEKNUM(tblResultadosNBA[[#This Row],[Fecha]],2)</f>
        <v>19</v>
      </c>
      <c r="R1288" s="416" t="str">
        <f>TEXT(tblResultadosNBA[[#This Row],[Fecha]],"mmm")</f>
        <v>may</v>
      </c>
    </row>
    <row r="1289" spans="1:18">
      <c r="A1289" s="439">
        <v>46147</v>
      </c>
      <c r="B1289" s="422" t="s">
        <v>408</v>
      </c>
      <c r="C1289" s="341" t="str">
        <f>LEFT(B1289,FIND("@",B1289)-2)</f>
        <v>Cleveland Cavaliers</v>
      </c>
      <c r="D1289" s="341">
        <v>114</v>
      </c>
      <c r="E1289" s="342">
        <v>101</v>
      </c>
      <c r="F1289" s="333">
        <f>IF(E1289&gt;D1289, 1, 0)</f>
        <v>0</v>
      </c>
      <c r="G1289" s="341" t="str">
        <f>MID(B1289,FIND("@",B1289)+2,LEN(B1289)-FIND("@",B1289)-1)</f>
        <v>Detroit Pistons</v>
      </c>
      <c r="H1289" s="341">
        <v>112</v>
      </c>
      <c r="I1289" s="342">
        <v>111</v>
      </c>
      <c r="J1289" s="333">
        <f>IF(I1289&gt;H1289, 1, 0)</f>
        <v>0</v>
      </c>
      <c r="K1289" s="341">
        <f>+D1289+H1289</f>
        <v>226</v>
      </c>
      <c r="L1289" s="342">
        <f>E1289+I1289</f>
        <v>212</v>
      </c>
      <c r="M1289" s="333">
        <f>IF(L1289&gt;K1289, 1, 0)</f>
        <v>0</v>
      </c>
      <c r="N1289" s="343">
        <f>(+H1289-D1289)</f>
        <v>-2</v>
      </c>
      <c r="O1289" s="449">
        <f>I1289-E1289</f>
        <v>10</v>
      </c>
      <c r="P1289">
        <f>IF(OR(AND(N1289&gt;0,O1289&gt;0),AND(N1289&lt;0,O1289&lt;0)),1,0)</f>
        <v>0</v>
      </c>
      <c r="Q1289" s="416">
        <f>WEEKNUM(tblResultadosNBA[[#This Row],[Fecha]],2)</f>
        <v>19</v>
      </c>
      <c r="R1289" s="416" t="str">
        <f>TEXT(tblResultadosNBA[[#This Row],[Fecha]],"mmm")</f>
        <v>may</v>
      </c>
    </row>
    <row r="1290" spans="1:18">
      <c r="A1290" s="446">
        <v>46147</v>
      </c>
      <c r="B1290" s="331" t="s">
        <v>44</v>
      </c>
      <c r="C1290" s="286" t="str">
        <f>LEFT(B1290,FIND("@",B1290)-2)</f>
        <v>Los Angeles Lakers</v>
      </c>
      <c r="D1290" s="286">
        <v>111</v>
      </c>
      <c r="E1290" s="431">
        <v>90</v>
      </c>
      <c r="F1290" s="332">
        <f>IF(E1290&gt;D1290, 1, 0)</f>
        <v>0</v>
      </c>
      <c r="G1290" s="286" t="str">
        <f>MID(B1290,FIND("@",B1290)+2,LEN(B1290)-FIND("@",B1290)-1)</f>
        <v>Oklahoma City Thunder</v>
      </c>
      <c r="H1290" s="286">
        <v>119</v>
      </c>
      <c r="I1290" s="431">
        <v>108</v>
      </c>
      <c r="J1290" s="332">
        <f>IF(I1290&gt;H1290, 1, 0)</f>
        <v>0</v>
      </c>
      <c r="K1290" s="286">
        <f>+D1290+H1290</f>
        <v>230</v>
      </c>
      <c r="L1290" s="431">
        <f>E1290+I1290</f>
        <v>198</v>
      </c>
      <c r="M1290" s="332">
        <f>IF(L1290&gt;K1290, 1, 0)</f>
        <v>0</v>
      </c>
      <c r="N1290" s="432">
        <f>(+H1290-D1290)</f>
        <v>8</v>
      </c>
      <c r="O1290" s="451">
        <f>I1290-E1290</f>
        <v>18</v>
      </c>
      <c r="P1290" s="433">
        <f>IF(OR(AND(N1290&gt;0,O1290&gt;0),AND(N1290&lt;0,O1290&lt;0)),1,0)</f>
        <v>1</v>
      </c>
      <c r="Q1290" s="416">
        <f>WEEKNUM(tblResultadosNBA[[#This Row],[Fecha]],2)</f>
        <v>19</v>
      </c>
      <c r="R1290" s="416" t="str">
        <f>TEXT(tblResultadosNBA[[#This Row],[Fecha]],"mmm")</f>
        <v>may</v>
      </c>
    </row>
    <row r="1291" spans="1:18">
      <c r="A1291" s="439">
        <v>46148</v>
      </c>
      <c r="B1291" s="422" t="s">
        <v>196</v>
      </c>
      <c r="C1291" s="341" t="str">
        <f>LEFT(B1291,FIND("@",B1291)-2)</f>
        <v>Philadelphia 76ers</v>
      </c>
      <c r="D1291" s="341">
        <v>114</v>
      </c>
      <c r="E1291" s="342">
        <v>102</v>
      </c>
      <c r="F1291" s="333">
        <f>IF(E1291&gt;D1291, 1, 0)</f>
        <v>0</v>
      </c>
      <c r="G1291" s="341" t="str">
        <f>MID(B1291,FIND("@",B1291)+2,LEN(B1291)-FIND("@",B1291)-1)</f>
        <v>New York Knicks</v>
      </c>
      <c r="H1291" s="341">
        <v>113</v>
      </c>
      <c r="I1291" s="342">
        <v>108</v>
      </c>
      <c r="J1291" s="333">
        <f>IF(I1291&gt;H1291, 1, 0)</f>
        <v>0</v>
      </c>
      <c r="K1291" s="341">
        <f>+D1291+H1291</f>
        <v>227</v>
      </c>
      <c r="L1291" s="342">
        <f>E1291+I1291</f>
        <v>210</v>
      </c>
      <c r="M1291" s="333">
        <f>IF(L1291&gt;K1291, 1, 0)</f>
        <v>0</v>
      </c>
      <c r="N1291" s="343">
        <f>(+H1291-D1291)</f>
        <v>-1</v>
      </c>
      <c r="O1291" s="449">
        <f>I1291-E1291</f>
        <v>6</v>
      </c>
      <c r="P1291">
        <f>IF(OR(AND(N1291&gt;0,O1291&gt;0),AND(N1291&lt;0,O1291&lt;0)),1,0)</f>
        <v>0</v>
      </c>
      <c r="Q1291" s="416">
        <f>WEEKNUM(tblResultadosNBA[[#This Row],[Fecha]],2)</f>
        <v>19</v>
      </c>
      <c r="R1291" s="416" t="str">
        <f>TEXT(tblResultadosNBA[[#This Row],[Fecha]],"mmm")</f>
        <v>may</v>
      </c>
    </row>
    <row r="1292" spans="1:18">
      <c r="A1292" s="446">
        <v>46148</v>
      </c>
      <c r="B1292" s="331" t="s">
        <v>599</v>
      </c>
      <c r="C1292" s="286" t="str">
        <f>LEFT(B1292,FIND("@",B1292)-2)</f>
        <v>Minnesota Timberwolves</v>
      </c>
      <c r="D1292" s="286">
        <v>117</v>
      </c>
      <c r="E1292" s="431">
        <v>95</v>
      </c>
      <c r="F1292" s="332">
        <f>IF(E1292&gt;D1292, 1, 0)</f>
        <v>0</v>
      </c>
      <c r="G1292" s="286" t="str">
        <f>MID(B1292,FIND("@",B1292)+2,LEN(B1292)-FIND("@",B1292)-1)</f>
        <v>San Antonio Spurs</v>
      </c>
      <c r="H1292" s="286">
        <v>118</v>
      </c>
      <c r="I1292" s="431">
        <v>133</v>
      </c>
      <c r="J1292" s="332">
        <f>IF(I1292&gt;H1292, 1, 0)</f>
        <v>1</v>
      </c>
      <c r="K1292" s="286">
        <f>+D1292+H1292</f>
        <v>235</v>
      </c>
      <c r="L1292" s="431">
        <f>E1292+I1292</f>
        <v>228</v>
      </c>
      <c r="M1292" s="332">
        <f>IF(L1292&gt;K1292, 1, 0)</f>
        <v>0</v>
      </c>
      <c r="N1292" s="432">
        <f>(+H1292-D1292)</f>
        <v>1</v>
      </c>
      <c r="O1292" s="451">
        <f>I1292-E1292</f>
        <v>38</v>
      </c>
      <c r="P1292" s="433">
        <f>IF(OR(AND(N1292&gt;0,O1292&gt;0),AND(N1292&lt;0,O1292&lt;0)),1,0)</f>
        <v>1</v>
      </c>
      <c r="Q1292" s="416">
        <f>WEEKNUM(tblResultadosNBA[[#This Row],[Fecha]],2)</f>
        <v>19</v>
      </c>
      <c r="R1292" s="416" t="str">
        <f>TEXT(tblResultadosNBA[[#This Row],[Fecha]],"mmm")</f>
        <v>may</v>
      </c>
    </row>
    <row r="1293" spans="1:18">
      <c r="A1293" s="439">
        <v>46149</v>
      </c>
      <c r="B1293" s="422" t="s">
        <v>408</v>
      </c>
      <c r="C1293" s="341" t="str">
        <f>LEFT(B1293,FIND("@",B1293)-2)</f>
        <v>Cleveland Cavaliers</v>
      </c>
      <c r="D1293" s="341">
        <v>113</v>
      </c>
      <c r="E1293" s="342">
        <v>97</v>
      </c>
      <c r="F1293" s="333">
        <f>IF(E1293&gt;D1293, 1, 0)</f>
        <v>0</v>
      </c>
      <c r="G1293" s="341" t="str">
        <f>MID(B1293,FIND("@",B1293)+2,LEN(B1293)-FIND("@",B1293)-1)</f>
        <v>Detroit Pistons</v>
      </c>
      <c r="H1293" s="341">
        <v>112</v>
      </c>
      <c r="I1293" s="342">
        <v>107</v>
      </c>
      <c r="J1293" s="333">
        <f>IF(I1293&gt;H1293, 1, 0)</f>
        <v>0</v>
      </c>
      <c r="K1293" s="341">
        <f>+D1293+H1293</f>
        <v>225</v>
      </c>
      <c r="L1293" s="342">
        <f>E1293+I1293</f>
        <v>204</v>
      </c>
      <c r="M1293" s="333">
        <f>IF(L1293&gt;K1293, 1, 0)</f>
        <v>0</v>
      </c>
      <c r="N1293" s="343">
        <f>(+H1293-D1293)</f>
        <v>-1</v>
      </c>
      <c r="O1293" s="449">
        <f>I1293-E1293</f>
        <v>10</v>
      </c>
      <c r="P1293">
        <f>IF(OR(AND(N1293&gt;0,O1293&gt;0),AND(N1293&lt;0,O1293&lt;0)),1,0)</f>
        <v>0</v>
      </c>
      <c r="Q1293" s="416">
        <f>WEEKNUM(tblResultadosNBA[[#This Row],[Fecha]],2)</f>
        <v>19</v>
      </c>
      <c r="R1293" s="416" t="str">
        <f>TEXT(tblResultadosNBA[[#This Row],[Fecha]],"mmm")</f>
        <v>may</v>
      </c>
    </row>
    <row r="1294" spans="1:18">
      <c r="A1294" s="446">
        <v>46149</v>
      </c>
      <c r="B1294" s="331" t="s">
        <v>44</v>
      </c>
      <c r="C1294" s="286" t="str">
        <f>LEFT(B1294,FIND("@",B1294)-2)</f>
        <v>Los Angeles Lakers</v>
      </c>
      <c r="D1294" s="286">
        <v>108</v>
      </c>
      <c r="E1294" s="431">
        <v>107</v>
      </c>
      <c r="F1294" s="332">
        <f>IF(E1294&gt;D1294, 1, 0)</f>
        <v>0</v>
      </c>
      <c r="G1294" s="286" t="str">
        <f>MID(B1294,FIND("@",B1294)+2,LEN(B1294)-FIND("@",B1294)-1)</f>
        <v>Oklahoma City Thunder</v>
      </c>
      <c r="H1294" s="286">
        <v>119</v>
      </c>
      <c r="I1294" s="431">
        <v>125</v>
      </c>
      <c r="J1294" s="332">
        <f>IF(I1294&gt;H1294, 1, 0)</f>
        <v>1</v>
      </c>
      <c r="K1294" s="286">
        <f>+D1294+H1294</f>
        <v>227</v>
      </c>
      <c r="L1294" s="431">
        <f>E1294+I1294</f>
        <v>232</v>
      </c>
      <c r="M1294" s="332">
        <f>IF(L1294&gt;K1294, 1, 0)</f>
        <v>1</v>
      </c>
      <c r="N1294" s="432">
        <f>(+H1294-D1294)</f>
        <v>11</v>
      </c>
      <c r="O1294" s="451">
        <f>I1294-E1294</f>
        <v>18</v>
      </c>
      <c r="P1294" s="433">
        <f>IF(OR(AND(N1294&gt;0,O1294&gt;0),AND(N1294&lt;0,O1294&lt;0)),1,0)</f>
        <v>1</v>
      </c>
      <c r="Q1294" s="416">
        <f>WEEKNUM(tblResultadosNBA[[#This Row],[Fecha]],2)</f>
        <v>19</v>
      </c>
      <c r="R1294" s="416" t="str">
        <f>TEXT(tblResultadosNBA[[#This Row],[Fecha]],"mmm")</f>
        <v>may</v>
      </c>
    </row>
    <row r="1295" spans="1:18">
      <c r="A1295" s="476">
        <v>46150</v>
      </c>
      <c r="B1295" s="423" t="s">
        <v>291</v>
      </c>
      <c r="C1295" s="361" t="str">
        <f>LEFT(B1295,FIND("@",B1295)-2)</f>
        <v>New York Knicks</v>
      </c>
      <c r="D1295" s="361">
        <v>110</v>
      </c>
      <c r="E1295" s="436">
        <v>108</v>
      </c>
      <c r="F1295" s="615">
        <f>IF(E1295&gt;D1295, 1, 0)</f>
        <v>0</v>
      </c>
      <c r="G1295" s="361" t="str">
        <f>MID(B1295,FIND("@",B1295)+2,LEN(B1295)-FIND("@",B1295)-1)</f>
        <v>Philadelphia 76ers</v>
      </c>
      <c r="H1295" s="361">
        <v>110</v>
      </c>
      <c r="I1295" s="436">
        <v>94</v>
      </c>
      <c r="J1295" s="615">
        <f>IF(I1295&gt;H1295, 1, 0)</f>
        <v>0</v>
      </c>
      <c r="K1295" s="361">
        <f>+D1295+H1295</f>
        <v>220</v>
      </c>
      <c r="L1295" s="436">
        <f>E1295+I1295</f>
        <v>202</v>
      </c>
      <c r="M1295" s="615">
        <f>IF(L1295&gt;K1295, 1, 0)</f>
        <v>0</v>
      </c>
      <c r="N1295" s="616">
        <f>(+H1295-D1295)</f>
        <v>0</v>
      </c>
      <c r="O1295" s="617">
        <f>I1295-E1295</f>
        <v>-14</v>
      </c>
      <c r="P1295">
        <f>IF(OR(AND(N1295&gt;0,O1295&gt;0),AND(N1295&lt;0,O1295&lt;0)),1,0)</f>
        <v>0</v>
      </c>
      <c r="Q1295" s="416">
        <f>WEEKNUM(tblResultadosNBA[[#This Row],[Fecha]],2)</f>
        <v>19</v>
      </c>
      <c r="R1295" s="416" t="str">
        <f>TEXT(tblResultadosNBA[[#This Row],[Fecha]],"mmm")</f>
        <v>may</v>
      </c>
    </row>
    <row r="1296" spans="1:18" s="289" customFormat="1">
      <c r="A1296" s="446">
        <v>46150</v>
      </c>
      <c r="B1296" s="331" t="s">
        <v>123</v>
      </c>
      <c r="C1296" s="286" t="str">
        <f>LEFT(B1296,FIND("@",B1296)-2)</f>
        <v>San Antonio Spurs</v>
      </c>
      <c r="D1296" s="286">
        <v>120</v>
      </c>
      <c r="E1296" s="431">
        <v>115</v>
      </c>
      <c r="F1296" s="332">
        <f>IF(E1296&gt;D1296, 1, 0)</f>
        <v>0</v>
      </c>
      <c r="G1296" s="286" t="str">
        <f>MID(B1296,FIND("@",B1296)+2,LEN(B1296)-FIND("@",B1296)-1)</f>
        <v>Minnesota Timberwolves</v>
      </c>
      <c r="H1296" s="286">
        <v>118</v>
      </c>
      <c r="I1296" s="431">
        <v>108</v>
      </c>
      <c r="J1296" s="332">
        <f>IF(I1296&gt;H1296, 1, 0)</f>
        <v>0</v>
      </c>
      <c r="K1296" s="286">
        <f>+D1296+H1296</f>
        <v>238</v>
      </c>
      <c r="L1296" s="431">
        <f>E1296+I1296</f>
        <v>223</v>
      </c>
      <c r="M1296" s="332">
        <f>IF(L1296&gt;K1296, 1, 0)</f>
        <v>0</v>
      </c>
      <c r="N1296" s="432">
        <f>(+H1296-D1296)</f>
        <v>-2</v>
      </c>
      <c r="O1296" s="451">
        <f>I1296-E1296</f>
        <v>-7</v>
      </c>
      <c r="P1296" s="433">
        <f>IF(OR(AND(N1296&gt;0,O1296&gt;0),AND(N1296&lt;0,O1296&lt;0)),1,0)</f>
        <v>1</v>
      </c>
      <c r="Q1296" s="460">
        <f>WEEKNUM(tblResultadosNBA[[#This Row],[Fecha]],2)</f>
        <v>19</v>
      </c>
      <c r="R1296" s="460" t="str">
        <f>TEXT(tblResultadosNBA[[#This Row],[Fecha]],"mmm")</f>
        <v>may</v>
      </c>
    </row>
    <row r="1297" spans="1:18">
      <c r="A1297" s="439">
        <v>46151</v>
      </c>
      <c r="B1297" s="422" t="s">
        <v>264</v>
      </c>
      <c r="C1297" s="341" t="str">
        <f>LEFT(B1297,FIND("@",B1297)-2)</f>
        <v>Detroit Pistons</v>
      </c>
      <c r="D1297" s="341">
        <v>113</v>
      </c>
      <c r="E1297" s="342">
        <v>109</v>
      </c>
      <c r="F1297" s="333">
        <f>IF(E1297&gt;D1297, 1, 0)</f>
        <v>0</v>
      </c>
      <c r="G1297" s="341" t="str">
        <f>MID(B1297,FIND("@",B1297)+2,LEN(B1297)-FIND("@",B1297)-1)</f>
        <v>Cleveland Cavaliers</v>
      </c>
      <c r="H1297" s="341">
        <v>115</v>
      </c>
      <c r="I1297" s="342">
        <v>116</v>
      </c>
      <c r="J1297" s="333">
        <f>IF(I1297&gt;H1297, 1, 0)</f>
        <v>1</v>
      </c>
      <c r="K1297" s="341">
        <f>+D1297+H1297</f>
        <v>228</v>
      </c>
      <c r="L1297" s="342">
        <f>E1297+I1297</f>
        <v>225</v>
      </c>
      <c r="M1297" s="333">
        <f>IF(L1297&gt;K1297, 1, 0)</f>
        <v>0</v>
      </c>
      <c r="N1297" s="343">
        <f>(+H1297-D1297)</f>
        <v>2</v>
      </c>
      <c r="O1297" s="449">
        <f>I1297-E1297</f>
        <v>7</v>
      </c>
      <c r="P1297">
        <f>IF(OR(AND(N1297&gt;0,O1297&gt;0),AND(N1297&lt;0,O1297&lt;0)),1,0)</f>
        <v>1</v>
      </c>
      <c r="Q1297" s="416">
        <f>WEEKNUM(tblResultadosNBA[[#This Row],[Fecha]],2)</f>
        <v>19</v>
      </c>
      <c r="R1297" s="416" t="str">
        <f>TEXT(tblResultadosNBA[[#This Row],[Fecha]],"mmm")</f>
        <v>may</v>
      </c>
    </row>
    <row r="1298" spans="1:18">
      <c r="A1298" s="439">
        <v>46151</v>
      </c>
      <c r="B1298" s="302" t="s">
        <v>357</v>
      </c>
      <c r="C1298" s="177" t="str">
        <f>LEFT(B1298,FIND("@",B1298)-2)</f>
        <v>Oklahoma City Thunder</v>
      </c>
      <c r="D1298" s="177">
        <v>116</v>
      </c>
      <c r="E1298" s="336">
        <v>131</v>
      </c>
      <c r="F1298" s="327">
        <f>IF(E1298&gt;D1298, 1, 0)</f>
        <v>1</v>
      </c>
      <c r="G1298" s="177" t="str">
        <f>MID(B1298,FIND("@",B1298)+2,LEN(B1298)-FIND("@",B1298)-1)</f>
        <v>Los Angeles Lakers</v>
      </c>
      <c r="H1298" s="177">
        <v>113</v>
      </c>
      <c r="I1298" s="336">
        <v>108</v>
      </c>
      <c r="J1298" s="327">
        <f>IF(I1298&gt;H1298, 1, 0)</f>
        <v>0</v>
      </c>
      <c r="K1298" s="177">
        <f>+D1298+H1298</f>
        <v>229</v>
      </c>
      <c r="L1298" s="336">
        <f>E1298+I1298</f>
        <v>239</v>
      </c>
      <c r="M1298" s="327">
        <f>IF(L1298&gt;K1298, 1, 0)</f>
        <v>1</v>
      </c>
      <c r="N1298" s="337">
        <f>(+H1298-D1298)</f>
        <v>-3</v>
      </c>
      <c r="O1298" s="395">
        <f>I1298-E1298</f>
        <v>-23</v>
      </c>
      <c r="P1298">
        <f>IF(OR(AND(N1298&gt;0,O1298&gt;0),AND(N1298&lt;0,O1298&lt;0)),1,0)</f>
        <v>1</v>
      </c>
      <c r="Q1298" s="416">
        <f>WEEKNUM(tblResultadosNBA[[#This Row],[Fecha]],2)</f>
        <v>19</v>
      </c>
      <c r="R1298" s="416" t="str">
        <f>TEXT(tblResultadosNBA[[#This Row],[Fecha]],"mmm")</f>
        <v>may</v>
      </c>
    </row>
    <row r="1299" spans="1:18">
      <c r="A1299" s="439">
        <v>46152</v>
      </c>
      <c r="B1299" s="302" t="s">
        <v>291</v>
      </c>
      <c r="C1299" s="177" t="str">
        <f>LEFT(B1299,FIND("@",B1299)-2)</f>
        <v>New York Knicks</v>
      </c>
      <c r="D1299" s="177">
        <v>110</v>
      </c>
      <c r="E1299" s="336">
        <v>144</v>
      </c>
      <c r="F1299" s="327">
        <f>IF(E1299&gt;D1299, 1, 0)</f>
        <v>1</v>
      </c>
      <c r="G1299" s="177" t="str">
        <f>MID(B1299,FIND("@",B1299)+2,LEN(B1299)-FIND("@",B1299)-1)</f>
        <v>Philadelphia 76ers</v>
      </c>
      <c r="H1299" s="177">
        <v>110</v>
      </c>
      <c r="I1299" s="336">
        <v>114</v>
      </c>
      <c r="J1299" s="327">
        <f>IF(I1299&gt;H1299, 1, 0)</f>
        <v>1</v>
      </c>
      <c r="K1299" s="177">
        <f>+D1299+H1299</f>
        <v>220</v>
      </c>
      <c r="L1299" s="336">
        <f>E1299+I1299</f>
        <v>258</v>
      </c>
      <c r="M1299" s="327">
        <f>IF(L1299&gt;K1299, 1, 0)</f>
        <v>1</v>
      </c>
      <c r="N1299" s="337">
        <f>(+H1299-D1299)</f>
        <v>0</v>
      </c>
      <c r="O1299" s="395">
        <f>I1299-E1299</f>
        <v>-30</v>
      </c>
      <c r="P1299">
        <f>IF(OR(AND(N1299&gt;0,O1299&gt;0),AND(N1299&lt;0,O1299&lt;0)),1,0)</f>
        <v>0</v>
      </c>
      <c r="Q1299" s="416">
        <f>WEEKNUM(tblResultadosNBA[[#This Row],[Fecha]],2)</f>
        <v>19</v>
      </c>
      <c r="R1299" s="416" t="str">
        <f>TEXT(tblResultadosNBA[[#This Row],[Fecha]],"mmm")</f>
        <v>may</v>
      </c>
    </row>
    <row r="1300" spans="1:18">
      <c r="A1300" s="446">
        <v>46152</v>
      </c>
      <c r="B1300" s="331" t="s">
        <v>123</v>
      </c>
      <c r="C1300" s="286" t="str">
        <f>LEFT(B1300,FIND("@",B1300)-2)</f>
        <v>San Antonio Spurs</v>
      </c>
      <c r="D1300" s="286">
        <v>117</v>
      </c>
      <c r="E1300" s="431">
        <v>109</v>
      </c>
      <c r="F1300" s="332">
        <f>IF(E1300&gt;D1300, 1, 0)</f>
        <v>0</v>
      </c>
      <c r="G1300" s="286" t="str">
        <f>MID(B1300,FIND("@",B1300)+2,LEN(B1300)-FIND("@",B1300)-1)</f>
        <v>Minnesota Timberwolves</v>
      </c>
      <c r="H1300" s="286">
        <v>118</v>
      </c>
      <c r="I1300" s="431">
        <v>114</v>
      </c>
      <c r="J1300" s="332">
        <f>IF(I1300&gt;H1300, 1, 0)</f>
        <v>0</v>
      </c>
      <c r="K1300" s="286">
        <f>+D1300+H1300</f>
        <v>235</v>
      </c>
      <c r="L1300" s="431">
        <f>E1300+I1300</f>
        <v>223</v>
      </c>
      <c r="M1300" s="332">
        <f>IF(L1300&gt;K1300, 1, 0)</f>
        <v>0</v>
      </c>
      <c r="N1300" s="432">
        <f>(+H1300-D1300)</f>
        <v>1</v>
      </c>
      <c r="O1300" s="451">
        <f>I1300-E1300</f>
        <v>5</v>
      </c>
      <c r="P1300" s="433">
        <f>IF(OR(AND(N1300&gt;0,O1300&gt;0),AND(N1300&lt;0,O1300&lt;0)),1,0)</f>
        <v>1</v>
      </c>
      <c r="Q1300" s="416">
        <f>WEEKNUM(tblResultadosNBA[[#This Row],[Fecha]],2)</f>
        <v>19</v>
      </c>
      <c r="R1300" s="416" t="str">
        <f>TEXT(tblResultadosNBA[[#This Row],[Fecha]],"mmm")</f>
        <v>may</v>
      </c>
    </row>
    <row r="1301" spans="1:18">
      <c r="A1301" s="439">
        <v>46153</v>
      </c>
      <c r="B1301" s="422" t="s">
        <v>264</v>
      </c>
      <c r="C1301" s="341" t="str">
        <f>LEFT(B1301,FIND("@",B1301)-2)</f>
        <v>Detroit Pistons</v>
      </c>
      <c r="D1301" s="341">
        <v>111</v>
      </c>
      <c r="E1301" s="342">
        <v>103</v>
      </c>
      <c r="F1301" s="333">
        <f>IF(E1301&gt;D1301, 1, 0)</f>
        <v>0</v>
      </c>
      <c r="G1301" s="341" t="str">
        <f>MID(B1301,FIND("@",B1301)+2,LEN(B1301)-FIND("@",B1301)-1)</f>
        <v>Cleveland Cavaliers</v>
      </c>
      <c r="H1301" s="341">
        <v>115</v>
      </c>
      <c r="I1301" s="342">
        <v>112</v>
      </c>
      <c r="J1301" s="333">
        <f>IF(I1301&gt;H1301, 1, 0)</f>
        <v>0</v>
      </c>
      <c r="K1301" s="341">
        <f>+D1301+H1301</f>
        <v>226</v>
      </c>
      <c r="L1301" s="342">
        <f>E1301+I1301</f>
        <v>215</v>
      </c>
      <c r="M1301" s="333">
        <f>IF(L1301&gt;K1301, 1, 0)</f>
        <v>0</v>
      </c>
      <c r="N1301" s="343">
        <f>(+H1301-D1301)</f>
        <v>4</v>
      </c>
      <c r="O1301" s="449">
        <f>I1301-E1301</f>
        <v>9</v>
      </c>
      <c r="P1301">
        <f>IF(OR(AND(N1301&gt;0,O1301&gt;0),AND(N1301&lt;0,O1301&lt;0)),1,0)</f>
        <v>1</v>
      </c>
      <c r="Q1301" s="416">
        <f>WEEKNUM(tblResultadosNBA[[#This Row],[Fecha]],2)</f>
        <v>20</v>
      </c>
      <c r="R1301" s="416" t="str">
        <f>TEXT(tblResultadosNBA[[#This Row],[Fecha]],"mmm")</f>
        <v>may</v>
      </c>
    </row>
    <row r="1302" spans="1:18">
      <c r="A1302" s="446">
        <v>46153</v>
      </c>
      <c r="B1302" s="331" t="s">
        <v>357</v>
      </c>
      <c r="C1302" s="286" t="str">
        <f>LEFT(B1302,FIND("@",B1302)-2)</f>
        <v>Oklahoma City Thunder</v>
      </c>
      <c r="D1302" s="286">
        <v>115</v>
      </c>
      <c r="E1302" s="431">
        <v>110</v>
      </c>
      <c r="F1302" s="332">
        <f>IF(E1302&gt;D1302, 1, 0)</f>
        <v>0</v>
      </c>
      <c r="G1302" s="286" t="str">
        <f>MID(B1302,FIND("@",B1302)+2,LEN(B1302)-FIND("@",B1302)-1)</f>
        <v>Los Angeles Lakers</v>
      </c>
      <c r="H1302" s="286">
        <v>113</v>
      </c>
      <c r="I1302" s="431">
        <v>115</v>
      </c>
      <c r="J1302" s="332">
        <f>IF(I1302&gt;H1302, 1, 0)</f>
        <v>1</v>
      </c>
      <c r="K1302" s="286">
        <f>+D1302+H1302</f>
        <v>228</v>
      </c>
      <c r="L1302" s="431">
        <f>E1302+I1302</f>
        <v>225</v>
      </c>
      <c r="M1302" s="332">
        <f>IF(L1302&gt;K1302, 1, 0)</f>
        <v>0</v>
      </c>
      <c r="N1302" s="432">
        <f>(+H1302-D1302)</f>
        <v>-2</v>
      </c>
      <c r="O1302" s="451">
        <f>I1302-E1302</f>
        <v>5</v>
      </c>
      <c r="P1302" s="433">
        <f>IF(OR(AND(N1302&gt;0,O1302&gt;0),AND(N1302&lt;0,O1302&lt;0)),1,0)</f>
        <v>0</v>
      </c>
      <c r="Q1302" s="416">
        <f>WEEKNUM(tblResultadosNBA[[#This Row],[Fecha]],2)</f>
        <v>20</v>
      </c>
      <c r="R1302" s="416" t="str">
        <f>TEXT(tblResultadosNBA[[#This Row],[Fecha]],"mmm")</f>
        <v>may</v>
      </c>
    </row>
    <row r="1303" spans="1:18">
      <c r="A1303" s="446">
        <v>46154</v>
      </c>
      <c r="B1303" s="520" t="s">
        <v>599</v>
      </c>
      <c r="C1303" s="521" t="str">
        <f>LEFT(B1303,FIND("@",B1303)-2)</f>
        <v>Minnesota Timberwolves</v>
      </c>
      <c r="D1303" s="521">
        <v>117</v>
      </c>
      <c r="E1303" s="522">
        <v>97</v>
      </c>
      <c r="F1303" s="523">
        <f>IF(E1303&gt;D1303, 1, 0)</f>
        <v>0</v>
      </c>
      <c r="G1303" s="521" t="str">
        <f>MID(B1303,FIND("@",B1303)+2,LEN(B1303)-FIND("@",B1303)-1)</f>
        <v>San Antonio Spurs</v>
      </c>
      <c r="H1303" s="521">
        <v>118</v>
      </c>
      <c r="I1303" s="522">
        <v>126</v>
      </c>
      <c r="J1303" s="523">
        <f>IF(I1303&gt;H1303, 1, 0)</f>
        <v>1</v>
      </c>
      <c r="K1303" s="521">
        <f>+D1303+H1303</f>
        <v>235</v>
      </c>
      <c r="L1303" s="522">
        <f>E1303+I1303</f>
        <v>223</v>
      </c>
      <c r="M1303" s="523">
        <f>IF(L1303&gt;K1303, 1, 0)</f>
        <v>0</v>
      </c>
      <c r="N1303" s="524">
        <f>(+H1303-D1303)</f>
        <v>1</v>
      </c>
      <c r="O1303" s="525">
        <f>I1303-E1303</f>
        <v>29</v>
      </c>
      <c r="P1303" s="433">
        <f>IF(OR(AND(N1303&gt;0,O1303&gt;0),AND(N1303&lt;0,O1303&lt;0)),1,0)</f>
        <v>1</v>
      </c>
      <c r="Q1303" s="416">
        <f>WEEKNUM(tblResultadosNBA[[#This Row],[Fecha]],2)</f>
        <v>20</v>
      </c>
      <c r="R1303" s="416" t="str">
        <f>TEXT(tblResultadosNBA[[#This Row],[Fecha]],"mmm")</f>
        <v>may</v>
      </c>
    </row>
    <row r="1304" spans="1:18">
      <c r="A1304" s="446">
        <v>46155</v>
      </c>
      <c r="B1304" s="520" t="s">
        <v>408</v>
      </c>
      <c r="C1304" s="521" t="str">
        <f>LEFT(B1304,FIND("@",B1304)-2)</f>
        <v>Cleveland Cavaliers</v>
      </c>
      <c r="D1304" s="521">
        <v>112</v>
      </c>
      <c r="E1304" s="522">
        <v>117</v>
      </c>
      <c r="F1304" s="523">
        <f>IF(E1304&gt;D1304, 1, 0)</f>
        <v>1</v>
      </c>
      <c r="G1304" s="521" t="str">
        <f>MID(B1304,FIND("@",B1304)+2,LEN(B1304)-FIND("@",B1304)-1)</f>
        <v>Detroit Pistons</v>
      </c>
      <c r="H1304" s="521">
        <v>112</v>
      </c>
      <c r="I1304" s="522">
        <v>113</v>
      </c>
      <c r="J1304" s="523">
        <f>IF(I1304&gt;H1304, 1, 0)</f>
        <v>1</v>
      </c>
      <c r="K1304" s="521">
        <f>+D1304+H1304</f>
        <v>224</v>
      </c>
      <c r="L1304" s="522">
        <f>E1304+I1304</f>
        <v>230</v>
      </c>
      <c r="M1304" s="523">
        <f>IF(L1304&gt;K1304, 1, 0)</f>
        <v>1</v>
      </c>
      <c r="N1304" s="524">
        <f>(+H1304-D1304)</f>
        <v>0</v>
      </c>
      <c r="O1304" s="525">
        <f>I1304-E1304</f>
        <v>-4</v>
      </c>
      <c r="P1304" s="433">
        <f>IF(OR(AND(N1304&gt;0,O1304&gt;0),AND(N1304&lt;0,O1304&lt;0)),1,0)</f>
        <v>0</v>
      </c>
      <c r="Q1304" s="416">
        <f>WEEKNUM(tblResultadosNBA[[#This Row],[Fecha]],2)</f>
        <v>20</v>
      </c>
      <c r="R1304" s="416" t="str">
        <f>TEXT(tblResultadosNBA[[#This Row],[Fecha]],"mmm")</f>
        <v>may</v>
      </c>
    </row>
    <row r="1305" spans="1:18">
      <c r="A1305" s="439">
        <v>46157</v>
      </c>
      <c r="B1305" s="422" t="s">
        <v>264</v>
      </c>
      <c r="C1305" s="341" t="str">
        <f t="shared" ref="C1305:C1306" si="1613">LEFT(B1305,FIND("@",B1305)-2)</f>
        <v>Detroit Pistons</v>
      </c>
      <c r="D1305" s="341">
        <v>111</v>
      </c>
      <c r="E1305" s="342">
        <v>115</v>
      </c>
      <c r="F1305" s="333">
        <f t="shared" ref="F1305:F1306" si="1614">IF(E1305&gt;D1305, 1, 0)</f>
        <v>1</v>
      </c>
      <c r="G1305" s="341" t="str">
        <f t="shared" ref="G1305:G1306" si="1615">MID(B1305,FIND("@",B1305)+2,LEN(B1305)-FIND("@",B1305)-1)</f>
        <v>Cleveland Cavaliers</v>
      </c>
      <c r="H1305" s="341">
        <v>114</v>
      </c>
      <c r="I1305" s="342">
        <v>94</v>
      </c>
      <c r="J1305" s="333">
        <f t="shared" ref="J1305:J1306" si="1616">IF(I1305&gt;H1305, 1, 0)</f>
        <v>0</v>
      </c>
      <c r="K1305" s="341">
        <f t="shared" ref="K1305:K1306" si="1617">+D1305+H1305</f>
        <v>225</v>
      </c>
      <c r="L1305" s="342">
        <f t="shared" ref="L1305:L1306" si="1618">E1305+I1305</f>
        <v>209</v>
      </c>
      <c r="M1305" s="333">
        <f t="shared" ref="M1305:M1306" si="1619">IF(L1305&gt;K1305, 1, 0)</f>
        <v>0</v>
      </c>
      <c r="N1305" s="343">
        <f t="shared" ref="N1305:N1306" si="1620">(+H1305-D1305)</f>
        <v>3</v>
      </c>
      <c r="O1305" s="449">
        <f t="shared" ref="O1305:O1306" si="1621">I1305-E1305</f>
        <v>-21</v>
      </c>
      <c r="P1305">
        <f t="shared" ref="P1305:P1306" si="1622">IF(OR(AND(N1305&gt;0,O1305&gt;0),AND(N1305&lt;0,O1305&lt;0)),1,0)</f>
        <v>0</v>
      </c>
      <c r="Q1305" s="416">
        <f>WEEKNUM(tblResultadosNBA[[#This Row],[Fecha]],2)</f>
        <v>20</v>
      </c>
      <c r="R1305" s="416" t="str">
        <f>TEXT(tblResultadosNBA[[#This Row],[Fecha]],"mmm")</f>
        <v>may</v>
      </c>
    </row>
    <row r="1306" spans="1:18">
      <c r="A1306" s="446">
        <v>46157</v>
      </c>
      <c r="B1306" s="331" t="s">
        <v>123</v>
      </c>
      <c r="C1306" s="286" t="str">
        <f t="shared" si="1613"/>
        <v>San Antonio Spurs</v>
      </c>
      <c r="D1306" s="286">
        <v>117</v>
      </c>
      <c r="E1306" s="431">
        <v>139</v>
      </c>
      <c r="F1306" s="332">
        <f t="shared" si="1614"/>
        <v>1</v>
      </c>
      <c r="G1306" s="286" t="str">
        <f t="shared" si="1615"/>
        <v>Minnesota Timberwolves</v>
      </c>
      <c r="H1306" s="286">
        <v>118</v>
      </c>
      <c r="I1306" s="431">
        <v>109</v>
      </c>
      <c r="J1306" s="332">
        <f t="shared" si="1616"/>
        <v>0</v>
      </c>
      <c r="K1306" s="286">
        <f t="shared" si="1617"/>
        <v>235</v>
      </c>
      <c r="L1306" s="431">
        <f t="shared" si="1618"/>
        <v>248</v>
      </c>
      <c r="M1306" s="332">
        <f t="shared" si="1619"/>
        <v>1</v>
      </c>
      <c r="N1306" s="432">
        <f t="shared" si="1620"/>
        <v>1</v>
      </c>
      <c r="O1306" s="451">
        <f t="shared" si="1621"/>
        <v>-30</v>
      </c>
      <c r="P1306" s="433">
        <f t="shared" si="1622"/>
        <v>0</v>
      </c>
      <c r="Q1306" s="416">
        <f>WEEKNUM(tblResultadosNBA[[#This Row],[Fecha]],2)</f>
        <v>20</v>
      </c>
      <c r="R1306" s="416" t="str">
        <f>TEXT(tblResultadosNBA[[#This Row],[Fecha]],"mmm")</f>
        <v>may</v>
      </c>
    </row>
    <row r="1307" spans="1:18">
      <c r="A1307" s="476">
        <v>46159</v>
      </c>
      <c r="B1307" s="423" t="s">
        <v>408</v>
      </c>
      <c r="C1307" s="361" t="str">
        <f t="shared" ref="C1307" si="1623">LEFT(B1307,FIND("@",B1307)-2)</f>
        <v>Cleveland Cavaliers</v>
      </c>
      <c r="D1307" s="361">
        <v>112</v>
      </c>
      <c r="E1307" s="436">
        <v>125</v>
      </c>
      <c r="F1307" s="615">
        <f t="shared" ref="F1307" si="1624">IF(E1307&gt;D1307, 1, 0)</f>
        <v>1</v>
      </c>
      <c r="G1307" s="361" t="str">
        <f t="shared" ref="G1307" si="1625">MID(B1307,FIND("@",B1307)+2,LEN(B1307)-FIND("@",B1307)-1)</f>
        <v>Detroit Pistons</v>
      </c>
      <c r="H1307" s="361">
        <v>112</v>
      </c>
      <c r="I1307" s="436">
        <v>94</v>
      </c>
      <c r="J1307" s="615">
        <f t="shared" ref="J1307" si="1626">IF(I1307&gt;H1307, 1, 0)</f>
        <v>0</v>
      </c>
      <c r="K1307" s="361">
        <f t="shared" ref="K1307" si="1627">+D1307+H1307</f>
        <v>224</v>
      </c>
      <c r="L1307" s="436">
        <f t="shared" ref="L1307" si="1628">E1307+I1307</f>
        <v>219</v>
      </c>
      <c r="M1307" s="615">
        <f t="shared" ref="M1307" si="1629">IF(L1307&gt;K1307, 1, 0)</f>
        <v>0</v>
      </c>
      <c r="N1307" s="616">
        <f t="shared" ref="N1307" si="1630">(+H1307-D1307)</f>
        <v>0</v>
      </c>
      <c r="O1307" s="617">
        <f t="shared" ref="O1307" si="1631">I1307-E1307</f>
        <v>-31</v>
      </c>
      <c r="P1307" s="289">
        <f t="shared" ref="P1307" si="1632">IF(OR(AND(N1307&gt;0,O1307&gt;0),AND(N1307&lt;0,O1307&lt;0)),1,0)</f>
        <v>0</v>
      </c>
      <c r="Q1307" s="416">
        <f>WEEKNUM(tblResultadosNBA[[#This Row],[Fecha]],2)</f>
        <v>20</v>
      </c>
      <c r="R1307" s="416" t="str">
        <f>TEXT(tblResultadosNBA[[#This Row],[Fecha]],"mmm")</f>
        <v>may</v>
      </c>
    </row>
    <row r="1308" spans="1:18">
      <c r="A1308" s="618">
        <v>46160</v>
      </c>
      <c r="B1308" s="619" t="s">
        <v>224</v>
      </c>
      <c r="C1308" s="620" t="str">
        <f>LEFT(B1308,FIND("@",B1308)-2)</f>
        <v>San Antonio Spurs</v>
      </c>
      <c r="D1308" s="620">
        <v>114</v>
      </c>
      <c r="E1308" s="621">
        <v>122</v>
      </c>
      <c r="F1308" s="622">
        <f>IF(E1308&gt;D1308, 1, 0)</f>
        <v>1</v>
      </c>
      <c r="G1308" s="620" t="str">
        <f>MID(B1308,FIND("@",B1308)+2,LEN(B1308)-FIND("@",B1308)-1)</f>
        <v>Oklahoma City Thunder</v>
      </c>
      <c r="H1308" s="620">
        <v>122</v>
      </c>
      <c r="I1308" s="621">
        <v>115</v>
      </c>
      <c r="J1308" s="622">
        <f>IF(I1308&gt;H1308, 1, 0)</f>
        <v>0</v>
      </c>
      <c r="K1308" s="620">
        <f>+D1308+H1308</f>
        <v>236</v>
      </c>
      <c r="L1308" s="621">
        <f>E1308+I1308</f>
        <v>237</v>
      </c>
      <c r="M1308" s="622">
        <f>IF(L1308&gt;K1308, 1, 0)</f>
        <v>1</v>
      </c>
      <c r="N1308" s="623">
        <f>(+H1308-D1308)</f>
        <v>8</v>
      </c>
      <c r="O1308" s="624">
        <f>I1308-E1308</f>
        <v>-7</v>
      </c>
      <c r="P1308" s="116">
        <f>IF(OR(AND(N1308&gt;0,O1308&gt;0),AND(N1308&lt;0,O1308&lt;0)),1,0)</f>
        <v>0</v>
      </c>
      <c r="Q1308" s="416">
        <f>WEEKNUM(tblResultadosNBA[[#This Row],[Fecha]],2)</f>
        <v>21</v>
      </c>
      <c r="R1308" s="416" t="str">
        <f>TEXT(tblResultadosNBA[[#This Row],[Fecha]],"mmm")</f>
        <v>may</v>
      </c>
    </row>
    <row r="1309" spans="1:18">
      <c r="A1309" s="446">
        <v>46161</v>
      </c>
      <c r="B1309" s="520" t="s">
        <v>223</v>
      </c>
      <c r="C1309" s="521" t="str">
        <f>LEFT(B1309,FIND("@",B1309)-2)</f>
        <v>Cleveland Cavaliers</v>
      </c>
      <c r="D1309" s="521">
        <v>111</v>
      </c>
      <c r="E1309" s="522">
        <v>104</v>
      </c>
      <c r="F1309" s="523">
        <f>IF(E1309&gt;D1309, 1, 0)</f>
        <v>0</v>
      </c>
      <c r="G1309" s="521" t="str">
        <f>MID(B1309,FIND("@",B1309)+2,LEN(B1309)-FIND("@",B1309)-1)</f>
        <v>New York Knicks</v>
      </c>
      <c r="H1309" s="521">
        <v>113</v>
      </c>
      <c r="I1309" s="522">
        <v>115</v>
      </c>
      <c r="J1309" s="523">
        <f>IF(I1309&gt;H1309, 1, 0)</f>
        <v>1</v>
      </c>
      <c r="K1309" s="521">
        <f>+D1309+H1309</f>
        <v>224</v>
      </c>
      <c r="L1309" s="522">
        <f>E1309+I1309</f>
        <v>219</v>
      </c>
      <c r="M1309" s="523">
        <f>IF(L1309&gt;K1309, 1, 0)</f>
        <v>0</v>
      </c>
      <c r="N1309" s="524">
        <f>(+H1309-D1309)</f>
        <v>2</v>
      </c>
      <c r="O1309" s="525">
        <f>I1309-E1309</f>
        <v>11</v>
      </c>
      <c r="P1309" s="433">
        <f>IF(OR(AND(N1309&gt;0,O1309&gt;0),AND(N1309&lt;0,O1309&lt;0)),1,0)</f>
        <v>1</v>
      </c>
      <c r="Q1309" s="416">
        <f>WEEKNUM(tblResultadosNBA[[#This Row],[Fecha]],2)</f>
        <v>21</v>
      </c>
      <c r="R1309" s="416" t="str">
        <f>TEXT(tblResultadosNBA[[#This Row],[Fecha]],"mmm")</f>
        <v>may</v>
      </c>
    </row>
    <row r="1310" spans="1:18">
      <c r="A1310" s="446">
        <v>46162</v>
      </c>
      <c r="B1310" s="520" t="s">
        <v>224</v>
      </c>
      <c r="C1310" s="521" t="str">
        <f>LEFT(B1310,FIND("@",B1310)-2)</f>
        <v>San Antonio Spurs</v>
      </c>
      <c r="D1310" s="521">
        <v>113</v>
      </c>
      <c r="E1310" s="522">
        <v>113</v>
      </c>
      <c r="F1310" s="523">
        <f>IF(E1310&gt;D1310, 1, 0)</f>
        <v>0</v>
      </c>
      <c r="G1310" s="521" t="str">
        <f>MID(B1310,FIND("@",B1310)+2,LEN(B1310)-FIND("@",B1310)-1)</f>
        <v>Oklahoma City Thunder</v>
      </c>
      <c r="H1310" s="521">
        <v>120</v>
      </c>
      <c r="I1310" s="522">
        <v>122</v>
      </c>
      <c r="J1310" s="523">
        <f>IF(I1310&gt;H1310, 1, 0)</f>
        <v>1</v>
      </c>
      <c r="K1310" s="521">
        <f>+D1310+H1310</f>
        <v>233</v>
      </c>
      <c r="L1310" s="522">
        <f>E1310+I1310</f>
        <v>235</v>
      </c>
      <c r="M1310" s="523">
        <f>IF(L1310&gt;K1310, 1, 0)</f>
        <v>1</v>
      </c>
      <c r="N1310" s="524">
        <f>(+H1310-D1310)</f>
        <v>7</v>
      </c>
      <c r="O1310" s="525">
        <f>I1310-E1310</f>
        <v>9</v>
      </c>
      <c r="P1310" s="433">
        <f>IF(OR(AND(N1310&gt;0,O1310&gt;0),AND(N1310&lt;0,O1310&lt;0)),1,0)</f>
        <v>1</v>
      </c>
      <c r="Q1310" s="416">
        <f>WEEKNUM(tblResultadosNBA[[#This Row],[Fecha]],2)</f>
        <v>21</v>
      </c>
      <c r="R1310" s="416" t="str">
        <f>TEXT(tblResultadosNBA[[#This Row],[Fecha]],"mmm")</f>
        <v>may</v>
      </c>
    </row>
    <row r="1311" spans="1:18">
      <c r="A1311" s="446">
        <v>46163</v>
      </c>
      <c r="B1311" s="520" t="s">
        <v>223</v>
      </c>
      <c r="C1311" s="521" t="str">
        <f>LEFT(B1311,FIND("@",B1311)-2)</f>
        <v>Cleveland Cavaliers</v>
      </c>
      <c r="D1311" s="521">
        <v>109</v>
      </c>
      <c r="E1311" s="522">
        <v>93</v>
      </c>
      <c r="F1311" s="523">
        <f>IF(E1311&gt;D1311, 1, 0)</f>
        <v>0</v>
      </c>
      <c r="G1311" s="521" t="str">
        <f>MID(B1311,FIND("@",B1311)+2,LEN(B1311)-FIND("@",B1311)-1)</f>
        <v>New York Knicks</v>
      </c>
      <c r="H1311" s="521">
        <v>114</v>
      </c>
      <c r="I1311" s="522">
        <v>109</v>
      </c>
      <c r="J1311" s="523">
        <f>IF(I1311&gt;H1311, 1, 0)</f>
        <v>0</v>
      </c>
      <c r="K1311" s="521">
        <f>+D1311+H1311</f>
        <v>223</v>
      </c>
      <c r="L1311" s="522">
        <f>E1311+I1311</f>
        <v>202</v>
      </c>
      <c r="M1311" s="523">
        <f>IF(L1311&gt;K1311, 1, 0)</f>
        <v>0</v>
      </c>
      <c r="N1311" s="524">
        <f>(+H1311-D1311)</f>
        <v>5</v>
      </c>
      <c r="O1311" s="525">
        <f>I1311-E1311</f>
        <v>16</v>
      </c>
      <c r="P1311" s="433">
        <f>IF(OR(AND(N1311&gt;0,O1311&gt;0),AND(N1311&lt;0,O1311&lt;0)),1,0)</f>
        <v>1</v>
      </c>
      <c r="Q1311" s="416">
        <f>WEEKNUM(tblResultadosNBA[[#This Row],[Fecha]],2)</f>
        <v>21</v>
      </c>
      <c r="R1311" s="416" t="str">
        <f>TEXT(tblResultadosNBA[[#This Row],[Fecha]],"mmm")</f>
        <v>may</v>
      </c>
    </row>
    <row r="1312" spans="1:18">
      <c r="A1312" s="446">
        <v>46164</v>
      </c>
      <c r="B1312" s="520" t="s">
        <v>218</v>
      </c>
      <c r="C1312" s="521" t="str">
        <f>LEFT(B1312,FIND("@",B1312)-2)</f>
        <v>Oklahoma City Thunder</v>
      </c>
      <c r="D1312" s="521">
        <v>118</v>
      </c>
      <c r="E1312" s="522">
        <v>123</v>
      </c>
      <c r="F1312" s="523">
        <f>IF(E1312&gt;D1312, 1, 0)</f>
        <v>1</v>
      </c>
      <c r="G1312" s="521" t="str">
        <f>MID(B1312,FIND("@",B1312)+2,LEN(B1312)-FIND("@",B1312)-1)</f>
        <v>San Antonio Spurs</v>
      </c>
      <c r="H1312" s="521">
        <v>118</v>
      </c>
      <c r="I1312" s="522">
        <v>108</v>
      </c>
      <c r="J1312" s="523">
        <f>IF(I1312&gt;H1312, 1, 0)</f>
        <v>0</v>
      </c>
      <c r="K1312" s="521">
        <f>+D1312+H1312</f>
        <v>236</v>
      </c>
      <c r="L1312" s="522">
        <f>E1312+I1312</f>
        <v>231</v>
      </c>
      <c r="M1312" s="523">
        <f>IF(L1312&gt;K1312, 1, 0)</f>
        <v>0</v>
      </c>
      <c r="N1312" s="524">
        <f>(+H1312-D1312)</f>
        <v>0</v>
      </c>
      <c r="O1312" s="525">
        <f>I1312-E1312</f>
        <v>-15</v>
      </c>
      <c r="P1312" s="433">
        <f>IF(OR(AND(N1312&gt;0,O1312&gt;0),AND(N1312&lt;0,O1312&lt;0)),1,0)</f>
        <v>0</v>
      </c>
      <c r="Q1312" s="416">
        <f>WEEKNUM(tblResultadosNBA[[#This Row],[Fecha]],2)</f>
        <v>21</v>
      </c>
      <c r="R1312" s="416" t="str">
        <f>TEXT(tblResultadosNBA[[#This Row],[Fecha]],"mmm")</f>
        <v>may</v>
      </c>
    </row>
    <row r="1313" spans="1:18">
      <c r="A1313" s="446">
        <v>46165</v>
      </c>
      <c r="B1313" s="520" t="s">
        <v>393</v>
      </c>
      <c r="C1313" s="521" t="str">
        <f>LEFT(B1313,FIND("@",B1313)-2)</f>
        <v>New York Knicks</v>
      </c>
      <c r="D1313" s="521">
        <v>113</v>
      </c>
      <c r="E1313" s="522">
        <v>121</v>
      </c>
      <c r="F1313" s="523">
        <f>IF(E1313&gt;D1313, 1, 0)</f>
        <v>1</v>
      </c>
      <c r="G1313" s="521" t="str">
        <f>MID(B1313,FIND("@",B1313)+2,LEN(B1313)-FIND("@",B1313)-1)</f>
        <v>Cleveland Cavaliers</v>
      </c>
      <c r="H1313" s="521">
        <v>110</v>
      </c>
      <c r="I1313" s="522">
        <v>108</v>
      </c>
      <c r="J1313" s="523">
        <f>IF(I1313&gt;H1313, 1, 0)</f>
        <v>0</v>
      </c>
      <c r="K1313" s="521">
        <f>+D1313+H1313</f>
        <v>223</v>
      </c>
      <c r="L1313" s="522">
        <f>E1313+I1313</f>
        <v>229</v>
      </c>
      <c r="M1313" s="523">
        <f>IF(L1313&gt;K1313, 1, 0)</f>
        <v>1</v>
      </c>
      <c r="N1313" s="524">
        <f>(+H1313-D1313)</f>
        <v>-3</v>
      </c>
      <c r="O1313" s="525">
        <f>I1313-E1313</f>
        <v>-13</v>
      </c>
      <c r="P1313" s="433">
        <f>IF(OR(AND(N1313&gt;0,O1313&gt;0),AND(N1313&lt;0,O1313&lt;0)),1,0)</f>
        <v>1</v>
      </c>
      <c r="Q1313" s="416">
        <f>WEEKNUM(tblResultadosNBA[[#This Row],[Fecha]],2)</f>
        <v>21</v>
      </c>
      <c r="R1313" s="416" t="str">
        <f>TEXT(tblResultadosNBA[[#This Row],[Fecha]],"mmm")</f>
        <v>may</v>
      </c>
    </row>
    <row r="1314" spans="1:18">
      <c r="A1314" s="446">
        <v>46166</v>
      </c>
      <c r="B1314" s="520" t="s">
        <v>218</v>
      </c>
      <c r="C1314" s="521" t="str">
        <f>LEFT(B1314,FIND("@",B1314)-2)</f>
        <v>Oklahoma City Thunder</v>
      </c>
      <c r="D1314" s="521">
        <v>116</v>
      </c>
      <c r="E1314" s="522">
        <v>82</v>
      </c>
      <c r="F1314" s="523">
        <f>IF(E1314&gt;D1314, 1, 0)</f>
        <v>0</v>
      </c>
      <c r="G1314" s="521" t="str">
        <f>MID(B1314,FIND("@",B1314)+2,LEN(B1314)-FIND("@",B1314)-1)</f>
        <v>San Antonio Spurs</v>
      </c>
      <c r="H1314" s="521">
        <v>115</v>
      </c>
      <c r="I1314" s="522">
        <v>103</v>
      </c>
      <c r="J1314" s="523">
        <f>IF(I1314&gt;H1314, 1, 0)</f>
        <v>0</v>
      </c>
      <c r="K1314" s="521">
        <f>+D1314+H1314</f>
        <v>231</v>
      </c>
      <c r="L1314" s="522">
        <f>E1314+I1314</f>
        <v>185</v>
      </c>
      <c r="M1314" s="523">
        <f>IF(L1314&gt;K1314, 1, 0)</f>
        <v>0</v>
      </c>
      <c r="N1314" s="524">
        <f>(+H1314-D1314)</f>
        <v>-1</v>
      </c>
      <c r="O1314" s="525">
        <f>I1314-E1314</f>
        <v>21</v>
      </c>
      <c r="P1314" s="433">
        <f>IF(OR(AND(N1314&gt;0,O1314&gt;0),AND(N1314&lt;0,O1314&lt;0)),1,0)</f>
        <v>0</v>
      </c>
      <c r="Q1314" s="416">
        <f>WEEKNUM(tblResultadosNBA[[#This Row],[Fecha]],2)</f>
        <v>21</v>
      </c>
      <c r="R1314" s="416" t="str">
        <f>TEXT(tblResultadosNBA[[#This Row],[Fecha]],"mmm")</f>
        <v>may</v>
      </c>
    </row>
    <row r="1315" spans="1:18">
      <c r="A1315" s="446">
        <v>46167</v>
      </c>
      <c r="B1315" s="520" t="s">
        <v>393</v>
      </c>
      <c r="C1315" s="521" t="str">
        <f>LEFT(B1315,FIND("@",B1315)-2)</f>
        <v>New York Knicks</v>
      </c>
      <c r="D1315" s="521">
        <v>113</v>
      </c>
      <c r="E1315" s="522">
        <v>130</v>
      </c>
      <c r="F1315" s="523">
        <f>IF(E1315&gt;D1315, 1, 0)</f>
        <v>1</v>
      </c>
      <c r="G1315" s="521" t="str">
        <f>MID(B1315,FIND("@",B1315)+2,LEN(B1315)-FIND("@",B1315)-1)</f>
        <v>Cleveland Cavaliers</v>
      </c>
      <c r="H1315" s="521">
        <v>111</v>
      </c>
      <c r="I1315" s="522">
        <v>93</v>
      </c>
      <c r="J1315" s="523">
        <f>IF(I1315&gt;H1315, 1, 0)</f>
        <v>0</v>
      </c>
      <c r="K1315" s="521">
        <f>+D1315+H1315</f>
        <v>224</v>
      </c>
      <c r="L1315" s="522">
        <f>E1315+I1315</f>
        <v>223</v>
      </c>
      <c r="M1315" s="523">
        <f>IF(L1315&gt;K1315, 1, 0)</f>
        <v>0</v>
      </c>
      <c r="N1315" s="524">
        <f>(+H1315-D1315)</f>
        <v>-2</v>
      </c>
      <c r="O1315" s="525">
        <f>I1315-E1315</f>
        <v>-37</v>
      </c>
      <c r="P1315" s="433">
        <f>IF(OR(AND(N1315&gt;0,O1315&gt;0),AND(N1315&lt;0,O1315&lt;0)),1,0)</f>
        <v>1</v>
      </c>
      <c r="Q1315" s="416">
        <f>WEEKNUM(tblResultadosNBA[[#This Row],[Fecha]],2)</f>
        <v>22</v>
      </c>
      <c r="R1315" s="416" t="str">
        <f>TEXT(tblResultadosNBA[[#This Row],[Fecha]],"mmm")</f>
        <v>may</v>
      </c>
    </row>
    <row r="1316" spans="1:18">
      <c r="A1316" s="446">
        <v>46168</v>
      </c>
      <c r="B1316" s="520" t="s">
        <v>224</v>
      </c>
      <c r="C1316" s="521" t="str">
        <f>LEFT(B1316,FIND("@",B1316)-2)</f>
        <v>San Antonio Spurs</v>
      </c>
      <c r="D1316" s="521">
        <v>113</v>
      </c>
      <c r="E1316" s="522">
        <v>114</v>
      </c>
      <c r="F1316" s="523">
        <f>IF(E1316&gt;D1316, 1, 0)</f>
        <v>1</v>
      </c>
      <c r="G1316" s="521" t="str">
        <f>MID(B1316,FIND("@",B1316)+2,LEN(B1316)-FIND("@",B1316)-1)</f>
        <v>Oklahoma City Thunder</v>
      </c>
      <c r="H1316" s="521">
        <v>117</v>
      </c>
      <c r="I1316" s="522">
        <v>127</v>
      </c>
      <c r="J1316" s="523">
        <f>IF(I1316&gt;H1316, 1, 0)</f>
        <v>1</v>
      </c>
      <c r="K1316" s="521">
        <f>+D1316+H1316</f>
        <v>230</v>
      </c>
      <c r="L1316" s="522">
        <f>E1316+I1316</f>
        <v>241</v>
      </c>
      <c r="M1316" s="523">
        <f>IF(L1316&gt;K1316, 1, 0)</f>
        <v>1</v>
      </c>
      <c r="N1316" s="524">
        <f>(+H1316-D1316)</f>
        <v>4</v>
      </c>
      <c r="O1316" s="525">
        <f>I1316-E1316</f>
        <v>13</v>
      </c>
      <c r="P1316" s="433">
        <f>IF(OR(AND(N1316&gt;0,O1316&gt;0),AND(N1316&lt;0,O1316&lt;0)),1,0)</f>
        <v>1</v>
      </c>
      <c r="Q1316" s="416">
        <f>WEEKNUM(tblResultadosNBA[[#This Row],[Fecha]],2)</f>
        <v>22</v>
      </c>
      <c r="R1316" s="416" t="str">
        <f>TEXT(tblResultadosNBA[[#This Row],[Fecha]],"mmm")</f>
        <v>may</v>
      </c>
    </row>
    <row r="1317" spans="1:18">
      <c r="A1317" s="446">
        <v>46170</v>
      </c>
      <c r="B1317" s="520" t="s">
        <v>218</v>
      </c>
      <c r="C1317" s="521" t="str">
        <f t="shared" ref="C1317" si="1633">LEFT(B1317,FIND("@",B1317)-2)</f>
        <v>Oklahoma City Thunder</v>
      </c>
      <c r="D1317" s="521">
        <v>116</v>
      </c>
      <c r="E1317" s="522">
        <v>91</v>
      </c>
      <c r="F1317" s="523">
        <f t="shared" ref="F1317" si="1634">IF(E1317&gt;D1317, 1, 0)</f>
        <v>0</v>
      </c>
      <c r="G1317" s="521" t="str">
        <f t="shared" ref="G1317" si="1635">MID(B1317,FIND("@",B1317)+2,LEN(B1317)-FIND("@",B1317)-1)</f>
        <v>San Antonio Spurs</v>
      </c>
      <c r="H1317" s="521">
        <v>114</v>
      </c>
      <c r="I1317" s="522">
        <v>118</v>
      </c>
      <c r="J1317" s="523">
        <f t="shared" ref="J1317" si="1636">IF(I1317&gt;H1317, 1, 0)</f>
        <v>1</v>
      </c>
      <c r="K1317" s="521">
        <f t="shared" ref="K1317" si="1637">+D1317+H1317</f>
        <v>230</v>
      </c>
      <c r="L1317" s="522">
        <f t="shared" ref="L1317" si="1638">E1317+I1317</f>
        <v>209</v>
      </c>
      <c r="M1317" s="523">
        <f t="shared" ref="M1317" si="1639">IF(L1317&gt;K1317, 1, 0)</f>
        <v>0</v>
      </c>
      <c r="N1317" s="524">
        <f t="shared" ref="N1317" si="1640">(+H1317-D1317)</f>
        <v>-2</v>
      </c>
      <c r="O1317" s="525">
        <f t="shared" ref="O1317" si="1641">I1317-E1317</f>
        <v>27</v>
      </c>
      <c r="P1317" s="433">
        <f t="shared" ref="P1317" si="1642">IF(OR(AND(N1317&gt;0,O1317&gt;0),AND(N1317&lt;0,O1317&lt;0)),1,0)</f>
        <v>0</v>
      </c>
      <c r="Q1317" s="416">
        <f>WEEKNUM(tblResultadosNBA[[#This Row],[Fecha]],2)</f>
        <v>22</v>
      </c>
      <c r="R1317" s="416" t="str">
        <f>TEXT(tblResultadosNBA[[#This Row],[Fecha]],"mmm")</f>
        <v>may</v>
      </c>
    </row>
    <row r="1318" spans="1:18">
      <c r="A1318" s="439">
        <v>46172</v>
      </c>
      <c r="B1318" s="520" t="s">
        <v>224</v>
      </c>
      <c r="C1318" s="341" t="str">
        <f t="shared" ref="C1318" si="1643">LEFT(B1318,FIND("@",B1318)-2)</f>
        <v>San Antonio Spurs</v>
      </c>
      <c r="D1318" s="341">
        <v>113</v>
      </c>
      <c r="E1318" s="342">
        <v>111</v>
      </c>
      <c r="F1318" s="333">
        <f t="shared" ref="F1318" si="1644">IF(E1318&gt;D1318, 1, 0)</f>
        <v>0</v>
      </c>
      <c r="G1318" s="341" t="str">
        <f t="shared" ref="G1318" si="1645">MID(B1318,FIND("@",B1318)+2,LEN(B1318)-FIND("@",B1318)-1)</f>
        <v>Oklahoma City Thunder</v>
      </c>
      <c r="H1318" s="341">
        <v>118</v>
      </c>
      <c r="I1318" s="342">
        <v>103</v>
      </c>
      <c r="J1318" s="333">
        <f t="shared" ref="J1318" si="1646">IF(I1318&gt;H1318, 1, 0)</f>
        <v>0</v>
      </c>
      <c r="K1318" s="341">
        <f t="shared" ref="K1318" si="1647">+D1318+H1318</f>
        <v>231</v>
      </c>
      <c r="L1318" s="342">
        <f t="shared" ref="L1318" si="1648">E1318+I1318</f>
        <v>214</v>
      </c>
      <c r="M1318" s="333">
        <f t="shared" ref="M1318" si="1649">IF(L1318&gt;K1318, 1, 0)</f>
        <v>0</v>
      </c>
      <c r="N1318" s="343">
        <f t="shared" ref="N1318" si="1650">(+H1318-D1318)</f>
        <v>5</v>
      </c>
      <c r="O1318" s="449">
        <f t="shared" ref="O1318" si="1651">I1318-E1318</f>
        <v>-8</v>
      </c>
      <c r="P1318">
        <f t="shared" ref="P1318" si="1652">IF(OR(AND(N1318&gt;0,O1318&gt;0),AND(N1318&lt;0,O1318&lt;0)),1,0)</f>
        <v>0</v>
      </c>
      <c r="Q1318" s="416">
        <f>WEEKNUM(tblResultadosNBA[[#This Row],[Fecha]],2)</f>
        <v>22</v>
      </c>
      <c r="R1318" s="416" t="str">
        <f>TEXT(tblResultadosNBA[[#This Row],[Fecha]],"mmm")</f>
        <v>may</v>
      </c>
    </row>
    <row r="1319" spans="1:18">
      <c r="A1319" s="455"/>
      <c r="E1319" s="357">
        <f>COUNT(E2:E1318)</f>
        <v>1317</v>
      </c>
      <c r="F1319" s="534">
        <f>SUM(F2:F1318)</f>
        <v>631</v>
      </c>
      <c r="I1319" s="357">
        <f>COUNT(I2:I1318)</f>
        <v>1317</v>
      </c>
      <c r="J1319" s="534">
        <f>SUM(J2:J1318)</f>
        <v>596</v>
      </c>
      <c r="L1319" s="357">
        <f>COUNT(I2:I1318)</f>
        <v>1317</v>
      </c>
      <c r="M1319" s="534">
        <f>SUM(M2:M1318)</f>
        <v>606</v>
      </c>
      <c r="P1319" s="534">
        <f>SUM(P2:P1318)</f>
        <v>744</v>
      </c>
    </row>
    <row r="1320" spans="1:18">
      <c r="A1320" s="455"/>
      <c r="E1320" s="639">
        <f>F1319/E1319</f>
        <v>0.47911921032649962</v>
      </c>
      <c r="F1320" s="640"/>
      <c r="G1320" s="642">
        <f>(J1319+F1319)/(E1319+I1319)</f>
        <v>0.46583143507972663</v>
      </c>
      <c r="H1320" s="643"/>
      <c r="I1320" s="641">
        <f>J1319/I1319</f>
        <v>0.45254365983295369</v>
      </c>
      <c r="J1320" s="638"/>
      <c r="L1320" s="637">
        <f>M1319/L1319</f>
        <v>0.46013667425968108</v>
      </c>
      <c r="M1320" s="638"/>
      <c r="P1320" s="531">
        <f>P1319/I1319</f>
        <v>0.56492027334851935</v>
      </c>
    </row>
    <row r="1321" spans="1:18">
      <c r="A1321" s="455"/>
      <c r="E1321" s="633">
        <f>1/E1320</f>
        <v>2.0871632329635501</v>
      </c>
      <c r="F1321" s="634"/>
      <c r="I1321" s="635">
        <f>1/I1320</f>
        <v>2.2097315436241609</v>
      </c>
      <c r="J1321" s="636"/>
      <c r="L1321" s="635">
        <f>1/L1320</f>
        <v>2.1732673267326734</v>
      </c>
      <c r="M1321" s="636"/>
      <c r="P1321" s="532">
        <f>1/P1320</f>
        <v>1.7701612903225807</v>
      </c>
      <c r="Q1321" s="365"/>
    </row>
    <row r="1322" spans="1:18">
      <c r="A1322" s="455"/>
      <c r="E1322" s="639">
        <f>1-E1320</f>
        <v>0.52088078967350038</v>
      </c>
      <c r="F1322" s="640"/>
      <c r="I1322" s="648">
        <f>1-I1320</f>
        <v>0.54745634016704625</v>
      </c>
      <c r="J1322" s="649"/>
      <c r="L1322" s="648">
        <f>1-L1320</f>
        <v>0.53986332574031892</v>
      </c>
      <c r="M1322" s="649"/>
      <c r="P1322" s="365"/>
      <c r="Q1322" s="365"/>
    </row>
    <row r="1323" spans="1:18">
      <c r="A1323" s="455"/>
      <c r="E1323" s="644">
        <f>1/(1-E1320)</f>
        <v>1.9198250728862973</v>
      </c>
      <c r="F1323" s="645"/>
      <c r="I1323" s="646">
        <f>1/(1-I1320)</f>
        <v>1.8266296809986133</v>
      </c>
      <c r="J1323" s="647"/>
      <c r="L1323" s="646">
        <f>1/(1-L1320)</f>
        <v>1.8523206751054853</v>
      </c>
      <c r="M1323" s="647"/>
      <c r="P1323" s="365"/>
      <c r="Q1323" s="365"/>
    </row>
    <row r="1324" spans="1:18">
      <c r="A1324" s="455"/>
      <c r="Q1324" s="365">
        <v>25</v>
      </c>
    </row>
    <row r="1325" spans="1:18">
      <c r="A1325" s="455"/>
      <c r="D1325" s="58">
        <f>AVERAGE(D2:D1318)</f>
        <v>114.18451025056947</v>
      </c>
      <c r="E1325" s="58">
        <f>AVERAGE(E2:E1318)</f>
        <v>114.22247532270312</v>
      </c>
      <c r="F1325" s="365"/>
      <c r="G1325" s="58"/>
      <c r="H1325" s="58">
        <f>AVERAGE(H2:H1318)</f>
        <v>117.04783599088839</v>
      </c>
      <c r="I1325" s="58">
        <f>AVERAGE(I2:I1318)</f>
        <v>116.02809415337889</v>
      </c>
      <c r="J1325" s="365"/>
      <c r="K1325" s="58">
        <f>AVERAGE(K2:K1318)</f>
        <v>231.23234624145786</v>
      </c>
      <c r="L1325" s="58">
        <f>AVERAGE(L2:L1318)</f>
        <v>230.25056947608201</v>
      </c>
      <c r="M1325" s="365"/>
      <c r="P1325" s="365">
        <f>90.18-100</f>
        <v>-9.8199999999999932</v>
      </c>
      <c r="Q1325" s="365"/>
    </row>
    <row r="1326" spans="1:18">
      <c r="A1326" s="455"/>
      <c r="E1326" s="365"/>
      <c r="F1326" s="365"/>
      <c r="I1326" s="365"/>
      <c r="J1326" s="365"/>
      <c r="L1326" s="365"/>
      <c r="M1326" s="365"/>
      <c r="P1326" s="365"/>
      <c r="Q1326" s="365"/>
    </row>
    <row r="1327" spans="1:18">
      <c r="A1327" s="455"/>
    </row>
    <row r="1328" spans="1:18">
      <c r="A1328" s="455"/>
    </row>
    <row r="1329" spans="1:1">
      <c r="A1329" s="455"/>
    </row>
    <row r="1330" spans="1:1">
      <c r="A1330" s="455"/>
    </row>
    <row r="1331" spans="1:1">
      <c r="A1331" s="455"/>
    </row>
    <row r="1332" spans="1:1">
      <c r="A1332" s="455"/>
    </row>
    <row r="1333" spans="1:1">
      <c r="A1333" s="455"/>
    </row>
    <row r="1334" spans="1:1">
      <c r="A1334" s="455"/>
    </row>
    <row r="1335" spans="1:1">
      <c r="A1335" s="455"/>
    </row>
    <row r="1336" spans="1:1">
      <c r="A1336" s="455"/>
    </row>
    <row r="1337" spans="1:1">
      <c r="A1337" s="455"/>
    </row>
    <row r="1338" spans="1:1">
      <c r="A1338" s="455"/>
    </row>
    <row r="1339" spans="1:1">
      <c r="A1339" s="455"/>
    </row>
    <row r="1340" spans="1:1">
      <c r="A1340" s="455"/>
    </row>
    <row r="1341" spans="1:1">
      <c r="A1341" s="455"/>
    </row>
    <row r="1342" spans="1:1">
      <c r="A1342" s="455"/>
    </row>
    <row r="1343" spans="1:1">
      <c r="A1343" s="455"/>
    </row>
    <row r="1344" spans="1:1">
      <c r="A1344" s="455"/>
    </row>
    <row r="1345" spans="1:1">
      <c r="A1345" s="455"/>
    </row>
    <row r="1346" spans="1:1">
      <c r="A1346" s="455"/>
    </row>
    <row r="1347" spans="1:1">
      <c r="A1347" s="455"/>
    </row>
    <row r="1348" spans="1:1">
      <c r="A1348" s="455"/>
    </row>
    <row r="1349" spans="1:1">
      <c r="A1349" s="455"/>
    </row>
    <row r="1350" spans="1:1">
      <c r="A1350" s="455"/>
    </row>
    <row r="1351" spans="1:1">
      <c r="A1351" s="455"/>
    </row>
    <row r="1352" spans="1:1">
      <c r="A1352" s="455"/>
    </row>
    <row r="1353" spans="1:1">
      <c r="A1353" s="455"/>
    </row>
    <row r="1354" spans="1:1">
      <c r="A1354" s="455"/>
    </row>
    <row r="1355" spans="1:1">
      <c r="A1355" s="455"/>
    </row>
    <row r="1356" spans="1:1">
      <c r="A1356" s="455"/>
    </row>
    <row r="1357" spans="1:1">
      <c r="A1357" s="455"/>
    </row>
    <row r="1358" spans="1:1">
      <c r="A1358" s="455"/>
    </row>
    <row r="1359" spans="1:1">
      <c r="A1359" s="455"/>
    </row>
    <row r="1360" spans="1:1">
      <c r="A1360" s="455"/>
    </row>
    <row r="1361" spans="1:1">
      <c r="A1361" s="455"/>
    </row>
    <row r="1362" spans="1:1">
      <c r="A1362" s="455"/>
    </row>
    <row r="1363" spans="1:1">
      <c r="A1363" s="455"/>
    </row>
    <row r="1364" spans="1:1">
      <c r="A1364" s="455"/>
    </row>
    <row r="1365" spans="1:1">
      <c r="A1365" s="455"/>
    </row>
    <row r="1366" spans="1:1">
      <c r="A1366" s="455"/>
    </row>
    <row r="1367" spans="1:1">
      <c r="A1367" s="455"/>
    </row>
    <row r="1368" spans="1:1">
      <c r="A1368" s="455"/>
    </row>
    <row r="1369" spans="1:1">
      <c r="A1369" s="455"/>
    </row>
    <row r="1370" spans="1:1">
      <c r="A1370" s="455"/>
    </row>
    <row r="1371" spans="1:1">
      <c r="A1371" s="455"/>
    </row>
    <row r="1372" spans="1:1">
      <c r="A1372" s="455"/>
    </row>
    <row r="1373" spans="1:1">
      <c r="A1373" s="455"/>
    </row>
    <row r="1374" spans="1:1">
      <c r="A1374" s="455"/>
    </row>
    <row r="1375" spans="1:1">
      <c r="A1375" s="455"/>
    </row>
    <row r="1376" spans="1:1">
      <c r="A1376" s="455"/>
    </row>
    <row r="1377" spans="1:1">
      <c r="A1377" s="455"/>
    </row>
    <row r="1378" spans="1:1">
      <c r="A1378" s="455"/>
    </row>
    <row r="1379" spans="1:1">
      <c r="A1379" s="455"/>
    </row>
    <row r="1380" spans="1:1">
      <c r="A1380" s="455"/>
    </row>
    <row r="1381" spans="1:1">
      <c r="A1381" s="455"/>
    </row>
    <row r="1382" spans="1:1">
      <c r="A1382" s="455"/>
    </row>
    <row r="1383" spans="1:1">
      <c r="A1383" s="455"/>
    </row>
    <row r="1384" spans="1:1">
      <c r="A1384" s="455"/>
    </row>
    <row r="1385" spans="1:1">
      <c r="A1385" s="455"/>
    </row>
    <row r="1386" spans="1:1">
      <c r="A1386" s="455"/>
    </row>
    <row r="1387" spans="1:1">
      <c r="A1387" s="455"/>
    </row>
    <row r="1388" spans="1:1">
      <c r="A1388" s="455"/>
    </row>
    <row r="1389" spans="1:1">
      <c r="A1389" s="455"/>
    </row>
    <row r="1390" spans="1:1">
      <c r="A1390" s="455"/>
    </row>
    <row r="1391" spans="1:1">
      <c r="A1391" s="455"/>
    </row>
    <row r="1392" spans="1:1">
      <c r="A1392" s="455"/>
    </row>
    <row r="1393" spans="1:1">
      <c r="A1393" s="455"/>
    </row>
    <row r="1394" spans="1:1">
      <c r="A1394" s="455"/>
    </row>
    <row r="1395" spans="1:1">
      <c r="A1395" s="455"/>
    </row>
    <row r="1396" spans="1:1">
      <c r="A1396" s="455"/>
    </row>
    <row r="1397" spans="1:1">
      <c r="A1397" s="455"/>
    </row>
    <row r="1398" spans="1:1">
      <c r="A1398" s="455"/>
    </row>
    <row r="1399" spans="1:1">
      <c r="A1399" s="455"/>
    </row>
    <row r="1400" spans="1:1">
      <c r="A1400" s="455"/>
    </row>
    <row r="1401" spans="1:1">
      <c r="A1401" s="455"/>
    </row>
    <row r="1402" spans="1:1">
      <c r="A1402" s="455"/>
    </row>
    <row r="1403" spans="1:1">
      <c r="A1403" s="455"/>
    </row>
    <row r="1404" spans="1:1">
      <c r="A1404" s="455"/>
    </row>
    <row r="1405" spans="1:1">
      <c r="A1405" s="455"/>
    </row>
    <row r="1406" spans="1:1">
      <c r="A1406" s="455"/>
    </row>
    <row r="1407" spans="1:1">
      <c r="A1407" s="455"/>
    </row>
    <row r="1408" spans="1:1">
      <c r="A1408" s="455"/>
    </row>
    <row r="1409" spans="1:1">
      <c r="A1409" s="455"/>
    </row>
    <row r="1410" spans="1:1">
      <c r="A1410" s="455"/>
    </row>
    <row r="1411" spans="1:1">
      <c r="A1411" s="455"/>
    </row>
    <row r="1412" spans="1:1">
      <c r="A1412" s="455"/>
    </row>
    <row r="1413" spans="1:1">
      <c r="A1413" s="455"/>
    </row>
    <row r="1414" spans="1:1">
      <c r="A1414" s="455"/>
    </row>
    <row r="1415" spans="1:1">
      <c r="A1415" s="455"/>
    </row>
    <row r="1416" spans="1:1">
      <c r="A1416" s="455"/>
    </row>
    <row r="1417" spans="1:1">
      <c r="A1417" s="455"/>
    </row>
    <row r="1418" spans="1:1">
      <c r="A1418" s="455"/>
    </row>
    <row r="1419" spans="1:1">
      <c r="A1419" s="455"/>
    </row>
    <row r="1420" spans="1:1">
      <c r="A1420" s="455"/>
    </row>
    <row r="1421" spans="1:1">
      <c r="A1421" s="455"/>
    </row>
    <row r="1422" spans="1:1">
      <c r="A1422" s="455"/>
    </row>
    <row r="1423" spans="1:1">
      <c r="A1423" s="455"/>
    </row>
    <row r="1424" spans="1:1">
      <c r="A1424" s="455"/>
    </row>
    <row r="1425" spans="1:1">
      <c r="A1425" s="455"/>
    </row>
    <row r="1426" spans="1:1">
      <c r="A1426" s="455"/>
    </row>
    <row r="1427" spans="1:1">
      <c r="A1427" s="455"/>
    </row>
    <row r="1428" spans="1:1">
      <c r="A1428" s="455"/>
    </row>
    <row r="1429" spans="1:1">
      <c r="A1429" s="455"/>
    </row>
    <row r="1430" spans="1:1">
      <c r="A1430" s="455"/>
    </row>
    <row r="1431" spans="1:1">
      <c r="A1431" s="455"/>
    </row>
    <row r="1432" spans="1:1">
      <c r="A1432" s="455"/>
    </row>
    <row r="1433" spans="1:1">
      <c r="A1433" s="455"/>
    </row>
    <row r="1434" spans="1:1">
      <c r="A1434" s="455"/>
    </row>
    <row r="1435" spans="1:1">
      <c r="A1435" s="455"/>
    </row>
    <row r="1436" spans="1:1">
      <c r="A1436" s="455"/>
    </row>
    <row r="1437" spans="1:1">
      <c r="A1437" s="455"/>
    </row>
    <row r="1438" spans="1:1">
      <c r="A1438" s="455"/>
    </row>
    <row r="1439" spans="1:1">
      <c r="A1439" s="455"/>
    </row>
    <row r="1440" spans="1:1">
      <c r="A1440" s="455"/>
    </row>
    <row r="1441" spans="1:1">
      <c r="A1441" s="455"/>
    </row>
    <row r="1442" spans="1:1">
      <c r="A1442" s="455"/>
    </row>
    <row r="1443" spans="1:1">
      <c r="A1443" s="455"/>
    </row>
    <row r="1444" spans="1:1">
      <c r="A1444" s="455"/>
    </row>
    <row r="1445" spans="1:1">
      <c r="A1445" s="455"/>
    </row>
    <row r="1446" spans="1:1">
      <c r="A1446" s="455"/>
    </row>
    <row r="1447" spans="1:1">
      <c r="A1447" s="455"/>
    </row>
    <row r="1448" spans="1:1">
      <c r="A1448" s="455"/>
    </row>
    <row r="1449" spans="1:1">
      <c r="A1449" s="455"/>
    </row>
    <row r="1450" spans="1:1">
      <c r="A1450" s="455"/>
    </row>
    <row r="1451" spans="1:1">
      <c r="A1451" s="455"/>
    </row>
    <row r="1452" spans="1:1">
      <c r="A1452" s="455"/>
    </row>
    <row r="1453" spans="1:1">
      <c r="A1453" s="455"/>
    </row>
    <row r="1454" spans="1:1">
      <c r="A1454" s="455"/>
    </row>
    <row r="1455" spans="1:1">
      <c r="A1455" s="455"/>
    </row>
    <row r="1456" spans="1:1">
      <c r="A1456" s="455"/>
    </row>
    <row r="1457" spans="1:1">
      <c r="A1457" s="455"/>
    </row>
    <row r="1458" spans="1:1">
      <c r="A1458" s="455"/>
    </row>
    <row r="1459" spans="1:1">
      <c r="A1459" s="455"/>
    </row>
    <row r="1460" spans="1:1">
      <c r="A1460" s="455"/>
    </row>
    <row r="1461" spans="1:1">
      <c r="A1461" s="455"/>
    </row>
    <row r="1462" spans="1:1">
      <c r="A1462" s="455"/>
    </row>
    <row r="1463" spans="1:1">
      <c r="A1463" s="455"/>
    </row>
    <row r="1464" spans="1:1">
      <c r="A1464" s="455"/>
    </row>
    <row r="1465" spans="1:1">
      <c r="A1465" s="455"/>
    </row>
    <row r="1466" spans="1:1">
      <c r="A1466" s="455"/>
    </row>
    <row r="1467" spans="1:1">
      <c r="A1467" s="455"/>
    </row>
    <row r="1468" spans="1:1">
      <c r="A1468" s="455"/>
    </row>
    <row r="1469" spans="1:1">
      <c r="A1469" s="455"/>
    </row>
    <row r="1470" spans="1:1">
      <c r="A1470" s="455"/>
    </row>
    <row r="1471" spans="1:1">
      <c r="A1471" s="455"/>
    </row>
    <row r="1472" spans="1:1">
      <c r="A1472" s="455"/>
    </row>
    <row r="1473" spans="1:1">
      <c r="A1473" s="455"/>
    </row>
    <row r="1474" spans="1:1">
      <c r="A1474" s="455"/>
    </row>
    <row r="1475" spans="1:1">
      <c r="A1475" s="455"/>
    </row>
    <row r="1476" spans="1:1">
      <c r="A1476" s="455"/>
    </row>
    <row r="1477" spans="1:1">
      <c r="A1477" s="455"/>
    </row>
    <row r="1478" spans="1:1">
      <c r="A1478" s="455"/>
    </row>
    <row r="1479" spans="1:1">
      <c r="A1479" s="455"/>
    </row>
    <row r="1480" spans="1:1">
      <c r="A1480" s="455"/>
    </row>
    <row r="1481" spans="1:1">
      <c r="A1481" s="455"/>
    </row>
    <row r="1482" spans="1:1">
      <c r="A1482" s="455"/>
    </row>
    <row r="1483" spans="1:1">
      <c r="A1483" s="455"/>
    </row>
    <row r="1484" spans="1:1">
      <c r="A1484" s="455"/>
    </row>
    <row r="1485" spans="1:1">
      <c r="A1485" s="455"/>
    </row>
    <row r="1486" spans="1:1">
      <c r="A1486" s="455"/>
    </row>
    <row r="1487" spans="1:1">
      <c r="A1487" s="455"/>
    </row>
    <row r="1488" spans="1:1">
      <c r="A1488" s="455"/>
    </row>
    <row r="1489" spans="1:1">
      <c r="A1489" s="455"/>
    </row>
    <row r="1490" spans="1:1">
      <c r="A1490" s="455"/>
    </row>
    <row r="1491" spans="1:1">
      <c r="A1491" s="455"/>
    </row>
    <row r="1492" spans="1:1">
      <c r="A1492" s="455"/>
    </row>
    <row r="1493" spans="1:1">
      <c r="A1493" s="455"/>
    </row>
    <row r="1494" spans="1:1">
      <c r="A1494" s="455"/>
    </row>
    <row r="1495" spans="1:1">
      <c r="A1495" s="455"/>
    </row>
    <row r="1496" spans="1:1">
      <c r="A1496" s="455"/>
    </row>
    <row r="1497" spans="1:1">
      <c r="A1497" s="455"/>
    </row>
    <row r="1498" spans="1:1">
      <c r="A1498" s="455"/>
    </row>
    <row r="1499" spans="1:1">
      <c r="A1499" s="455"/>
    </row>
    <row r="1500" spans="1:1">
      <c r="A1500" s="455"/>
    </row>
    <row r="1501" spans="1:1">
      <c r="A1501" s="455"/>
    </row>
    <row r="1502" spans="1:1">
      <c r="A1502" s="455"/>
    </row>
    <row r="1503" spans="1:1">
      <c r="A1503" s="455"/>
    </row>
    <row r="1504" spans="1:1">
      <c r="A1504" s="455"/>
    </row>
    <row r="1505" spans="1:1">
      <c r="A1505" s="455"/>
    </row>
    <row r="1506" spans="1:1">
      <c r="A1506" s="455"/>
    </row>
    <row r="1507" spans="1:1">
      <c r="A1507" s="455"/>
    </row>
    <row r="1508" spans="1:1">
      <c r="A1508" s="455"/>
    </row>
    <row r="1509" spans="1:1">
      <c r="A1509" s="455"/>
    </row>
    <row r="1510" spans="1:1">
      <c r="A1510" s="455"/>
    </row>
    <row r="1511" spans="1:1">
      <c r="A1511" s="455"/>
    </row>
    <row r="1512" spans="1:1">
      <c r="A1512" s="455"/>
    </row>
    <row r="1513" spans="1:1">
      <c r="A1513" s="455"/>
    </row>
    <row r="1514" spans="1:1">
      <c r="A1514" s="455"/>
    </row>
    <row r="1515" spans="1:1">
      <c r="A1515" s="455"/>
    </row>
    <row r="1516" spans="1:1">
      <c r="A1516" s="455"/>
    </row>
    <row r="1517" spans="1:1">
      <c r="A1517" s="455"/>
    </row>
    <row r="1518" spans="1:1">
      <c r="A1518" s="455"/>
    </row>
    <row r="1519" spans="1:1">
      <c r="A1519" s="455"/>
    </row>
    <row r="1520" spans="1:1">
      <c r="A1520" s="455"/>
    </row>
    <row r="1521" spans="1:1">
      <c r="A1521" s="455"/>
    </row>
    <row r="1522" spans="1:1">
      <c r="A1522" s="455"/>
    </row>
    <row r="1523" spans="1:1">
      <c r="A1523" s="455"/>
    </row>
    <row r="1524" spans="1:1">
      <c r="A1524" s="455"/>
    </row>
    <row r="1525" spans="1:1">
      <c r="A1525" s="455"/>
    </row>
    <row r="1526" spans="1:1">
      <c r="A1526" s="455"/>
    </row>
    <row r="1527" spans="1:1">
      <c r="A1527" s="455"/>
    </row>
    <row r="1528" spans="1:1">
      <c r="A1528" s="455"/>
    </row>
    <row r="1529" spans="1:1">
      <c r="A1529" s="455"/>
    </row>
    <row r="1530" spans="1:1">
      <c r="A1530" s="455"/>
    </row>
    <row r="1531" spans="1:1">
      <c r="A1531" s="455"/>
    </row>
    <row r="1532" spans="1:1">
      <c r="A1532" s="455"/>
    </row>
    <row r="1533" spans="1:1">
      <c r="A1533" s="455"/>
    </row>
    <row r="1534" spans="1:1">
      <c r="A1534" s="455"/>
    </row>
    <row r="1535" spans="1:1">
      <c r="A1535" s="455"/>
    </row>
    <row r="1536" spans="1:1">
      <c r="A1536" s="455"/>
    </row>
    <row r="1537" spans="1:1">
      <c r="A1537" s="455"/>
    </row>
    <row r="1538" spans="1:1">
      <c r="A1538" s="455"/>
    </row>
    <row r="1539" spans="1:1">
      <c r="A1539" s="455"/>
    </row>
    <row r="1540" spans="1:1">
      <c r="A1540" s="455"/>
    </row>
    <row r="1541" spans="1:1">
      <c r="A1541" s="455"/>
    </row>
    <row r="1542" spans="1:1">
      <c r="A1542" s="455"/>
    </row>
    <row r="1543" spans="1:1">
      <c r="A1543" s="455"/>
    </row>
    <row r="1544" spans="1:1">
      <c r="A1544" s="455"/>
    </row>
    <row r="1545" spans="1:1">
      <c r="A1545" s="455"/>
    </row>
    <row r="1546" spans="1:1">
      <c r="A1546" s="455"/>
    </row>
    <row r="1547" spans="1:1">
      <c r="A1547" s="455"/>
    </row>
    <row r="1548" spans="1:1">
      <c r="A1548" s="455"/>
    </row>
    <row r="1549" spans="1:1">
      <c r="A1549" s="455"/>
    </row>
    <row r="1550" spans="1:1">
      <c r="A1550" s="455"/>
    </row>
    <row r="1551" spans="1:1">
      <c r="A1551" s="455"/>
    </row>
    <row r="1552" spans="1:1">
      <c r="A1552" s="455"/>
    </row>
    <row r="1553" spans="1:1">
      <c r="A1553" s="455"/>
    </row>
    <row r="1554" spans="1:1">
      <c r="A1554" s="455"/>
    </row>
    <row r="1555" spans="1:1">
      <c r="A1555" s="455"/>
    </row>
    <row r="1556" spans="1:1">
      <c r="A1556" s="455"/>
    </row>
    <row r="1557" spans="1:1">
      <c r="A1557" s="455"/>
    </row>
    <row r="1558" spans="1:1">
      <c r="A1558" s="455"/>
    </row>
    <row r="1559" spans="1:1">
      <c r="A1559" s="455"/>
    </row>
    <row r="1560" spans="1:1">
      <c r="A1560" s="455"/>
    </row>
    <row r="1561" spans="1:1">
      <c r="A1561" s="455"/>
    </row>
    <row r="1562" spans="1:1">
      <c r="A1562" s="455"/>
    </row>
    <row r="1563" spans="1:1">
      <c r="A1563" s="455"/>
    </row>
    <row r="1564" spans="1:1">
      <c r="A1564" s="455"/>
    </row>
    <row r="1565" spans="1:1">
      <c r="A1565" s="455"/>
    </row>
    <row r="1566" spans="1:1">
      <c r="A1566" s="455"/>
    </row>
    <row r="1567" spans="1:1">
      <c r="A1567" s="455"/>
    </row>
    <row r="1568" spans="1:1">
      <c r="A1568" s="455"/>
    </row>
    <row r="1569" spans="1:1">
      <c r="A1569" s="455"/>
    </row>
    <row r="1570" spans="1:1">
      <c r="A1570" s="455"/>
    </row>
    <row r="1571" spans="1:1">
      <c r="A1571" s="455"/>
    </row>
    <row r="1572" spans="1:1">
      <c r="A1572" s="455"/>
    </row>
    <row r="1573" spans="1:1">
      <c r="A1573" s="455"/>
    </row>
    <row r="1574" spans="1:1">
      <c r="A1574" s="455"/>
    </row>
    <row r="1575" spans="1:1">
      <c r="A1575" s="455"/>
    </row>
    <row r="1576" spans="1:1">
      <c r="A1576" s="455"/>
    </row>
    <row r="1577" spans="1:1">
      <c r="A1577" s="455"/>
    </row>
    <row r="1578" spans="1:1">
      <c r="A1578" s="455"/>
    </row>
    <row r="1579" spans="1:1">
      <c r="A1579" s="455"/>
    </row>
    <row r="1580" spans="1:1">
      <c r="A1580" s="455"/>
    </row>
    <row r="1581" spans="1:1">
      <c r="A1581" s="455"/>
    </row>
    <row r="1582" spans="1:1">
      <c r="A1582" s="455"/>
    </row>
    <row r="1583" spans="1:1">
      <c r="A1583" s="455"/>
    </row>
    <row r="1584" spans="1:1">
      <c r="A1584" s="455"/>
    </row>
    <row r="1585" spans="1:1">
      <c r="A1585" s="455"/>
    </row>
    <row r="1586" spans="1:1">
      <c r="A1586" s="455"/>
    </row>
    <row r="1587" spans="1:1">
      <c r="A1587" s="455"/>
    </row>
    <row r="1588" spans="1:1">
      <c r="A1588" s="455"/>
    </row>
    <row r="1589" spans="1:1">
      <c r="A1589" s="455"/>
    </row>
    <row r="1590" spans="1:1">
      <c r="A1590" s="455"/>
    </row>
    <row r="1591" spans="1:1">
      <c r="A1591" s="455"/>
    </row>
    <row r="1592" spans="1:1">
      <c r="A1592" s="455"/>
    </row>
    <row r="1593" spans="1:1">
      <c r="A1593" s="455"/>
    </row>
    <row r="1594" spans="1:1">
      <c r="A1594" s="455"/>
    </row>
    <row r="1595" spans="1:1">
      <c r="A1595" s="455"/>
    </row>
    <row r="1596" spans="1:1">
      <c r="A1596" s="455"/>
    </row>
    <row r="1597" spans="1:1">
      <c r="A1597" s="455"/>
    </row>
    <row r="1598" spans="1:1">
      <c r="A1598" s="455"/>
    </row>
    <row r="1599" spans="1:1">
      <c r="A1599" s="455"/>
    </row>
    <row r="1600" spans="1:1">
      <c r="A1600" s="455"/>
    </row>
    <row r="1601" spans="1:1">
      <c r="A1601" s="455"/>
    </row>
    <row r="1602" spans="1:1">
      <c r="A1602" s="455"/>
    </row>
    <row r="1603" spans="1:1">
      <c r="A1603" s="455"/>
    </row>
    <row r="1604" spans="1:1">
      <c r="A1604" s="455"/>
    </row>
    <row r="1605" spans="1:1">
      <c r="A1605" s="455"/>
    </row>
    <row r="1606" spans="1:1">
      <c r="A1606" s="455"/>
    </row>
    <row r="1607" spans="1:1">
      <c r="A1607" s="455"/>
    </row>
    <row r="1608" spans="1:1">
      <c r="A1608" s="455"/>
    </row>
    <row r="1609" spans="1:1">
      <c r="A1609" s="455"/>
    </row>
    <row r="1610" spans="1:1">
      <c r="A1610" s="455"/>
    </row>
    <row r="1611" spans="1:1">
      <c r="A1611" s="455"/>
    </row>
    <row r="1612" spans="1:1">
      <c r="A1612" s="455"/>
    </row>
    <row r="1613" spans="1:1">
      <c r="A1613" s="455"/>
    </row>
    <row r="1614" spans="1:1">
      <c r="A1614" s="455"/>
    </row>
    <row r="1615" spans="1:1">
      <c r="A1615" s="455"/>
    </row>
    <row r="1616" spans="1:1">
      <c r="A1616" s="455"/>
    </row>
    <row r="1617" spans="1:1">
      <c r="A1617" s="455"/>
    </row>
    <row r="1618" spans="1:1">
      <c r="A1618" s="455"/>
    </row>
    <row r="1619" spans="1:1">
      <c r="A1619" s="455"/>
    </row>
    <row r="1620" spans="1:1">
      <c r="A1620" s="455"/>
    </row>
    <row r="1621" spans="1:1">
      <c r="A1621" s="455"/>
    </row>
    <row r="1622" spans="1:1">
      <c r="A1622" s="455"/>
    </row>
    <row r="1623" spans="1:1">
      <c r="A1623" s="455"/>
    </row>
    <row r="1624" spans="1:1">
      <c r="A1624" s="455"/>
    </row>
    <row r="1625" spans="1:1">
      <c r="A1625" s="455"/>
    </row>
    <row r="1626" spans="1:1">
      <c r="A1626" s="455"/>
    </row>
    <row r="1627" spans="1:1">
      <c r="A1627" s="455"/>
    </row>
    <row r="1628" spans="1:1">
      <c r="A1628" s="455"/>
    </row>
    <row r="1629" spans="1:1">
      <c r="A1629" s="455"/>
    </row>
    <row r="1630" spans="1:1">
      <c r="A1630" s="455"/>
    </row>
    <row r="1631" spans="1:1">
      <c r="A1631" s="455"/>
    </row>
    <row r="1632" spans="1:1">
      <c r="A1632" s="455"/>
    </row>
    <row r="1633" spans="1:1">
      <c r="A1633" s="455"/>
    </row>
    <row r="1634" spans="1:1">
      <c r="A1634" s="455"/>
    </row>
    <row r="1635" spans="1:1">
      <c r="A1635" s="455"/>
    </row>
    <row r="1636" spans="1:1">
      <c r="A1636" s="455"/>
    </row>
    <row r="1637" spans="1:1">
      <c r="A1637" s="455"/>
    </row>
    <row r="1638" spans="1:1">
      <c r="A1638" s="455"/>
    </row>
    <row r="1639" spans="1:1">
      <c r="A1639" s="455"/>
    </row>
    <row r="1640" spans="1:1">
      <c r="A1640" s="455"/>
    </row>
    <row r="1641" spans="1:1">
      <c r="A1641" s="455"/>
    </row>
    <row r="1642" spans="1:1">
      <c r="A1642" s="455"/>
    </row>
    <row r="1643" spans="1:1">
      <c r="A1643" s="455"/>
    </row>
    <row r="1644" spans="1:1">
      <c r="A1644" s="455"/>
    </row>
    <row r="1645" spans="1:1">
      <c r="A1645" s="455"/>
    </row>
    <row r="1646" spans="1:1">
      <c r="A1646" s="455"/>
    </row>
    <row r="1647" spans="1:1">
      <c r="A1647" s="455"/>
    </row>
    <row r="1648" spans="1:1">
      <c r="A1648" s="455"/>
    </row>
    <row r="1649" spans="1:1">
      <c r="A1649" s="455"/>
    </row>
    <row r="1650" spans="1:1">
      <c r="A1650" s="455"/>
    </row>
    <row r="1651" spans="1:1">
      <c r="A1651" s="455"/>
    </row>
    <row r="1652" spans="1:1">
      <c r="A1652" s="455"/>
    </row>
    <row r="1653" spans="1:1">
      <c r="A1653" s="455"/>
    </row>
    <row r="1654" spans="1:1">
      <c r="A1654" s="455"/>
    </row>
    <row r="1655" spans="1:1">
      <c r="A1655" s="455"/>
    </row>
    <row r="1656" spans="1:1">
      <c r="A1656" s="455"/>
    </row>
    <row r="1657" spans="1:1">
      <c r="A1657" s="455"/>
    </row>
    <row r="1658" spans="1:1">
      <c r="A1658" s="455"/>
    </row>
    <row r="1659" spans="1:1">
      <c r="A1659" s="455"/>
    </row>
    <row r="1660" spans="1:1">
      <c r="A1660" s="455"/>
    </row>
    <row r="1661" spans="1:1">
      <c r="A1661" s="455"/>
    </row>
    <row r="1662" spans="1:1">
      <c r="A1662" s="455"/>
    </row>
    <row r="1663" spans="1:1">
      <c r="A1663" s="455"/>
    </row>
    <row r="1664" spans="1:1">
      <c r="A1664" s="455"/>
    </row>
    <row r="1665" spans="1:1">
      <c r="A1665" s="455"/>
    </row>
    <row r="1666" spans="1:1">
      <c r="A1666" s="455"/>
    </row>
    <row r="1667" spans="1:1">
      <c r="A1667" s="455"/>
    </row>
    <row r="1668" spans="1:1">
      <c r="A1668" s="455"/>
    </row>
    <row r="1669" spans="1:1">
      <c r="A1669" s="455"/>
    </row>
    <row r="1670" spans="1:1">
      <c r="A1670" s="455"/>
    </row>
    <row r="1671" spans="1:1">
      <c r="A1671" s="455"/>
    </row>
    <row r="1672" spans="1:1">
      <c r="A1672" s="455"/>
    </row>
    <row r="1673" spans="1:1">
      <c r="A1673" s="455"/>
    </row>
    <row r="1674" spans="1:1">
      <c r="A1674" s="455"/>
    </row>
    <row r="1675" spans="1:1">
      <c r="A1675" s="455"/>
    </row>
    <row r="1676" spans="1:1">
      <c r="A1676" s="455"/>
    </row>
    <row r="1677" spans="1:1">
      <c r="A1677" s="455"/>
    </row>
    <row r="1678" spans="1:1">
      <c r="A1678" s="455"/>
    </row>
    <row r="1679" spans="1:1">
      <c r="A1679" s="455"/>
    </row>
    <row r="1680" spans="1:1">
      <c r="A1680" s="455"/>
    </row>
    <row r="1681" spans="1:1">
      <c r="A1681" s="455"/>
    </row>
    <row r="1682" spans="1:1">
      <c r="A1682" s="455"/>
    </row>
    <row r="1683" spans="1:1">
      <c r="A1683" s="455"/>
    </row>
    <row r="1684" spans="1:1">
      <c r="A1684" s="455"/>
    </row>
    <row r="1685" spans="1:1">
      <c r="A1685" s="455"/>
    </row>
    <row r="1686" spans="1:1">
      <c r="A1686" s="455"/>
    </row>
    <row r="1687" spans="1:1">
      <c r="A1687" s="455"/>
    </row>
    <row r="1688" spans="1:1">
      <c r="A1688" s="455"/>
    </row>
    <row r="1689" spans="1:1">
      <c r="A1689" s="455"/>
    </row>
    <row r="1690" spans="1:1">
      <c r="A1690" s="455"/>
    </row>
    <row r="1691" spans="1:1">
      <c r="A1691" s="455"/>
    </row>
    <row r="1692" spans="1:1">
      <c r="A1692" s="455"/>
    </row>
    <row r="1693" spans="1:1">
      <c r="A1693" s="455"/>
    </row>
    <row r="1694" spans="1:1">
      <c r="A1694" s="455"/>
    </row>
    <row r="1695" spans="1:1">
      <c r="A1695" s="455"/>
    </row>
    <row r="1696" spans="1:1">
      <c r="A1696" s="455"/>
    </row>
    <row r="1697" spans="1:1">
      <c r="A1697" s="455"/>
    </row>
    <row r="1698" spans="1:1">
      <c r="A1698" s="455"/>
    </row>
    <row r="1699" spans="1:1">
      <c r="A1699" s="455"/>
    </row>
    <row r="1700" spans="1:1">
      <c r="A1700" s="455"/>
    </row>
    <row r="1701" spans="1:1">
      <c r="A1701" s="455"/>
    </row>
    <row r="1702" spans="1:1">
      <c r="A1702" s="455"/>
    </row>
    <row r="1703" spans="1:1">
      <c r="A1703" s="455"/>
    </row>
    <row r="1704" spans="1:1">
      <c r="A1704" s="455"/>
    </row>
    <row r="1705" spans="1:1">
      <c r="A1705" s="455"/>
    </row>
    <row r="1706" spans="1:1">
      <c r="A1706" s="455"/>
    </row>
    <row r="1707" spans="1:1">
      <c r="A1707" s="455"/>
    </row>
    <row r="1708" spans="1:1">
      <c r="A1708" s="455"/>
    </row>
    <row r="1709" spans="1:1">
      <c r="A1709" s="455"/>
    </row>
    <row r="1710" spans="1:1">
      <c r="A1710" s="455"/>
    </row>
    <row r="1711" spans="1:1">
      <c r="A1711" s="455"/>
    </row>
    <row r="1712" spans="1:1">
      <c r="A1712" s="455"/>
    </row>
    <row r="1713" spans="1:1">
      <c r="A1713" s="455"/>
    </row>
    <row r="1714" spans="1:1">
      <c r="A1714" s="455"/>
    </row>
    <row r="1715" spans="1:1">
      <c r="A1715" s="455"/>
    </row>
    <row r="1716" spans="1:1">
      <c r="A1716" s="455"/>
    </row>
    <row r="1717" spans="1:1">
      <c r="A1717" s="455"/>
    </row>
    <row r="1718" spans="1:1">
      <c r="A1718" s="455"/>
    </row>
    <row r="1719" spans="1:1">
      <c r="A1719" s="455"/>
    </row>
    <row r="1720" spans="1:1">
      <c r="A1720" s="455"/>
    </row>
    <row r="1721" spans="1:1">
      <c r="A1721" s="455"/>
    </row>
    <row r="1722" spans="1:1">
      <c r="A1722" s="455"/>
    </row>
    <row r="1723" spans="1:1">
      <c r="A1723" s="455"/>
    </row>
    <row r="1724" spans="1:1">
      <c r="A1724" s="455"/>
    </row>
    <row r="1725" spans="1:1">
      <c r="A1725" s="455"/>
    </row>
    <row r="1726" spans="1:1">
      <c r="A1726" s="455"/>
    </row>
    <row r="1727" spans="1:1">
      <c r="A1727" s="455"/>
    </row>
    <row r="1728" spans="1:1">
      <c r="A1728" s="455"/>
    </row>
    <row r="1729" spans="1:1">
      <c r="A1729" s="455"/>
    </row>
    <row r="1730" spans="1:1">
      <c r="A1730" s="455"/>
    </row>
    <row r="1731" spans="1:1">
      <c r="A1731" s="455"/>
    </row>
    <row r="1732" spans="1:1">
      <c r="A1732" s="455"/>
    </row>
    <row r="1733" spans="1:1">
      <c r="A1733" s="455"/>
    </row>
    <row r="1734" spans="1:1">
      <c r="A1734" s="455"/>
    </row>
    <row r="1735" spans="1:1">
      <c r="A1735" s="455"/>
    </row>
    <row r="1736" spans="1:1">
      <c r="A1736" s="455"/>
    </row>
    <row r="1737" spans="1:1">
      <c r="A1737" s="455"/>
    </row>
    <row r="1738" spans="1:1">
      <c r="A1738" s="455"/>
    </row>
    <row r="1739" spans="1:1">
      <c r="A1739" s="455"/>
    </row>
    <row r="1740" spans="1:1">
      <c r="A1740" s="455"/>
    </row>
    <row r="1741" spans="1:1">
      <c r="A1741" s="455"/>
    </row>
    <row r="1742" spans="1:1">
      <c r="A1742" s="455"/>
    </row>
    <row r="1743" spans="1:1">
      <c r="A1743" s="455"/>
    </row>
    <row r="1744" spans="1:1">
      <c r="A1744" s="455"/>
    </row>
    <row r="1745" spans="1:1">
      <c r="A1745" s="455"/>
    </row>
    <row r="1746" spans="1:1">
      <c r="A1746" s="455"/>
    </row>
    <row r="1747" spans="1:1">
      <c r="A1747" s="455"/>
    </row>
    <row r="1748" spans="1:1">
      <c r="A1748" s="455"/>
    </row>
    <row r="1749" spans="1:1">
      <c r="A1749" s="455"/>
    </row>
    <row r="1750" spans="1:1">
      <c r="A1750" s="455"/>
    </row>
    <row r="1751" spans="1:1">
      <c r="A1751" s="455"/>
    </row>
    <row r="1752" spans="1:1">
      <c r="A1752" s="455"/>
    </row>
    <row r="1753" spans="1:1">
      <c r="A1753" s="455"/>
    </row>
    <row r="1754" spans="1:1">
      <c r="A1754" s="455"/>
    </row>
    <row r="1755" spans="1:1">
      <c r="A1755" s="455"/>
    </row>
    <row r="1756" spans="1:1">
      <c r="A1756" s="455"/>
    </row>
    <row r="1757" spans="1:1">
      <c r="A1757" s="455"/>
    </row>
    <row r="1758" spans="1:1">
      <c r="A1758" s="455"/>
    </row>
    <row r="1759" spans="1:1">
      <c r="A1759" s="455"/>
    </row>
    <row r="1760" spans="1:1">
      <c r="A1760" s="455"/>
    </row>
    <row r="1761" spans="1:1">
      <c r="A1761" s="455"/>
    </row>
    <row r="1762" spans="1:1">
      <c r="A1762" s="455"/>
    </row>
    <row r="1763" spans="1:1">
      <c r="A1763" s="455"/>
    </row>
    <row r="1764" spans="1:1">
      <c r="A1764" s="455"/>
    </row>
    <row r="1765" spans="1:1">
      <c r="A1765" s="455"/>
    </row>
    <row r="1766" spans="1:1">
      <c r="A1766" s="455"/>
    </row>
    <row r="1767" spans="1:1">
      <c r="A1767" s="455"/>
    </row>
    <row r="1768" spans="1:1">
      <c r="A1768" s="455"/>
    </row>
    <row r="1769" spans="1:1">
      <c r="A1769" s="455"/>
    </row>
    <row r="1770" spans="1:1">
      <c r="A1770" s="455"/>
    </row>
    <row r="1771" spans="1:1">
      <c r="A1771" s="455"/>
    </row>
    <row r="1772" spans="1:1">
      <c r="A1772" s="455"/>
    </row>
    <row r="1773" spans="1:1">
      <c r="A1773" s="455"/>
    </row>
    <row r="1774" spans="1:1">
      <c r="A1774" s="455"/>
    </row>
    <row r="1775" spans="1:1">
      <c r="A1775" s="455"/>
    </row>
    <row r="1776" spans="1:1">
      <c r="A1776" s="455"/>
    </row>
    <row r="1777" spans="1:1">
      <c r="A1777" s="455"/>
    </row>
    <row r="1778" spans="1:1">
      <c r="A1778" s="455"/>
    </row>
    <row r="1779" spans="1:1">
      <c r="A1779" s="455"/>
    </row>
    <row r="1780" spans="1:1">
      <c r="A1780" s="455"/>
    </row>
    <row r="1781" spans="1:1">
      <c r="A1781" s="455"/>
    </row>
    <row r="1782" spans="1:1">
      <c r="A1782" s="455"/>
    </row>
    <row r="1783" spans="1:1">
      <c r="A1783" s="455"/>
    </row>
    <row r="1784" spans="1:1">
      <c r="A1784" s="455"/>
    </row>
    <row r="1785" spans="1:1">
      <c r="A1785" s="455"/>
    </row>
    <row r="1786" spans="1:1">
      <c r="A1786" s="455"/>
    </row>
    <row r="1787" spans="1:1">
      <c r="A1787" s="455"/>
    </row>
    <row r="1788" spans="1:1">
      <c r="A1788" s="455"/>
    </row>
    <row r="1789" spans="1:1">
      <c r="A1789" s="455"/>
    </row>
    <row r="1790" spans="1:1">
      <c r="A1790" s="455"/>
    </row>
    <row r="1791" spans="1:1">
      <c r="A1791" s="455"/>
    </row>
    <row r="1792" spans="1:1">
      <c r="A1792" s="455"/>
    </row>
    <row r="1793" spans="1:1">
      <c r="A1793" s="455"/>
    </row>
    <row r="1794" spans="1:1">
      <c r="A1794" s="455"/>
    </row>
    <row r="1795" spans="1:1">
      <c r="A1795" s="455"/>
    </row>
    <row r="1796" spans="1:1">
      <c r="A1796" s="455"/>
    </row>
    <row r="1797" spans="1:1">
      <c r="A1797" s="455"/>
    </row>
    <row r="1798" spans="1:1">
      <c r="A1798" s="455"/>
    </row>
    <row r="1799" spans="1:1">
      <c r="A1799" s="455"/>
    </row>
    <row r="1800" spans="1:1">
      <c r="A1800" s="455"/>
    </row>
    <row r="1801" spans="1:1">
      <c r="A1801" s="455"/>
    </row>
    <row r="1802" spans="1:1">
      <c r="A1802" s="455"/>
    </row>
    <row r="1803" spans="1:1">
      <c r="A1803" s="455"/>
    </row>
    <row r="1804" spans="1:1">
      <c r="A1804" s="455"/>
    </row>
    <row r="1805" spans="1:1">
      <c r="A1805" s="455"/>
    </row>
    <row r="1806" spans="1:1">
      <c r="A1806" s="455"/>
    </row>
    <row r="1807" spans="1:1">
      <c r="A1807" s="455"/>
    </row>
    <row r="1808" spans="1:1">
      <c r="A1808" s="455"/>
    </row>
    <row r="1809" spans="1:1">
      <c r="A1809" s="455"/>
    </row>
    <row r="1810" spans="1:1">
      <c r="A1810" s="455"/>
    </row>
    <row r="1811" spans="1:1">
      <c r="A1811" s="455"/>
    </row>
    <row r="1812" spans="1:1">
      <c r="A1812" s="455"/>
    </row>
    <row r="1813" spans="1:1">
      <c r="A1813" s="455"/>
    </row>
    <row r="1814" spans="1:1">
      <c r="A1814" s="455"/>
    </row>
    <row r="1815" spans="1:1">
      <c r="A1815" s="455"/>
    </row>
    <row r="1816" spans="1:1">
      <c r="A1816" s="455"/>
    </row>
    <row r="1817" spans="1:1">
      <c r="A1817" s="455"/>
    </row>
    <row r="1818" spans="1:1">
      <c r="A1818" s="455"/>
    </row>
    <row r="1819" spans="1:1">
      <c r="A1819" s="455"/>
    </row>
    <row r="1820" spans="1:1">
      <c r="A1820" s="455"/>
    </row>
    <row r="1821" spans="1:1">
      <c r="A1821" s="455"/>
    </row>
    <row r="1822" spans="1:1">
      <c r="A1822" s="455"/>
    </row>
    <row r="1823" spans="1:1">
      <c r="A1823" s="455"/>
    </row>
    <row r="1824" spans="1:1">
      <c r="A1824" s="455"/>
    </row>
    <row r="1825" spans="1:1">
      <c r="A1825" s="455"/>
    </row>
    <row r="1826" spans="1:1">
      <c r="A1826" s="455"/>
    </row>
    <row r="1827" spans="1:1">
      <c r="A1827" s="455"/>
    </row>
    <row r="1828" spans="1:1">
      <c r="A1828" s="455"/>
    </row>
    <row r="1829" spans="1:1">
      <c r="A1829" s="455"/>
    </row>
    <row r="1830" spans="1:1">
      <c r="A1830" s="455"/>
    </row>
    <row r="1831" spans="1:1">
      <c r="A1831" s="455"/>
    </row>
    <row r="1832" spans="1:1">
      <c r="A1832" s="455"/>
    </row>
    <row r="1833" spans="1:1">
      <c r="A1833" s="455"/>
    </row>
    <row r="1834" spans="1:1">
      <c r="A1834" s="455"/>
    </row>
    <row r="1835" spans="1:1">
      <c r="A1835" s="455"/>
    </row>
    <row r="1836" spans="1:1">
      <c r="A1836" s="455"/>
    </row>
    <row r="1837" spans="1:1">
      <c r="A1837" s="455"/>
    </row>
    <row r="1838" spans="1:1">
      <c r="A1838" s="455"/>
    </row>
    <row r="1839" spans="1:1">
      <c r="A1839" s="455"/>
    </row>
    <row r="1840" spans="1:1">
      <c r="A1840" s="455"/>
    </row>
    <row r="1841" spans="1:1">
      <c r="A1841" s="455"/>
    </row>
    <row r="1842" spans="1:1">
      <c r="A1842" s="455"/>
    </row>
    <row r="1843" spans="1:1">
      <c r="A1843" s="455"/>
    </row>
    <row r="1844" spans="1:1">
      <c r="A1844" s="455"/>
    </row>
    <row r="1845" spans="1:1">
      <c r="A1845" s="455"/>
    </row>
    <row r="1846" spans="1:1">
      <c r="A1846" s="455"/>
    </row>
    <row r="1847" spans="1:1">
      <c r="A1847" s="455"/>
    </row>
    <row r="1848" spans="1:1">
      <c r="A1848" s="455"/>
    </row>
    <row r="1849" spans="1:1">
      <c r="A1849" s="455"/>
    </row>
    <row r="1850" spans="1:1">
      <c r="A1850" s="455"/>
    </row>
    <row r="1851" spans="1:1">
      <c r="A1851" s="455"/>
    </row>
    <row r="1852" spans="1:1">
      <c r="A1852" s="455"/>
    </row>
    <row r="1853" spans="1:1">
      <c r="A1853" s="455"/>
    </row>
    <row r="1854" spans="1:1">
      <c r="A1854" s="455"/>
    </row>
    <row r="1855" spans="1:1">
      <c r="A1855" s="455"/>
    </row>
    <row r="1856" spans="1:1">
      <c r="A1856" s="455"/>
    </row>
    <row r="1857" spans="1:1">
      <c r="A1857" s="455"/>
    </row>
    <row r="1858" spans="1:1">
      <c r="A1858" s="455"/>
    </row>
    <row r="1859" spans="1:1">
      <c r="A1859" s="455"/>
    </row>
    <row r="1860" spans="1:1">
      <c r="A1860" s="455"/>
    </row>
    <row r="1861" spans="1:1">
      <c r="A1861" s="455"/>
    </row>
    <row r="1862" spans="1:1">
      <c r="A1862" s="455"/>
    </row>
    <row r="1863" spans="1:1">
      <c r="A1863" s="455"/>
    </row>
    <row r="1864" spans="1:1">
      <c r="A1864" s="455"/>
    </row>
    <row r="1865" spans="1:1">
      <c r="A1865" s="455"/>
    </row>
    <row r="1866" spans="1:1">
      <c r="A1866" s="455"/>
    </row>
    <row r="1867" spans="1:1">
      <c r="A1867" s="455"/>
    </row>
    <row r="1868" spans="1:1">
      <c r="A1868" s="455"/>
    </row>
    <row r="1869" spans="1:1">
      <c r="A1869" s="455"/>
    </row>
    <row r="1870" spans="1:1">
      <c r="A1870" s="455"/>
    </row>
    <row r="1871" spans="1:1">
      <c r="A1871" s="455"/>
    </row>
    <row r="1872" spans="1:1">
      <c r="A1872" s="455"/>
    </row>
    <row r="1873" spans="1:1">
      <c r="A1873" s="455"/>
    </row>
    <row r="1874" spans="1:1">
      <c r="A1874" s="455"/>
    </row>
    <row r="1875" spans="1:1">
      <c r="A1875" s="455"/>
    </row>
    <row r="1876" spans="1:1">
      <c r="A1876" s="455"/>
    </row>
    <row r="1877" spans="1:1">
      <c r="A1877" s="455"/>
    </row>
    <row r="1878" spans="1:1">
      <c r="A1878" s="455"/>
    </row>
    <row r="1879" spans="1:1">
      <c r="A1879" s="455"/>
    </row>
    <row r="1880" spans="1:1">
      <c r="A1880" s="455"/>
    </row>
    <row r="1881" spans="1:1">
      <c r="A1881" s="455"/>
    </row>
    <row r="1882" spans="1:1">
      <c r="A1882" s="455"/>
    </row>
    <row r="1883" spans="1:1">
      <c r="A1883" s="455"/>
    </row>
    <row r="1884" spans="1:1">
      <c r="A1884" s="455"/>
    </row>
    <row r="1885" spans="1:1">
      <c r="A1885" s="455"/>
    </row>
    <row r="1886" spans="1:1">
      <c r="A1886" s="455"/>
    </row>
    <row r="1887" spans="1:1">
      <c r="A1887" s="455"/>
    </row>
    <row r="1888" spans="1:1">
      <c r="A1888" s="455"/>
    </row>
    <row r="1889" spans="1:1">
      <c r="A1889" s="455"/>
    </row>
    <row r="1890" spans="1:1">
      <c r="A1890" s="455"/>
    </row>
    <row r="1891" spans="1:1">
      <c r="A1891" s="455"/>
    </row>
    <row r="1892" spans="1:1">
      <c r="A1892" s="455"/>
    </row>
    <row r="1893" spans="1:1">
      <c r="A1893" s="455"/>
    </row>
    <row r="1894" spans="1:1">
      <c r="A1894" s="455"/>
    </row>
    <row r="1895" spans="1:1">
      <c r="A1895" s="455"/>
    </row>
    <row r="1896" spans="1:1">
      <c r="A1896" s="455"/>
    </row>
    <row r="1897" spans="1:1">
      <c r="A1897" s="455"/>
    </row>
    <row r="1898" spans="1:1">
      <c r="A1898" s="455"/>
    </row>
    <row r="1899" spans="1:1">
      <c r="A1899" s="455"/>
    </row>
    <row r="1900" spans="1:1">
      <c r="A1900" s="455"/>
    </row>
    <row r="1901" spans="1:1">
      <c r="A1901" s="455"/>
    </row>
    <row r="1902" spans="1:1">
      <c r="A1902" s="455"/>
    </row>
    <row r="1903" spans="1:1">
      <c r="A1903" s="455"/>
    </row>
    <row r="1904" spans="1:1">
      <c r="A1904" s="455"/>
    </row>
    <row r="1905" spans="1:1">
      <c r="A1905" s="455"/>
    </row>
    <row r="1906" spans="1:1">
      <c r="A1906" s="455"/>
    </row>
    <row r="1907" spans="1:1">
      <c r="A1907" s="455"/>
    </row>
    <row r="1908" spans="1:1">
      <c r="A1908" s="455"/>
    </row>
    <row r="1909" spans="1:1">
      <c r="A1909" s="455"/>
    </row>
    <row r="1910" spans="1:1">
      <c r="A1910" s="455"/>
    </row>
    <row r="1911" spans="1:1">
      <c r="A1911" s="455"/>
    </row>
    <row r="1912" spans="1:1">
      <c r="A1912" s="455"/>
    </row>
    <row r="1913" spans="1:1">
      <c r="A1913" s="455"/>
    </row>
    <row r="1914" spans="1:1">
      <c r="A1914" s="455"/>
    </row>
    <row r="1915" spans="1:1">
      <c r="A1915" s="455"/>
    </row>
    <row r="1916" spans="1:1">
      <c r="A1916" s="455"/>
    </row>
    <row r="1917" spans="1:1">
      <c r="A1917" s="455"/>
    </row>
    <row r="1918" spans="1:1">
      <c r="A1918" s="455"/>
    </row>
    <row r="1919" spans="1:1">
      <c r="A1919" s="455"/>
    </row>
    <row r="1920" spans="1:1">
      <c r="A1920" s="455"/>
    </row>
    <row r="1921" spans="1:1">
      <c r="A1921" s="455"/>
    </row>
    <row r="1922" spans="1:1">
      <c r="A1922" s="455"/>
    </row>
    <row r="1923" spans="1:1">
      <c r="A1923" s="455"/>
    </row>
    <row r="1924" spans="1:1">
      <c r="A1924" s="455"/>
    </row>
    <row r="1925" spans="1:1">
      <c r="A1925" s="455"/>
    </row>
    <row r="1926" spans="1:1">
      <c r="A1926" s="455"/>
    </row>
    <row r="1927" spans="1:1">
      <c r="A1927" s="455"/>
    </row>
    <row r="1928" spans="1:1">
      <c r="A1928" s="455"/>
    </row>
    <row r="1929" spans="1:1">
      <c r="A1929" s="455"/>
    </row>
    <row r="1930" spans="1:1">
      <c r="A1930" s="455"/>
    </row>
    <row r="1931" spans="1:1">
      <c r="A1931" s="455"/>
    </row>
    <row r="1932" spans="1:1">
      <c r="A1932" s="455"/>
    </row>
    <row r="1933" spans="1:1">
      <c r="A1933" s="455"/>
    </row>
    <row r="1934" spans="1:1">
      <c r="A1934" s="455"/>
    </row>
    <row r="1935" spans="1:1">
      <c r="A1935" s="455"/>
    </row>
    <row r="1936" spans="1:1">
      <c r="A1936" s="455"/>
    </row>
    <row r="1937" spans="1:1">
      <c r="A1937" s="455"/>
    </row>
    <row r="1938" spans="1:1">
      <c r="A1938" s="455"/>
    </row>
    <row r="1939" spans="1:1">
      <c r="A1939" s="455"/>
    </row>
    <row r="1940" spans="1:1">
      <c r="A1940" s="455"/>
    </row>
    <row r="1941" spans="1:1">
      <c r="A1941" s="455"/>
    </row>
    <row r="1942" spans="1:1">
      <c r="A1942" s="455"/>
    </row>
    <row r="1943" spans="1:1">
      <c r="A1943" s="455"/>
    </row>
    <row r="1944" spans="1:1">
      <c r="A1944" s="455"/>
    </row>
    <row r="1945" spans="1:1">
      <c r="A1945" s="455"/>
    </row>
    <row r="1946" spans="1:1">
      <c r="A1946" s="455"/>
    </row>
    <row r="1947" spans="1:1">
      <c r="A1947" s="455"/>
    </row>
    <row r="1948" spans="1:1">
      <c r="A1948" s="455"/>
    </row>
    <row r="1949" spans="1:1">
      <c r="A1949" s="455"/>
    </row>
    <row r="1950" spans="1:1">
      <c r="A1950" s="455"/>
    </row>
    <row r="1951" spans="1:1">
      <c r="A1951" s="455"/>
    </row>
    <row r="1952" spans="1:1">
      <c r="A1952" s="455"/>
    </row>
    <row r="1953" spans="1:1">
      <c r="A1953" s="455"/>
    </row>
    <row r="1954" spans="1:1">
      <c r="A1954" s="455"/>
    </row>
    <row r="1955" spans="1:1">
      <c r="A1955" s="455"/>
    </row>
    <row r="1956" spans="1:1">
      <c r="A1956" s="455"/>
    </row>
    <row r="1957" spans="1:1">
      <c r="A1957" s="455"/>
    </row>
    <row r="1958" spans="1:1">
      <c r="A1958" s="455"/>
    </row>
    <row r="1959" spans="1:1">
      <c r="A1959" s="455"/>
    </row>
    <row r="1960" spans="1:1">
      <c r="A1960" s="455"/>
    </row>
    <row r="1961" spans="1:1">
      <c r="A1961" s="455"/>
    </row>
    <row r="1962" spans="1:1">
      <c r="A1962" s="455"/>
    </row>
    <row r="1963" spans="1:1">
      <c r="A1963" s="455"/>
    </row>
    <row r="1964" spans="1:1">
      <c r="A1964" s="455"/>
    </row>
    <row r="1965" spans="1:1">
      <c r="A1965" s="455"/>
    </row>
    <row r="1966" spans="1:1">
      <c r="A1966" s="455"/>
    </row>
    <row r="1967" spans="1:1">
      <c r="A1967" s="455"/>
    </row>
    <row r="1968" spans="1:1">
      <c r="A1968" s="455"/>
    </row>
    <row r="1969" spans="1:1">
      <c r="A1969" s="455"/>
    </row>
    <row r="1970" spans="1:1">
      <c r="A1970" s="455"/>
    </row>
    <row r="1971" spans="1:1">
      <c r="A1971" s="455"/>
    </row>
    <row r="1972" spans="1:1">
      <c r="A1972" s="455"/>
    </row>
    <row r="1973" spans="1:1">
      <c r="A1973" s="455"/>
    </row>
    <row r="1974" spans="1:1">
      <c r="A1974" s="455"/>
    </row>
    <row r="1975" spans="1:1">
      <c r="A1975" s="455"/>
    </row>
    <row r="1976" spans="1:1">
      <c r="A1976" s="455"/>
    </row>
    <row r="1977" spans="1:1">
      <c r="A1977" s="455"/>
    </row>
    <row r="1978" spans="1:1">
      <c r="A1978" s="455"/>
    </row>
    <row r="1979" spans="1:1">
      <c r="A1979" s="455"/>
    </row>
    <row r="1980" spans="1:1">
      <c r="A1980" s="455"/>
    </row>
    <row r="1981" spans="1:1">
      <c r="A1981" s="455"/>
    </row>
    <row r="1982" spans="1:1">
      <c r="A1982" s="455"/>
    </row>
    <row r="1983" spans="1:1">
      <c r="A1983" s="455"/>
    </row>
    <row r="1984" spans="1:1">
      <c r="A1984" s="455"/>
    </row>
    <row r="1985" spans="1:1">
      <c r="A1985" s="455"/>
    </row>
    <row r="1986" spans="1:1">
      <c r="A1986" s="455"/>
    </row>
    <row r="1987" spans="1:1">
      <c r="A1987" s="455"/>
    </row>
    <row r="1988" spans="1:1">
      <c r="A1988" s="455"/>
    </row>
    <row r="1989" spans="1:1">
      <c r="A1989" s="455"/>
    </row>
    <row r="1990" spans="1:1">
      <c r="A1990" s="455"/>
    </row>
    <row r="1991" spans="1:1">
      <c r="A1991" s="455"/>
    </row>
    <row r="1992" spans="1:1">
      <c r="A1992" s="455"/>
    </row>
    <row r="1993" spans="1:1">
      <c r="A1993" s="455"/>
    </row>
    <row r="1994" spans="1:1">
      <c r="A1994" s="455"/>
    </row>
    <row r="1995" spans="1:1">
      <c r="A1995" s="455"/>
    </row>
    <row r="1996" spans="1:1">
      <c r="A1996" s="455"/>
    </row>
    <row r="1997" spans="1:1">
      <c r="A1997" s="455"/>
    </row>
    <row r="1998" spans="1:1">
      <c r="A1998" s="455"/>
    </row>
    <row r="1999" spans="1:1">
      <c r="A1999" s="455"/>
    </row>
    <row r="2000" spans="1:1">
      <c r="A2000" s="455"/>
    </row>
    <row r="2001" spans="1:1">
      <c r="A2001" s="455"/>
    </row>
    <row r="2002" spans="1:1">
      <c r="A2002" s="455"/>
    </row>
    <row r="2003" spans="1:1">
      <c r="A2003" s="455"/>
    </row>
    <row r="2004" spans="1:1">
      <c r="A2004" s="455"/>
    </row>
    <row r="2005" spans="1:1">
      <c r="A2005" s="455"/>
    </row>
    <row r="2006" spans="1:1">
      <c r="A2006" s="455"/>
    </row>
    <row r="2007" spans="1:1">
      <c r="A2007" s="455"/>
    </row>
    <row r="2008" spans="1:1">
      <c r="A2008" s="455"/>
    </row>
    <row r="2009" spans="1:1">
      <c r="A2009" s="455"/>
    </row>
    <row r="2010" spans="1:1">
      <c r="A2010" s="455"/>
    </row>
    <row r="2011" spans="1:1">
      <c r="A2011" s="455"/>
    </row>
    <row r="2012" spans="1:1">
      <c r="A2012" s="455"/>
    </row>
    <row r="2013" spans="1:1">
      <c r="A2013" s="455"/>
    </row>
    <row r="2014" spans="1:1">
      <c r="A2014" s="455"/>
    </row>
    <row r="2015" spans="1:1">
      <c r="A2015" s="455"/>
    </row>
    <row r="2016" spans="1:1">
      <c r="A2016" s="455"/>
    </row>
    <row r="2017" spans="1:1">
      <c r="A2017" s="455"/>
    </row>
    <row r="2018" spans="1:1">
      <c r="A2018" s="455"/>
    </row>
    <row r="2019" spans="1:1">
      <c r="A2019" s="455"/>
    </row>
    <row r="2020" spans="1:1">
      <c r="A2020" s="455"/>
    </row>
    <row r="2021" spans="1:1">
      <c r="A2021" s="455"/>
    </row>
    <row r="2022" spans="1:1">
      <c r="A2022" s="455"/>
    </row>
    <row r="2023" spans="1:1">
      <c r="A2023" s="455"/>
    </row>
    <row r="2024" spans="1:1">
      <c r="A2024" s="455"/>
    </row>
    <row r="2025" spans="1:1">
      <c r="A2025" s="455"/>
    </row>
    <row r="2026" spans="1:1">
      <c r="A2026" s="455"/>
    </row>
    <row r="2027" spans="1:1">
      <c r="A2027" s="455"/>
    </row>
    <row r="2028" spans="1:1">
      <c r="A2028" s="455"/>
    </row>
    <row r="2029" spans="1:1">
      <c r="A2029" s="455"/>
    </row>
    <row r="2030" spans="1:1">
      <c r="A2030" s="455"/>
    </row>
    <row r="2031" spans="1:1">
      <c r="A2031" s="455"/>
    </row>
    <row r="2032" spans="1:1">
      <c r="A2032" s="455"/>
    </row>
    <row r="2033" spans="1:1">
      <c r="A2033" s="455"/>
    </row>
    <row r="2034" spans="1:1">
      <c r="A2034" s="455"/>
    </row>
    <row r="2035" spans="1:1">
      <c r="A2035" s="455"/>
    </row>
    <row r="2036" spans="1:1">
      <c r="A2036" s="455"/>
    </row>
    <row r="2037" spans="1:1">
      <c r="A2037" s="455"/>
    </row>
    <row r="2038" spans="1:1">
      <c r="A2038" s="455"/>
    </row>
    <row r="2039" spans="1:1">
      <c r="A2039" s="455"/>
    </row>
    <row r="2040" spans="1:1">
      <c r="A2040" s="455"/>
    </row>
    <row r="2041" spans="1:1">
      <c r="A2041" s="455"/>
    </row>
    <row r="2042" spans="1:1">
      <c r="A2042" s="455"/>
    </row>
    <row r="2043" spans="1:1">
      <c r="A2043" s="455"/>
    </row>
    <row r="2044" spans="1:1">
      <c r="A2044" s="455"/>
    </row>
    <row r="2045" spans="1:1">
      <c r="A2045" s="455"/>
    </row>
    <row r="2046" spans="1:1">
      <c r="A2046" s="455"/>
    </row>
    <row r="2047" spans="1:1">
      <c r="A2047" s="455"/>
    </row>
    <row r="2048" spans="1:1">
      <c r="A2048" s="455"/>
    </row>
    <row r="2049" spans="1:1">
      <c r="A2049" s="455"/>
    </row>
    <row r="2050" spans="1:1">
      <c r="A2050" s="455"/>
    </row>
    <row r="2051" spans="1:1">
      <c r="A2051" s="455"/>
    </row>
    <row r="2052" spans="1:1">
      <c r="A2052" s="455"/>
    </row>
    <row r="2053" spans="1:1">
      <c r="A2053" s="455"/>
    </row>
    <row r="2054" spans="1:1">
      <c r="A2054" s="455"/>
    </row>
    <row r="2055" spans="1:1">
      <c r="A2055" s="455"/>
    </row>
    <row r="2056" spans="1:1">
      <c r="A2056" s="455"/>
    </row>
    <row r="2057" spans="1:1">
      <c r="A2057" s="455"/>
    </row>
    <row r="2058" spans="1:1">
      <c r="A2058" s="455"/>
    </row>
    <row r="2059" spans="1:1">
      <c r="A2059" s="455"/>
    </row>
    <row r="2060" spans="1:1">
      <c r="A2060" s="455"/>
    </row>
    <row r="2061" spans="1:1">
      <c r="A2061" s="455"/>
    </row>
    <row r="2062" spans="1:1">
      <c r="A2062" s="455"/>
    </row>
    <row r="2063" spans="1:1">
      <c r="A2063" s="455"/>
    </row>
    <row r="2064" spans="1:1">
      <c r="A2064" s="455"/>
    </row>
    <row r="2065" spans="1:1">
      <c r="A2065" s="455"/>
    </row>
    <row r="2066" spans="1:1">
      <c r="A2066" s="455"/>
    </row>
    <row r="2067" spans="1:1">
      <c r="A2067" s="455"/>
    </row>
    <row r="2068" spans="1:1">
      <c r="A2068" s="455"/>
    </row>
    <row r="2069" spans="1:1">
      <c r="A2069" s="455"/>
    </row>
    <row r="2070" spans="1:1">
      <c r="A2070" s="455"/>
    </row>
    <row r="2071" spans="1:1">
      <c r="A2071" s="455"/>
    </row>
    <row r="2072" spans="1:1">
      <c r="A2072" s="455"/>
    </row>
    <row r="2073" spans="1:1">
      <c r="A2073" s="455"/>
    </row>
    <row r="2074" spans="1:1">
      <c r="A2074" s="455"/>
    </row>
    <row r="2075" spans="1:1">
      <c r="A2075" s="455"/>
    </row>
    <row r="2076" spans="1:1">
      <c r="A2076" s="455"/>
    </row>
    <row r="2077" spans="1:1">
      <c r="A2077" s="455"/>
    </row>
    <row r="2078" spans="1:1">
      <c r="A2078" s="455"/>
    </row>
    <row r="2079" spans="1:1">
      <c r="A2079" s="455"/>
    </row>
    <row r="2080" spans="1:1">
      <c r="A2080" s="455"/>
    </row>
    <row r="2081" spans="1:1">
      <c r="A2081" s="455"/>
    </row>
    <row r="2082" spans="1:1">
      <c r="A2082" s="455"/>
    </row>
    <row r="2083" spans="1:1">
      <c r="A2083" s="455"/>
    </row>
    <row r="2084" spans="1:1">
      <c r="A2084" s="455"/>
    </row>
    <row r="2085" spans="1:1">
      <c r="A2085" s="455"/>
    </row>
    <row r="2086" spans="1:1">
      <c r="A2086" s="455"/>
    </row>
    <row r="2087" spans="1:1">
      <c r="A2087" s="455"/>
    </row>
    <row r="2088" spans="1:1">
      <c r="A2088" s="455"/>
    </row>
    <row r="2089" spans="1:1">
      <c r="A2089" s="455"/>
    </row>
    <row r="2090" spans="1:1">
      <c r="A2090" s="455"/>
    </row>
    <row r="2091" spans="1:1">
      <c r="A2091" s="455"/>
    </row>
    <row r="2092" spans="1:1">
      <c r="A2092" s="455"/>
    </row>
    <row r="2093" spans="1:1">
      <c r="A2093" s="455"/>
    </row>
    <row r="2094" spans="1:1">
      <c r="A2094" s="455"/>
    </row>
    <row r="2095" spans="1:1">
      <c r="A2095" s="455"/>
    </row>
    <row r="2096" spans="1:1">
      <c r="A2096" s="455"/>
    </row>
    <row r="2097" spans="1:1">
      <c r="A2097" s="455"/>
    </row>
    <row r="2098" spans="1:1">
      <c r="A2098" s="455"/>
    </row>
    <row r="2099" spans="1:1">
      <c r="A2099" s="455"/>
    </row>
    <row r="2100" spans="1:1">
      <c r="A2100" s="455"/>
    </row>
    <row r="2101" spans="1:1">
      <c r="A2101" s="455"/>
    </row>
    <row r="2102" spans="1:1">
      <c r="A2102" s="455"/>
    </row>
    <row r="2103" spans="1:1">
      <c r="A2103" s="455"/>
    </row>
    <row r="2104" spans="1:1">
      <c r="A2104" s="455"/>
    </row>
    <row r="2105" spans="1:1">
      <c r="A2105" s="455"/>
    </row>
    <row r="2106" spans="1:1">
      <c r="A2106" s="455"/>
    </row>
    <row r="2107" spans="1:1">
      <c r="A2107" s="455"/>
    </row>
    <row r="2108" spans="1:1">
      <c r="A2108" s="455"/>
    </row>
    <row r="2109" spans="1:1">
      <c r="A2109" s="455"/>
    </row>
    <row r="2110" spans="1:1">
      <c r="A2110" s="455"/>
    </row>
    <row r="2111" spans="1:1">
      <c r="A2111" s="455"/>
    </row>
    <row r="2112" spans="1:1">
      <c r="A2112" s="455"/>
    </row>
    <row r="2113" spans="1:1">
      <c r="A2113" s="455"/>
    </row>
    <row r="2114" spans="1:1">
      <c r="A2114" s="455"/>
    </row>
    <row r="2115" spans="1:1">
      <c r="A2115" s="455"/>
    </row>
    <row r="2116" spans="1:1">
      <c r="A2116" s="455"/>
    </row>
    <row r="2117" spans="1:1">
      <c r="A2117" s="455"/>
    </row>
    <row r="2118" spans="1:1">
      <c r="A2118" s="455"/>
    </row>
    <row r="2119" spans="1:1">
      <c r="A2119" s="455"/>
    </row>
    <row r="2120" spans="1:1">
      <c r="A2120" s="455"/>
    </row>
    <row r="2121" spans="1:1">
      <c r="A2121" s="455"/>
    </row>
    <row r="2122" spans="1:1">
      <c r="A2122" s="455"/>
    </row>
    <row r="2123" spans="1:1">
      <c r="A2123" s="455"/>
    </row>
    <row r="2124" spans="1:1">
      <c r="A2124" s="455"/>
    </row>
    <row r="2125" spans="1:1">
      <c r="A2125" s="455"/>
    </row>
    <row r="2126" spans="1:1">
      <c r="A2126" s="455"/>
    </row>
    <row r="2127" spans="1:1">
      <c r="A2127" s="455"/>
    </row>
    <row r="2128" spans="1:1">
      <c r="A2128" s="455"/>
    </row>
    <row r="2129" spans="1:1">
      <c r="A2129" s="455"/>
    </row>
    <row r="2130" spans="1:1">
      <c r="A2130" s="455"/>
    </row>
    <row r="2131" spans="1:1">
      <c r="A2131" s="455"/>
    </row>
    <row r="2132" spans="1:1">
      <c r="A2132" s="455"/>
    </row>
    <row r="2133" spans="1:1">
      <c r="A2133" s="455"/>
    </row>
    <row r="2134" spans="1:1">
      <c r="A2134" s="455"/>
    </row>
    <row r="2135" spans="1:1">
      <c r="A2135" s="455"/>
    </row>
    <row r="2136" spans="1:1">
      <c r="A2136" s="455"/>
    </row>
    <row r="2137" spans="1:1">
      <c r="A2137" s="455"/>
    </row>
    <row r="2138" spans="1:1">
      <c r="A2138" s="455"/>
    </row>
    <row r="2139" spans="1:1">
      <c r="A2139" s="455"/>
    </row>
    <row r="2140" spans="1:1">
      <c r="A2140" s="455"/>
    </row>
    <row r="2141" spans="1:1">
      <c r="A2141" s="455"/>
    </row>
    <row r="2142" spans="1:1">
      <c r="A2142" s="455"/>
    </row>
    <row r="2143" spans="1:1">
      <c r="A2143" s="455"/>
    </row>
    <row r="2144" spans="1:1">
      <c r="A2144" s="455"/>
    </row>
    <row r="2145" spans="1:1">
      <c r="A2145" s="455"/>
    </row>
    <row r="2146" spans="1:1">
      <c r="A2146" s="455"/>
    </row>
    <row r="2147" spans="1:1">
      <c r="A2147" s="455"/>
    </row>
    <row r="2148" spans="1:1">
      <c r="A2148" s="455"/>
    </row>
    <row r="2149" spans="1:1">
      <c r="A2149" s="455"/>
    </row>
    <row r="2150" spans="1:1">
      <c r="A2150" s="455"/>
    </row>
    <row r="2151" spans="1:1">
      <c r="A2151" s="455"/>
    </row>
    <row r="2152" spans="1:1">
      <c r="A2152" s="455"/>
    </row>
    <row r="2153" spans="1:1">
      <c r="A2153" s="455"/>
    </row>
    <row r="2154" spans="1:1">
      <c r="A2154" s="455"/>
    </row>
    <row r="2155" spans="1:1">
      <c r="A2155" s="455"/>
    </row>
    <row r="2156" spans="1:1">
      <c r="A2156" s="455"/>
    </row>
    <row r="2157" spans="1:1">
      <c r="A2157" s="455"/>
    </row>
    <row r="2158" spans="1:1">
      <c r="A2158" s="455"/>
    </row>
    <row r="2159" spans="1:1">
      <c r="A2159" s="455"/>
    </row>
    <row r="2160" spans="1:1">
      <c r="A2160" s="455"/>
    </row>
    <row r="2161" spans="1:1">
      <c r="A2161" s="455"/>
    </row>
    <row r="2162" spans="1:1">
      <c r="A2162" s="455"/>
    </row>
    <row r="2163" spans="1:1">
      <c r="A2163" s="455"/>
    </row>
    <row r="2164" spans="1:1">
      <c r="A2164" s="455"/>
    </row>
    <row r="2165" spans="1:1">
      <c r="A2165" s="455"/>
    </row>
    <row r="2166" spans="1:1">
      <c r="A2166" s="455"/>
    </row>
    <row r="2167" spans="1:1">
      <c r="A2167" s="455"/>
    </row>
    <row r="2168" spans="1:1">
      <c r="A2168" s="455"/>
    </row>
    <row r="2169" spans="1:1">
      <c r="A2169" s="455"/>
    </row>
    <row r="2170" spans="1:1">
      <c r="A2170" s="455"/>
    </row>
    <row r="2171" spans="1:1">
      <c r="A2171" s="455"/>
    </row>
    <row r="2172" spans="1:1">
      <c r="A2172" s="455"/>
    </row>
    <row r="2173" spans="1:1">
      <c r="A2173" s="455"/>
    </row>
    <row r="2174" spans="1:1">
      <c r="A2174" s="455"/>
    </row>
    <row r="2175" spans="1:1">
      <c r="A2175" s="455"/>
    </row>
    <row r="2176" spans="1:1">
      <c r="A2176" s="455"/>
    </row>
    <row r="2177" spans="1:1">
      <c r="A2177" s="455"/>
    </row>
    <row r="2178" spans="1:1">
      <c r="A2178" s="455"/>
    </row>
    <row r="2179" spans="1:1">
      <c r="A2179" s="455"/>
    </row>
    <row r="2180" spans="1:1">
      <c r="A2180" s="455"/>
    </row>
    <row r="2181" spans="1:1">
      <c r="A2181" s="455"/>
    </row>
    <row r="2182" spans="1:1">
      <c r="A2182" s="455"/>
    </row>
    <row r="2183" spans="1:1">
      <c r="A2183" s="455"/>
    </row>
    <row r="2184" spans="1:1">
      <c r="A2184" s="455"/>
    </row>
    <row r="2185" spans="1:1">
      <c r="A2185" s="455"/>
    </row>
    <row r="2186" spans="1:1">
      <c r="A2186" s="455"/>
    </row>
    <row r="2187" spans="1:1">
      <c r="A2187" s="455"/>
    </row>
    <row r="2188" spans="1:1">
      <c r="A2188" s="455"/>
    </row>
    <row r="2189" spans="1:1">
      <c r="A2189" s="455"/>
    </row>
    <row r="2190" spans="1:1">
      <c r="A2190" s="455"/>
    </row>
    <row r="2191" spans="1:1">
      <c r="A2191" s="455"/>
    </row>
    <row r="2192" spans="1:1">
      <c r="A2192" s="455"/>
    </row>
    <row r="2193" spans="1:1">
      <c r="A2193" s="455"/>
    </row>
    <row r="2194" spans="1:1">
      <c r="A2194" s="455"/>
    </row>
    <row r="2195" spans="1:1">
      <c r="A2195" s="455"/>
    </row>
    <row r="2196" spans="1:1">
      <c r="A2196" s="455"/>
    </row>
    <row r="2197" spans="1:1">
      <c r="A2197" s="455"/>
    </row>
    <row r="2198" spans="1:1">
      <c r="A2198" s="455"/>
    </row>
    <row r="2199" spans="1:1">
      <c r="A2199" s="455"/>
    </row>
    <row r="2200" spans="1:1">
      <c r="A2200" s="455"/>
    </row>
    <row r="2201" spans="1:1">
      <c r="A2201" s="455"/>
    </row>
    <row r="2202" spans="1:1">
      <c r="A2202" s="455"/>
    </row>
    <row r="2203" spans="1:1">
      <c r="A2203" s="455"/>
    </row>
    <row r="2204" spans="1:1">
      <c r="A2204" s="455"/>
    </row>
    <row r="2205" spans="1:1">
      <c r="A2205" s="455"/>
    </row>
    <row r="2206" spans="1:1">
      <c r="A2206" s="455"/>
    </row>
    <row r="2207" spans="1:1">
      <c r="A2207" s="455"/>
    </row>
    <row r="2208" spans="1:1">
      <c r="A2208" s="455"/>
    </row>
    <row r="2209" spans="1:1">
      <c r="A2209" s="455"/>
    </row>
    <row r="2210" spans="1:1">
      <c r="A2210" s="455"/>
    </row>
    <row r="2211" spans="1:1">
      <c r="A2211" s="455"/>
    </row>
    <row r="2212" spans="1:1">
      <c r="A2212" s="455"/>
    </row>
    <row r="2213" spans="1:1">
      <c r="A2213" s="455"/>
    </row>
    <row r="2214" spans="1:1">
      <c r="A2214" s="455"/>
    </row>
    <row r="2215" spans="1:1">
      <c r="A2215" s="455"/>
    </row>
    <row r="2216" spans="1:1">
      <c r="A2216" s="455"/>
    </row>
    <row r="2217" spans="1:1">
      <c r="A2217" s="455"/>
    </row>
    <row r="2218" spans="1:1">
      <c r="A2218" s="455"/>
    </row>
    <row r="2219" spans="1:1">
      <c r="A2219" s="455"/>
    </row>
    <row r="2220" spans="1:1">
      <c r="A2220" s="455"/>
    </row>
    <row r="2221" spans="1:1">
      <c r="A2221" s="455"/>
    </row>
    <row r="2222" spans="1:1">
      <c r="A2222" s="455"/>
    </row>
    <row r="2223" spans="1:1">
      <c r="A2223" s="455"/>
    </row>
    <row r="2224" spans="1:1">
      <c r="A2224" s="455"/>
    </row>
    <row r="2225" spans="1:1">
      <c r="A2225" s="455"/>
    </row>
    <row r="2226" spans="1:1">
      <c r="A2226" s="455"/>
    </row>
    <row r="2227" spans="1:1">
      <c r="A2227" s="455"/>
    </row>
    <row r="2228" spans="1:1">
      <c r="A2228" s="455"/>
    </row>
    <row r="2229" spans="1:1">
      <c r="A2229" s="455"/>
    </row>
    <row r="2230" spans="1:1">
      <c r="A2230" s="455"/>
    </row>
    <row r="2231" spans="1:1">
      <c r="A2231" s="455"/>
    </row>
    <row r="2232" spans="1:1">
      <c r="A2232" s="455"/>
    </row>
    <row r="2233" spans="1:1">
      <c r="A2233" s="455"/>
    </row>
    <row r="2234" spans="1:1">
      <c r="A2234" s="455"/>
    </row>
    <row r="2235" spans="1:1">
      <c r="A2235" s="455"/>
    </row>
    <row r="2236" spans="1:1">
      <c r="A2236" s="455"/>
    </row>
    <row r="2237" spans="1:1">
      <c r="A2237" s="455"/>
    </row>
    <row r="2238" spans="1:1">
      <c r="A2238" s="455"/>
    </row>
    <row r="2239" spans="1:1">
      <c r="A2239" s="455"/>
    </row>
    <row r="2240" spans="1:1">
      <c r="A2240" s="455"/>
    </row>
    <row r="2241" spans="1:1">
      <c r="A2241" s="455"/>
    </row>
    <row r="2242" spans="1:1">
      <c r="A2242" s="455"/>
    </row>
    <row r="2243" spans="1:1">
      <c r="A2243" s="455"/>
    </row>
    <row r="2244" spans="1:1">
      <c r="A2244" s="455"/>
    </row>
    <row r="2245" spans="1:1">
      <c r="A2245" s="455"/>
    </row>
    <row r="2246" spans="1:1">
      <c r="A2246" s="455"/>
    </row>
    <row r="2247" spans="1:1">
      <c r="A2247" s="455"/>
    </row>
    <row r="2248" spans="1:1">
      <c r="A2248" s="455"/>
    </row>
    <row r="2249" spans="1:1">
      <c r="A2249" s="455"/>
    </row>
    <row r="2250" spans="1:1">
      <c r="A2250" s="455"/>
    </row>
    <row r="2251" spans="1:1">
      <c r="A2251" s="455"/>
    </row>
    <row r="2252" spans="1:1">
      <c r="A2252" s="455"/>
    </row>
    <row r="2253" spans="1:1">
      <c r="A2253" s="455"/>
    </row>
    <row r="2254" spans="1:1">
      <c r="A2254" s="455"/>
    </row>
    <row r="2255" spans="1:1">
      <c r="A2255" s="455"/>
    </row>
    <row r="2256" spans="1:1">
      <c r="A2256" s="455"/>
    </row>
    <row r="2257" spans="1:1">
      <c r="A2257" s="455"/>
    </row>
    <row r="2258" spans="1:1">
      <c r="A2258" s="455"/>
    </row>
    <row r="2259" spans="1:1">
      <c r="A2259" s="455"/>
    </row>
    <row r="2260" spans="1:1">
      <c r="A2260" s="455"/>
    </row>
    <row r="2261" spans="1:1">
      <c r="A2261" s="455"/>
    </row>
    <row r="2262" spans="1:1">
      <c r="A2262" s="455"/>
    </row>
    <row r="2263" spans="1:1">
      <c r="A2263" s="455"/>
    </row>
    <row r="2264" spans="1:1">
      <c r="A2264" s="455"/>
    </row>
    <row r="2265" spans="1:1">
      <c r="A2265" s="455"/>
    </row>
    <row r="2266" spans="1:1">
      <c r="A2266" s="455"/>
    </row>
    <row r="2267" spans="1:1">
      <c r="A2267" s="455"/>
    </row>
    <row r="2268" spans="1:1">
      <c r="A2268" s="455"/>
    </row>
    <row r="2269" spans="1:1">
      <c r="A2269" s="455"/>
    </row>
    <row r="2270" spans="1:1">
      <c r="A2270" s="455"/>
    </row>
    <row r="2271" spans="1:1">
      <c r="A2271" s="455"/>
    </row>
    <row r="2272" spans="1:1">
      <c r="A2272" s="455"/>
    </row>
    <row r="2273" spans="1:1">
      <c r="A2273" s="455"/>
    </row>
    <row r="2274" spans="1:1">
      <c r="A2274" s="455"/>
    </row>
    <row r="2275" spans="1:1">
      <c r="A2275" s="455"/>
    </row>
    <row r="2276" spans="1:1">
      <c r="A2276" s="455"/>
    </row>
    <row r="2277" spans="1:1">
      <c r="A2277" s="455"/>
    </row>
    <row r="2278" spans="1:1">
      <c r="A2278" s="455"/>
    </row>
    <row r="2279" spans="1:1">
      <c r="A2279" s="455"/>
    </row>
    <row r="2280" spans="1:1">
      <c r="A2280" s="455"/>
    </row>
    <row r="2281" spans="1:1">
      <c r="A2281" s="455"/>
    </row>
    <row r="2282" spans="1:1">
      <c r="A2282" s="455"/>
    </row>
    <row r="2283" spans="1:1">
      <c r="A2283" s="455"/>
    </row>
    <row r="2284" spans="1:1">
      <c r="A2284" s="455"/>
    </row>
    <row r="2285" spans="1:1">
      <c r="A2285" s="455"/>
    </row>
    <row r="2286" spans="1:1">
      <c r="A2286" s="455"/>
    </row>
    <row r="2287" spans="1:1">
      <c r="A2287" s="455"/>
    </row>
    <row r="2288" spans="1:1">
      <c r="A2288" s="455"/>
    </row>
    <row r="2289" spans="1:1">
      <c r="A2289" s="455"/>
    </row>
    <row r="2290" spans="1:1">
      <c r="A2290" s="455"/>
    </row>
    <row r="2291" spans="1:1">
      <c r="A2291" s="455"/>
    </row>
    <row r="2292" spans="1:1">
      <c r="A2292" s="455"/>
    </row>
    <row r="2293" spans="1:1">
      <c r="A2293" s="455"/>
    </row>
    <row r="2294" spans="1:1">
      <c r="A2294" s="455"/>
    </row>
    <row r="2295" spans="1:1">
      <c r="A2295" s="455"/>
    </row>
    <row r="2296" spans="1:1">
      <c r="A2296" s="455"/>
    </row>
    <row r="2297" spans="1:1">
      <c r="A2297" s="455"/>
    </row>
    <row r="2298" spans="1:1">
      <c r="A2298" s="455"/>
    </row>
    <row r="2299" spans="1:1">
      <c r="A2299" s="455"/>
    </row>
    <row r="2300" spans="1:1">
      <c r="A2300" s="455"/>
    </row>
    <row r="2301" spans="1:1">
      <c r="A2301" s="455"/>
    </row>
    <row r="2302" spans="1:1">
      <c r="A2302" s="455"/>
    </row>
    <row r="2303" spans="1:1">
      <c r="A2303" s="455"/>
    </row>
    <row r="2304" spans="1:1">
      <c r="A2304" s="455"/>
    </row>
    <row r="2305" spans="1:1">
      <c r="A2305" s="455"/>
    </row>
    <row r="2306" spans="1:1">
      <c r="A2306" s="455"/>
    </row>
    <row r="2307" spans="1:1">
      <c r="A2307" s="455"/>
    </row>
    <row r="2308" spans="1:1">
      <c r="A2308" s="455"/>
    </row>
    <row r="2309" spans="1:1">
      <c r="A2309" s="455"/>
    </row>
    <row r="2310" spans="1:1">
      <c r="A2310" s="455"/>
    </row>
    <row r="2311" spans="1:1">
      <c r="A2311" s="455"/>
    </row>
    <row r="2312" spans="1:1">
      <c r="A2312" s="455"/>
    </row>
    <row r="2313" spans="1:1">
      <c r="A2313" s="455"/>
    </row>
    <row r="2314" spans="1:1">
      <c r="A2314" s="455"/>
    </row>
    <row r="2315" spans="1:1">
      <c r="A2315" s="455"/>
    </row>
    <row r="2316" spans="1:1">
      <c r="A2316" s="455"/>
    </row>
    <row r="2317" spans="1:1">
      <c r="A2317" s="455"/>
    </row>
    <row r="2318" spans="1:1">
      <c r="A2318" s="455"/>
    </row>
    <row r="2319" spans="1:1">
      <c r="A2319" s="455"/>
    </row>
    <row r="2320" spans="1:1">
      <c r="A2320" s="455"/>
    </row>
    <row r="2321" spans="1:1">
      <c r="A2321" s="455"/>
    </row>
    <row r="2322" spans="1:1">
      <c r="A2322" s="455"/>
    </row>
    <row r="2323" spans="1:1">
      <c r="A2323" s="455"/>
    </row>
    <row r="2324" spans="1:1">
      <c r="A2324" s="455"/>
    </row>
    <row r="2325" spans="1:1">
      <c r="A2325" s="455"/>
    </row>
    <row r="2326" spans="1:1">
      <c r="A2326" s="455"/>
    </row>
    <row r="2327" spans="1:1">
      <c r="A2327" s="455"/>
    </row>
    <row r="2328" spans="1:1">
      <c r="A2328" s="455"/>
    </row>
    <row r="2329" spans="1:1">
      <c r="A2329" s="455"/>
    </row>
    <row r="2330" spans="1:1">
      <c r="A2330" s="455"/>
    </row>
    <row r="2331" spans="1:1">
      <c r="A2331" s="455"/>
    </row>
    <row r="2332" spans="1:1">
      <c r="A2332" s="455"/>
    </row>
    <row r="2333" spans="1:1">
      <c r="A2333" s="455"/>
    </row>
    <row r="2334" spans="1:1">
      <c r="A2334" s="455"/>
    </row>
    <row r="2335" spans="1:1">
      <c r="A2335" s="455"/>
    </row>
    <row r="2336" spans="1:1">
      <c r="A2336" s="455"/>
    </row>
    <row r="2337" spans="1:1">
      <c r="A2337" s="455"/>
    </row>
    <row r="2338" spans="1:1">
      <c r="A2338" s="455"/>
    </row>
    <row r="2339" spans="1:1">
      <c r="A2339" s="455"/>
    </row>
    <row r="2340" spans="1:1">
      <c r="A2340" s="455"/>
    </row>
    <row r="2341" spans="1:1">
      <c r="A2341" s="455"/>
    </row>
    <row r="2342" spans="1:1">
      <c r="A2342" s="455"/>
    </row>
    <row r="2343" spans="1:1">
      <c r="A2343" s="455"/>
    </row>
    <row r="2344" spans="1:1">
      <c r="A2344" s="455"/>
    </row>
    <row r="2345" spans="1:1">
      <c r="A2345" s="455"/>
    </row>
    <row r="2346" spans="1:1">
      <c r="A2346" s="455"/>
    </row>
    <row r="2347" spans="1:1">
      <c r="A2347" s="455"/>
    </row>
    <row r="2348" spans="1:1">
      <c r="A2348" s="455"/>
    </row>
    <row r="2349" spans="1:1">
      <c r="A2349" s="455"/>
    </row>
    <row r="2350" spans="1:1">
      <c r="A2350" s="455"/>
    </row>
    <row r="2351" spans="1:1">
      <c r="A2351" s="455"/>
    </row>
    <row r="2352" spans="1:1">
      <c r="A2352" s="455"/>
    </row>
    <row r="2353" spans="1:1">
      <c r="A2353" s="455"/>
    </row>
    <row r="2354" spans="1:1">
      <c r="A2354" s="455"/>
    </row>
    <row r="2355" spans="1:1">
      <c r="A2355" s="455"/>
    </row>
    <row r="2356" spans="1:1">
      <c r="A2356" s="455"/>
    </row>
    <row r="2357" spans="1:1">
      <c r="A2357" s="455"/>
    </row>
    <row r="2358" spans="1:1">
      <c r="A2358" s="455"/>
    </row>
    <row r="2359" spans="1:1">
      <c r="A2359" s="455"/>
    </row>
    <row r="2360" spans="1:1">
      <c r="A2360" s="455"/>
    </row>
    <row r="2361" spans="1:1">
      <c r="A2361" s="455"/>
    </row>
    <row r="2362" spans="1:1">
      <c r="A2362" s="455"/>
    </row>
    <row r="2363" spans="1:1">
      <c r="A2363" s="455"/>
    </row>
    <row r="2364" spans="1:1">
      <c r="A2364" s="455"/>
    </row>
    <row r="2365" spans="1:1">
      <c r="A2365" s="455"/>
    </row>
    <row r="2366" spans="1:1">
      <c r="A2366" s="455"/>
    </row>
    <row r="2367" spans="1:1">
      <c r="A2367" s="455"/>
    </row>
    <row r="2368" spans="1:1">
      <c r="A2368" s="455"/>
    </row>
    <row r="2369" spans="1:1">
      <c r="A2369" s="455"/>
    </row>
    <row r="2370" spans="1:1">
      <c r="A2370" s="455"/>
    </row>
    <row r="2371" spans="1:1">
      <c r="A2371" s="455"/>
    </row>
    <row r="2372" spans="1:1">
      <c r="A2372" s="455"/>
    </row>
    <row r="2373" spans="1:1">
      <c r="A2373" s="455"/>
    </row>
    <row r="2374" spans="1:1">
      <c r="A2374" s="455"/>
    </row>
    <row r="2375" spans="1:1">
      <c r="A2375" s="455"/>
    </row>
    <row r="2376" spans="1:1">
      <c r="A2376" s="455"/>
    </row>
    <row r="2377" spans="1:1">
      <c r="A2377" s="455"/>
    </row>
    <row r="2378" spans="1:1">
      <c r="A2378" s="455"/>
    </row>
    <row r="2379" spans="1:1">
      <c r="A2379" s="455"/>
    </row>
    <row r="2380" spans="1:1">
      <c r="A2380" s="455"/>
    </row>
    <row r="2381" spans="1:1">
      <c r="A2381" s="455"/>
    </row>
    <row r="2382" spans="1:1">
      <c r="A2382" s="455"/>
    </row>
    <row r="2383" spans="1:1">
      <c r="A2383" s="455"/>
    </row>
    <row r="2384" spans="1:1">
      <c r="A2384" s="455"/>
    </row>
    <row r="2385" spans="1:1">
      <c r="A2385" s="455"/>
    </row>
    <row r="2386" spans="1:1">
      <c r="A2386" s="455"/>
    </row>
    <row r="2387" spans="1:1">
      <c r="A2387" s="455"/>
    </row>
    <row r="2388" spans="1:1">
      <c r="A2388" s="455"/>
    </row>
    <row r="2389" spans="1:1">
      <c r="A2389" s="455"/>
    </row>
    <row r="2390" spans="1:1">
      <c r="A2390" s="455"/>
    </row>
    <row r="2391" spans="1:1">
      <c r="A2391" s="455"/>
    </row>
    <row r="2392" spans="1:1">
      <c r="A2392" s="455"/>
    </row>
    <row r="2393" spans="1:1">
      <c r="A2393" s="455"/>
    </row>
    <row r="2394" spans="1:1">
      <c r="A2394" s="455"/>
    </row>
    <row r="2395" spans="1:1">
      <c r="A2395" s="455"/>
    </row>
    <row r="2396" spans="1:1">
      <c r="A2396" s="455"/>
    </row>
    <row r="2397" spans="1:1">
      <c r="A2397" s="455"/>
    </row>
    <row r="2398" spans="1:1">
      <c r="A2398" s="455"/>
    </row>
    <row r="2399" spans="1:1">
      <c r="A2399" s="455"/>
    </row>
    <row r="2400" spans="1:1">
      <c r="A2400" s="455"/>
    </row>
    <row r="2401" spans="1:1">
      <c r="A2401" s="455"/>
    </row>
    <row r="2402" spans="1:1">
      <c r="A2402" s="455"/>
    </row>
    <row r="2403" spans="1:1">
      <c r="A2403" s="455"/>
    </row>
    <row r="2404" spans="1:1">
      <c r="A2404" s="455"/>
    </row>
    <row r="2405" spans="1:1">
      <c r="A2405" s="455"/>
    </row>
    <row r="2406" spans="1:1">
      <c r="A2406" s="455"/>
    </row>
    <row r="2407" spans="1:1">
      <c r="A2407" s="455"/>
    </row>
    <row r="2408" spans="1:1">
      <c r="A2408" s="455"/>
    </row>
    <row r="2409" spans="1:1">
      <c r="A2409" s="455"/>
    </row>
    <row r="2410" spans="1:1">
      <c r="A2410" s="455"/>
    </row>
    <row r="2411" spans="1:1">
      <c r="A2411" s="455"/>
    </row>
    <row r="2412" spans="1:1">
      <c r="A2412" s="455"/>
    </row>
    <row r="2413" spans="1:1">
      <c r="A2413" s="455"/>
    </row>
    <row r="2414" spans="1:1">
      <c r="A2414" s="455"/>
    </row>
    <row r="2415" spans="1:1">
      <c r="A2415" s="455"/>
    </row>
    <row r="2416" spans="1:1">
      <c r="A2416" s="455"/>
    </row>
    <row r="2417" spans="1:1">
      <c r="A2417" s="455"/>
    </row>
    <row r="2418" spans="1:1">
      <c r="A2418" s="455"/>
    </row>
    <row r="2419" spans="1:1">
      <c r="A2419" s="455"/>
    </row>
    <row r="2420" spans="1:1">
      <c r="A2420" s="455"/>
    </row>
    <row r="2421" spans="1:1">
      <c r="A2421" s="455"/>
    </row>
    <row r="2422" spans="1:1">
      <c r="A2422" s="455"/>
    </row>
    <row r="2423" spans="1:1">
      <c r="A2423" s="455"/>
    </row>
    <row r="2424" spans="1:1">
      <c r="A2424" s="455"/>
    </row>
    <row r="2425" spans="1:1">
      <c r="A2425" s="455"/>
    </row>
    <row r="2426" spans="1:1">
      <c r="A2426" s="455"/>
    </row>
    <row r="2427" spans="1:1">
      <c r="A2427" s="455"/>
    </row>
    <row r="2428" spans="1:1">
      <c r="A2428" s="455"/>
    </row>
    <row r="2429" spans="1:1">
      <c r="A2429" s="455"/>
    </row>
    <row r="2430" spans="1:1">
      <c r="A2430" s="455"/>
    </row>
    <row r="2431" spans="1:1">
      <c r="A2431" s="455"/>
    </row>
    <row r="2432" spans="1:1">
      <c r="A2432" s="455"/>
    </row>
    <row r="2433" spans="1:1">
      <c r="A2433" s="455"/>
    </row>
    <row r="2434" spans="1:1">
      <c r="A2434" s="455"/>
    </row>
    <row r="2435" spans="1:1">
      <c r="A2435" s="455"/>
    </row>
    <row r="2436" spans="1:1">
      <c r="A2436" s="455"/>
    </row>
    <row r="2437" spans="1:1">
      <c r="A2437" s="455"/>
    </row>
    <row r="2438" spans="1:1">
      <c r="A2438" s="455"/>
    </row>
    <row r="2439" spans="1:1">
      <c r="A2439" s="455"/>
    </row>
    <row r="2440" spans="1:1">
      <c r="A2440" s="455"/>
    </row>
    <row r="2441" spans="1:1">
      <c r="A2441" s="455"/>
    </row>
    <row r="2442" spans="1:1">
      <c r="A2442" s="455"/>
    </row>
    <row r="2443" spans="1:1">
      <c r="A2443" s="455"/>
    </row>
    <row r="2444" spans="1:1">
      <c r="A2444" s="455"/>
    </row>
    <row r="2445" spans="1:1">
      <c r="A2445" s="455"/>
    </row>
    <row r="2446" spans="1:1">
      <c r="A2446" s="455"/>
    </row>
    <row r="2447" spans="1:1">
      <c r="A2447" s="455"/>
    </row>
    <row r="2448" spans="1:1">
      <c r="A2448" s="455"/>
    </row>
    <row r="2449" spans="1:1">
      <c r="A2449" s="455"/>
    </row>
    <row r="2450" spans="1:1">
      <c r="A2450" s="455"/>
    </row>
    <row r="2451" spans="1:1">
      <c r="A2451" s="455"/>
    </row>
    <row r="2452" spans="1:1">
      <c r="A2452" s="455"/>
    </row>
    <row r="2453" spans="1:1">
      <c r="A2453" s="455"/>
    </row>
    <row r="2454" spans="1:1">
      <c r="A2454" s="455"/>
    </row>
    <row r="2455" spans="1:1">
      <c r="A2455" s="455"/>
    </row>
    <row r="2456" spans="1:1">
      <c r="A2456" s="455"/>
    </row>
    <row r="2457" spans="1:1">
      <c r="A2457" s="455"/>
    </row>
    <row r="2458" spans="1:1">
      <c r="A2458" s="455"/>
    </row>
    <row r="2459" spans="1:1">
      <c r="A2459" s="455"/>
    </row>
    <row r="2460" spans="1:1">
      <c r="A2460" s="455"/>
    </row>
    <row r="2461" spans="1:1">
      <c r="A2461" s="455"/>
    </row>
    <row r="2462" spans="1:1">
      <c r="A2462" s="455"/>
    </row>
    <row r="2463" spans="1:1">
      <c r="A2463" s="455"/>
    </row>
    <row r="2464" spans="1:1">
      <c r="A2464" s="455"/>
    </row>
    <row r="2465" spans="1:1">
      <c r="A2465" s="455"/>
    </row>
    <row r="2466" spans="1:1">
      <c r="A2466" s="455"/>
    </row>
    <row r="2467" spans="1:1">
      <c r="A2467" s="455"/>
    </row>
    <row r="2468" spans="1:1">
      <c r="A2468" s="455"/>
    </row>
    <row r="2469" spans="1:1">
      <c r="A2469" s="455"/>
    </row>
    <row r="2470" spans="1:1">
      <c r="A2470" s="455"/>
    </row>
    <row r="2471" spans="1:1">
      <c r="A2471" s="455"/>
    </row>
    <row r="2472" spans="1:1">
      <c r="A2472" s="455"/>
    </row>
    <row r="2473" spans="1:1">
      <c r="A2473" s="455"/>
    </row>
    <row r="2474" spans="1:1">
      <c r="A2474" s="455"/>
    </row>
    <row r="2475" spans="1:1">
      <c r="A2475" s="455"/>
    </row>
    <row r="2476" spans="1:1">
      <c r="A2476" s="455"/>
    </row>
    <row r="2477" spans="1:1">
      <c r="A2477" s="455"/>
    </row>
    <row r="2478" spans="1:1">
      <c r="A2478" s="455"/>
    </row>
    <row r="2479" spans="1:1">
      <c r="A2479" s="455"/>
    </row>
    <row r="2480" spans="1:1">
      <c r="A2480" s="455"/>
    </row>
    <row r="2481" spans="1:1">
      <c r="A2481" s="455"/>
    </row>
    <row r="2482" spans="1:1">
      <c r="A2482" s="455"/>
    </row>
    <row r="2483" spans="1:1">
      <c r="A2483" s="455"/>
    </row>
    <row r="2484" spans="1:1">
      <c r="A2484" s="455"/>
    </row>
    <row r="2485" spans="1:1">
      <c r="A2485" s="455"/>
    </row>
    <row r="2486" spans="1:1">
      <c r="A2486" s="455"/>
    </row>
    <row r="2487" spans="1:1">
      <c r="A2487" s="455"/>
    </row>
    <row r="2488" spans="1:1">
      <c r="A2488" s="455"/>
    </row>
    <row r="2489" spans="1:1">
      <c r="A2489" s="455"/>
    </row>
    <row r="2490" spans="1:1">
      <c r="A2490" s="455"/>
    </row>
    <row r="2491" spans="1:1">
      <c r="A2491" s="455"/>
    </row>
    <row r="2492" spans="1:1">
      <c r="A2492" s="455"/>
    </row>
    <row r="2493" spans="1:1">
      <c r="A2493" s="455"/>
    </row>
    <row r="2494" spans="1:1">
      <c r="A2494" s="455"/>
    </row>
    <row r="2495" spans="1:1">
      <c r="A2495" s="455"/>
    </row>
    <row r="2496" spans="1:1">
      <c r="A2496" s="455"/>
    </row>
    <row r="2497" spans="1:1">
      <c r="A2497" s="455"/>
    </row>
    <row r="2498" spans="1:1">
      <c r="A2498" s="455"/>
    </row>
    <row r="2499" spans="1:1">
      <c r="A2499" s="455"/>
    </row>
    <row r="2500" spans="1:1">
      <c r="A2500" s="455"/>
    </row>
    <row r="2501" spans="1:1">
      <c r="A2501" s="455"/>
    </row>
    <row r="2502" spans="1:1">
      <c r="A2502" s="455"/>
    </row>
    <row r="2503" spans="1:1">
      <c r="A2503" s="455"/>
    </row>
    <row r="2504" spans="1:1">
      <c r="A2504" s="455"/>
    </row>
    <row r="2505" spans="1:1">
      <c r="A2505" s="455"/>
    </row>
    <row r="2506" spans="1:1">
      <c r="A2506" s="455"/>
    </row>
    <row r="2507" spans="1:1">
      <c r="A2507" s="455"/>
    </row>
    <row r="2508" spans="1:1">
      <c r="A2508" s="455"/>
    </row>
    <row r="2509" spans="1:1">
      <c r="A2509" s="455"/>
    </row>
    <row r="2510" spans="1:1">
      <c r="A2510" s="455"/>
    </row>
    <row r="2511" spans="1:1">
      <c r="A2511" s="455"/>
    </row>
    <row r="2512" spans="1:1">
      <c r="A2512" s="455"/>
    </row>
    <row r="2513" spans="1:1">
      <c r="A2513" s="455"/>
    </row>
    <row r="2514" spans="1:1">
      <c r="A2514" s="455"/>
    </row>
    <row r="2515" spans="1:1">
      <c r="A2515" s="455"/>
    </row>
    <row r="2516" spans="1:1">
      <c r="A2516" s="455"/>
    </row>
    <row r="2517" spans="1:1">
      <c r="A2517" s="455"/>
    </row>
    <row r="2518" spans="1:1">
      <c r="A2518" s="455"/>
    </row>
    <row r="2519" spans="1:1">
      <c r="A2519" s="455"/>
    </row>
    <row r="2520" spans="1:1">
      <c r="A2520" s="455"/>
    </row>
    <row r="2521" spans="1:1">
      <c r="A2521" s="455"/>
    </row>
    <row r="2522" spans="1:1">
      <c r="A2522" s="455"/>
    </row>
    <row r="2523" spans="1:1">
      <c r="A2523" s="455"/>
    </row>
    <row r="2524" spans="1:1">
      <c r="A2524" s="455"/>
    </row>
    <row r="2525" spans="1:1">
      <c r="A2525" s="455"/>
    </row>
    <row r="2526" spans="1:1">
      <c r="A2526" s="455"/>
    </row>
    <row r="2527" spans="1:1">
      <c r="A2527" s="455"/>
    </row>
    <row r="2528" spans="1:1">
      <c r="A2528" s="455"/>
    </row>
    <row r="2529" spans="1:1">
      <c r="A2529" s="455"/>
    </row>
    <row r="2530" spans="1:1">
      <c r="A2530" s="455"/>
    </row>
    <row r="2531" spans="1:1">
      <c r="A2531" s="455"/>
    </row>
    <row r="2532" spans="1:1">
      <c r="A2532" s="455"/>
    </row>
    <row r="2533" spans="1:1">
      <c r="A2533" s="455"/>
    </row>
    <row r="2534" spans="1:1">
      <c r="A2534" s="455"/>
    </row>
    <row r="2535" spans="1:1">
      <c r="A2535" s="455"/>
    </row>
    <row r="2536" spans="1:1">
      <c r="A2536" s="455"/>
    </row>
    <row r="2537" spans="1:1">
      <c r="A2537" s="455"/>
    </row>
    <row r="2538" spans="1:1">
      <c r="A2538" s="455"/>
    </row>
    <row r="2539" spans="1:1">
      <c r="A2539" s="455"/>
    </row>
    <row r="2540" spans="1:1">
      <c r="A2540" s="455"/>
    </row>
    <row r="2541" spans="1:1">
      <c r="A2541" s="455"/>
    </row>
    <row r="2542" spans="1:1">
      <c r="A2542" s="455"/>
    </row>
    <row r="2543" spans="1:1">
      <c r="A2543" s="455"/>
    </row>
    <row r="2544" spans="1:1">
      <c r="A2544" s="455"/>
    </row>
    <row r="2545" spans="1:1">
      <c r="A2545" s="455"/>
    </row>
    <row r="2546" spans="1:1">
      <c r="A2546" s="455"/>
    </row>
    <row r="2547" spans="1:1">
      <c r="A2547" s="455"/>
    </row>
    <row r="2548" spans="1:1">
      <c r="A2548" s="455"/>
    </row>
    <row r="2549" spans="1:1">
      <c r="A2549" s="455"/>
    </row>
    <row r="2550" spans="1:1">
      <c r="A2550" s="455"/>
    </row>
    <row r="2551" spans="1:1">
      <c r="A2551" s="455"/>
    </row>
    <row r="2552" spans="1:1">
      <c r="A2552" s="455"/>
    </row>
    <row r="2553" spans="1:1">
      <c r="A2553" s="455"/>
    </row>
    <row r="2554" spans="1:1">
      <c r="A2554" s="455"/>
    </row>
    <row r="2555" spans="1:1">
      <c r="A2555" s="455"/>
    </row>
    <row r="2556" spans="1:1">
      <c r="A2556" s="455"/>
    </row>
    <row r="2557" spans="1:1">
      <c r="A2557" s="455"/>
    </row>
    <row r="2558" spans="1:1">
      <c r="A2558" s="455"/>
    </row>
    <row r="2559" spans="1:1">
      <c r="A2559" s="455"/>
    </row>
    <row r="2560" spans="1:1">
      <c r="A2560" s="455"/>
    </row>
    <row r="2561" spans="1:1">
      <c r="A2561" s="455"/>
    </row>
    <row r="2562" spans="1:1">
      <c r="A2562" s="455"/>
    </row>
    <row r="2563" spans="1:1">
      <c r="A2563" s="455"/>
    </row>
    <row r="2564" spans="1:1">
      <c r="A2564" s="455"/>
    </row>
    <row r="2565" spans="1:1">
      <c r="A2565" s="455"/>
    </row>
    <row r="2566" spans="1:1">
      <c r="A2566" s="455"/>
    </row>
    <row r="2567" spans="1:1">
      <c r="A2567" s="455"/>
    </row>
    <row r="2568" spans="1:1">
      <c r="A2568" s="455"/>
    </row>
    <row r="2569" spans="1:1">
      <c r="A2569" s="455"/>
    </row>
    <row r="2570" spans="1:1">
      <c r="A2570" s="455"/>
    </row>
    <row r="2571" spans="1:1">
      <c r="A2571" s="455"/>
    </row>
    <row r="2572" spans="1:1">
      <c r="A2572" s="455"/>
    </row>
    <row r="2573" spans="1:1">
      <c r="A2573" s="455"/>
    </row>
    <row r="2574" spans="1:1">
      <c r="A2574" s="455"/>
    </row>
    <row r="2575" spans="1:1">
      <c r="A2575" s="455"/>
    </row>
    <row r="2576" spans="1:1">
      <c r="A2576" s="455"/>
    </row>
    <row r="2577" spans="1:1">
      <c r="A2577" s="455"/>
    </row>
    <row r="2578" spans="1:1">
      <c r="A2578" s="455"/>
    </row>
    <row r="2579" spans="1:1">
      <c r="A2579" s="455"/>
    </row>
    <row r="2580" spans="1:1">
      <c r="A2580" s="455"/>
    </row>
    <row r="2581" spans="1:1">
      <c r="A2581" s="455"/>
    </row>
    <row r="2582" spans="1:1">
      <c r="A2582" s="455"/>
    </row>
    <row r="2583" spans="1:1">
      <c r="A2583" s="455"/>
    </row>
    <row r="2584" spans="1:1">
      <c r="A2584" s="455"/>
    </row>
    <row r="2585" spans="1:1">
      <c r="A2585" s="455"/>
    </row>
    <row r="2586" spans="1:1">
      <c r="A2586" s="455"/>
    </row>
    <row r="2587" spans="1:1">
      <c r="A2587" s="455"/>
    </row>
    <row r="2588" spans="1:1">
      <c r="A2588" s="455"/>
    </row>
    <row r="2589" spans="1:1">
      <c r="A2589" s="455"/>
    </row>
    <row r="2590" spans="1:1">
      <c r="A2590" s="455"/>
    </row>
    <row r="2591" spans="1:1">
      <c r="A2591" s="455"/>
    </row>
    <row r="2592" spans="1:1">
      <c r="A2592" s="455"/>
    </row>
    <row r="2593" spans="1:1">
      <c r="A2593" s="455"/>
    </row>
    <row r="2594" spans="1:1">
      <c r="A2594" s="455"/>
    </row>
    <row r="2595" spans="1:1">
      <c r="A2595" s="455"/>
    </row>
    <row r="2596" spans="1:1">
      <c r="A2596" s="455"/>
    </row>
    <row r="2597" spans="1:1">
      <c r="A2597" s="455"/>
    </row>
    <row r="2598" spans="1:1">
      <c r="A2598" s="455"/>
    </row>
    <row r="2599" spans="1:1">
      <c r="A2599" s="455"/>
    </row>
    <row r="2600" spans="1:1">
      <c r="A2600" s="455"/>
    </row>
    <row r="2601" spans="1:1">
      <c r="A2601" s="455"/>
    </row>
    <row r="2602" spans="1:1">
      <c r="A2602" s="455"/>
    </row>
    <row r="2603" spans="1:1">
      <c r="A2603" s="455"/>
    </row>
    <row r="2604" spans="1:1">
      <c r="A2604" s="455"/>
    </row>
    <row r="2605" spans="1:1">
      <c r="A2605" s="455"/>
    </row>
    <row r="2606" spans="1:1">
      <c r="A2606" s="455"/>
    </row>
    <row r="2607" spans="1:1">
      <c r="A2607" s="455"/>
    </row>
    <row r="2608" spans="1:1">
      <c r="A2608" s="455"/>
    </row>
    <row r="2609" spans="1:1">
      <c r="A2609" s="455"/>
    </row>
    <row r="2610" spans="1:1">
      <c r="A2610" s="455"/>
    </row>
    <row r="2611" spans="1:1">
      <c r="A2611" s="455"/>
    </row>
    <row r="2612" spans="1:1">
      <c r="A2612" s="455"/>
    </row>
    <row r="2613" spans="1:1">
      <c r="A2613" s="455"/>
    </row>
    <row r="2614" spans="1:1">
      <c r="A2614" s="455"/>
    </row>
    <row r="2615" spans="1:1">
      <c r="A2615" s="455"/>
    </row>
    <row r="2616" spans="1:1">
      <c r="A2616" s="455"/>
    </row>
    <row r="2617" spans="1:1">
      <c r="A2617" s="455"/>
    </row>
    <row r="2618" spans="1:1">
      <c r="A2618" s="455"/>
    </row>
    <row r="2619" spans="1:1">
      <c r="A2619" s="455"/>
    </row>
    <row r="2620" spans="1:1">
      <c r="A2620" s="455"/>
    </row>
    <row r="2621" spans="1:1">
      <c r="A2621" s="455"/>
    </row>
    <row r="2622" spans="1:1">
      <c r="A2622" s="455"/>
    </row>
    <row r="2623" spans="1:1">
      <c r="A2623" s="455"/>
    </row>
    <row r="2624" spans="1:1">
      <c r="A2624" s="455"/>
    </row>
    <row r="2625" spans="1:1">
      <c r="A2625" s="455"/>
    </row>
    <row r="2626" spans="1:1">
      <c r="A2626" s="455"/>
    </row>
    <row r="2627" spans="1:1">
      <c r="A2627" s="455"/>
    </row>
    <row r="2628" spans="1:1">
      <c r="A2628" s="455"/>
    </row>
    <row r="2629" spans="1:1">
      <c r="A2629" s="455"/>
    </row>
    <row r="2630" spans="1:1">
      <c r="A2630" s="455"/>
    </row>
    <row r="2631" spans="1:1">
      <c r="A2631" s="455"/>
    </row>
    <row r="2632" spans="1:1">
      <c r="A2632" s="455"/>
    </row>
    <row r="2633" spans="1:1">
      <c r="A2633" s="455"/>
    </row>
    <row r="2634" spans="1:1">
      <c r="A2634" s="455"/>
    </row>
    <row r="2635" spans="1:1">
      <c r="A2635" s="455"/>
    </row>
    <row r="2636" spans="1:1">
      <c r="A2636" s="455"/>
    </row>
    <row r="2637" spans="1:1">
      <c r="A2637" s="455"/>
    </row>
    <row r="2638" spans="1:1">
      <c r="A2638" s="455"/>
    </row>
    <row r="2639" spans="1:1">
      <c r="A2639" s="455"/>
    </row>
    <row r="2640" spans="1:1">
      <c r="A2640" s="455"/>
    </row>
    <row r="2641" spans="1:1">
      <c r="A2641" s="455"/>
    </row>
    <row r="2642" spans="1:1">
      <c r="A2642" s="455"/>
    </row>
    <row r="2643" spans="1:1">
      <c r="A2643" s="455"/>
    </row>
    <row r="2644" spans="1:1">
      <c r="A2644" s="455"/>
    </row>
    <row r="2645" spans="1:1">
      <c r="A2645" s="455"/>
    </row>
    <row r="2646" spans="1:1">
      <c r="A2646" s="455"/>
    </row>
    <row r="2647" spans="1:1">
      <c r="A2647" s="455"/>
    </row>
    <row r="2648" spans="1:1">
      <c r="A2648" s="455"/>
    </row>
    <row r="2649" spans="1:1">
      <c r="A2649" s="455"/>
    </row>
    <row r="2650" spans="1:1">
      <c r="A2650" s="455"/>
    </row>
    <row r="2651" spans="1:1">
      <c r="A2651" s="455"/>
    </row>
    <row r="2652" spans="1:1">
      <c r="A2652" s="455"/>
    </row>
    <row r="2653" spans="1:1">
      <c r="A2653" s="455"/>
    </row>
    <row r="2654" spans="1:1">
      <c r="A2654" s="455"/>
    </row>
    <row r="2655" spans="1:1">
      <c r="A2655" s="455"/>
    </row>
    <row r="2656" spans="1:1">
      <c r="A2656" s="455"/>
    </row>
    <row r="2657" spans="1:1">
      <c r="A2657" s="455"/>
    </row>
    <row r="2658" spans="1:1">
      <c r="A2658" s="455"/>
    </row>
    <row r="2659" spans="1:1">
      <c r="A2659" s="455"/>
    </row>
    <row r="2660" spans="1:1">
      <c r="A2660" s="455"/>
    </row>
    <row r="2661" spans="1:1">
      <c r="A2661" s="455"/>
    </row>
    <row r="2662" spans="1:1">
      <c r="A2662" s="455"/>
    </row>
    <row r="2663" spans="1:1">
      <c r="A2663" s="455"/>
    </row>
    <row r="2664" spans="1:1">
      <c r="A2664" s="455"/>
    </row>
    <row r="2665" spans="1:1">
      <c r="A2665" s="455"/>
    </row>
    <row r="2666" spans="1:1">
      <c r="A2666" s="455"/>
    </row>
    <row r="2667" spans="1:1">
      <c r="A2667" s="455"/>
    </row>
    <row r="2668" spans="1:1">
      <c r="A2668" s="455"/>
    </row>
    <row r="2669" spans="1:1">
      <c r="A2669" s="455"/>
    </row>
    <row r="2670" spans="1:1">
      <c r="A2670" s="455"/>
    </row>
    <row r="2671" spans="1:1">
      <c r="A2671" s="455"/>
    </row>
    <row r="2672" spans="1:1">
      <c r="A2672" s="455"/>
    </row>
    <row r="2673" spans="1:1">
      <c r="A2673" s="455"/>
    </row>
    <row r="2674" spans="1:1">
      <c r="A2674" s="455"/>
    </row>
    <row r="2675" spans="1:1">
      <c r="A2675" s="455"/>
    </row>
    <row r="2676" spans="1:1">
      <c r="A2676" s="455"/>
    </row>
    <row r="2677" spans="1:1">
      <c r="A2677" s="455"/>
    </row>
    <row r="2678" spans="1:1">
      <c r="A2678" s="455"/>
    </row>
    <row r="2679" spans="1:1">
      <c r="A2679" s="455"/>
    </row>
    <row r="2680" spans="1:1">
      <c r="A2680" s="455"/>
    </row>
    <row r="2681" spans="1:1">
      <c r="A2681" s="455"/>
    </row>
    <row r="2682" spans="1:1">
      <c r="A2682" s="455"/>
    </row>
    <row r="2683" spans="1:1">
      <c r="A2683" s="455"/>
    </row>
    <row r="2684" spans="1:1">
      <c r="A2684" s="455"/>
    </row>
    <row r="2685" spans="1:1">
      <c r="A2685" s="455"/>
    </row>
    <row r="2686" spans="1:1">
      <c r="A2686" s="455"/>
    </row>
    <row r="2687" spans="1:1">
      <c r="A2687" s="455"/>
    </row>
    <row r="2688" spans="1:1">
      <c r="A2688" s="455"/>
    </row>
    <row r="2689" spans="1:1">
      <c r="A2689" s="455"/>
    </row>
    <row r="2690" spans="1:1">
      <c r="A2690" s="455"/>
    </row>
    <row r="2691" spans="1:1">
      <c r="A2691" s="455"/>
    </row>
    <row r="2692" spans="1:1">
      <c r="A2692" s="455"/>
    </row>
    <row r="2693" spans="1:1">
      <c r="A2693" s="455"/>
    </row>
    <row r="2694" spans="1:1">
      <c r="A2694" s="455"/>
    </row>
    <row r="2695" spans="1:1">
      <c r="A2695" s="455"/>
    </row>
    <row r="2696" spans="1:1">
      <c r="A2696" s="455"/>
    </row>
    <row r="2697" spans="1:1">
      <c r="A2697" s="455"/>
    </row>
    <row r="2698" spans="1:1">
      <c r="A2698" s="455"/>
    </row>
    <row r="2699" spans="1:1">
      <c r="A2699" s="455"/>
    </row>
    <row r="2700" spans="1:1">
      <c r="A2700" s="455"/>
    </row>
    <row r="2701" spans="1:1">
      <c r="A2701" s="455"/>
    </row>
    <row r="2702" spans="1:1">
      <c r="A2702" s="455"/>
    </row>
    <row r="2703" spans="1:1">
      <c r="A2703" s="455"/>
    </row>
    <row r="2704" spans="1:1">
      <c r="A2704" s="455"/>
    </row>
    <row r="2705" spans="1:1">
      <c r="A2705" s="455"/>
    </row>
    <row r="2706" spans="1:1">
      <c r="A2706" s="455"/>
    </row>
    <row r="2707" spans="1:1">
      <c r="A2707" s="455"/>
    </row>
    <row r="2708" spans="1:1">
      <c r="A2708" s="455"/>
    </row>
    <row r="2709" spans="1:1">
      <c r="A2709" s="455"/>
    </row>
    <row r="2710" spans="1:1">
      <c r="A2710" s="455"/>
    </row>
    <row r="2711" spans="1:1">
      <c r="A2711" s="455"/>
    </row>
    <row r="2712" spans="1:1">
      <c r="A2712" s="455"/>
    </row>
    <row r="2713" spans="1:1">
      <c r="A2713" s="455"/>
    </row>
    <row r="2714" spans="1:1">
      <c r="A2714" s="455"/>
    </row>
    <row r="2715" spans="1:1">
      <c r="A2715" s="455"/>
    </row>
    <row r="2716" spans="1:1">
      <c r="A2716" s="455"/>
    </row>
    <row r="2717" spans="1:1">
      <c r="A2717" s="455"/>
    </row>
    <row r="2718" spans="1:1">
      <c r="A2718" s="455"/>
    </row>
    <row r="2719" spans="1:1">
      <c r="A2719" s="455"/>
    </row>
    <row r="2720" spans="1:1">
      <c r="A2720" s="455"/>
    </row>
    <row r="2721" spans="1:1">
      <c r="A2721" s="455"/>
    </row>
    <row r="2722" spans="1:1">
      <c r="A2722" s="455"/>
    </row>
    <row r="2723" spans="1:1">
      <c r="A2723" s="455"/>
    </row>
    <row r="2724" spans="1:1">
      <c r="A2724" s="455"/>
    </row>
    <row r="2725" spans="1:1">
      <c r="A2725" s="455"/>
    </row>
    <row r="2726" spans="1:1">
      <c r="A2726" s="455"/>
    </row>
    <row r="2727" spans="1:1">
      <c r="A2727" s="455"/>
    </row>
    <row r="2728" spans="1:1">
      <c r="A2728" s="455"/>
    </row>
    <row r="2729" spans="1:1">
      <c r="A2729" s="455"/>
    </row>
    <row r="2730" spans="1:1">
      <c r="A2730" s="455"/>
    </row>
    <row r="2731" spans="1:1">
      <c r="A2731" s="455"/>
    </row>
    <row r="2732" spans="1:1">
      <c r="A2732" s="455"/>
    </row>
    <row r="2733" spans="1:1">
      <c r="A2733" s="455"/>
    </row>
    <row r="2734" spans="1:1">
      <c r="A2734" s="455"/>
    </row>
    <row r="2735" spans="1:1">
      <c r="A2735" s="455"/>
    </row>
    <row r="2736" spans="1:1">
      <c r="A2736" s="455"/>
    </row>
    <row r="2737" spans="1:1">
      <c r="A2737" s="455"/>
    </row>
    <row r="2738" spans="1:1">
      <c r="A2738" s="455"/>
    </row>
    <row r="2739" spans="1:1">
      <c r="A2739" s="455"/>
    </row>
    <row r="2740" spans="1:1">
      <c r="A2740" s="455"/>
    </row>
    <row r="2741" spans="1:1">
      <c r="A2741" s="455"/>
    </row>
    <row r="2742" spans="1:1">
      <c r="A2742" s="455"/>
    </row>
    <row r="2743" spans="1:1">
      <c r="A2743" s="455"/>
    </row>
    <row r="2744" spans="1:1">
      <c r="A2744" s="455"/>
    </row>
    <row r="2745" spans="1:1">
      <c r="A2745" s="455"/>
    </row>
    <row r="2746" spans="1:1">
      <c r="A2746" s="455"/>
    </row>
    <row r="2747" spans="1:1">
      <c r="A2747" s="455"/>
    </row>
    <row r="2748" spans="1:1">
      <c r="A2748" s="455"/>
    </row>
    <row r="2749" spans="1:1">
      <c r="A2749" s="455"/>
    </row>
    <row r="2750" spans="1:1">
      <c r="A2750" s="455"/>
    </row>
    <row r="2751" spans="1:1">
      <c r="A2751" s="455"/>
    </row>
    <row r="2752" spans="1:1">
      <c r="A2752" s="455"/>
    </row>
    <row r="2753" spans="1:1">
      <c r="A2753" s="455"/>
    </row>
    <row r="2754" spans="1:1">
      <c r="A2754" s="455"/>
    </row>
    <row r="2755" spans="1:1">
      <c r="A2755" s="455"/>
    </row>
    <row r="2756" spans="1:1">
      <c r="A2756" s="455"/>
    </row>
    <row r="2757" spans="1:1">
      <c r="A2757" s="455"/>
    </row>
    <row r="2758" spans="1:1">
      <c r="A2758" s="455"/>
    </row>
    <row r="2759" spans="1:1">
      <c r="A2759" s="455"/>
    </row>
    <row r="2760" spans="1:1">
      <c r="A2760" s="455"/>
    </row>
    <row r="2761" spans="1:1">
      <c r="A2761" s="455"/>
    </row>
    <row r="2762" spans="1:1">
      <c r="A2762" s="455"/>
    </row>
    <row r="2763" spans="1:1">
      <c r="A2763" s="455"/>
    </row>
    <row r="2764" spans="1:1">
      <c r="A2764" s="455"/>
    </row>
    <row r="2765" spans="1:1">
      <c r="A2765" s="455"/>
    </row>
    <row r="2766" spans="1:1">
      <c r="A2766" s="455"/>
    </row>
    <row r="2767" spans="1:1">
      <c r="A2767" s="455"/>
    </row>
    <row r="2768" spans="1:1">
      <c r="A2768" s="455"/>
    </row>
    <row r="2769" spans="1:1">
      <c r="A2769" s="455"/>
    </row>
    <row r="2770" spans="1:1">
      <c r="A2770" s="455"/>
    </row>
    <row r="2771" spans="1:1">
      <c r="A2771" s="455"/>
    </row>
    <row r="2772" spans="1:1">
      <c r="A2772" s="455"/>
    </row>
    <row r="2773" spans="1:1">
      <c r="A2773" s="455"/>
    </row>
    <row r="2774" spans="1:1">
      <c r="A2774" s="455"/>
    </row>
    <row r="2775" spans="1:1">
      <c r="A2775" s="455"/>
    </row>
    <row r="2776" spans="1:1">
      <c r="A2776" s="455"/>
    </row>
    <row r="2777" spans="1:1">
      <c r="A2777" s="455"/>
    </row>
    <row r="2778" spans="1:1">
      <c r="A2778" s="455"/>
    </row>
    <row r="2779" spans="1:1">
      <c r="A2779" s="455"/>
    </row>
    <row r="2780" spans="1:1">
      <c r="A2780" s="455"/>
    </row>
    <row r="2781" spans="1:1">
      <c r="A2781" s="455"/>
    </row>
    <row r="2782" spans="1:1">
      <c r="A2782" s="455"/>
    </row>
    <row r="2783" spans="1:1">
      <c r="A2783" s="455"/>
    </row>
    <row r="2784" spans="1:1">
      <c r="A2784" s="455"/>
    </row>
    <row r="2785" spans="1:1">
      <c r="A2785" s="455"/>
    </row>
    <row r="2786" spans="1:1">
      <c r="A2786" s="455"/>
    </row>
    <row r="2787" spans="1:1">
      <c r="A2787" s="455"/>
    </row>
    <row r="2788" spans="1:1">
      <c r="A2788" s="455"/>
    </row>
    <row r="2789" spans="1:1">
      <c r="A2789" s="455"/>
    </row>
    <row r="2790" spans="1:1">
      <c r="A2790" s="455"/>
    </row>
    <row r="2791" spans="1:1">
      <c r="A2791" s="455"/>
    </row>
    <row r="2792" spans="1:1">
      <c r="A2792" s="455"/>
    </row>
    <row r="2793" spans="1:1">
      <c r="A2793" s="455"/>
    </row>
    <row r="2794" spans="1:1">
      <c r="A2794" s="455"/>
    </row>
    <row r="2795" spans="1:1">
      <c r="A2795" s="455"/>
    </row>
    <row r="2796" spans="1:1">
      <c r="A2796" s="455"/>
    </row>
    <row r="2797" spans="1:1">
      <c r="A2797" s="455"/>
    </row>
    <row r="2798" spans="1:1">
      <c r="A2798" s="455"/>
    </row>
    <row r="2799" spans="1:1">
      <c r="A2799" s="455"/>
    </row>
    <row r="2800" spans="1:1">
      <c r="A2800" s="455"/>
    </row>
    <row r="2801" spans="1:1">
      <c r="A2801" s="455"/>
    </row>
    <row r="2802" spans="1:1">
      <c r="A2802" s="455"/>
    </row>
    <row r="2803" spans="1:1">
      <c r="A2803" s="455"/>
    </row>
    <row r="2804" spans="1:1">
      <c r="A2804" s="455"/>
    </row>
    <row r="2805" spans="1:1">
      <c r="A2805" s="455"/>
    </row>
    <row r="2806" spans="1:1">
      <c r="A2806" s="455"/>
    </row>
    <row r="2807" spans="1:1">
      <c r="A2807" s="455"/>
    </row>
    <row r="2808" spans="1:1">
      <c r="A2808" s="455"/>
    </row>
    <row r="2809" spans="1:1">
      <c r="A2809" s="455"/>
    </row>
    <row r="2810" spans="1:1">
      <c r="A2810" s="455"/>
    </row>
    <row r="2811" spans="1:1">
      <c r="A2811" s="455"/>
    </row>
    <row r="2812" spans="1:1">
      <c r="A2812" s="455"/>
    </row>
    <row r="2813" spans="1:1">
      <c r="A2813" s="455"/>
    </row>
    <row r="2814" spans="1:1">
      <c r="A2814" s="455"/>
    </row>
    <row r="2815" spans="1:1">
      <c r="A2815" s="455"/>
    </row>
    <row r="2816" spans="1:1">
      <c r="A2816" s="455"/>
    </row>
    <row r="2817" spans="1:1">
      <c r="A2817" s="455"/>
    </row>
    <row r="2818" spans="1:1">
      <c r="A2818" s="455"/>
    </row>
    <row r="2819" spans="1:1">
      <c r="A2819" s="455"/>
    </row>
    <row r="2820" spans="1:1">
      <c r="A2820" s="455"/>
    </row>
    <row r="2821" spans="1:1">
      <c r="A2821" s="455"/>
    </row>
    <row r="2822" spans="1:1">
      <c r="A2822" s="455"/>
    </row>
    <row r="2823" spans="1:1">
      <c r="A2823" s="455"/>
    </row>
    <row r="2824" spans="1:1">
      <c r="A2824" s="455"/>
    </row>
    <row r="2825" spans="1:1">
      <c r="A2825" s="455"/>
    </row>
    <row r="2826" spans="1:1">
      <c r="A2826" s="455"/>
    </row>
    <row r="2827" spans="1:1">
      <c r="A2827" s="455"/>
    </row>
    <row r="2828" spans="1:1">
      <c r="A2828" s="455"/>
    </row>
    <row r="2829" spans="1:1">
      <c r="A2829" s="455"/>
    </row>
    <row r="2830" spans="1:1">
      <c r="A2830" s="455"/>
    </row>
    <row r="2831" spans="1:1">
      <c r="A2831" s="455"/>
    </row>
    <row r="2832" spans="1:1">
      <c r="A2832" s="455"/>
    </row>
    <row r="2833" spans="1:1">
      <c r="A2833" s="455"/>
    </row>
    <row r="2834" spans="1:1">
      <c r="A2834" s="455"/>
    </row>
    <row r="2835" spans="1:1">
      <c r="A2835" s="455"/>
    </row>
    <row r="2836" spans="1:1">
      <c r="A2836" s="455"/>
    </row>
    <row r="2837" spans="1:1">
      <c r="A2837" s="455"/>
    </row>
    <row r="2838" spans="1:1">
      <c r="A2838" s="455"/>
    </row>
    <row r="2839" spans="1:1">
      <c r="A2839" s="455"/>
    </row>
    <row r="2840" spans="1:1">
      <c r="A2840" s="455"/>
    </row>
    <row r="2841" spans="1:1">
      <c r="A2841" s="455"/>
    </row>
    <row r="2842" spans="1:1">
      <c r="A2842" s="455"/>
    </row>
    <row r="2843" spans="1:1">
      <c r="A2843" s="455"/>
    </row>
    <row r="2844" spans="1:1">
      <c r="A2844" s="455"/>
    </row>
    <row r="2845" spans="1:1">
      <c r="A2845" s="455"/>
    </row>
    <row r="2846" spans="1:1">
      <c r="A2846" s="455"/>
    </row>
    <row r="2847" spans="1:1">
      <c r="A2847" s="455"/>
    </row>
    <row r="2848" spans="1:1">
      <c r="A2848" s="455"/>
    </row>
    <row r="2849" spans="1:1">
      <c r="A2849" s="455"/>
    </row>
    <row r="2850" spans="1:1">
      <c r="A2850" s="455"/>
    </row>
    <row r="2851" spans="1:1">
      <c r="A2851" s="455"/>
    </row>
    <row r="2852" spans="1:1">
      <c r="A2852" s="455"/>
    </row>
    <row r="2853" spans="1:1">
      <c r="A2853" s="455"/>
    </row>
    <row r="2854" spans="1:1">
      <c r="A2854" s="455"/>
    </row>
    <row r="2855" spans="1:1">
      <c r="A2855" s="455"/>
    </row>
    <row r="2856" spans="1:1">
      <c r="A2856" s="455"/>
    </row>
    <row r="2857" spans="1:1">
      <c r="A2857" s="455"/>
    </row>
    <row r="2858" spans="1:1">
      <c r="A2858" s="455"/>
    </row>
    <row r="2859" spans="1:1">
      <c r="A2859" s="455"/>
    </row>
    <row r="2860" spans="1:1">
      <c r="A2860" s="455"/>
    </row>
    <row r="2861" spans="1:1">
      <c r="A2861" s="455"/>
    </row>
    <row r="2862" spans="1:1">
      <c r="A2862" s="455"/>
    </row>
    <row r="2863" spans="1:1">
      <c r="A2863" s="455"/>
    </row>
    <row r="2864" spans="1:1">
      <c r="A2864" s="455"/>
    </row>
    <row r="2865" spans="1:1">
      <c r="A2865" s="455"/>
    </row>
    <row r="2866" spans="1:1">
      <c r="A2866" s="455"/>
    </row>
    <row r="2867" spans="1:1">
      <c r="A2867" s="455"/>
    </row>
    <row r="2868" spans="1:1">
      <c r="A2868" s="455"/>
    </row>
    <row r="2869" spans="1:1">
      <c r="A2869" s="455"/>
    </row>
    <row r="2870" spans="1:1">
      <c r="A2870" s="455"/>
    </row>
    <row r="2871" spans="1:1">
      <c r="A2871" s="455"/>
    </row>
    <row r="2872" spans="1:1">
      <c r="A2872" s="455"/>
    </row>
    <row r="2873" spans="1:1">
      <c r="A2873" s="455"/>
    </row>
    <row r="2874" spans="1:1">
      <c r="A2874" s="455"/>
    </row>
    <row r="2875" spans="1:1">
      <c r="A2875" s="455"/>
    </row>
    <row r="2876" spans="1:1">
      <c r="A2876" s="455"/>
    </row>
    <row r="2877" spans="1:1">
      <c r="A2877" s="455"/>
    </row>
    <row r="2878" spans="1:1">
      <c r="A2878" s="455"/>
    </row>
    <row r="2879" spans="1:1">
      <c r="A2879" s="455"/>
    </row>
    <row r="2880" spans="1:1">
      <c r="A2880" s="455"/>
    </row>
    <row r="2881" spans="1:1">
      <c r="A2881" s="455"/>
    </row>
    <row r="2882" spans="1:1">
      <c r="A2882" s="455"/>
    </row>
    <row r="2883" spans="1:1">
      <c r="A2883" s="455"/>
    </row>
    <row r="2884" spans="1:1">
      <c r="A2884" s="455"/>
    </row>
    <row r="2885" spans="1:1">
      <c r="A2885" s="455"/>
    </row>
    <row r="2886" spans="1:1">
      <c r="A2886" s="455"/>
    </row>
    <row r="2887" spans="1:1">
      <c r="A2887" s="455"/>
    </row>
    <row r="2888" spans="1:1">
      <c r="A2888" s="455"/>
    </row>
    <row r="2889" spans="1:1">
      <c r="A2889" s="455"/>
    </row>
    <row r="2890" spans="1:1">
      <c r="A2890" s="455"/>
    </row>
    <row r="2891" spans="1:1">
      <c r="A2891" s="455"/>
    </row>
    <row r="2892" spans="1:1">
      <c r="A2892" s="455"/>
    </row>
    <row r="2893" spans="1:1">
      <c r="A2893" s="455"/>
    </row>
    <row r="2894" spans="1:1">
      <c r="A2894" s="455"/>
    </row>
    <row r="2895" spans="1:1">
      <c r="A2895" s="455"/>
    </row>
    <row r="2896" spans="1:1">
      <c r="A2896" s="455"/>
    </row>
    <row r="2897" spans="1:1">
      <c r="A2897" s="455"/>
    </row>
    <row r="2898" spans="1:1">
      <c r="A2898" s="455"/>
    </row>
    <row r="2899" spans="1:1">
      <c r="A2899" s="455"/>
    </row>
    <row r="2900" spans="1:1">
      <c r="A2900" s="455"/>
    </row>
    <row r="2901" spans="1:1">
      <c r="A2901" s="455"/>
    </row>
    <row r="2902" spans="1:1">
      <c r="A2902" s="455"/>
    </row>
    <row r="2903" spans="1:1">
      <c r="A2903" s="455"/>
    </row>
    <row r="2904" spans="1:1">
      <c r="A2904" s="455"/>
    </row>
    <row r="2905" spans="1:1">
      <c r="A2905" s="455"/>
    </row>
    <row r="2906" spans="1:1">
      <c r="A2906" s="455"/>
    </row>
    <row r="2907" spans="1:1">
      <c r="A2907" s="455"/>
    </row>
    <row r="2908" spans="1:1">
      <c r="A2908" s="455"/>
    </row>
    <row r="2909" spans="1:1">
      <c r="A2909" s="455"/>
    </row>
    <row r="2910" spans="1:1">
      <c r="A2910" s="455"/>
    </row>
    <row r="2911" spans="1:1">
      <c r="A2911" s="455"/>
    </row>
    <row r="2912" spans="1:1">
      <c r="A2912" s="455"/>
    </row>
    <row r="2913" spans="1:1">
      <c r="A2913" s="455"/>
    </row>
    <row r="2914" spans="1:1">
      <c r="A2914" s="455"/>
    </row>
    <row r="2915" spans="1:1">
      <c r="A2915" s="455"/>
    </row>
    <row r="2916" spans="1:1">
      <c r="A2916" s="455"/>
    </row>
    <row r="2917" spans="1:1">
      <c r="A2917" s="455"/>
    </row>
    <row r="2918" spans="1:1">
      <c r="A2918" s="455"/>
    </row>
    <row r="2919" spans="1:1">
      <c r="A2919" s="455"/>
    </row>
    <row r="2920" spans="1:1">
      <c r="A2920" s="455"/>
    </row>
    <row r="2921" spans="1:1">
      <c r="A2921" s="455"/>
    </row>
    <row r="2922" spans="1:1">
      <c r="A2922" s="455"/>
    </row>
    <row r="2923" spans="1:1">
      <c r="A2923" s="455"/>
    </row>
    <row r="2924" spans="1:1">
      <c r="A2924" s="455"/>
    </row>
    <row r="2925" spans="1:1">
      <c r="A2925" s="455"/>
    </row>
    <row r="2926" spans="1:1">
      <c r="A2926" s="455"/>
    </row>
    <row r="2927" spans="1:1">
      <c r="A2927" s="455"/>
    </row>
    <row r="2928" spans="1:1">
      <c r="A2928" s="455"/>
    </row>
    <row r="2929" spans="1:1">
      <c r="A2929" s="455"/>
    </row>
    <row r="2930" spans="1:1">
      <c r="A2930" s="455"/>
    </row>
    <row r="2931" spans="1:1">
      <c r="A2931" s="455"/>
    </row>
    <row r="2932" spans="1:1">
      <c r="A2932" s="455"/>
    </row>
    <row r="2933" spans="1:1">
      <c r="A2933" s="455"/>
    </row>
    <row r="2934" spans="1:1">
      <c r="A2934" s="455"/>
    </row>
    <row r="2935" spans="1:1">
      <c r="A2935" s="455"/>
    </row>
    <row r="2936" spans="1:1">
      <c r="A2936" s="455"/>
    </row>
    <row r="2937" spans="1:1">
      <c r="A2937" s="455"/>
    </row>
    <row r="2938" spans="1:1">
      <c r="A2938" s="455"/>
    </row>
    <row r="2939" spans="1:1">
      <c r="A2939" s="455"/>
    </row>
    <row r="2940" spans="1:1">
      <c r="A2940" s="455"/>
    </row>
    <row r="2941" spans="1:1">
      <c r="A2941" s="455"/>
    </row>
    <row r="2942" spans="1:1">
      <c r="A2942" s="455"/>
    </row>
    <row r="2943" spans="1:1">
      <c r="A2943" s="455"/>
    </row>
    <row r="2944" spans="1:1">
      <c r="A2944" s="455"/>
    </row>
    <row r="2945" spans="1:1">
      <c r="A2945" s="455"/>
    </row>
    <row r="2946" spans="1:1">
      <c r="A2946" s="455"/>
    </row>
    <row r="2947" spans="1:1">
      <c r="A2947" s="455"/>
    </row>
    <row r="2948" spans="1:1">
      <c r="A2948" s="455"/>
    </row>
    <row r="2949" spans="1:1">
      <c r="A2949" s="455"/>
    </row>
    <row r="2950" spans="1:1">
      <c r="A2950" s="455"/>
    </row>
    <row r="2951" spans="1:1">
      <c r="A2951" s="455"/>
    </row>
    <row r="2952" spans="1:1">
      <c r="A2952" s="455"/>
    </row>
    <row r="2953" spans="1:1">
      <c r="A2953" s="455"/>
    </row>
    <row r="2954" spans="1:1">
      <c r="A2954" s="455"/>
    </row>
    <row r="2955" spans="1:1">
      <c r="A2955" s="455"/>
    </row>
    <row r="2956" spans="1:1">
      <c r="A2956" s="455"/>
    </row>
    <row r="2957" spans="1:1">
      <c r="A2957" s="455"/>
    </row>
    <row r="2958" spans="1:1">
      <c r="A2958" s="455"/>
    </row>
    <row r="2959" spans="1:1">
      <c r="A2959" s="455"/>
    </row>
    <row r="2960" spans="1:1">
      <c r="A2960" s="455"/>
    </row>
    <row r="2961" spans="1:1">
      <c r="A2961" s="455"/>
    </row>
    <row r="2962" spans="1:1">
      <c r="A2962" s="455"/>
    </row>
    <row r="2963" spans="1:1">
      <c r="A2963" s="455"/>
    </row>
    <row r="2964" spans="1:1">
      <c r="A2964" s="455"/>
    </row>
    <row r="2965" spans="1:1">
      <c r="A2965" s="455"/>
    </row>
    <row r="2966" spans="1:1">
      <c r="A2966" s="455"/>
    </row>
    <row r="2967" spans="1:1">
      <c r="A2967" s="455"/>
    </row>
    <row r="2968" spans="1:1">
      <c r="A2968" s="455"/>
    </row>
    <row r="2969" spans="1:1">
      <c r="A2969" s="455"/>
    </row>
    <row r="2970" spans="1:1">
      <c r="A2970" s="455"/>
    </row>
    <row r="2971" spans="1:1">
      <c r="A2971" s="455"/>
    </row>
    <row r="2972" spans="1:1">
      <c r="A2972" s="455"/>
    </row>
    <row r="2973" spans="1:1">
      <c r="A2973" s="455"/>
    </row>
    <row r="2974" spans="1:1">
      <c r="A2974" s="455"/>
    </row>
    <row r="2975" spans="1:1">
      <c r="A2975" s="455"/>
    </row>
    <row r="2976" spans="1:1">
      <c r="A2976" s="455"/>
    </row>
    <row r="2977" spans="1:1">
      <c r="A2977" s="455"/>
    </row>
    <row r="2978" spans="1:1">
      <c r="A2978" s="455"/>
    </row>
    <row r="2979" spans="1:1">
      <c r="A2979" s="455"/>
    </row>
    <row r="2980" spans="1:1">
      <c r="A2980" s="455"/>
    </row>
    <row r="2981" spans="1:1">
      <c r="A2981" s="455"/>
    </row>
    <row r="2982" spans="1:1">
      <c r="A2982" s="455"/>
    </row>
    <row r="2983" spans="1:1">
      <c r="A2983" s="455"/>
    </row>
    <row r="2984" spans="1:1">
      <c r="A2984" s="455"/>
    </row>
    <row r="2985" spans="1:1">
      <c r="A2985" s="455"/>
    </row>
    <row r="2986" spans="1:1">
      <c r="A2986" s="455"/>
    </row>
    <row r="2987" spans="1:1">
      <c r="A2987" s="455"/>
    </row>
    <row r="2988" spans="1:1">
      <c r="A2988" s="455"/>
    </row>
    <row r="2989" spans="1:1">
      <c r="A2989" s="455"/>
    </row>
    <row r="2990" spans="1:1">
      <c r="A2990" s="455"/>
    </row>
    <row r="2991" spans="1:1">
      <c r="A2991" s="455"/>
    </row>
    <row r="2992" spans="1:1">
      <c r="A2992" s="455"/>
    </row>
    <row r="2993" spans="1:1">
      <c r="A2993" s="455"/>
    </row>
    <row r="2994" spans="1:1">
      <c r="A2994" s="455"/>
    </row>
    <row r="2995" spans="1:1">
      <c r="A2995" s="455"/>
    </row>
    <row r="2996" spans="1:1">
      <c r="A2996" s="455"/>
    </row>
    <row r="2997" spans="1:1">
      <c r="A2997" s="455"/>
    </row>
    <row r="2998" spans="1:1">
      <c r="A2998" s="455"/>
    </row>
    <row r="2999" spans="1:1">
      <c r="A2999" s="455"/>
    </row>
    <row r="3000" spans="1:1">
      <c r="A3000" s="455"/>
    </row>
    <row r="3001" spans="1:1">
      <c r="A3001" s="455"/>
    </row>
    <row r="3002" spans="1:1">
      <c r="A3002" s="455"/>
    </row>
    <row r="3003" spans="1:1">
      <c r="A3003" s="455"/>
    </row>
    <row r="3004" spans="1:1">
      <c r="A3004" s="455"/>
    </row>
    <row r="3005" spans="1:1">
      <c r="A3005" s="455"/>
    </row>
    <row r="3006" spans="1:1">
      <c r="A3006" s="455"/>
    </row>
    <row r="3007" spans="1:1">
      <c r="A3007" s="455"/>
    </row>
    <row r="3008" spans="1:1">
      <c r="A3008" s="455"/>
    </row>
    <row r="3009" spans="1:1">
      <c r="A3009" s="455"/>
    </row>
    <row r="3010" spans="1:1">
      <c r="A3010" s="455"/>
    </row>
    <row r="3011" spans="1:1">
      <c r="A3011" s="455"/>
    </row>
    <row r="3012" spans="1:1">
      <c r="A3012" s="455"/>
    </row>
    <row r="3013" spans="1:1">
      <c r="A3013" s="455"/>
    </row>
    <row r="3014" spans="1:1">
      <c r="A3014" s="455"/>
    </row>
    <row r="3015" spans="1:1">
      <c r="A3015" s="455"/>
    </row>
    <row r="3016" spans="1:1">
      <c r="A3016" s="455"/>
    </row>
    <row r="3017" spans="1:1">
      <c r="A3017" s="455"/>
    </row>
    <row r="3018" spans="1:1">
      <c r="A3018" s="455"/>
    </row>
    <row r="3019" spans="1:1">
      <c r="A3019" s="455"/>
    </row>
    <row r="3020" spans="1:1">
      <c r="A3020" s="455"/>
    </row>
    <row r="3021" spans="1:1">
      <c r="A3021" s="455"/>
    </row>
    <row r="3022" spans="1:1">
      <c r="A3022" s="455"/>
    </row>
    <row r="3023" spans="1:1">
      <c r="A3023" s="455"/>
    </row>
    <row r="3024" spans="1:1">
      <c r="A3024" s="455"/>
    </row>
    <row r="3025" spans="1:1">
      <c r="A3025" s="455"/>
    </row>
    <row r="3026" spans="1:1">
      <c r="A3026" s="455"/>
    </row>
    <row r="3027" spans="1:1">
      <c r="A3027" s="455"/>
    </row>
    <row r="3028" spans="1:1">
      <c r="A3028" s="455"/>
    </row>
    <row r="3029" spans="1:1">
      <c r="A3029" s="455"/>
    </row>
    <row r="3030" spans="1:1">
      <c r="A3030" s="455"/>
    </row>
    <row r="3031" spans="1:1">
      <c r="A3031" s="455"/>
    </row>
    <row r="3032" spans="1:1">
      <c r="A3032" s="455"/>
    </row>
    <row r="3033" spans="1:1">
      <c r="A3033" s="455"/>
    </row>
    <row r="3034" spans="1:1">
      <c r="A3034" s="455"/>
    </row>
    <row r="3035" spans="1:1">
      <c r="A3035" s="455"/>
    </row>
    <row r="3036" spans="1:1">
      <c r="A3036" s="455"/>
    </row>
    <row r="3037" spans="1:1">
      <c r="A3037" s="455"/>
    </row>
    <row r="3038" spans="1:1">
      <c r="A3038" s="455"/>
    </row>
    <row r="3039" spans="1:1">
      <c r="A3039" s="455"/>
    </row>
    <row r="3040" spans="1:1">
      <c r="A3040" s="455"/>
    </row>
    <row r="3041" spans="1:1">
      <c r="A3041" s="455"/>
    </row>
    <row r="3042" spans="1:1">
      <c r="A3042" s="455"/>
    </row>
    <row r="3043" spans="1:1">
      <c r="A3043" s="455"/>
    </row>
    <row r="3044" spans="1:1">
      <c r="A3044" s="455"/>
    </row>
    <row r="3045" spans="1:1">
      <c r="A3045" s="455"/>
    </row>
    <row r="3046" spans="1:1">
      <c r="A3046" s="455"/>
    </row>
    <row r="3047" spans="1:1">
      <c r="A3047" s="455"/>
    </row>
    <row r="3048" spans="1:1">
      <c r="A3048" s="455"/>
    </row>
    <row r="3049" spans="1:1">
      <c r="A3049" s="455"/>
    </row>
    <row r="3050" spans="1:1">
      <c r="A3050" s="455"/>
    </row>
    <row r="3051" spans="1:1">
      <c r="A3051" s="455"/>
    </row>
    <row r="3052" spans="1:1">
      <c r="A3052" s="455"/>
    </row>
    <row r="3053" spans="1:1">
      <c r="A3053" s="455"/>
    </row>
    <row r="3054" spans="1:1">
      <c r="A3054" s="455"/>
    </row>
    <row r="3055" spans="1:1">
      <c r="A3055" s="455"/>
    </row>
    <row r="3056" spans="1:1">
      <c r="A3056" s="455"/>
    </row>
    <row r="3057" spans="1:1">
      <c r="A3057" s="455"/>
    </row>
    <row r="3058" spans="1:1">
      <c r="A3058" s="455"/>
    </row>
    <row r="3059" spans="1:1">
      <c r="A3059" s="455"/>
    </row>
    <row r="3060" spans="1:1">
      <c r="A3060" s="455"/>
    </row>
    <row r="3061" spans="1:1">
      <c r="A3061" s="455"/>
    </row>
    <row r="3062" spans="1:1">
      <c r="A3062" s="455"/>
    </row>
    <row r="3063" spans="1:1">
      <c r="A3063" s="455"/>
    </row>
    <row r="3064" spans="1:1">
      <c r="A3064" s="452"/>
    </row>
  </sheetData>
  <sortState xmlns:xlrd2="http://schemas.microsoft.com/office/spreadsheetml/2017/richdata2" ref="Z2:Z1048545">
    <sortCondition ref="Z2:Z1048545"/>
  </sortState>
  <mergeCells count="13">
    <mergeCell ref="E1322:F1322"/>
    <mergeCell ref="E1323:F1323"/>
    <mergeCell ref="I1323:J1323"/>
    <mergeCell ref="L1323:M1323"/>
    <mergeCell ref="I1322:J1322"/>
    <mergeCell ref="L1322:M1322"/>
    <mergeCell ref="E1321:F1321"/>
    <mergeCell ref="I1321:J1321"/>
    <mergeCell ref="L1321:M1321"/>
    <mergeCell ref="L1320:M1320"/>
    <mergeCell ref="E1320:F1320"/>
    <mergeCell ref="I1320:J1320"/>
    <mergeCell ref="G1320:H1320"/>
  </mergeCells>
  <conditionalFormatting sqref="D2:E1318">
    <cfRule type="expression" dxfId="107" priority="47">
      <formula>H2&lt;D2</formula>
    </cfRule>
    <cfRule type="expression" dxfId="106" priority="48">
      <formula>H2&gt;D2</formula>
    </cfRule>
  </conditionalFormatting>
  <conditionalFormatting sqref="F2:F1318 J2:J1318">
    <cfRule type="expression" dxfId="105" priority="39">
      <formula>E2&lt;D2</formula>
    </cfRule>
    <cfRule type="expression" dxfId="104" priority="40">
      <formula>E2&gt;D2</formula>
    </cfRule>
  </conditionalFormatting>
  <conditionalFormatting sqref="H2:I1318">
    <cfRule type="expression" dxfId="103" priority="49">
      <formula>H2&lt;D2</formula>
    </cfRule>
    <cfRule type="expression" dxfId="102" priority="50">
      <formula>H2&gt;D2</formula>
    </cfRule>
  </conditionalFormatting>
  <conditionalFormatting sqref="L2:L1318">
    <cfRule type="expression" dxfId="101" priority="45">
      <formula>L2&lt;K2</formula>
    </cfRule>
    <cfRule type="expression" dxfId="100" priority="46">
      <formula>L2&gt;K2</formula>
    </cfRule>
  </conditionalFormatting>
  <conditionalFormatting sqref="M2:M1318">
    <cfRule type="expression" dxfId="99" priority="41">
      <formula>K2&lt;L2</formula>
    </cfRule>
    <cfRule type="expression" dxfId="98" priority="42">
      <formula>K2&gt;L2</formula>
    </cfRule>
  </conditionalFormatting>
  <conditionalFormatting sqref="P2:P1318">
    <cfRule type="expression" dxfId="97" priority="35">
      <formula>P2=0</formula>
    </cfRule>
    <cfRule type="expression" dxfId="96" priority="36">
      <formula>P2&gt;0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B9BDE-EA98-4D49-8DFC-56CC4848E52D}">
  <dimension ref="A1:H30"/>
  <sheetViews>
    <sheetView topLeftCell="A8" workbookViewId="0">
      <selection activeCell="B4" sqref="B4"/>
    </sheetView>
  </sheetViews>
  <sheetFormatPr defaultRowHeight="15"/>
  <cols>
    <col min="1" max="1" width="21.7109375" bestFit="1" customWidth="1"/>
    <col min="2" max="2" width="11.85546875" bestFit="1" customWidth="1"/>
    <col min="3" max="3" width="18.85546875" customWidth="1"/>
    <col min="5" max="5" width="12.28515625" bestFit="1" customWidth="1"/>
    <col min="7" max="7" width="15.5703125" bestFit="1" customWidth="1"/>
    <col min="8" max="8" width="17.85546875" bestFit="1" customWidth="1"/>
  </cols>
  <sheetData>
    <row r="1" spans="1:8" ht="21">
      <c r="A1" s="676" t="s">
        <v>984</v>
      </c>
      <c r="B1" s="676"/>
      <c r="C1" s="676"/>
    </row>
    <row r="2" spans="1:8">
      <c r="A2" s="459" t="s">
        <v>985</v>
      </c>
      <c r="B2" s="471">
        <f ca="1">TODAY()-1</f>
        <v>46172</v>
      </c>
    </row>
    <row r="4" spans="1:8">
      <c r="A4" s="459" t="s">
        <v>986</v>
      </c>
      <c r="B4" s="459" t="s">
        <v>987</v>
      </c>
      <c r="C4" s="486">
        <f>_xlfn.XLOOKUP(B4,Referencia!B2:B60,Referencia!A2:A60)</f>
        <v>22</v>
      </c>
    </row>
    <row r="6" spans="1:8">
      <c r="A6" t="s">
        <v>988</v>
      </c>
      <c r="B6">
        <f>COUNTIFS(Jornada!Q2:Q1318, C4, Jornada!E2:E1318, "&lt;&gt;")</f>
        <v>4</v>
      </c>
    </row>
    <row r="7" spans="1:8">
      <c r="A7" t="s">
        <v>989</v>
      </c>
      <c r="B7" s="537">
        <f>COUNTIFS(Jornada!Q2:Q1318,C4,Jornada!F2:F1318,1)</f>
        <v>2</v>
      </c>
      <c r="C7" s="461">
        <f>COUNTIFS(Jornada!Q2:Q1318,C4,Jornada!F2:F1318,1) / COUNTIFS(Jornada!Q2:Q1318, C4, Jornada!E2:E1318, "&lt;&gt;")</f>
        <v>0.5</v>
      </c>
      <c r="D7" s="453">
        <f>1-C7</f>
        <v>0.5</v>
      </c>
      <c r="E7" s="18"/>
    </row>
    <row r="8" spans="1:8">
      <c r="A8" t="s">
        <v>990</v>
      </c>
      <c r="B8" s="537">
        <f>COUNTIFS(Jornada!Q2:Q1318,C4,Jornada!J2:J1318,1)</f>
        <v>2</v>
      </c>
      <c r="C8" s="563">
        <f>COUNTIFS(Jornada!Q2:Q1318,C4,Jornada!J2:J1318,1) / COUNTIFS(Jornada!Q2:Q1318, C4, Jornada!E2:E1318, "&lt;&gt;")</f>
        <v>0.5</v>
      </c>
      <c r="D8" s="453">
        <f t="shared" ref="D8:D10" si="0">1-C8</f>
        <v>0.5</v>
      </c>
      <c r="E8" s="18"/>
      <c r="H8" s="18"/>
    </row>
    <row r="9" spans="1:8">
      <c r="A9" t="s">
        <v>991</v>
      </c>
      <c r="B9">
        <f>COUNTIFS(Jornada!Q2:Q1318,C4,Jornada!M2:M1318,1)</f>
        <v>1</v>
      </c>
      <c r="C9" s="564">
        <f>COUNTIFS(Jornada!Q2:Q1318,C4,Jornada!M2:M1318,1) / COUNTIFS(Jornada!Q2:Q1318, C4, Jornada!E2:E1318, "&lt;&gt;")</f>
        <v>0.25</v>
      </c>
      <c r="D9" s="453">
        <f t="shared" si="0"/>
        <v>0.75</v>
      </c>
      <c r="E9" s="18"/>
      <c r="H9" s="18"/>
    </row>
    <row r="10" spans="1:8">
      <c r="A10" t="s">
        <v>992</v>
      </c>
      <c r="B10">
        <f>COUNTIFS(Jornada!Q2:Q1318,C4,Jornada!P2:P1318,1)</f>
        <v>2</v>
      </c>
      <c r="C10" s="565">
        <f>COUNTIFS(Jornada!Q2:Q1318,C4,Jornada!P2:P1318,1) / COUNTIFS(Jornada!Q2:Q1318, C4, Jornada!E2:E1318, "&lt;&gt;")</f>
        <v>0.5</v>
      </c>
      <c r="D10" s="453">
        <f t="shared" si="0"/>
        <v>0.5</v>
      </c>
      <c r="E10" s="18"/>
      <c r="H10" s="18"/>
    </row>
    <row r="11" spans="1:8">
      <c r="H11" s="18"/>
    </row>
    <row r="12" spans="1:8">
      <c r="A12" s="459" t="s">
        <v>993</v>
      </c>
      <c r="B12" s="459" t="s">
        <v>994</v>
      </c>
    </row>
    <row r="14" spans="1:8">
      <c r="A14" t="s">
        <v>988</v>
      </c>
      <c r="B14">
        <f>COUNTIFS(Jornada!R2:R1318,B12, Jornada!E2:E1318, "&lt;&gt;")</f>
        <v>38</v>
      </c>
    </row>
    <row r="15" spans="1:8">
      <c r="A15" t="s">
        <v>989</v>
      </c>
      <c r="B15">
        <f>COUNTIFS(Jornada!R2:R1318,B12,Jornada!F2:F1318,1)</f>
        <v>12</v>
      </c>
      <c r="C15" s="454">
        <f>B15/$B$14</f>
        <v>0.31578947368421051</v>
      </c>
      <c r="D15" s="453">
        <f>1-C15</f>
        <v>0.68421052631578949</v>
      </c>
    </row>
    <row r="16" spans="1:8">
      <c r="A16" t="s">
        <v>990</v>
      </c>
      <c r="B16">
        <f>COUNTIFS(Jornada!R2:R1318,B12,Jornada!J2:J1318,1)</f>
        <v>13</v>
      </c>
      <c r="C16" s="566">
        <f t="shared" ref="C16:C18" si="1">B16/$B$14</f>
        <v>0.34210526315789475</v>
      </c>
      <c r="D16" s="453">
        <f t="shared" ref="D16:D18" si="2">1-C16</f>
        <v>0.65789473684210531</v>
      </c>
    </row>
    <row r="17" spans="1:8">
      <c r="A17" t="s">
        <v>991</v>
      </c>
      <c r="B17">
        <f>COUNTIFS(Jornada!R2:R1318,B12,Jornada!M2:M1318,1)</f>
        <v>10</v>
      </c>
      <c r="C17" s="567">
        <f t="shared" si="1"/>
        <v>0.26315789473684209</v>
      </c>
      <c r="D17" s="453">
        <f t="shared" si="2"/>
        <v>0.73684210526315796</v>
      </c>
    </row>
    <row r="18" spans="1:8">
      <c r="A18" t="s">
        <v>992</v>
      </c>
      <c r="B18">
        <f>COUNTIFS(Jornada!R2:R1318,B12,Jornada!P2:P1318,1)</f>
        <v>20</v>
      </c>
      <c r="C18" s="568">
        <f t="shared" si="1"/>
        <v>0.52631578947368418</v>
      </c>
      <c r="D18" s="453">
        <f t="shared" si="2"/>
        <v>0.47368421052631582</v>
      </c>
    </row>
    <row r="25" spans="1:8">
      <c r="G25" s="2"/>
    </row>
    <row r="26" spans="1:8">
      <c r="G26" s="2"/>
    </row>
    <row r="27" spans="1:8">
      <c r="G27" s="2"/>
    </row>
    <row r="28" spans="1:8">
      <c r="G28" s="2"/>
    </row>
    <row r="29" spans="1:8">
      <c r="G29" s="2"/>
    </row>
    <row r="30" spans="1:8">
      <c r="G30" s="2"/>
      <c r="H30" s="2"/>
    </row>
  </sheetData>
  <mergeCells count="1">
    <mergeCell ref="A1:C1"/>
  </mergeCells>
  <conditionalFormatting sqref="C7:C10">
    <cfRule type="cellIs" dxfId="76" priority="3" operator="greaterThanOrEqual">
      <formula>0.5</formula>
    </cfRule>
    <cfRule type="cellIs" dxfId="75" priority="4" operator="lessThan">
      <formula>0.5</formula>
    </cfRule>
  </conditionalFormatting>
  <conditionalFormatting sqref="C15:C18">
    <cfRule type="cellIs" dxfId="74" priority="1" operator="greaterThanOrEqual">
      <formula>0.5</formula>
    </cfRule>
    <cfRule type="cellIs" dxfId="73" priority="2" operator="lessThan">
      <formula>0.5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B5312EE-3DA5-47F4-8CF9-DAAE7EFC889B}">
          <x14:formula1>
            <xm:f>Referencia!$B$2:$B$53</xm:f>
          </x14:formula1>
          <xm:sqref>B4</xm:sqref>
        </x14:dataValidation>
        <x14:dataValidation type="list" allowBlank="1" showInputMessage="1" showErrorMessage="1" xr:uid="{2AB01B7E-6016-4BBF-A02F-01132E21BD2B}">
          <x14:formula1>
            <xm:f>Referencia!$C$2:$C$13</xm:f>
          </x14:formula1>
          <xm:sqref>B12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B4CC-EBEC-4FA5-A3DF-3946331AA426}">
  <dimension ref="A1:I209"/>
  <sheetViews>
    <sheetView workbookViewId="0">
      <pane ySplit="1" topLeftCell="A2" activePane="bottomLeft" state="frozen"/>
      <selection pane="bottomLeft" activeCell="D38" sqref="D38"/>
    </sheetView>
  </sheetViews>
  <sheetFormatPr defaultRowHeight="15"/>
  <cols>
    <col min="1" max="1" width="12.5703125" bestFit="1" customWidth="1"/>
    <col min="2" max="2" width="14.140625" bestFit="1" customWidth="1"/>
    <col min="3" max="3" width="19" bestFit="1" customWidth="1"/>
    <col min="4" max="4" width="15.140625" bestFit="1" customWidth="1"/>
    <col min="5" max="5" width="20" bestFit="1" customWidth="1"/>
    <col min="6" max="6" width="14.85546875" bestFit="1" customWidth="1"/>
    <col min="7" max="7" width="19.7109375" style="18" bestFit="1" customWidth="1"/>
    <col min="8" max="8" width="12.85546875" bestFit="1" customWidth="1"/>
    <col min="9" max="9" width="17.5703125" style="18" bestFit="1" customWidth="1"/>
    <col min="10" max="10" width="2" bestFit="1" customWidth="1"/>
    <col min="11" max="12" width="7" bestFit="1" customWidth="1"/>
    <col min="13" max="13" width="12.5703125" bestFit="1" customWidth="1"/>
    <col min="14" max="14" width="2" bestFit="1" customWidth="1"/>
    <col min="15" max="16" width="7" bestFit="1" customWidth="1"/>
    <col min="17" max="17" width="3.85546875" bestFit="1" customWidth="1"/>
    <col min="18" max="18" width="2" bestFit="1" customWidth="1"/>
    <col min="19" max="19" width="7" bestFit="1" customWidth="1"/>
    <col min="20" max="20" width="3.85546875" bestFit="1" customWidth="1"/>
    <col min="21" max="21" width="2" bestFit="1" customWidth="1"/>
    <col min="22" max="24" width="7" bestFit="1" customWidth="1"/>
    <col min="25" max="25" width="12.5703125" bestFit="1" customWidth="1"/>
    <col min="26" max="26" width="14.140625" bestFit="1" customWidth="1"/>
    <col min="27" max="27" width="15.140625" bestFit="1" customWidth="1"/>
    <col min="28" max="28" width="14.140625" bestFit="1" customWidth="1"/>
    <col min="29" max="29" width="16.7109375" bestFit="1" customWidth="1"/>
    <col min="30" max="30" width="15.7109375" bestFit="1" customWidth="1"/>
    <col min="31" max="31" width="16.7109375" bestFit="1" customWidth="1"/>
    <col min="32" max="32" width="15.7109375" bestFit="1" customWidth="1"/>
    <col min="33" max="33" width="15.140625" bestFit="1" customWidth="1"/>
    <col min="34" max="34" width="14.140625" bestFit="1" customWidth="1"/>
    <col min="35" max="35" width="15.140625" bestFit="1" customWidth="1"/>
    <col min="36" max="36" width="14.140625" bestFit="1" customWidth="1"/>
    <col min="37" max="37" width="16.7109375" bestFit="1" customWidth="1"/>
    <col min="38" max="38" width="15.7109375" bestFit="1" customWidth="1"/>
    <col min="39" max="39" width="15.140625" bestFit="1" customWidth="1"/>
    <col min="40" max="40" width="14.140625" bestFit="1" customWidth="1"/>
    <col min="41" max="41" width="15.140625" bestFit="1" customWidth="1"/>
    <col min="42" max="42" width="14.140625" bestFit="1" customWidth="1"/>
    <col min="43" max="43" width="16.7109375" bestFit="1" customWidth="1"/>
    <col min="44" max="44" width="15.7109375" bestFit="1" customWidth="1"/>
    <col min="45" max="45" width="16.7109375" bestFit="1" customWidth="1"/>
    <col min="46" max="46" width="15.7109375" bestFit="1" customWidth="1"/>
    <col min="47" max="47" width="16.7109375" bestFit="1" customWidth="1"/>
    <col min="48" max="48" width="15.7109375" bestFit="1" customWidth="1"/>
    <col min="49" max="49" width="20.28515625" bestFit="1" customWidth="1"/>
    <col min="50" max="50" width="19.28515625" bestFit="1" customWidth="1"/>
    <col min="51" max="51" width="14.140625" bestFit="1" customWidth="1"/>
    <col min="52" max="52" width="14.85546875" bestFit="1" customWidth="1"/>
    <col min="53" max="53" width="15.140625" bestFit="1" customWidth="1"/>
    <col min="54" max="54" width="14.140625" bestFit="1" customWidth="1"/>
    <col min="55" max="55" width="16.42578125" bestFit="1" customWidth="1"/>
    <col min="56" max="56" width="16.7109375" bestFit="1" customWidth="1"/>
    <col min="57" max="57" width="15.7109375" bestFit="1" customWidth="1"/>
    <col min="58" max="58" width="14.85546875" bestFit="1" customWidth="1"/>
    <col min="59" max="59" width="15.140625" bestFit="1" customWidth="1"/>
    <col min="60" max="60" width="14.140625" bestFit="1" customWidth="1"/>
    <col min="61" max="61" width="14.85546875" bestFit="1" customWidth="1"/>
    <col min="62" max="62" width="15.140625" bestFit="1" customWidth="1"/>
    <col min="63" max="63" width="14.140625" bestFit="1" customWidth="1"/>
    <col min="64" max="64" width="16.42578125" bestFit="1" customWidth="1"/>
    <col min="65" max="65" width="16.7109375" bestFit="1" customWidth="1"/>
    <col min="66" max="66" width="15.7109375" bestFit="1" customWidth="1"/>
    <col min="67" max="67" width="16.42578125" bestFit="1" customWidth="1"/>
    <col min="68" max="68" width="16.7109375" bestFit="1" customWidth="1"/>
    <col min="69" max="69" width="15.7109375" bestFit="1" customWidth="1"/>
    <col min="70" max="70" width="16.42578125" bestFit="1" customWidth="1"/>
    <col min="71" max="71" width="16.7109375" bestFit="1" customWidth="1"/>
    <col min="72" max="72" width="15.7109375" bestFit="1" customWidth="1"/>
    <col min="73" max="73" width="20" bestFit="1" customWidth="1"/>
    <col min="74" max="74" width="20.28515625" bestFit="1" customWidth="1"/>
    <col min="75" max="75" width="19.28515625" bestFit="1" customWidth="1"/>
    <col min="76" max="76" width="15.7109375" bestFit="1" customWidth="1"/>
    <col min="77" max="77" width="12.85546875" bestFit="1" customWidth="1"/>
    <col min="78" max="78" width="14.85546875" bestFit="1" customWidth="1"/>
    <col min="79" max="79" width="15.140625" bestFit="1" customWidth="1"/>
    <col min="80" max="80" width="14.140625" bestFit="1" customWidth="1"/>
    <col min="81" max="81" width="12.85546875" bestFit="1" customWidth="1"/>
    <col min="82" max="82" width="14.85546875" bestFit="1" customWidth="1"/>
    <col min="83" max="83" width="15.140625" bestFit="1" customWidth="1"/>
    <col min="84" max="84" width="14.140625" bestFit="1" customWidth="1"/>
    <col min="85" max="85" width="14.42578125" bestFit="1" customWidth="1"/>
    <col min="86" max="86" width="16.42578125" bestFit="1" customWidth="1"/>
    <col min="87" max="87" width="16.7109375" bestFit="1" customWidth="1"/>
    <col min="88" max="88" width="15.7109375" bestFit="1" customWidth="1"/>
    <col min="89" max="89" width="14.42578125" bestFit="1" customWidth="1"/>
    <col min="90" max="90" width="16.42578125" bestFit="1" customWidth="1"/>
    <col min="91" max="91" width="16.7109375" bestFit="1" customWidth="1"/>
    <col min="92" max="92" width="15.7109375" bestFit="1" customWidth="1"/>
    <col min="93" max="93" width="14.42578125" bestFit="1" customWidth="1"/>
    <col min="94" max="94" width="16.42578125" bestFit="1" customWidth="1"/>
    <col min="95" max="95" width="16.7109375" bestFit="1" customWidth="1"/>
    <col min="96" max="96" width="15.7109375" bestFit="1" customWidth="1"/>
    <col min="97" max="97" width="17.85546875" bestFit="1" customWidth="1"/>
    <col min="98" max="98" width="20" bestFit="1" customWidth="1"/>
    <col min="99" max="99" width="20.28515625" bestFit="1" customWidth="1"/>
    <col min="100" max="100" width="19.28515625" bestFit="1" customWidth="1"/>
    <col min="101" max="101" width="15.7109375" bestFit="1" customWidth="1"/>
    <col min="102" max="102" width="16.42578125" bestFit="1" customWidth="1"/>
    <col min="103" max="103" width="16.7109375" bestFit="1" customWidth="1"/>
    <col min="104" max="104" width="14.42578125" bestFit="1" customWidth="1"/>
    <col min="105" max="105" width="19.28515625" bestFit="1" customWidth="1"/>
    <col min="106" max="106" width="20" bestFit="1" customWidth="1"/>
    <col min="107" max="107" width="20.28515625" bestFit="1" customWidth="1"/>
    <col min="108" max="108" width="17.85546875" bestFit="1" customWidth="1"/>
  </cols>
  <sheetData>
    <row r="1" spans="1:9">
      <c r="A1" s="415" t="s">
        <v>0</v>
      </c>
      <c r="B1" t="s">
        <v>995</v>
      </c>
      <c r="C1" t="s">
        <v>996</v>
      </c>
      <c r="D1" t="s">
        <v>997</v>
      </c>
      <c r="E1" s="18" t="s">
        <v>998</v>
      </c>
      <c r="F1" t="s">
        <v>999</v>
      </c>
      <c r="G1" s="18" t="s">
        <v>1000</v>
      </c>
      <c r="H1" t="s">
        <v>1001</v>
      </c>
      <c r="I1" s="18" t="s">
        <v>1002</v>
      </c>
    </row>
    <row r="2" spans="1:9">
      <c r="A2" s="284">
        <v>45951</v>
      </c>
      <c r="B2" s="416">
        <v>2</v>
      </c>
      <c r="C2" s="18">
        <v>1</v>
      </c>
      <c r="D2" s="416">
        <v>1</v>
      </c>
      <c r="E2" s="18">
        <v>0.5</v>
      </c>
      <c r="F2" s="416">
        <v>2</v>
      </c>
      <c r="G2" s="18">
        <v>1</v>
      </c>
      <c r="H2" s="416">
        <v>1</v>
      </c>
      <c r="I2" s="18">
        <v>0.5</v>
      </c>
    </row>
    <row r="3" spans="1:9">
      <c r="A3" s="284">
        <v>45952</v>
      </c>
      <c r="B3" s="416">
        <v>11</v>
      </c>
      <c r="C3" s="18">
        <v>0.91666666666666663</v>
      </c>
      <c r="D3" s="416">
        <v>7</v>
      </c>
      <c r="E3" s="18">
        <v>0.58333333333333337</v>
      </c>
      <c r="F3" s="416">
        <v>10</v>
      </c>
      <c r="G3" s="18">
        <v>0.83333333333333337</v>
      </c>
      <c r="H3" s="416">
        <v>7</v>
      </c>
      <c r="I3" s="18">
        <v>0.58333333333333337</v>
      </c>
    </row>
    <row r="4" spans="1:9">
      <c r="A4" s="284">
        <v>45953</v>
      </c>
      <c r="B4" s="416">
        <v>2</v>
      </c>
      <c r="C4" s="18">
        <v>1</v>
      </c>
      <c r="D4" s="416">
        <v>2</v>
      </c>
      <c r="E4" s="18">
        <v>1</v>
      </c>
      <c r="F4" s="416">
        <v>2</v>
      </c>
      <c r="G4" s="18">
        <v>1</v>
      </c>
      <c r="H4" s="416">
        <v>2</v>
      </c>
      <c r="I4" s="18">
        <v>1</v>
      </c>
    </row>
    <row r="5" spans="1:9">
      <c r="A5" s="284">
        <v>45954</v>
      </c>
      <c r="B5" s="416">
        <v>8</v>
      </c>
      <c r="C5" s="18">
        <v>0.66666666666666663</v>
      </c>
      <c r="D5" s="416">
        <v>8</v>
      </c>
      <c r="E5" s="18">
        <v>0.66666666666666663</v>
      </c>
      <c r="F5" s="416">
        <v>8</v>
      </c>
      <c r="G5" s="18">
        <v>0.66666666666666663</v>
      </c>
      <c r="H5" s="416">
        <v>6</v>
      </c>
      <c r="I5" s="18">
        <v>0.5</v>
      </c>
    </row>
    <row r="6" spans="1:9">
      <c r="A6" s="284">
        <v>45955</v>
      </c>
      <c r="B6" s="416">
        <v>3</v>
      </c>
      <c r="C6" s="18">
        <v>0.6</v>
      </c>
      <c r="D6" s="416">
        <v>3</v>
      </c>
      <c r="E6" s="18">
        <v>0.6</v>
      </c>
      <c r="F6" s="416">
        <v>3</v>
      </c>
      <c r="G6" s="18">
        <v>0.6</v>
      </c>
      <c r="H6" s="416">
        <v>2</v>
      </c>
      <c r="I6" s="18">
        <v>0.4</v>
      </c>
    </row>
    <row r="7" spans="1:9">
      <c r="A7" s="284">
        <v>45956</v>
      </c>
      <c r="B7" s="416">
        <v>5</v>
      </c>
      <c r="C7" s="18">
        <v>0.55555555555555558</v>
      </c>
      <c r="D7" s="416">
        <v>9</v>
      </c>
      <c r="E7" s="18">
        <v>1</v>
      </c>
      <c r="F7" s="416">
        <v>7</v>
      </c>
      <c r="G7" s="18">
        <v>0.77777777777777779</v>
      </c>
      <c r="H7" s="416">
        <v>2</v>
      </c>
      <c r="I7" s="18">
        <v>0.22222222222222221</v>
      </c>
    </row>
    <row r="8" spans="1:9">
      <c r="A8" s="284">
        <v>45957</v>
      </c>
      <c r="B8" s="416">
        <v>7</v>
      </c>
      <c r="C8" s="18">
        <v>0.63636363636363635</v>
      </c>
      <c r="D8" s="416">
        <v>6</v>
      </c>
      <c r="E8" s="18">
        <v>0.54545454545454541</v>
      </c>
      <c r="F8" s="416">
        <v>7</v>
      </c>
      <c r="G8" s="18">
        <v>0.63636363636363635</v>
      </c>
      <c r="H8" s="416">
        <v>5</v>
      </c>
      <c r="I8" s="18">
        <v>0.45454545454545453</v>
      </c>
    </row>
    <row r="9" spans="1:9">
      <c r="A9" s="284">
        <v>45958</v>
      </c>
      <c r="B9" s="416">
        <v>2</v>
      </c>
      <c r="C9" s="18">
        <v>0.4</v>
      </c>
      <c r="D9" s="416">
        <v>3</v>
      </c>
      <c r="E9" s="18">
        <v>0.6</v>
      </c>
      <c r="F9" s="416">
        <v>3</v>
      </c>
      <c r="G9" s="18">
        <v>0.6</v>
      </c>
      <c r="H9" s="416">
        <v>3</v>
      </c>
      <c r="I9" s="18">
        <v>0.6</v>
      </c>
    </row>
    <row r="10" spans="1:9">
      <c r="A10" s="284">
        <v>45959</v>
      </c>
      <c r="B10" s="416">
        <v>4</v>
      </c>
      <c r="C10" s="18">
        <v>0.4</v>
      </c>
      <c r="D10" s="416">
        <v>7</v>
      </c>
      <c r="E10" s="18">
        <v>0.7</v>
      </c>
      <c r="F10" s="416">
        <v>4</v>
      </c>
      <c r="G10" s="18">
        <v>0.4</v>
      </c>
      <c r="H10" s="416">
        <v>3</v>
      </c>
      <c r="I10" s="18">
        <v>0.3</v>
      </c>
    </row>
    <row r="11" spans="1:9">
      <c r="A11" s="284">
        <v>45960</v>
      </c>
      <c r="B11" s="416">
        <v>2</v>
      </c>
      <c r="C11" s="18">
        <v>0.5</v>
      </c>
      <c r="D11" s="416">
        <v>3</v>
      </c>
      <c r="E11" s="18">
        <v>0.75</v>
      </c>
      <c r="F11" s="416">
        <v>2</v>
      </c>
      <c r="G11" s="18">
        <v>0.5</v>
      </c>
      <c r="H11" s="416">
        <v>3</v>
      </c>
      <c r="I11" s="18">
        <v>0.75</v>
      </c>
    </row>
    <row r="12" spans="1:9">
      <c r="A12" s="284">
        <v>45961</v>
      </c>
      <c r="B12" s="416">
        <v>5</v>
      </c>
      <c r="C12" s="18">
        <v>0.625</v>
      </c>
      <c r="D12" s="416">
        <v>3</v>
      </c>
      <c r="E12" s="18">
        <v>0.375</v>
      </c>
      <c r="F12" s="416">
        <v>3</v>
      </c>
      <c r="G12" s="18">
        <v>0.375</v>
      </c>
      <c r="H12" s="416">
        <v>2</v>
      </c>
      <c r="I12" s="18">
        <v>0.25</v>
      </c>
    </row>
    <row r="13" spans="1:9">
      <c r="A13" s="284">
        <v>45962</v>
      </c>
      <c r="B13" s="416">
        <v>5</v>
      </c>
      <c r="C13" s="18">
        <v>0.83333333333333337</v>
      </c>
      <c r="D13" s="416">
        <v>2</v>
      </c>
      <c r="E13" s="18">
        <v>0.33333333333333331</v>
      </c>
      <c r="F13" s="416">
        <v>3</v>
      </c>
      <c r="G13" s="18">
        <v>0.5</v>
      </c>
      <c r="H13" s="416">
        <v>2</v>
      </c>
      <c r="I13" s="18">
        <v>0.33333333333333331</v>
      </c>
    </row>
    <row r="14" spans="1:9">
      <c r="A14" s="284">
        <v>45963</v>
      </c>
      <c r="B14" s="416">
        <v>4</v>
      </c>
      <c r="C14" s="18">
        <v>0.5</v>
      </c>
      <c r="D14" s="416">
        <v>6</v>
      </c>
      <c r="E14" s="18">
        <v>0.75</v>
      </c>
      <c r="F14" s="416">
        <v>6</v>
      </c>
      <c r="G14" s="18">
        <v>0.75</v>
      </c>
      <c r="H14" s="416">
        <v>5</v>
      </c>
      <c r="I14" s="18">
        <v>0.625</v>
      </c>
    </row>
    <row r="15" spans="1:9">
      <c r="A15" s="284">
        <v>45964</v>
      </c>
      <c r="B15" s="416">
        <v>7</v>
      </c>
      <c r="C15" s="18">
        <v>0.77777777777777779</v>
      </c>
      <c r="D15" s="416">
        <v>5</v>
      </c>
      <c r="E15" s="18">
        <v>0.55555555555555558</v>
      </c>
      <c r="F15" s="416">
        <v>5</v>
      </c>
      <c r="G15" s="18">
        <v>0.55555555555555558</v>
      </c>
      <c r="H15" s="416">
        <v>3</v>
      </c>
      <c r="I15" s="18">
        <v>0.33333333333333331</v>
      </c>
    </row>
    <row r="16" spans="1:9">
      <c r="A16" s="284">
        <v>45965</v>
      </c>
      <c r="B16" s="416">
        <v>1</v>
      </c>
      <c r="C16" s="18">
        <v>0.16666666666666666</v>
      </c>
      <c r="D16" s="416">
        <v>4</v>
      </c>
      <c r="E16" s="18">
        <v>0.66666666666666663</v>
      </c>
      <c r="F16" s="416">
        <v>4</v>
      </c>
      <c r="G16" s="18">
        <v>0.66666666666666663</v>
      </c>
      <c r="H16" s="416">
        <v>2</v>
      </c>
      <c r="I16" s="18">
        <v>0.33333333333333331</v>
      </c>
    </row>
    <row r="17" spans="1:9">
      <c r="A17" s="284">
        <v>45966</v>
      </c>
      <c r="B17" s="416">
        <v>5</v>
      </c>
      <c r="C17" s="18">
        <v>0.45454545454545453</v>
      </c>
      <c r="D17" s="416">
        <v>7</v>
      </c>
      <c r="E17" s="18">
        <v>0.63636363636363635</v>
      </c>
      <c r="F17" s="416">
        <v>8</v>
      </c>
      <c r="G17" s="18">
        <v>0.72727272727272729</v>
      </c>
      <c r="H17" s="416">
        <v>6</v>
      </c>
      <c r="I17" s="18">
        <v>0.54545454545454541</v>
      </c>
    </row>
    <row r="18" spans="1:9">
      <c r="A18" s="284">
        <v>45967</v>
      </c>
      <c r="B18" s="416">
        <v>0</v>
      </c>
      <c r="C18" s="18">
        <v>0</v>
      </c>
      <c r="D18" s="416">
        <v>1</v>
      </c>
      <c r="E18" s="18">
        <v>1</v>
      </c>
      <c r="F18" s="416">
        <v>0</v>
      </c>
      <c r="G18" s="18">
        <v>0</v>
      </c>
      <c r="H18" s="416">
        <v>0</v>
      </c>
      <c r="I18" s="18">
        <v>0</v>
      </c>
    </row>
    <row r="19" spans="1:9">
      <c r="A19" s="284">
        <v>45968</v>
      </c>
      <c r="B19" s="416">
        <v>5</v>
      </c>
      <c r="C19" s="18">
        <v>0.45454545454545453</v>
      </c>
      <c r="D19" s="416">
        <v>8</v>
      </c>
      <c r="E19" s="18">
        <v>0.72727272727272729</v>
      </c>
      <c r="F19" s="416">
        <v>8</v>
      </c>
      <c r="G19" s="18">
        <v>0.72727272727272729</v>
      </c>
      <c r="H19" s="416">
        <v>6</v>
      </c>
      <c r="I19" s="18">
        <v>0.54545454545454541</v>
      </c>
    </row>
    <row r="20" spans="1:9">
      <c r="A20" s="284">
        <v>45969</v>
      </c>
      <c r="B20" s="416">
        <v>5</v>
      </c>
      <c r="C20" s="18">
        <v>0.625</v>
      </c>
      <c r="D20" s="416">
        <v>6</v>
      </c>
      <c r="E20" s="18">
        <v>0.75</v>
      </c>
      <c r="F20" s="416">
        <v>5</v>
      </c>
      <c r="G20" s="18">
        <v>0.625</v>
      </c>
      <c r="H20" s="416">
        <v>5</v>
      </c>
      <c r="I20" s="18">
        <v>0.625</v>
      </c>
    </row>
    <row r="21" spans="1:9">
      <c r="A21" s="284">
        <v>45970</v>
      </c>
      <c r="B21" s="416">
        <v>2</v>
      </c>
      <c r="C21" s="18">
        <v>0.2857142857142857</v>
      </c>
      <c r="D21" s="416">
        <v>2</v>
      </c>
      <c r="E21" s="18">
        <v>0.2857142857142857</v>
      </c>
      <c r="F21" s="416">
        <v>3</v>
      </c>
      <c r="G21" s="18">
        <v>0.42857142857142855</v>
      </c>
      <c r="H21" s="416">
        <v>5</v>
      </c>
      <c r="I21" s="18">
        <v>0.7142857142857143</v>
      </c>
    </row>
    <row r="22" spans="1:9">
      <c r="A22" s="284">
        <v>45971</v>
      </c>
      <c r="B22" s="416">
        <v>5</v>
      </c>
      <c r="C22" s="18">
        <v>0.55555555555555558</v>
      </c>
      <c r="D22" s="416">
        <v>6</v>
      </c>
      <c r="E22" s="18">
        <v>0.66666666666666663</v>
      </c>
      <c r="F22" s="416">
        <v>5</v>
      </c>
      <c r="G22" s="18">
        <v>0.55555555555555558</v>
      </c>
      <c r="H22" s="416">
        <v>4</v>
      </c>
      <c r="I22" s="18">
        <v>0.44444444444444442</v>
      </c>
    </row>
    <row r="23" spans="1:9">
      <c r="A23" s="284">
        <v>45972</v>
      </c>
      <c r="B23" s="416">
        <v>3</v>
      </c>
      <c r="C23" s="18">
        <v>0.5</v>
      </c>
      <c r="D23" s="416">
        <v>3</v>
      </c>
      <c r="E23" s="18">
        <v>0.5</v>
      </c>
      <c r="F23" s="416">
        <v>3</v>
      </c>
      <c r="G23" s="18">
        <v>0.5</v>
      </c>
      <c r="H23" s="416">
        <v>3</v>
      </c>
      <c r="I23" s="18">
        <v>0.5</v>
      </c>
    </row>
    <row r="24" spans="1:9">
      <c r="A24" s="284">
        <v>45973</v>
      </c>
      <c r="B24" s="416">
        <v>7</v>
      </c>
      <c r="C24" s="18">
        <v>0.58333333333333337</v>
      </c>
      <c r="D24" s="416">
        <v>7</v>
      </c>
      <c r="E24" s="18">
        <v>0.58333333333333337</v>
      </c>
      <c r="F24" s="416">
        <v>7</v>
      </c>
      <c r="G24" s="18">
        <v>0.58333333333333337</v>
      </c>
      <c r="H24" s="416">
        <v>6</v>
      </c>
      <c r="I24" s="18">
        <v>0.5</v>
      </c>
    </row>
    <row r="25" spans="1:9">
      <c r="A25" s="284">
        <v>45974</v>
      </c>
      <c r="B25" s="416">
        <v>1</v>
      </c>
      <c r="C25" s="18">
        <v>0.33333333333333331</v>
      </c>
      <c r="D25" s="416">
        <v>2</v>
      </c>
      <c r="E25" s="18">
        <v>0.66666666666666663</v>
      </c>
      <c r="F25" s="416">
        <v>2</v>
      </c>
      <c r="G25" s="18">
        <v>0.66666666666666663</v>
      </c>
      <c r="H25" s="416">
        <v>2</v>
      </c>
      <c r="I25" s="18">
        <v>0.66666666666666663</v>
      </c>
    </row>
    <row r="26" spans="1:9">
      <c r="A26" s="284">
        <v>45975</v>
      </c>
      <c r="B26" s="416">
        <v>4</v>
      </c>
      <c r="C26" s="18">
        <v>0.44444444444444442</v>
      </c>
      <c r="D26" s="416">
        <v>6</v>
      </c>
      <c r="E26" s="18">
        <v>0.66666666666666663</v>
      </c>
      <c r="F26" s="416">
        <v>5</v>
      </c>
      <c r="G26" s="18">
        <v>0.55555555555555558</v>
      </c>
      <c r="H26" s="416">
        <v>5</v>
      </c>
      <c r="I26" s="18">
        <v>0.55555555555555558</v>
      </c>
    </row>
    <row r="27" spans="1:9">
      <c r="A27" s="284">
        <v>45976</v>
      </c>
      <c r="B27" s="416">
        <v>3</v>
      </c>
      <c r="C27" s="18">
        <v>0.6</v>
      </c>
      <c r="D27" s="416">
        <v>1</v>
      </c>
      <c r="E27" s="18">
        <v>0.2</v>
      </c>
      <c r="F27" s="416">
        <v>2</v>
      </c>
      <c r="G27" s="18">
        <v>0.4</v>
      </c>
      <c r="H27" s="416">
        <v>2</v>
      </c>
      <c r="I27" s="18">
        <v>0.4</v>
      </c>
    </row>
    <row r="28" spans="1:9">
      <c r="A28" s="284">
        <v>45977</v>
      </c>
      <c r="B28" s="416">
        <v>6</v>
      </c>
      <c r="C28" s="18">
        <v>0.75</v>
      </c>
      <c r="D28" s="416">
        <v>5</v>
      </c>
      <c r="E28" s="18">
        <v>0.625</v>
      </c>
      <c r="F28" s="416">
        <v>7</v>
      </c>
      <c r="G28" s="18">
        <v>0.875</v>
      </c>
      <c r="H28" s="416">
        <v>6</v>
      </c>
      <c r="I28" s="18">
        <v>0.75</v>
      </c>
    </row>
    <row r="29" spans="1:9">
      <c r="A29" s="284">
        <v>45978</v>
      </c>
      <c r="B29" s="416">
        <v>4</v>
      </c>
      <c r="C29" s="18">
        <v>0.5</v>
      </c>
      <c r="D29" s="416">
        <v>3</v>
      </c>
      <c r="E29" s="18">
        <v>0.375</v>
      </c>
      <c r="F29" s="416">
        <v>4</v>
      </c>
      <c r="G29" s="18">
        <v>0.5</v>
      </c>
      <c r="H29" s="416">
        <v>5</v>
      </c>
      <c r="I29" s="18">
        <v>0.625</v>
      </c>
    </row>
    <row r="30" spans="1:9">
      <c r="A30" s="284">
        <v>45979</v>
      </c>
      <c r="B30" s="416">
        <v>3</v>
      </c>
      <c r="C30" s="18">
        <v>0.5</v>
      </c>
      <c r="D30" s="416">
        <v>2</v>
      </c>
      <c r="E30" s="18">
        <v>0.33333333333333331</v>
      </c>
      <c r="F30" s="416">
        <v>4</v>
      </c>
      <c r="G30" s="18">
        <v>0.66666666666666663</v>
      </c>
      <c r="H30" s="416">
        <v>3</v>
      </c>
      <c r="I30" s="18">
        <v>0.5</v>
      </c>
    </row>
    <row r="31" spans="1:9">
      <c r="A31" s="284">
        <v>45980</v>
      </c>
      <c r="B31" s="416">
        <v>6</v>
      </c>
      <c r="C31" s="18">
        <v>0.66666666666666663</v>
      </c>
      <c r="D31" s="416">
        <v>4</v>
      </c>
      <c r="E31" s="18">
        <v>0.44444444444444442</v>
      </c>
      <c r="F31" s="416">
        <v>6</v>
      </c>
      <c r="G31" s="18">
        <v>0.66666666666666663</v>
      </c>
      <c r="H31" s="416">
        <v>6</v>
      </c>
      <c r="I31" s="18">
        <v>0.66666666666666663</v>
      </c>
    </row>
    <row r="32" spans="1:9">
      <c r="A32" s="284">
        <v>45981</v>
      </c>
      <c r="B32" s="416">
        <v>2</v>
      </c>
      <c r="C32" s="18">
        <v>0.5</v>
      </c>
      <c r="D32" s="416">
        <v>3</v>
      </c>
      <c r="E32" s="18">
        <v>0.75</v>
      </c>
      <c r="F32" s="416">
        <v>2</v>
      </c>
      <c r="G32" s="18">
        <v>0.5</v>
      </c>
      <c r="H32" s="416">
        <v>2</v>
      </c>
      <c r="I32" s="18">
        <v>0.5</v>
      </c>
    </row>
    <row r="33" spans="1:9">
      <c r="A33" s="284">
        <v>45982</v>
      </c>
      <c r="B33" s="416">
        <v>5</v>
      </c>
      <c r="C33" s="18">
        <v>0.625</v>
      </c>
      <c r="D33" s="416">
        <v>4</v>
      </c>
      <c r="E33" s="18">
        <v>0.5</v>
      </c>
      <c r="F33" s="416">
        <v>4</v>
      </c>
      <c r="G33" s="18">
        <v>0.5</v>
      </c>
      <c r="H33" s="416">
        <v>5</v>
      </c>
      <c r="I33" s="18">
        <v>0.625</v>
      </c>
    </row>
    <row r="34" spans="1:9">
      <c r="A34" s="284">
        <v>45983</v>
      </c>
      <c r="B34" s="416">
        <v>7</v>
      </c>
      <c r="C34" s="18">
        <v>0.875</v>
      </c>
      <c r="D34" s="416">
        <v>5</v>
      </c>
      <c r="E34" s="18">
        <v>0.625</v>
      </c>
      <c r="F34" s="416">
        <v>6</v>
      </c>
      <c r="G34" s="18">
        <v>0.75</v>
      </c>
      <c r="H34" s="416">
        <v>3</v>
      </c>
      <c r="I34" s="18">
        <v>0.375</v>
      </c>
    </row>
    <row r="35" spans="1:9">
      <c r="A35" s="284">
        <v>45984</v>
      </c>
      <c r="B35" s="416">
        <v>4</v>
      </c>
      <c r="C35" s="18">
        <v>0.5</v>
      </c>
      <c r="D35" s="416">
        <v>4</v>
      </c>
      <c r="E35" s="18">
        <v>0.5</v>
      </c>
      <c r="F35" s="416">
        <v>2</v>
      </c>
      <c r="G35" s="18">
        <v>0.25</v>
      </c>
      <c r="H35" s="416">
        <v>7</v>
      </c>
      <c r="I35" s="18">
        <v>0.875</v>
      </c>
    </row>
    <row r="36" spans="1:9">
      <c r="A36" s="284">
        <v>45985</v>
      </c>
      <c r="B36" s="416">
        <v>6</v>
      </c>
      <c r="C36" s="18">
        <v>0.6</v>
      </c>
      <c r="D36" s="416">
        <v>3</v>
      </c>
      <c r="E36" s="18">
        <v>0.3</v>
      </c>
      <c r="F36" s="416">
        <v>3</v>
      </c>
      <c r="G36" s="18">
        <v>0.3</v>
      </c>
      <c r="H36" s="416">
        <v>6</v>
      </c>
      <c r="I36" s="18">
        <v>0.6</v>
      </c>
    </row>
    <row r="37" spans="1:9">
      <c r="A37" s="284">
        <v>45986</v>
      </c>
      <c r="B37" s="416">
        <v>2</v>
      </c>
      <c r="C37" s="18">
        <v>0.66666666666666663</v>
      </c>
      <c r="D37" s="416">
        <v>2</v>
      </c>
      <c r="E37" s="18">
        <v>0.66666666666666663</v>
      </c>
      <c r="F37" s="416">
        <v>2</v>
      </c>
      <c r="G37" s="18">
        <v>0.66666666666666663</v>
      </c>
      <c r="H37" s="416">
        <v>1</v>
      </c>
      <c r="I37" s="18">
        <v>0.33333333333333331</v>
      </c>
    </row>
    <row r="38" spans="1:9">
      <c r="A38" s="284">
        <v>45987</v>
      </c>
      <c r="B38" s="416">
        <v>4</v>
      </c>
      <c r="C38" s="18">
        <v>0.44444444444444442</v>
      </c>
      <c r="D38" s="416">
        <v>3</v>
      </c>
      <c r="E38" s="18">
        <v>0.33333333333333331</v>
      </c>
      <c r="F38" s="416">
        <v>3</v>
      </c>
      <c r="G38" s="18">
        <v>0.33333333333333331</v>
      </c>
      <c r="H38" s="416">
        <v>5</v>
      </c>
      <c r="I38" s="18">
        <v>0.55555555555555558</v>
      </c>
    </row>
    <row r="39" spans="1:9">
      <c r="A39" s="284">
        <v>45989</v>
      </c>
      <c r="B39" s="416">
        <v>5</v>
      </c>
      <c r="C39" s="18">
        <v>0.45454545454545453</v>
      </c>
      <c r="D39" s="416">
        <v>8</v>
      </c>
      <c r="E39" s="18">
        <v>0.72727272727272729</v>
      </c>
      <c r="F39" s="416">
        <v>7</v>
      </c>
      <c r="G39" s="18">
        <v>0.63636363636363635</v>
      </c>
      <c r="H39" s="416">
        <v>5</v>
      </c>
      <c r="I39" s="18">
        <v>0.45454545454545453</v>
      </c>
    </row>
    <row r="40" spans="1:9">
      <c r="A40" s="284">
        <v>45990</v>
      </c>
      <c r="B40" s="416">
        <v>3</v>
      </c>
      <c r="C40" s="18">
        <v>0.375</v>
      </c>
      <c r="D40" s="416">
        <v>6</v>
      </c>
      <c r="E40" s="18">
        <v>0.75</v>
      </c>
      <c r="F40" s="416">
        <v>3</v>
      </c>
      <c r="G40" s="18">
        <v>0.375</v>
      </c>
      <c r="H40" s="416">
        <v>2</v>
      </c>
      <c r="I40" s="18">
        <v>0.25</v>
      </c>
    </row>
    <row r="41" spans="1:9">
      <c r="A41" s="284">
        <v>45991</v>
      </c>
      <c r="B41" s="416">
        <v>5</v>
      </c>
      <c r="C41" s="18">
        <v>0.625</v>
      </c>
      <c r="D41" s="416">
        <v>5</v>
      </c>
      <c r="E41" s="18">
        <v>0.625</v>
      </c>
      <c r="F41" s="416">
        <v>5</v>
      </c>
      <c r="G41" s="18">
        <v>0.625</v>
      </c>
      <c r="H41" s="416">
        <v>6</v>
      </c>
      <c r="I41" s="18">
        <v>0.75</v>
      </c>
    </row>
    <row r="42" spans="1:9">
      <c r="A42" s="284">
        <v>45992</v>
      </c>
      <c r="B42" s="416">
        <v>7</v>
      </c>
      <c r="C42" s="18">
        <v>0.77777777777777779</v>
      </c>
      <c r="D42" s="416">
        <v>7</v>
      </c>
      <c r="E42" s="18">
        <v>0.77777777777777779</v>
      </c>
      <c r="F42" s="416">
        <v>6</v>
      </c>
      <c r="G42" s="18">
        <v>0.66666666666666663</v>
      </c>
      <c r="H42" s="416">
        <v>5</v>
      </c>
      <c r="I42" s="18">
        <v>0.55555555555555558</v>
      </c>
    </row>
    <row r="43" spans="1:9">
      <c r="A43" s="284">
        <v>45993</v>
      </c>
      <c r="B43" s="416">
        <v>5</v>
      </c>
      <c r="C43" s="18">
        <v>0.83333333333333337</v>
      </c>
      <c r="D43" s="416">
        <v>2</v>
      </c>
      <c r="E43" s="18">
        <v>0.33333333333333331</v>
      </c>
      <c r="F43" s="416">
        <v>4</v>
      </c>
      <c r="G43" s="18">
        <v>0.66666666666666663</v>
      </c>
      <c r="H43" s="416">
        <v>4</v>
      </c>
      <c r="I43" s="18">
        <v>0.66666666666666663</v>
      </c>
    </row>
    <row r="44" spans="1:9">
      <c r="A44" s="284">
        <v>45994</v>
      </c>
      <c r="B44" s="416">
        <v>3</v>
      </c>
      <c r="C44" s="18">
        <v>0.33333333333333331</v>
      </c>
      <c r="D44" s="416">
        <v>3</v>
      </c>
      <c r="E44" s="18">
        <v>0.33333333333333331</v>
      </c>
      <c r="F44" s="416">
        <v>1</v>
      </c>
      <c r="G44" s="18">
        <v>0.1111111111111111</v>
      </c>
      <c r="H44" s="416">
        <v>5</v>
      </c>
      <c r="I44" s="18">
        <v>0.55555555555555558</v>
      </c>
    </row>
    <row r="45" spans="1:9">
      <c r="A45" s="284">
        <v>45995</v>
      </c>
      <c r="B45" s="416">
        <v>4</v>
      </c>
      <c r="C45" s="18">
        <v>0.8</v>
      </c>
      <c r="D45" s="416">
        <v>0</v>
      </c>
      <c r="E45" s="18">
        <v>0</v>
      </c>
      <c r="F45" s="416">
        <v>3</v>
      </c>
      <c r="G45" s="18">
        <v>0.6</v>
      </c>
      <c r="H45" s="416">
        <v>1</v>
      </c>
      <c r="I45" s="18">
        <v>0.2</v>
      </c>
    </row>
    <row r="46" spans="1:9">
      <c r="A46" s="284">
        <v>45996</v>
      </c>
      <c r="B46" s="416">
        <v>4</v>
      </c>
      <c r="C46" s="18">
        <v>0.33333333333333331</v>
      </c>
      <c r="D46" s="416">
        <v>6</v>
      </c>
      <c r="E46" s="18">
        <v>0.5</v>
      </c>
      <c r="F46" s="416">
        <v>5</v>
      </c>
      <c r="G46" s="18">
        <v>0.41666666666666669</v>
      </c>
      <c r="H46" s="416">
        <v>6</v>
      </c>
      <c r="I46" s="18">
        <v>0.5</v>
      </c>
    </row>
    <row r="47" spans="1:9">
      <c r="A47" s="284">
        <v>45997</v>
      </c>
      <c r="B47" s="416">
        <v>2</v>
      </c>
      <c r="C47" s="18">
        <v>0.2857142857142857</v>
      </c>
      <c r="D47" s="416">
        <v>2</v>
      </c>
      <c r="E47" s="18">
        <v>0.2857142857142857</v>
      </c>
      <c r="F47" s="416">
        <v>2</v>
      </c>
      <c r="G47" s="18">
        <v>0.2857142857142857</v>
      </c>
      <c r="H47" s="416">
        <v>3</v>
      </c>
      <c r="I47" s="18">
        <v>0.42857142857142855</v>
      </c>
    </row>
    <row r="48" spans="1:9">
      <c r="A48" s="284">
        <v>45998</v>
      </c>
      <c r="B48" s="416">
        <v>4</v>
      </c>
      <c r="C48" s="18">
        <v>0.5714285714285714</v>
      </c>
      <c r="D48" s="416">
        <v>0</v>
      </c>
      <c r="E48" s="18">
        <v>0</v>
      </c>
      <c r="F48" s="416">
        <v>1</v>
      </c>
      <c r="G48" s="18">
        <v>0.14285714285714285</v>
      </c>
      <c r="H48" s="416">
        <v>2</v>
      </c>
      <c r="I48" s="18">
        <v>0.2857142857142857</v>
      </c>
    </row>
    <row r="49" spans="1:9">
      <c r="A49" s="284">
        <v>45999</v>
      </c>
      <c r="B49" s="416">
        <v>1</v>
      </c>
      <c r="C49" s="18">
        <v>0.33333333333333331</v>
      </c>
      <c r="D49" s="416">
        <v>1</v>
      </c>
      <c r="E49" s="18">
        <v>0.33333333333333331</v>
      </c>
      <c r="F49" s="416">
        <v>1</v>
      </c>
      <c r="G49" s="18">
        <v>0.33333333333333331</v>
      </c>
      <c r="H49" s="416">
        <v>0</v>
      </c>
      <c r="I49" s="18">
        <v>0</v>
      </c>
    </row>
    <row r="50" spans="1:9">
      <c r="A50" s="284">
        <v>46000</v>
      </c>
      <c r="B50" s="416">
        <v>1</v>
      </c>
      <c r="C50" s="18">
        <v>0.5</v>
      </c>
      <c r="D50" s="416">
        <v>1</v>
      </c>
      <c r="E50" s="18">
        <v>0.5</v>
      </c>
      <c r="F50" s="416">
        <v>0</v>
      </c>
      <c r="G50" s="18">
        <v>0</v>
      </c>
      <c r="H50" s="416">
        <v>0</v>
      </c>
      <c r="I50" s="18">
        <v>0</v>
      </c>
    </row>
    <row r="51" spans="1:9">
      <c r="A51" s="284">
        <v>46001</v>
      </c>
      <c r="B51" s="416">
        <v>1</v>
      </c>
      <c r="C51" s="18">
        <v>0.5</v>
      </c>
      <c r="D51" s="416">
        <v>1</v>
      </c>
      <c r="E51" s="18">
        <v>0.5</v>
      </c>
      <c r="F51" s="416">
        <v>1</v>
      </c>
      <c r="G51" s="18">
        <v>0.5</v>
      </c>
      <c r="H51" s="416">
        <v>0</v>
      </c>
      <c r="I51" s="18">
        <v>0</v>
      </c>
    </row>
    <row r="52" spans="1:9">
      <c r="A52" s="284">
        <v>46002</v>
      </c>
      <c r="B52" s="416">
        <v>2</v>
      </c>
      <c r="C52" s="18">
        <v>0.5</v>
      </c>
      <c r="D52" s="416">
        <v>2</v>
      </c>
      <c r="E52" s="18">
        <v>0.5</v>
      </c>
      <c r="F52" s="416">
        <v>1</v>
      </c>
      <c r="G52" s="18">
        <v>0.25</v>
      </c>
      <c r="H52" s="416">
        <v>3</v>
      </c>
      <c r="I52" s="18">
        <v>0.75</v>
      </c>
    </row>
    <row r="53" spans="1:9">
      <c r="A53" s="284">
        <v>46003</v>
      </c>
      <c r="B53" s="416">
        <v>4</v>
      </c>
      <c r="C53" s="18">
        <v>0.5714285714285714</v>
      </c>
      <c r="D53" s="416">
        <v>4</v>
      </c>
      <c r="E53" s="18">
        <v>0.5714285714285714</v>
      </c>
      <c r="F53" s="416">
        <v>4</v>
      </c>
      <c r="G53" s="18">
        <v>0.5714285714285714</v>
      </c>
      <c r="H53" s="416">
        <v>4</v>
      </c>
      <c r="I53" s="18">
        <v>0.5714285714285714</v>
      </c>
    </row>
    <row r="54" spans="1:9">
      <c r="A54" s="284">
        <v>46004</v>
      </c>
      <c r="B54" s="416">
        <v>2</v>
      </c>
      <c r="C54" s="18">
        <v>1</v>
      </c>
      <c r="D54" s="416">
        <v>1</v>
      </c>
      <c r="E54" s="18">
        <v>0.5</v>
      </c>
      <c r="F54" s="416">
        <v>2</v>
      </c>
      <c r="G54" s="18">
        <v>1</v>
      </c>
      <c r="H54" s="416">
        <v>1</v>
      </c>
      <c r="I54" s="18">
        <v>0.5</v>
      </c>
    </row>
    <row r="55" spans="1:9">
      <c r="A55" s="284">
        <v>46005</v>
      </c>
      <c r="B55" s="416">
        <v>3</v>
      </c>
      <c r="C55" s="18">
        <v>0.375</v>
      </c>
      <c r="D55" s="416">
        <v>5</v>
      </c>
      <c r="E55" s="18">
        <v>0.625</v>
      </c>
      <c r="F55" s="416">
        <v>4</v>
      </c>
      <c r="G55" s="18">
        <v>0.5</v>
      </c>
      <c r="H55" s="416">
        <v>3</v>
      </c>
      <c r="I55" s="18">
        <v>0.375</v>
      </c>
    </row>
    <row r="56" spans="1:9">
      <c r="A56" s="284">
        <v>46006</v>
      </c>
      <c r="B56" s="416">
        <v>3</v>
      </c>
      <c r="C56" s="18">
        <v>0.6</v>
      </c>
      <c r="D56" s="416">
        <v>2</v>
      </c>
      <c r="E56" s="18">
        <v>0.4</v>
      </c>
      <c r="F56" s="416">
        <v>2</v>
      </c>
      <c r="G56" s="18">
        <v>0.4</v>
      </c>
      <c r="H56" s="416">
        <v>4</v>
      </c>
      <c r="I56" s="18">
        <v>0.8</v>
      </c>
    </row>
    <row r="57" spans="1:9">
      <c r="A57" s="284">
        <v>46007</v>
      </c>
      <c r="B57" s="416">
        <v>1</v>
      </c>
      <c r="C57" s="18">
        <v>1</v>
      </c>
      <c r="D57" s="416">
        <v>1</v>
      </c>
      <c r="E57" s="18">
        <v>1</v>
      </c>
      <c r="F57" s="416">
        <v>1</v>
      </c>
      <c r="G57" s="18">
        <v>1</v>
      </c>
      <c r="H57" s="416">
        <v>1</v>
      </c>
      <c r="I57" s="18">
        <v>1</v>
      </c>
    </row>
    <row r="58" spans="1:9">
      <c r="A58" s="284">
        <v>46008</v>
      </c>
      <c r="B58" s="416">
        <v>0</v>
      </c>
      <c r="C58" s="18">
        <v>0</v>
      </c>
      <c r="D58" s="416">
        <v>0</v>
      </c>
      <c r="E58" s="18">
        <v>0</v>
      </c>
      <c r="F58" s="416">
        <v>0</v>
      </c>
      <c r="G58" s="18">
        <v>0</v>
      </c>
      <c r="H58" s="416">
        <v>0</v>
      </c>
      <c r="I58" s="18">
        <v>0</v>
      </c>
    </row>
    <row r="59" spans="1:9">
      <c r="A59" s="284">
        <v>46009</v>
      </c>
      <c r="B59" s="416">
        <v>5</v>
      </c>
      <c r="C59" s="18">
        <v>0.41666666666666669</v>
      </c>
      <c r="D59" s="416">
        <v>3</v>
      </c>
      <c r="E59" s="18">
        <v>0.25</v>
      </c>
      <c r="F59" s="416">
        <v>5</v>
      </c>
      <c r="G59" s="18">
        <v>0.41666666666666669</v>
      </c>
      <c r="H59" s="416">
        <v>7</v>
      </c>
      <c r="I59" s="18">
        <v>0.58333333333333337</v>
      </c>
    </row>
    <row r="60" spans="1:9">
      <c r="A60" s="284">
        <v>46010</v>
      </c>
      <c r="B60" s="416">
        <v>2</v>
      </c>
      <c r="C60" s="18">
        <v>0.4</v>
      </c>
      <c r="D60" s="416">
        <v>1</v>
      </c>
      <c r="E60" s="18">
        <v>0.2</v>
      </c>
      <c r="F60" s="416">
        <v>2</v>
      </c>
      <c r="G60" s="18">
        <v>0.4</v>
      </c>
      <c r="H60" s="416">
        <v>1</v>
      </c>
      <c r="I60" s="18">
        <v>0.2</v>
      </c>
    </row>
    <row r="61" spans="1:9">
      <c r="A61" s="284">
        <v>46011</v>
      </c>
      <c r="B61" s="416">
        <v>4</v>
      </c>
      <c r="C61" s="18">
        <v>0.4</v>
      </c>
      <c r="D61" s="416">
        <v>2</v>
      </c>
      <c r="E61" s="18">
        <v>0.2</v>
      </c>
      <c r="F61" s="416">
        <v>3</v>
      </c>
      <c r="G61" s="18">
        <v>0.3</v>
      </c>
      <c r="H61" s="416">
        <v>6</v>
      </c>
      <c r="I61" s="18">
        <v>0.6</v>
      </c>
    </row>
    <row r="62" spans="1:9">
      <c r="A62" s="284">
        <v>46012</v>
      </c>
      <c r="B62" s="416">
        <v>3</v>
      </c>
      <c r="C62" s="18">
        <v>0.5</v>
      </c>
      <c r="D62" s="416">
        <v>3</v>
      </c>
      <c r="E62" s="18">
        <v>0.5</v>
      </c>
      <c r="F62" s="416">
        <v>3</v>
      </c>
      <c r="G62" s="18">
        <v>0.5</v>
      </c>
      <c r="H62" s="416">
        <v>2</v>
      </c>
      <c r="I62" s="18">
        <v>0.33333333333333331</v>
      </c>
    </row>
    <row r="63" spans="1:9">
      <c r="A63" s="284">
        <v>46013</v>
      </c>
      <c r="B63" s="416">
        <v>1</v>
      </c>
      <c r="C63" s="18">
        <v>0.14285714285714285</v>
      </c>
      <c r="D63" s="416">
        <v>2</v>
      </c>
      <c r="E63" s="18">
        <v>0.2857142857142857</v>
      </c>
      <c r="F63" s="416">
        <v>1</v>
      </c>
      <c r="G63" s="18">
        <v>0.14285714285714285</v>
      </c>
      <c r="H63" s="416">
        <v>6</v>
      </c>
      <c r="I63" s="18">
        <v>0.8571428571428571</v>
      </c>
    </row>
    <row r="64" spans="1:9">
      <c r="A64" s="284">
        <v>46014</v>
      </c>
      <c r="B64" s="416">
        <v>7</v>
      </c>
      <c r="C64" s="18">
        <v>0.5</v>
      </c>
      <c r="D64" s="416">
        <v>8</v>
      </c>
      <c r="E64" s="18">
        <v>0.5714285714285714</v>
      </c>
      <c r="F64" s="416">
        <v>6</v>
      </c>
      <c r="G64" s="18">
        <v>0.42857142857142855</v>
      </c>
      <c r="H64" s="416">
        <v>7</v>
      </c>
      <c r="I64" s="18">
        <v>0.5</v>
      </c>
    </row>
    <row r="65" spans="1:9">
      <c r="A65" s="284">
        <v>46016</v>
      </c>
      <c r="B65" s="416">
        <v>3</v>
      </c>
      <c r="C65" s="18">
        <v>0.6</v>
      </c>
      <c r="D65" s="416">
        <v>1</v>
      </c>
      <c r="E65" s="18">
        <v>0.2</v>
      </c>
      <c r="F65" s="416">
        <v>1</v>
      </c>
      <c r="G65" s="18">
        <v>0.2</v>
      </c>
      <c r="H65" s="416">
        <v>2</v>
      </c>
      <c r="I65" s="18">
        <v>0.4</v>
      </c>
    </row>
    <row r="66" spans="1:9">
      <c r="A66" s="284">
        <v>46017</v>
      </c>
      <c r="B66" s="416">
        <v>4</v>
      </c>
      <c r="C66" s="18">
        <v>0.44444444444444442</v>
      </c>
      <c r="D66" s="416">
        <v>4</v>
      </c>
      <c r="E66" s="18">
        <v>0.44444444444444442</v>
      </c>
      <c r="F66" s="416">
        <v>4</v>
      </c>
      <c r="G66" s="18">
        <v>0.44444444444444442</v>
      </c>
      <c r="H66" s="416">
        <v>6</v>
      </c>
      <c r="I66" s="18">
        <v>0.66666666666666663</v>
      </c>
    </row>
    <row r="67" spans="1:9">
      <c r="A67" s="284">
        <v>46018</v>
      </c>
      <c r="B67" s="416">
        <v>5</v>
      </c>
      <c r="C67" s="18">
        <v>0.55555555555555558</v>
      </c>
      <c r="D67" s="416">
        <v>3</v>
      </c>
      <c r="E67" s="18">
        <v>0.33333333333333331</v>
      </c>
      <c r="F67" s="416">
        <v>4</v>
      </c>
      <c r="G67" s="18">
        <v>0.44444444444444442</v>
      </c>
      <c r="H67" s="416">
        <v>0</v>
      </c>
      <c r="I67" s="18">
        <v>0</v>
      </c>
    </row>
    <row r="68" spans="1:9">
      <c r="A68" s="284">
        <v>46019</v>
      </c>
      <c r="B68" s="416">
        <v>1</v>
      </c>
      <c r="C68" s="18">
        <v>0.16666666666666666</v>
      </c>
      <c r="D68" s="416">
        <v>4</v>
      </c>
      <c r="E68" s="18">
        <v>0.66666666666666663</v>
      </c>
      <c r="F68" s="416">
        <v>1</v>
      </c>
      <c r="G68" s="18">
        <v>0.16666666666666666</v>
      </c>
      <c r="H68" s="416">
        <v>4</v>
      </c>
      <c r="I68" s="18">
        <v>0.66666666666666663</v>
      </c>
    </row>
    <row r="69" spans="1:9">
      <c r="A69" s="284">
        <v>46020</v>
      </c>
      <c r="B69" s="416">
        <v>7</v>
      </c>
      <c r="C69" s="18">
        <v>0.63636363636363635</v>
      </c>
      <c r="D69" s="416">
        <v>4</v>
      </c>
      <c r="E69" s="18">
        <v>0.36363636363636365</v>
      </c>
      <c r="F69" s="416">
        <v>7</v>
      </c>
      <c r="G69" s="18">
        <v>0.63636363636363635</v>
      </c>
      <c r="H69" s="416">
        <v>6</v>
      </c>
      <c r="I69" s="18">
        <v>0.54545454545454541</v>
      </c>
    </row>
    <row r="70" spans="1:9">
      <c r="A70" s="284">
        <v>46021</v>
      </c>
      <c r="B70" s="416">
        <v>3</v>
      </c>
      <c r="C70" s="18">
        <v>0.75</v>
      </c>
      <c r="D70" s="416">
        <v>2</v>
      </c>
      <c r="E70" s="18">
        <v>0.5</v>
      </c>
      <c r="F70" s="416">
        <v>3</v>
      </c>
      <c r="G70" s="18">
        <v>0.75</v>
      </c>
      <c r="H70" s="416">
        <v>3</v>
      </c>
      <c r="I70" s="18">
        <v>0.75</v>
      </c>
    </row>
    <row r="71" spans="1:9">
      <c r="A71" s="284">
        <v>46022</v>
      </c>
      <c r="B71" s="416">
        <v>3</v>
      </c>
      <c r="C71" s="18">
        <v>0.33333333333333331</v>
      </c>
      <c r="D71" s="416">
        <v>4</v>
      </c>
      <c r="E71" s="18">
        <v>0.44444444444444442</v>
      </c>
      <c r="F71" s="416">
        <v>4</v>
      </c>
      <c r="G71" s="18">
        <v>0.44444444444444442</v>
      </c>
      <c r="H71" s="416">
        <v>5</v>
      </c>
      <c r="I71" s="18">
        <v>0.55555555555555558</v>
      </c>
    </row>
    <row r="72" spans="1:9">
      <c r="A72" s="284">
        <v>46023</v>
      </c>
      <c r="B72" s="416">
        <v>2</v>
      </c>
      <c r="C72" s="18">
        <v>0.4</v>
      </c>
      <c r="D72" s="416">
        <v>0</v>
      </c>
      <c r="E72" s="18">
        <v>0</v>
      </c>
      <c r="F72" s="416">
        <v>1</v>
      </c>
      <c r="G72" s="18">
        <v>0.2</v>
      </c>
      <c r="H72" s="416">
        <v>3</v>
      </c>
      <c r="I72" s="18">
        <v>0.6</v>
      </c>
    </row>
    <row r="73" spans="1:9">
      <c r="A73" s="284">
        <v>46024</v>
      </c>
      <c r="B73" s="416">
        <v>4</v>
      </c>
      <c r="C73" s="18">
        <v>0.4</v>
      </c>
      <c r="D73" s="416">
        <v>5</v>
      </c>
      <c r="E73" s="18">
        <v>0.5</v>
      </c>
      <c r="F73" s="416">
        <v>4</v>
      </c>
      <c r="G73" s="18">
        <v>0.4</v>
      </c>
      <c r="H73" s="416">
        <v>5</v>
      </c>
      <c r="I73" s="18">
        <v>0.5</v>
      </c>
    </row>
    <row r="74" spans="1:9">
      <c r="A74" s="284">
        <v>46025</v>
      </c>
      <c r="B74" s="416">
        <v>4</v>
      </c>
      <c r="C74" s="18">
        <v>0.5</v>
      </c>
      <c r="D74" s="416">
        <v>2</v>
      </c>
      <c r="E74" s="18">
        <v>0.25</v>
      </c>
      <c r="F74" s="416">
        <v>2</v>
      </c>
      <c r="G74" s="18">
        <v>0.25</v>
      </c>
      <c r="H74" s="416">
        <v>4</v>
      </c>
      <c r="I74" s="18">
        <v>0.5</v>
      </c>
    </row>
    <row r="75" spans="1:9">
      <c r="A75" s="284">
        <v>46026</v>
      </c>
      <c r="B75" s="416">
        <v>3</v>
      </c>
      <c r="C75" s="18">
        <v>0.375</v>
      </c>
      <c r="D75" s="416">
        <v>3</v>
      </c>
      <c r="E75" s="18">
        <v>0.375</v>
      </c>
      <c r="F75" s="416">
        <v>4</v>
      </c>
      <c r="G75" s="18">
        <v>0.5</v>
      </c>
      <c r="H75" s="416">
        <v>5</v>
      </c>
      <c r="I75" s="18">
        <v>0.625</v>
      </c>
    </row>
    <row r="76" spans="1:9">
      <c r="A76" s="284">
        <v>46027</v>
      </c>
      <c r="B76" s="416">
        <v>3</v>
      </c>
      <c r="C76" s="18">
        <v>0.375</v>
      </c>
      <c r="D76" s="416">
        <v>2</v>
      </c>
      <c r="E76" s="18">
        <v>0.25</v>
      </c>
      <c r="F76" s="416">
        <v>2</v>
      </c>
      <c r="G76" s="18">
        <v>0.25</v>
      </c>
      <c r="H76" s="416">
        <v>4</v>
      </c>
      <c r="I76" s="18">
        <v>0.5</v>
      </c>
    </row>
    <row r="77" spans="1:9">
      <c r="A77" s="284">
        <v>46028</v>
      </c>
      <c r="B77" s="416">
        <v>0</v>
      </c>
      <c r="C77" s="18">
        <v>0</v>
      </c>
      <c r="D77" s="416">
        <v>1</v>
      </c>
      <c r="E77" s="18">
        <v>0.16666666666666666</v>
      </c>
      <c r="F77" s="416">
        <v>0</v>
      </c>
      <c r="G77" s="18">
        <v>0</v>
      </c>
      <c r="H77" s="416">
        <v>4</v>
      </c>
      <c r="I77" s="18">
        <v>0.66666666666666663</v>
      </c>
    </row>
    <row r="78" spans="1:9">
      <c r="A78" s="284">
        <v>46029</v>
      </c>
      <c r="B78" s="416">
        <v>1</v>
      </c>
      <c r="C78" s="18">
        <v>8.3333333333333329E-2</v>
      </c>
      <c r="D78" s="416">
        <v>1</v>
      </c>
      <c r="E78" s="18">
        <v>8.3333333333333329E-2</v>
      </c>
      <c r="F78" s="416">
        <v>1</v>
      </c>
      <c r="G78" s="18">
        <v>8.3333333333333329E-2</v>
      </c>
      <c r="H78" s="416">
        <v>8</v>
      </c>
      <c r="I78" s="18">
        <v>0.66666666666666663</v>
      </c>
    </row>
    <row r="79" spans="1:9">
      <c r="A79" s="284">
        <v>46030</v>
      </c>
      <c r="B79" s="416">
        <v>1</v>
      </c>
      <c r="C79" s="18">
        <v>0.33333333333333331</v>
      </c>
      <c r="D79" s="416">
        <v>1</v>
      </c>
      <c r="E79" s="18">
        <v>0.33333333333333331</v>
      </c>
      <c r="F79" s="416">
        <v>1</v>
      </c>
      <c r="G79" s="18">
        <v>0.33333333333333331</v>
      </c>
      <c r="H79" s="416">
        <v>3</v>
      </c>
      <c r="I79" s="18">
        <v>1</v>
      </c>
    </row>
    <row r="80" spans="1:9">
      <c r="A80" s="284">
        <v>46031</v>
      </c>
      <c r="B80" s="416">
        <v>3</v>
      </c>
      <c r="C80" s="18">
        <v>0.3</v>
      </c>
      <c r="D80" s="416">
        <v>3</v>
      </c>
      <c r="E80" s="18">
        <v>0.3</v>
      </c>
      <c r="F80" s="416">
        <v>1</v>
      </c>
      <c r="G80" s="18">
        <v>0.1</v>
      </c>
      <c r="H80" s="416">
        <v>3</v>
      </c>
      <c r="I80" s="18">
        <v>0.3</v>
      </c>
    </row>
    <row r="81" spans="1:9">
      <c r="A81" s="284">
        <v>46032</v>
      </c>
      <c r="B81" s="416">
        <v>2</v>
      </c>
      <c r="C81" s="18">
        <v>0.33333333333333331</v>
      </c>
      <c r="D81" s="416">
        <v>3</v>
      </c>
      <c r="E81" s="18">
        <v>0.5</v>
      </c>
      <c r="F81" s="416">
        <v>2</v>
      </c>
      <c r="G81" s="18">
        <v>0.33333333333333331</v>
      </c>
      <c r="H81" s="416">
        <v>0</v>
      </c>
      <c r="I81" s="18">
        <v>0</v>
      </c>
    </row>
    <row r="82" spans="1:9">
      <c r="A82" s="284">
        <v>46033</v>
      </c>
      <c r="B82" s="416">
        <v>3</v>
      </c>
      <c r="C82" s="18">
        <v>0.3</v>
      </c>
      <c r="D82" s="416">
        <v>3</v>
      </c>
      <c r="E82" s="18">
        <v>0.3</v>
      </c>
      <c r="F82" s="416">
        <v>2</v>
      </c>
      <c r="G82" s="18">
        <v>0.2</v>
      </c>
      <c r="H82" s="416">
        <v>7</v>
      </c>
      <c r="I82" s="18">
        <v>0.7</v>
      </c>
    </row>
    <row r="83" spans="1:9">
      <c r="A83" s="284">
        <v>46034</v>
      </c>
      <c r="B83" s="416">
        <v>1</v>
      </c>
      <c r="C83" s="18">
        <v>0.16666666666666666</v>
      </c>
      <c r="D83" s="416">
        <v>1</v>
      </c>
      <c r="E83" s="18">
        <v>0.16666666666666666</v>
      </c>
      <c r="F83" s="416">
        <v>1</v>
      </c>
      <c r="G83" s="18">
        <v>0.16666666666666666</v>
      </c>
      <c r="H83" s="416">
        <v>4</v>
      </c>
      <c r="I83" s="18">
        <v>0.66666666666666663</v>
      </c>
    </row>
    <row r="84" spans="1:9">
      <c r="A84" s="284">
        <v>46035</v>
      </c>
      <c r="B84" s="416">
        <v>2</v>
      </c>
      <c r="C84" s="18">
        <v>0.2857142857142857</v>
      </c>
      <c r="D84" s="416">
        <v>2</v>
      </c>
      <c r="E84" s="18">
        <v>0.2857142857142857</v>
      </c>
      <c r="F84" s="416">
        <v>3</v>
      </c>
      <c r="G84" s="18">
        <v>0.42857142857142855</v>
      </c>
      <c r="H84" s="416">
        <v>4</v>
      </c>
      <c r="I84" s="18">
        <v>0.5714285714285714</v>
      </c>
    </row>
    <row r="85" spans="1:9">
      <c r="A85" s="284">
        <v>46036</v>
      </c>
      <c r="B85" s="416">
        <v>3</v>
      </c>
      <c r="C85" s="18">
        <v>0.42857142857142855</v>
      </c>
      <c r="D85" s="416">
        <v>1</v>
      </c>
      <c r="E85" s="18">
        <v>0.14285714285714285</v>
      </c>
      <c r="F85" s="416">
        <v>3</v>
      </c>
      <c r="G85" s="18">
        <v>0.42857142857142855</v>
      </c>
      <c r="H85" s="416">
        <v>6</v>
      </c>
      <c r="I85" s="18">
        <v>0.8571428571428571</v>
      </c>
    </row>
    <row r="86" spans="1:9">
      <c r="A86" s="284">
        <v>46037</v>
      </c>
      <c r="B86" s="416">
        <v>3</v>
      </c>
      <c r="C86" s="18">
        <v>0.33333333333333331</v>
      </c>
      <c r="D86" s="416">
        <v>5</v>
      </c>
      <c r="E86" s="18">
        <v>0.55555555555555558</v>
      </c>
      <c r="F86" s="416">
        <v>3</v>
      </c>
      <c r="G86" s="18">
        <v>0.33333333333333331</v>
      </c>
      <c r="H86" s="416">
        <v>3</v>
      </c>
      <c r="I86" s="18">
        <v>0.33333333333333331</v>
      </c>
    </row>
    <row r="87" spans="1:9">
      <c r="A87" s="284">
        <v>46038</v>
      </c>
      <c r="B87" s="416">
        <v>3</v>
      </c>
      <c r="C87" s="18">
        <v>0.5</v>
      </c>
      <c r="D87" s="416">
        <v>2</v>
      </c>
      <c r="E87" s="18">
        <v>0.33333333333333331</v>
      </c>
      <c r="F87" s="416">
        <v>3</v>
      </c>
      <c r="G87" s="18">
        <v>0.5</v>
      </c>
      <c r="H87" s="416">
        <v>3</v>
      </c>
      <c r="I87" s="18">
        <v>0.5</v>
      </c>
    </row>
    <row r="88" spans="1:9">
      <c r="A88" s="284">
        <v>46039</v>
      </c>
      <c r="B88" s="416">
        <v>4</v>
      </c>
      <c r="C88" s="18">
        <v>0.44444444444444442</v>
      </c>
      <c r="D88" s="416">
        <v>4</v>
      </c>
      <c r="E88" s="18">
        <v>0.44444444444444442</v>
      </c>
      <c r="F88" s="416">
        <v>5</v>
      </c>
      <c r="G88" s="18">
        <v>0.55555555555555558</v>
      </c>
      <c r="H88" s="416">
        <v>4</v>
      </c>
      <c r="I88" s="18">
        <v>0.44444444444444442</v>
      </c>
    </row>
    <row r="89" spans="1:9">
      <c r="A89" s="284">
        <v>46040</v>
      </c>
      <c r="B89" s="416">
        <v>1</v>
      </c>
      <c r="C89" s="18">
        <v>0.16666666666666666</v>
      </c>
      <c r="D89" s="416">
        <v>2</v>
      </c>
      <c r="E89" s="18">
        <v>0.33333333333333331</v>
      </c>
      <c r="F89" s="416">
        <v>0</v>
      </c>
      <c r="G89" s="18">
        <v>0</v>
      </c>
      <c r="H89" s="416">
        <v>3</v>
      </c>
      <c r="I89" s="18">
        <v>0.5</v>
      </c>
    </row>
    <row r="90" spans="1:9">
      <c r="A90" s="284">
        <v>46041</v>
      </c>
      <c r="B90" s="416">
        <v>2</v>
      </c>
      <c r="C90" s="18">
        <v>0.22222222222222221</v>
      </c>
      <c r="D90" s="416">
        <v>2</v>
      </c>
      <c r="E90" s="18">
        <v>0.22222222222222221</v>
      </c>
      <c r="F90" s="416">
        <v>3</v>
      </c>
      <c r="G90" s="18">
        <v>0.33333333333333331</v>
      </c>
      <c r="H90" s="416">
        <v>6</v>
      </c>
      <c r="I90" s="18">
        <v>0.66666666666666663</v>
      </c>
    </row>
    <row r="91" spans="1:9">
      <c r="A91" s="284">
        <v>46042</v>
      </c>
      <c r="B91" s="416">
        <v>3</v>
      </c>
      <c r="C91" s="18">
        <v>0.42857142857142855</v>
      </c>
      <c r="D91" s="416">
        <v>1</v>
      </c>
      <c r="E91" s="18">
        <v>0.14285714285714285</v>
      </c>
      <c r="F91" s="416">
        <v>3</v>
      </c>
      <c r="G91" s="18">
        <v>0.42857142857142855</v>
      </c>
      <c r="H91" s="416">
        <v>4</v>
      </c>
      <c r="I91" s="18">
        <v>0.5714285714285714</v>
      </c>
    </row>
    <row r="92" spans="1:9">
      <c r="A92" s="284">
        <v>46043</v>
      </c>
      <c r="B92" s="416">
        <v>3</v>
      </c>
      <c r="C92" s="18">
        <v>0.42857142857142855</v>
      </c>
      <c r="D92" s="416">
        <v>0</v>
      </c>
      <c r="E92" s="18">
        <v>0</v>
      </c>
      <c r="F92" s="416">
        <v>1</v>
      </c>
      <c r="G92" s="18">
        <v>0.14285714285714285</v>
      </c>
      <c r="H92" s="416">
        <v>4</v>
      </c>
      <c r="I92" s="18">
        <v>0.5714285714285714</v>
      </c>
    </row>
    <row r="93" spans="1:9">
      <c r="A93" s="284">
        <v>46044</v>
      </c>
      <c r="B93" s="416">
        <v>4</v>
      </c>
      <c r="C93" s="18">
        <v>0.5</v>
      </c>
      <c r="D93" s="416">
        <v>2</v>
      </c>
      <c r="E93" s="18">
        <v>0.25</v>
      </c>
      <c r="F93" s="416">
        <v>3</v>
      </c>
      <c r="G93" s="18">
        <v>0.375</v>
      </c>
      <c r="H93" s="416">
        <v>5</v>
      </c>
      <c r="I93" s="18">
        <v>0.625</v>
      </c>
    </row>
    <row r="94" spans="1:9">
      <c r="A94" s="284">
        <v>46045</v>
      </c>
      <c r="B94" s="416">
        <v>5</v>
      </c>
      <c r="C94" s="18">
        <v>0.625</v>
      </c>
      <c r="D94" s="416">
        <v>3</v>
      </c>
      <c r="E94" s="18">
        <v>0.375</v>
      </c>
      <c r="F94" s="416">
        <v>3</v>
      </c>
      <c r="G94" s="18">
        <v>0.375</v>
      </c>
      <c r="H94" s="416">
        <v>4</v>
      </c>
      <c r="I94" s="18">
        <v>0.5</v>
      </c>
    </row>
    <row r="95" spans="1:9">
      <c r="A95" s="284">
        <v>46046</v>
      </c>
      <c r="B95" s="416">
        <v>4</v>
      </c>
      <c r="C95" s="18">
        <v>0.66666666666666663</v>
      </c>
      <c r="D95" s="416">
        <v>2</v>
      </c>
      <c r="E95" s="18">
        <v>0.33333333333333331</v>
      </c>
      <c r="F95" s="416">
        <v>2</v>
      </c>
      <c r="G95" s="18">
        <v>0.33333333333333331</v>
      </c>
      <c r="H95" s="416">
        <v>2</v>
      </c>
      <c r="I95" s="18">
        <v>0.33333333333333331</v>
      </c>
    </row>
    <row r="96" spans="1:9">
      <c r="A96" s="284">
        <v>46047</v>
      </c>
      <c r="B96" s="416">
        <v>1</v>
      </c>
      <c r="C96" s="18">
        <v>0.16666666666666666</v>
      </c>
      <c r="D96" s="416">
        <v>2</v>
      </c>
      <c r="E96" s="18">
        <v>0.33333333333333331</v>
      </c>
      <c r="F96" s="416">
        <v>1</v>
      </c>
      <c r="G96" s="18">
        <v>0.16666666666666666</v>
      </c>
      <c r="H96" s="416">
        <v>2</v>
      </c>
      <c r="I96" s="18">
        <v>0.33333333333333331</v>
      </c>
    </row>
    <row r="97" spans="1:9">
      <c r="A97" s="284">
        <v>46048</v>
      </c>
      <c r="B97" s="416">
        <v>2</v>
      </c>
      <c r="C97" s="18">
        <v>0.2857142857142857</v>
      </c>
      <c r="D97" s="416">
        <v>2</v>
      </c>
      <c r="E97" s="18">
        <v>0.2857142857142857</v>
      </c>
      <c r="F97" s="416">
        <v>2</v>
      </c>
      <c r="G97" s="18">
        <v>0.2857142857142857</v>
      </c>
      <c r="H97" s="416">
        <v>5</v>
      </c>
      <c r="I97" s="18">
        <v>0.7142857142857143</v>
      </c>
    </row>
    <row r="98" spans="1:9">
      <c r="A98" s="284">
        <v>46049</v>
      </c>
      <c r="B98" s="416">
        <v>1</v>
      </c>
      <c r="C98" s="18">
        <v>0.14285714285714285</v>
      </c>
      <c r="D98" s="416">
        <v>2</v>
      </c>
      <c r="E98" s="18">
        <v>0.2857142857142857</v>
      </c>
      <c r="F98" s="416">
        <v>1</v>
      </c>
      <c r="G98" s="18">
        <v>0.14285714285714285</v>
      </c>
      <c r="H98" s="416">
        <v>4</v>
      </c>
      <c r="I98" s="18">
        <v>0.5714285714285714</v>
      </c>
    </row>
    <row r="99" spans="1:9">
      <c r="A99" s="284">
        <v>46050</v>
      </c>
      <c r="B99" s="416">
        <v>5</v>
      </c>
      <c r="C99" s="18">
        <v>0.55555555555555558</v>
      </c>
      <c r="D99" s="416">
        <v>3</v>
      </c>
      <c r="E99" s="18">
        <v>0.33333333333333331</v>
      </c>
      <c r="F99" s="416">
        <v>2</v>
      </c>
      <c r="G99" s="18">
        <v>0.22222222222222221</v>
      </c>
      <c r="H99" s="416">
        <v>4</v>
      </c>
      <c r="I99" s="18">
        <v>0.44444444444444442</v>
      </c>
    </row>
    <row r="100" spans="1:9">
      <c r="A100" s="284">
        <v>46051</v>
      </c>
      <c r="B100" s="416">
        <v>3</v>
      </c>
      <c r="C100" s="18">
        <v>0.375</v>
      </c>
      <c r="D100" s="416">
        <v>2</v>
      </c>
      <c r="E100" s="18">
        <v>0.25</v>
      </c>
      <c r="F100" s="416">
        <v>2</v>
      </c>
      <c r="G100" s="18">
        <v>0.25</v>
      </c>
      <c r="H100" s="416">
        <v>3</v>
      </c>
      <c r="I100" s="18">
        <v>0.375</v>
      </c>
    </row>
    <row r="101" spans="1:9">
      <c r="A101" s="284">
        <v>46052</v>
      </c>
      <c r="B101" s="416">
        <v>3</v>
      </c>
      <c r="C101" s="18">
        <v>0.33333333333333331</v>
      </c>
      <c r="D101" s="416">
        <v>5</v>
      </c>
      <c r="E101" s="18">
        <v>0.55555555555555558</v>
      </c>
      <c r="F101" s="416">
        <v>5</v>
      </c>
      <c r="G101" s="18">
        <v>0.55555555555555558</v>
      </c>
      <c r="H101" s="416">
        <v>5</v>
      </c>
      <c r="I101" s="18">
        <v>0.55555555555555558</v>
      </c>
    </row>
    <row r="102" spans="1:9">
      <c r="A102" s="284">
        <v>46053</v>
      </c>
      <c r="B102" s="416">
        <v>4</v>
      </c>
      <c r="C102" s="18">
        <v>0.66666666666666663</v>
      </c>
      <c r="D102" s="416">
        <v>2</v>
      </c>
      <c r="E102" s="18">
        <v>0.33333333333333331</v>
      </c>
      <c r="F102" s="416">
        <v>4</v>
      </c>
      <c r="G102" s="18">
        <v>0.66666666666666663</v>
      </c>
      <c r="H102" s="416">
        <v>4</v>
      </c>
      <c r="I102" s="18">
        <v>0.66666666666666663</v>
      </c>
    </row>
    <row r="103" spans="1:9">
      <c r="A103" s="284">
        <v>46054</v>
      </c>
      <c r="B103" s="416">
        <v>3</v>
      </c>
      <c r="C103" s="18">
        <v>0.3</v>
      </c>
      <c r="D103" s="416">
        <v>2</v>
      </c>
      <c r="E103" s="18">
        <v>0.2</v>
      </c>
      <c r="F103" s="416">
        <v>2</v>
      </c>
      <c r="G103" s="18">
        <v>0.2</v>
      </c>
      <c r="H103" s="416">
        <v>7</v>
      </c>
      <c r="I103" s="18">
        <v>0.7</v>
      </c>
    </row>
    <row r="104" spans="1:9">
      <c r="A104" s="284">
        <v>46055</v>
      </c>
      <c r="B104" s="416">
        <v>2</v>
      </c>
      <c r="C104" s="18">
        <v>0.5</v>
      </c>
      <c r="D104" s="416">
        <v>2</v>
      </c>
      <c r="E104" s="18">
        <v>0.5</v>
      </c>
      <c r="F104" s="416">
        <v>3</v>
      </c>
      <c r="G104" s="18">
        <v>0.75</v>
      </c>
      <c r="H104" s="416">
        <v>2</v>
      </c>
      <c r="I104" s="18">
        <v>0.5</v>
      </c>
    </row>
    <row r="105" spans="1:9">
      <c r="A105" s="284">
        <v>46056</v>
      </c>
      <c r="B105" s="416">
        <v>7</v>
      </c>
      <c r="C105" s="18">
        <v>0.7</v>
      </c>
      <c r="D105" s="416">
        <v>5</v>
      </c>
      <c r="E105" s="18">
        <v>0.5</v>
      </c>
      <c r="F105" s="416">
        <v>6</v>
      </c>
      <c r="G105" s="18">
        <v>0.6</v>
      </c>
      <c r="H105" s="416">
        <v>7</v>
      </c>
      <c r="I105" s="18">
        <v>0.7</v>
      </c>
    </row>
    <row r="106" spans="1:9">
      <c r="A106" s="284">
        <v>46057</v>
      </c>
      <c r="B106" s="416">
        <v>6</v>
      </c>
      <c r="C106" s="18">
        <v>0.8571428571428571</v>
      </c>
      <c r="D106" s="416">
        <v>5</v>
      </c>
      <c r="E106" s="18">
        <v>0.7142857142857143</v>
      </c>
      <c r="F106" s="416">
        <v>4</v>
      </c>
      <c r="G106" s="18">
        <v>0.5714285714285714</v>
      </c>
      <c r="H106" s="416">
        <v>3</v>
      </c>
      <c r="I106" s="18">
        <v>0.42857142857142855</v>
      </c>
    </row>
    <row r="107" spans="1:9">
      <c r="A107" s="284">
        <v>46058</v>
      </c>
      <c r="B107" s="416">
        <v>5</v>
      </c>
      <c r="C107" s="18">
        <v>0.625</v>
      </c>
      <c r="D107" s="416">
        <v>5</v>
      </c>
      <c r="E107" s="18">
        <v>0.625</v>
      </c>
      <c r="F107" s="416">
        <v>6</v>
      </c>
      <c r="G107" s="18">
        <v>0.75</v>
      </c>
      <c r="H107" s="416">
        <v>4</v>
      </c>
      <c r="I107" s="18">
        <v>0.5</v>
      </c>
    </row>
    <row r="108" spans="1:9">
      <c r="A108" s="284">
        <v>46059</v>
      </c>
      <c r="B108" s="416">
        <v>1</v>
      </c>
      <c r="C108" s="18">
        <v>0.16666666666666666</v>
      </c>
      <c r="D108" s="416">
        <v>2</v>
      </c>
      <c r="E108" s="18">
        <v>0.33333333333333331</v>
      </c>
      <c r="F108" s="416">
        <v>2</v>
      </c>
      <c r="G108" s="18">
        <v>0.33333333333333331</v>
      </c>
      <c r="H108" s="416">
        <v>4</v>
      </c>
      <c r="I108" s="18">
        <v>0.66666666666666663</v>
      </c>
    </row>
    <row r="109" spans="1:9">
      <c r="A109" s="284">
        <v>46060</v>
      </c>
      <c r="B109" s="416">
        <v>7</v>
      </c>
      <c r="C109" s="18">
        <v>0.7</v>
      </c>
      <c r="D109" s="416">
        <v>6</v>
      </c>
      <c r="E109" s="18">
        <v>0.6</v>
      </c>
      <c r="F109" s="416">
        <v>7</v>
      </c>
      <c r="G109" s="18">
        <v>0.7</v>
      </c>
      <c r="H109" s="416">
        <v>7</v>
      </c>
      <c r="I109" s="18">
        <v>0.7</v>
      </c>
    </row>
    <row r="110" spans="1:9">
      <c r="A110" s="284">
        <v>46061</v>
      </c>
      <c r="B110" s="416">
        <v>3</v>
      </c>
      <c r="C110" s="18">
        <v>0.75</v>
      </c>
      <c r="D110" s="416">
        <v>1</v>
      </c>
      <c r="E110" s="18">
        <v>0.25</v>
      </c>
      <c r="F110" s="416">
        <v>1</v>
      </c>
      <c r="G110" s="18">
        <v>0.25</v>
      </c>
      <c r="H110" s="416">
        <v>2</v>
      </c>
      <c r="I110" s="18">
        <v>0.5</v>
      </c>
    </row>
    <row r="111" spans="1:9">
      <c r="A111" s="284">
        <v>46062</v>
      </c>
      <c r="B111" s="416">
        <v>4</v>
      </c>
      <c r="C111" s="18">
        <v>0.4</v>
      </c>
      <c r="D111" s="416">
        <v>5</v>
      </c>
      <c r="E111" s="18">
        <v>0.5</v>
      </c>
      <c r="F111" s="416">
        <v>4</v>
      </c>
      <c r="G111" s="18">
        <v>0.4</v>
      </c>
      <c r="H111" s="416">
        <v>7</v>
      </c>
      <c r="I111" s="18">
        <v>0.7</v>
      </c>
    </row>
    <row r="112" spans="1:9">
      <c r="A112" s="284">
        <v>46063</v>
      </c>
      <c r="B112" s="416">
        <v>3</v>
      </c>
      <c r="C112" s="18">
        <v>0.75</v>
      </c>
      <c r="D112" s="416">
        <v>2</v>
      </c>
      <c r="E112" s="18">
        <v>0.5</v>
      </c>
      <c r="F112" s="416">
        <v>3</v>
      </c>
      <c r="G112" s="18">
        <v>0.75</v>
      </c>
      <c r="H112" s="416">
        <v>2</v>
      </c>
      <c r="I112" s="18">
        <v>0.5</v>
      </c>
    </row>
    <row r="113" spans="1:9">
      <c r="A113" s="284">
        <v>46064</v>
      </c>
      <c r="B113" s="416">
        <v>9</v>
      </c>
      <c r="C113" s="18">
        <v>0.6428571428571429</v>
      </c>
      <c r="D113" s="416">
        <v>5</v>
      </c>
      <c r="E113" s="18">
        <v>0.35714285714285715</v>
      </c>
      <c r="F113" s="416">
        <v>8</v>
      </c>
      <c r="G113" s="18">
        <v>0.5714285714285714</v>
      </c>
      <c r="H113" s="416">
        <v>6</v>
      </c>
      <c r="I113" s="18">
        <v>0.42857142857142855</v>
      </c>
    </row>
    <row r="114" spans="1:9">
      <c r="A114" s="284">
        <v>46065</v>
      </c>
      <c r="B114" s="416">
        <v>1</v>
      </c>
      <c r="C114" s="18">
        <v>0.33333333333333331</v>
      </c>
      <c r="D114" s="416">
        <v>2</v>
      </c>
      <c r="E114" s="18">
        <v>0.66666666666666663</v>
      </c>
      <c r="F114" s="416">
        <v>1</v>
      </c>
      <c r="G114" s="18">
        <v>0.33333333333333331</v>
      </c>
      <c r="H114" s="416">
        <v>1</v>
      </c>
      <c r="I114" s="18">
        <v>0.33333333333333331</v>
      </c>
    </row>
    <row r="115" spans="1:9">
      <c r="A115" s="284">
        <v>46072</v>
      </c>
      <c r="B115" s="416">
        <v>4</v>
      </c>
      <c r="C115" s="18">
        <v>0.4</v>
      </c>
      <c r="D115" s="416">
        <v>2</v>
      </c>
      <c r="E115" s="18">
        <v>0.2</v>
      </c>
      <c r="F115" s="416">
        <v>2</v>
      </c>
      <c r="G115" s="18">
        <v>0.2</v>
      </c>
      <c r="H115" s="416">
        <v>5</v>
      </c>
      <c r="I115" s="18">
        <v>0.5</v>
      </c>
    </row>
    <row r="116" spans="1:9">
      <c r="A116" s="284">
        <v>46073</v>
      </c>
      <c r="B116" s="416">
        <v>6</v>
      </c>
      <c r="C116" s="18">
        <v>0.66666666666666663</v>
      </c>
      <c r="D116" s="416">
        <v>6</v>
      </c>
      <c r="E116" s="18">
        <v>0.66666666666666663</v>
      </c>
      <c r="F116" s="416">
        <v>5</v>
      </c>
      <c r="G116" s="18">
        <v>0.55555555555555558</v>
      </c>
      <c r="H116" s="416">
        <v>8</v>
      </c>
      <c r="I116" s="18">
        <v>0.88888888888888884</v>
      </c>
    </row>
    <row r="117" spans="1:9">
      <c r="A117" s="284">
        <v>46074</v>
      </c>
      <c r="B117" s="416">
        <v>4</v>
      </c>
      <c r="C117" s="18">
        <v>0.66666666666666663</v>
      </c>
      <c r="D117" s="416">
        <v>3</v>
      </c>
      <c r="E117" s="18">
        <v>0.5</v>
      </c>
      <c r="F117" s="416">
        <v>5</v>
      </c>
      <c r="G117" s="18">
        <v>0.83333333333333337</v>
      </c>
      <c r="H117" s="416">
        <v>5</v>
      </c>
      <c r="I117" s="18">
        <v>0.83333333333333337</v>
      </c>
    </row>
    <row r="118" spans="1:9">
      <c r="A118" s="284">
        <v>46075</v>
      </c>
      <c r="B118" s="416">
        <v>7</v>
      </c>
      <c r="C118" s="18">
        <v>0.63636363636363635</v>
      </c>
      <c r="D118" s="416">
        <v>3</v>
      </c>
      <c r="E118" s="18">
        <v>0.27272727272727271</v>
      </c>
      <c r="F118" s="416">
        <v>5</v>
      </c>
      <c r="G118" s="18">
        <v>0.45454545454545453</v>
      </c>
      <c r="H118" s="416">
        <v>3</v>
      </c>
      <c r="I118" s="18">
        <v>0.27272727272727271</v>
      </c>
    </row>
    <row r="119" spans="1:9">
      <c r="A119" s="284">
        <v>46076</v>
      </c>
      <c r="B119" s="416">
        <v>1</v>
      </c>
      <c r="C119" s="18">
        <v>0.33333333333333331</v>
      </c>
      <c r="D119" s="416">
        <v>1</v>
      </c>
      <c r="E119" s="18">
        <v>0.33333333333333331</v>
      </c>
      <c r="F119" s="416">
        <v>2</v>
      </c>
      <c r="G119" s="18">
        <v>0.66666666666666663</v>
      </c>
      <c r="H119" s="416">
        <v>2</v>
      </c>
      <c r="I119" s="18">
        <v>0.66666666666666663</v>
      </c>
    </row>
    <row r="120" spans="1:9">
      <c r="A120" s="284">
        <v>46077</v>
      </c>
      <c r="B120" s="416">
        <v>7</v>
      </c>
      <c r="C120" s="18">
        <v>0.63636363636363635</v>
      </c>
      <c r="D120" s="416">
        <v>3</v>
      </c>
      <c r="E120" s="18">
        <v>0.27272727272727271</v>
      </c>
      <c r="F120" s="416">
        <v>4</v>
      </c>
      <c r="G120" s="18">
        <v>0.36363636363636365</v>
      </c>
      <c r="H120" s="416">
        <v>6</v>
      </c>
      <c r="I120" s="18">
        <v>0.54545454545454541</v>
      </c>
    </row>
    <row r="121" spans="1:9">
      <c r="A121" s="284">
        <v>46078</v>
      </c>
      <c r="B121" s="416">
        <v>3</v>
      </c>
      <c r="C121" s="18">
        <v>0.5</v>
      </c>
      <c r="D121" s="416">
        <v>2</v>
      </c>
      <c r="E121" s="18">
        <v>0.33333333333333331</v>
      </c>
      <c r="F121" s="416">
        <v>3</v>
      </c>
      <c r="G121" s="18">
        <v>0.5</v>
      </c>
      <c r="H121" s="416">
        <v>4</v>
      </c>
      <c r="I121" s="18">
        <v>0.66666666666666663</v>
      </c>
    </row>
    <row r="122" spans="1:9">
      <c r="A122" s="284">
        <v>46079</v>
      </c>
      <c r="B122" s="416">
        <v>6</v>
      </c>
      <c r="C122" s="18">
        <v>0.6</v>
      </c>
      <c r="D122" s="416">
        <v>3</v>
      </c>
      <c r="E122" s="18">
        <v>0.3</v>
      </c>
      <c r="F122" s="416">
        <v>5</v>
      </c>
      <c r="G122" s="18">
        <v>0.5</v>
      </c>
      <c r="H122" s="416">
        <v>6</v>
      </c>
      <c r="I122" s="18">
        <v>0.6</v>
      </c>
    </row>
    <row r="123" spans="1:9">
      <c r="A123" s="284">
        <v>46080</v>
      </c>
      <c r="B123" s="416">
        <v>5</v>
      </c>
      <c r="C123" s="18">
        <v>1</v>
      </c>
      <c r="D123" s="416">
        <v>3</v>
      </c>
      <c r="E123" s="18">
        <v>0.6</v>
      </c>
      <c r="F123" s="416">
        <v>3</v>
      </c>
      <c r="G123" s="18">
        <v>0.6</v>
      </c>
      <c r="H123" s="416">
        <v>2</v>
      </c>
      <c r="I123" s="18">
        <v>0.4</v>
      </c>
    </row>
    <row r="124" spans="1:9">
      <c r="A124" s="284">
        <v>46081</v>
      </c>
      <c r="B124" s="416">
        <v>2</v>
      </c>
      <c r="C124" s="18">
        <v>0.4</v>
      </c>
      <c r="D124" s="416">
        <v>2</v>
      </c>
      <c r="E124" s="18">
        <v>0.4</v>
      </c>
      <c r="F124" s="416">
        <v>1</v>
      </c>
      <c r="G124" s="18">
        <v>0.2</v>
      </c>
      <c r="H124" s="416">
        <v>3</v>
      </c>
      <c r="I124" s="18">
        <v>0.6</v>
      </c>
    </row>
    <row r="125" spans="1:9">
      <c r="A125" s="284">
        <v>46082</v>
      </c>
      <c r="B125" s="416">
        <v>3</v>
      </c>
      <c r="C125" s="18">
        <v>0.27272727272727271</v>
      </c>
      <c r="D125" s="416">
        <v>4</v>
      </c>
      <c r="E125" s="18">
        <v>0.36363636363636365</v>
      </c>
      <c r="F125" s="416">
        <v>3</v>
      </c>
      <c r="G125" s="18">
        <v>0.27272727272727271</v>
      </c>
      <c r="H125" s="416">
        <v>8</v>
      </c>
      <c r="I125" s="18">
        <v>0.72727272727272729</v>
      </c>
    </row>
    <row r="126" spans="1:9">
      <c r="A126" s="284">
        <v>46083</v>
      </c>
      <c r="B126" s="416">
        <v>3</v>
      </c>
      <c r="C126" s="18">
        <v>0.75</v>
      </c>
      <c r="D126" s="416">
        <v>2</v>
      </c>
      <c r="E126" s="18">
        <v>0.5</v>
      </c>
      <c r="F126" s="416">
        <v>2</v>
      </c>
      <c r="G126" s="18">
        <v>0.5</v>
      </c>
      <c r="H126" s="416">
        <v>3</v>
      </c>
      <c r="I126" s="18">
        <v>0.75</v>
      </c>
    </row>
    <row r="127" spans="1:9">
      <c r="A127" s="284">
        <v>46084</v>
      </c>
      <c r="B127" s="416">
        <v>2</v>
      </c>
      <c r="C127" s="18">
        <v>0.2</v>
      </c>
      <c r="D127" s="416">
        <v>3</v>
      </c>
      <c r="E127" s="18">
        <v>0.3</v>
      </c>
      <c r="F127" s="416">
        <v>2</v>
      </c>
      <c r="G127" s="18">
        <v>0.2</v>
      </c>
      <c r="H127" s="416">
        <v>9</v>
      </c>
      <c r="I127" s="18">
        <v>0.9</v>
      </c>
    </row>
    <row r="128" spans="1:9">
      <c r="A128" s="284">
        <v>46085</v>
      </c>
      <c r="B128" s="416">
        <v>3</v>
      </c>
      <c r="C128" s="18">
        <v>0.5</v>
      </c>
      <c r="D128" s="416">
        <v>1</v>
      </c>
      <c r="E128" s="18">
        <v>0.16666666666666666</v>
      </c>
      <c r="F128" s="416">
        <v>3</v>
      </c>
      <c r="G128" s="18">
        <v>0.5</v>
      </c>
      <c r="H128" s="416">
        <v>2</v>
      </c>
      <c r="I128" s="18">
        <v>0.33333333333333331</v>
      </c>
    </row>
    <row r="129" spans="1:9">
      <c r="A129" s="284">
        <v>46086</v>
      </c>
      <c r="B129" s="416">
        <v>5</v>
      </c>
      <c r="C129" s="18">
        <v>0.55555555555555558</v>
      </c>
      <c r="D129" s="416">
        <v>4</v>
      </c>
      <c r="E129" s="18">
        <v>0.44444444444444442</v>
      </c>
      <c r="F129" s="416">
        <v>4</v>
      </c>
      <c r="G129" s="18">
        <v>0.44444444444444442</v>
      </c>
      <c r="H129" s="416">
        <v>6</v>
      </c>
      <c r="I129" s="18">
        <v>0.66666666666666663</v>
      </c>
    </row>
    <row r="130" spans="1:9">
      <c r="A130" s="284">
        <v>46087</v>
      </c>
      <c r="B130" s="416">
        <v>4</v>
      </c>
      <c r="C130" s="18">
        <v>0.5714285714285714</v>
      </c>
      <c r="D130" s="416">
        <v>4</v>
      </c>
      <c r="E130" s="18">
        <v>0.5714285714285714</v>
      </c>
      <c r="F130" s="416">
        <v>5</v>
      </c>
      <c r="G130" s="18">
        <v>0.7142857142857143</v>
      </c>
      <c r="H130" s="416">
        <v>6</v>
      </c>
      <c r="I130" s="18">
        <v>0.8571428571428571</v>
      </c>
    </row>
    <row r="131" spans="1:9">
      <c r="A131" s="284">
        <v>46088</v>
      </c>
      <c r="B131" s="416">
        <v>2</v>
      </c>
      <c r="C131" s="18">
        <v>0.33333333333333331</v>
      </c>
      <c r="D131" s="416">
        <v>2</v>
      </c>
      <c r="E131" s="18">
        <v>0.33333333333333331</v>
      </c>
      <c r="F131" s="416">
        <v>2</v>
      </c>
      <c r="G131" s="18">
        <v>0.33333333333333331</v>
      </c>
      <c r="H131" s="416">
        <v>4</v>
      </c>
      <c r="I131" s="18">
        <v>0.66666666666666663</v>
      </c>
    </row>
    <row r="132" spans="1:9">
      <c r="A132" s="284">
        <v>46089</v>
      </c>
      <c r="B132" s="416">
        <v>3</v>
      </c>
      <c r="C132" s="18">
        <v>0.3</v>
      </c>
      <c r="D132" s="416">
        <v>6</v>
      </c>
      <c r="E132" s="18">
        <v>0.6</v>
      </c>
      <c r="F132" s="416">
        <v>5</v>
      </c>
      <c r="G132" s="18">
        <v>0.5</v>
      </c>
      <c r="H132" s="416">
        <v>9</v>
      </c>
      <c r="I132" s="18">
        <v>0.9</v>
      </c>
    </row>
    <row r="133" spans="1:9">
      <c r="A133" s="284">
        <v>46090</v>
      </c>
      <c r="B133" s="416">
        <v>2</v>
      </c>
      <c r="C133" s="18">
        <v>0.4</v>
      </c>
      <c r="D133" s="416">
        <v>4</v>
      </c>
      <c r="E133" s="18">
        <v>0.8</v>
      </c>
      <c r="F133" s="416">
        <v>4</v>
      </c>
      <c r="G133" s="18">
        <v>0.8</v>
      </c>
      <c r="H133" s="416">
        <v>4</v>
      </c>
      <c r="I133" s="18">
        <v>0.8</v>
      </c>
    </row>
    <row r="134" spans="1:9">
      <c r="A134" s="284">
        <v>46091</v>
      </c>
      <c r="B134" s="416">
        <v>6</v>
      </c>
      <c r="C134" s="18">
        <v>0.54545454545454541</v>
      </c>
      <c r="D134" s="416">
        <v>6</v>
      </c>
      <c r="E134" s="18">
        <v>0.54545454545454541</v>
      </c>
      <c r="F134" s="416">
        <v>6</v>
      </c>
      <c r="G134" s="18">
        <v>0.54545454545454541</v>
      </c>
      <c r="H134" s="416">
        <v>9</v>
      </c>
      <c r="I134" s="18">
        <v>0.81818181818181823</v>
      </c>
    </row>
    <row r="135" spans="1:9">
      <c r="A135" s="284">
        <v>46092</v>
      </c>
      <c r="B135" s="416">
        <v>3</v>
      </c>
      <c r="C135" s="18">
        <v>0.5</v>
      </c>
      <c r="D135" s="416">
        <v>5</v>
      </c>
      <c r="E135" s="18">
        <v>0.83333333333333337</v>
      </c>
      <c r="F135" s="416">
        <v>4</v>
      </c>
      <c r="G135" s="18">
        <v>0.66666666666666663</v>
      </c>
      <c r="H135" s="416">
        <v>5</v>
      </c>
      <c r="I135" s="18">
        <v>0.83333333333333337</v>
      </c>
    </row>
    <row r="136" spans="1:9">
      <c r="A136" s="284">
        <v>46093</v>
      </c>
      <c r="B136" s="416">
        <v>5</v>
      </c>
      <c r="C136" s="18">
        <v>0.55555555555555558</v>
      </c>
      <c r="D136" s="416">
        <v>4</v>
      </c>
      <c r="E136" s="18">
        <v>0.44444444444444442</v>
      </c>
      <c r="F136" s="416">
        <v>6</v>
      </c>
      <c r="G136" s="18">
        <v>0.66666666666666663</v>
      </c>
      <c r="H136" s="416">
        <v>7</v>
      </c>
      <c r="I136" s="18">
        <v>0.77777777777777779</v>
      </c>
    </row>
    <row r="137" spans="1:9">
      <c r="A137" s="284">
        <v>46094</v>
      </c>
      <c r="B137" s="416">
        <v>3</v>
      </c>
      <c r="C137" s="18">
        <v>0.375</v>
      </c>
      <c r="D137" s="416">
        <v>4</v>
      </c>
      <c r="E137" s="18">
        <v>0.5</v>
      </c>
      <c r="F137" s="416">
        <v>5</v>
      </c>
      <c r="G137" s="18">
        <v>0.625</v>
      </c>
      <c r="H137" s="416">
        <v>5</v>
      </c>
      <c r="I137" s="18">
        <v>0.625</v>
      </c>
    </row>
    <row r="138" spans="1:9">
      <c r="A138" s="284">
        <v>46095</v>
      </c>
      <c r="B138" s="416">
        <v>3</v>
      </c>
      <c r="C138" s="18">
        <v>0.42857142857142855</v>
      </c>
      <c r="D138" s="416">
        <v>3</v>
      </c>
      <c r="E138" s="18">
        <v>0.42857142857142855</v>
      </c>
      <c r="F138" s="416">
        <v>2</v>
      </c>
      <c r="G138" s="18">
        <v>0.2857142857142857</v>
      </c>
      <c r="H138" s="416">
        <v>4</v>
      </c>
      <c r="I138" s="18">
        <v>0.5714285714285714</v>
      </c>
    </row>
    <row r="139" spans="1:9">
      <c r="A139" s="284">
        <v>46096</v>
      </c>
      <c r="B139" s="416">
        <v>2</v>
      </c>
      <c r="C139" s="18">
        <v>0.2857142857142857</v>
      </c>
      <c r="D139" s="416">
        <v>3</v>
      </c>
      <c r="E139" s="18">
        <v>0.42857142857142855</v>
      </c>
      <c r="F139" s="416">
        <v>3</v>
      </c>
      <c r="G139" s="18">
        <v>0.42857142857142855</v>
      </c>
      <c r="H139" s="416">
        <v>4</v>
      </c>
      <c r="I139" s="18">
        <v>0.5714285714285714</v>
      </c>
    </row>
    <row r="140" spans="1:9">
      <c r="A140" s="284">
        <v>46097</v>
      </c>
      <c r="B140" s="416">
        <v>4</v>
      </c>
      <c r="C140" s="18">
        <v>0.5</v>
      </c>
      <c r="D140" s="416">
        <v>5</v>
      </c>
      <c r="E140" s="18">
        <v>0.625</v>
      </c>
      <c r="F140" s="416">
        <v>4</v>
      </c>
      <c r="G140" s="18">
        <v>0.5</v>
      </c>
      <c r="H140" s="416">
        <v>5</v>
      </c>
      <c r="I140" s="18">
        <v>0.625</v>
      </c>
    </row>
    <row r="141" spans="1:9">
      <c r="A141" s="284">
        <v>46098</v>
      </c>
      <c r="B141" s="416">
        <v>3</v>
      </c>
      <c r="C141" s="18">
        <v>0.375</v>
      </c>
      <c r="D141" s="416">
        <v>6</v>
      </c>
      <c r="E141" s="18">
        <v>0.75</v>
      </c>
      <c r="F141" s="416">
        <v>4</v>
      </c>
      <c r="G141" s="18">
        <v>0.5</v>
      </c>
      <c r="H141" s="416">
        <v>6</v>
      </c>
      <c r="I141" s="18">
        <v>0.75</v>
      </c>
    </row>
    <row r="142" spans="1:9">
      <c r="A142" s="284">
        <v>46099</v>
      </c>
      <c r="B142" s="416">
        <v>6</v>
      </c>
      <c r="C142" s="18">
        <v>0.66666666666666663</v>
      </c>
      <c r="D142" s="416">
        <v>6</v>
      </c>
      <c r="E142" s="18">
        <v>0.66666666666666663</v>
      </c>
      <c r="F142" s="416">
        <v>6</v>
      </c>
      <c r="G142" s="18">
        <v>0.66666666666666663</v>
      </c>
      <c r="H142" s="416">
        <v>3</v>
      </c>
      <c r="I142" s="18">
        <v>0.33333333333333331</v>
      </c>
    </row>
    <row r="143" spans="1:9">
      <c r="A143" s="284">
        <v>46100</v>
      </c>
      <c r="B143" s="416">
        <v>3</v>
      </c>
      <c r="C143" s="18">
        <v>0.375</v>
      </c>
      <c r="D143" s="416">
        <v>4</v>
      </c>
      <c r="E143" s="18">
        <v>0.5</v>
      </c>
      <c r="F143" s="416">
        <v>3</v>
      </c>
      <c r="G143" s="18">
        <v>0.375</v>
      </c>
      <c r="H143" s="416">
        <v>5</v>
      </c>
      <c r="I143" s="18">
        <v>0.625</v>
      </c>
    </row>
    <row r="144" spans="1:9">
      <c r="A144" s="284">
        <v>46101</v>
      </c>
      <c r="B144" s="416">
        <v>2</v>
      </c>
      <c r="C144" s="18">
        <v>0.33333333333333331</v>
      </c>
      <c r="D144" s="416">
        <v>2</v>
      </c>
      <c r="E144" s="18">
        <v>0.33333333333333331</v>
      </c>
      <c r="F144" s="416">
        <v>2</v>
      </c>
      <c r="G144" s="18">
        <v>0.33333333333333331</v>
      </c>
      <c r="H144" s="416">
        <v>5</v>
      </c>
      <c r="I144" s="18">
        <v>0.83333333333333337</v>
      </c>
    </row>
    <row r="145" spans="1:9">
      <c r="A145" s="284">
        <v>46102</v>
      </c>
      <c r="B145" s="416">
        <v>5</v>
      </c>
      <c r="C145" s="18">
        <v>0.5</v>
      </c>
      <c r="D145" s="416">
        <v>5</v>
      </c>
      <c r="E145" s="18">
        <v>0.5</v>
      </c>
      <c r="F145" s="416">
        <v>5</v>
      </c>
      <c r="G145" s="18">
        <v>0.5</v>
      </c>
      <c r="H145" s="416">
        <v>6</v>
      </c>
      <c r="I145" s="18">
        <v>0.6</v>
      </c>
    </row>
    <row r="146" spans="1:9">
      <c r="A146" s="284">
        <v>46103</v>
      </c>
      <c r="B146" s="416">
        <v>3</v>
      </c>
      <c r="C146" s="18">
        <v>0.6</v>
      </c>
      <c r="D146" s="416">
        <v>4</v>
      </c>
      <c r="E146" s="18">
        <v>0.8</v>
      </c>
      <c r="F146" s="416">
        <v>3</v>
      </c>
      <c r="G146" s="18">
        <v>0.6</v>
      </c>
      <c r="H146" s="416">
        <v>3</v>
      </c>
      <c r="I146" s="18">
        <v>0.6</v>
      </c>
    </row>
    <row r="147" spans="1:9">
      <c r="A147" s="284">
        <v>46104</v>
      </c>
      <c r="B147" s="416">
        <v>6</v>
      </c>
      <c r="C147" s="18">
        <v>0.6</v>
      </c>
      <c r="D147" s="416">
        <v>7</v>
      </c>
      <c r="E147" s="18">
        <v>0.7</v>
      </c>
      <c r="F147" s="416">
        <v>8</v>
      </c>
      <c r="G147" s="18">
        <v>0.8</v>
      </c>
      <c r="H147" s="416">
        <v>4</v>
      </c>
      <c r="I147" s="18">
        <v>0.4</v>
      </c>
    </row>
    <row r="148" spans="1:9">
      <c r="A148" s="284">
        <v>46105</v>
      </c>
      <c r="B148" s="416">
        <v>3</v>
      </c>
      <c r="C148" s="18">
        <v>0.75</v>
      </c>
      <c r="D148" s="416">
        <v>4</v>
      </c>
      <c r="E148" s="18">
        <v>1</v>
      </c>
      <c r="F148" s="416">
        <v>3</v>
      </c>
      <c r="G148" s="18">
        <v>0.75</v>
      </c>
      <c r="H148" s="416">
        <v>4</v>
      </c>
      <c r="I148" s="18">
        <v>1</v>
      </c>
    </row>
    <row r="149" spans="1:9">
      <c r="A149" s="284">
        <v>46106</v>
      </c>
      <c r="B149" s="416">
        <v>7</v>
      </c>
      <c r="C149" s="18">
        <v>0.58333333333333337</v>
      </c>
      <c r="D149" s="416">
        <v>7</v>
      </c>
      <c r="E149" s="18">
        <v>0.58333333333333337</v>
      </c>
      <c r="F149" s="416">
        <v>6</v>
      </c>
      <c r="G149" s="18">
        <v>0.5</v>
      </c>
      <c r="H149" s="416">
        <v>9</v>
      </c>
      <c r="I149" s="18">
        <v>0.75</v>
      </c>
    </row>
    <row r="150" spans="1:9">
      <c r="A150" s="284">
        <v>46107</v>
      </c>
      <c r="B150" s="416">
        <v>1</v>
      </c>
      <c r="C150" s="18">
        <v>0.33333333333333331</v>
      </c>
      <c r="D150" s="416">
        <v>3</v>
      </c>
      <c r="E150" s="18">
        <v>1</v>
      </c>
      <c r="F150" s="416">
        <v>2</v>
      </c>
      <c r="G150" s="18">
        <v>0.66666666666666663</v>
      </c>
      <c r="H150" s="416">
        <v>1</v>
      </c>
      <c r="I150" s="18">
        <v>0.33333333333333331</v>
      </c>
    </row>
    <row r="151" spans="1:9">
      <c r="A151" s="284">
        <v>46108</v>
      </c>
      <c r="B151" s="416">
        <v>5</v>
      </c>
      <c r="C151" s="18">
        <v>0.5</v>
      </c>
      <c r="D151" s="416">
        <v>4</v>
      </c>
      <c r="E151" s="18">
        <v>0.4</v>
      </c>
      <c r="F151" s="416">
        <v>5</v>
      </c>
      <c r="G151" s="18">
        <v>0.5</v>
      </c>
      <c r="H151" s="416">
        <v>7</v>
      </c>
      <c r="I151" s="18">
        <v>0.7</v>
      </c>
    </row>
    <row r="152" spans="1:9">
      <c r="A152" s="284">
        <v>46109</v>
      </c>
      <c r="B152" s="416">
        <v>2</v>
      </c>
      <c r="C152" s="18">
        <v>0.33333333333333331</v>
      </c>
      <c r="D152" s="416">
        <v>3</v>
      </c>
      <c r="E152" s="18">
        <v>0.5</v>
      </c>
      <c r="F152" s="416">
        <v>3</v>
      </c>
      <c r="G152" s="18">
        <v>0.5</v>
      </c>
      <c r="H152" s="416">
        <v>4</v>
      </c>
      <c r="I152" s="18">
        <v>0.66666666666666663</v>
      </c>
    </row>
    <row r="153" spans="1:9">
      <c r="A153" s="284">
        <v>46110</v>
      </c>
      <c r="B153" s="416">
        <v>3</v>
      </c>
      <c r="C153" s="18">
        <v>0.33333333333333331</v>
      </c>
      <c r="D153" s="416">
        <v>5</v>
      </c>
      <c r="E153" s="18">
        <v>0.55555555555555558</v>
      </c>
      <c r="F153" s="416">
        <v>4</v>
      </c>
      <c r="G153" s="18">
        <v>0.44444444444444442</v>
      </c>
      <c r="H153" s="416">
        <v>8</v>
      </c>
      <c r="I153" s="18">
        <v>0.88888888888888884</v>
      </c>
    </row>
    <row r="154" spans="1:9">
      <c r="A154" s="284">
        <v>46111</v>
      </c>
      <c r="B154" s="416">
        <v>3</v>
      </c>
      <c r="C154" s="18">
        <v>0.375</v>
      </c>
      <c r="D154" s="416">
        <v>3</v>
      </c>
      <c r="E154" s="18">
        <v>0.375</v>
      </c>
      <c r="F154" s="416">
        <v>3</v>
      </c>
      <c r="G154" s="18">
        <v>0.375</v>
      </c>
      <c r="H154" s="416">
        <v>4</v>
      </c>
      <c r="I154" s="18">
        <v>0.5</v>
      </c>
    </row>
    <row r="155" spans="1:9">
      <c r="A155" s="284">
        <v>46112</v>
      </c>
      <c r="B155" s="416">
        <v>3</v>
      </c>
      <c r="C155" s="18">
        <v>0.42857142857142855</v>
      </c>
      <c r="D155" s="416">
        <v>5</v>
      </c>
      <c r="E155" s="18">
        <v>0.7142857142857143</v>
      </c>
      <c r="F155" s="416">
        <v>3</v>
      </c>
      <c r="G155" s="18">
        <v>0.42857142857142855</v>
      </c>
      <c r="H155" s="416">
        <v>3</v>
      </c>
      <c r="I155" s="18">
        <v>0.42857142857142855</v>
      </c>
    </row>
    <row r="156" spans="1:9">
      <c r="A156" s="284">
        <v>46113</v>
      </c>
      <c r="B156" s="416">
        <v>9</v>
      </c>
      <c r="C156" s="18">
        <v>1</v>
      </c>
      <c r="D156" s="416">
        <v>4</v>
      </c>
      <c r="E156" s="18">
        <v>0.44444444444444442</v>
      </c>
      <c r="F156" s="416">
        <v>9</v>
      </c>
      <c r="G156" s="18">
        <v>1</v>
      </c>
      <c r="H156" s="416">
        <v>5</v>
      </c>
      <c r="I156" s="18">
        <v>0.55555555555555558</v>
      </c>
    </row>
    <row r="157" spans="1:9">
      <c r="A157" s="284">
        <v>46114</v>
      </c>
      <c r="B157" s="416">
        <v>2</v>
      </c>
      <c r="C157" s="18">
        <v>0.33333333333333331</v>
      </c>
      <c r="D157" s="416">
        <v>2</v>
      </c>
      <c r="E157" s="18">
        <v>0.33333333333333331</v>
      </c>
      <c r="F157" s="416">
        <v>3</v>
      </c>
      <c r="G157" s="18">
        <v>0.5</v>
      </c>
      <c r="H157" s="416">
        <v>1</v>
      </c>
      <c r="I157" s="18">
        <v>0.16666666666666666</v>
      </c>
    </row>
    <row r="158" spans="1:9">
      <c r="A158" s="284">
        <v>46115</v>
      </c>
      <c r="B158" s="416">
        <v>4</v>
      </c>
      <c r="C158" s="18">
        <v>0.44444444444444442</v>
      </c>
      <c r="D158" s="416">
        <v>4</v>
      </c>
      <c r="E158" s="18">
        <v>0.44444444444444442</v>
      </c>
      <c r="F158" s="416">
        <v>6</v>
      </c>
      <c r="G158" s="18">
        <v>0.66666666666666663</v>
      </c>
      <c r="H158" s="416">
        <v>6</v>
      </c>
      <c r="I158" s="18">
        <v>0.66666666666666663</v>
      </c>
    </row>
    <row r="159" spans="1:9">
      <c r="A159" s="284">
        <v>46116</v>
      </c>
      <c r="B159" s="416">
        <v>3</v>
      </c>
      <c r="C159" s="18">
        <v>1</v>
      </c>
      <c r="D159" s="416">
        <v>2</v>
      </c>
      <c r="E159" s="18">
        <v>0.66666666666666663</v>
      </c>
      <c r="F159" s="416">
        <v>2</v>
      </c>
      <c r="G159" s="18">
        <v>0.66666666666666663</v>
      </c>
      <c r="H159" s="416">
        <v>3</v>
      </c>
      <c r="I159" s="18">
        <v>1</v>
      </c>
    </row>
    <row r="160" spans="1:9">
      <c r="A160" s="284">
        <v>46117</v>
      </c>
      <c r="B160" s="416">
        <v>8</v>
      </c>
      <c r="C160" s="18">
        <v>0.72727272727272729</v>
      </c>
      <c r="D160" s="416">
        <v>4</v>
      </c>
      <c r="E160" s="18">
        <v>0.36363636363636365</v>
      </c>
      <c r="F160" s="416">
        <v>8</v>
      </c>
      <c r="G160" s="18">
        <v>0.72727272727272729</v>
      </c>
      <c r="H160" s="416">
        <v>7</v>
      </c>
      <c r="I160" s="18">
        <v>0.63636363636363635</v>
      </c>
    </row>
    <row r="161" spans="1:9">
      <c r="A161" s="284">
        <v>46118</v>
      </c>
      <c r="B161" s="416">
        <v>2</v>
      </c>
      <c r="C161" s="18">
        <v>0.4</v>
      </c>
      <c r="D161" s="416">
        <v>3</v>
      </c>
      <c r="E161" s="18">
        <v>0.6</v>
      </c>
      <c r="F161" s="416">
        <v>3</v>
      </c>
      <c r="G161" s="18">
        <v>0.6</v>
      </c>
      <c r="H161" s="416">
        <v>2</v>
      </c>
      <c r="I161" s="18">
        <v>0.4</v>
      </c>
    </row>
    <row r="162" spans="1:9">
      <c r="A162" s="284">
        <v>46119</v>
      </c>
      <c r="B162" s="416">
        <v>5</v>
      </c>
      <c r="C162" s="18">
        <v>0.5</v>
      </c>
      <c r="D162" s="416">
        <v>2</v>
      </c>
      <c r="E162" s="18">
        <v>0.2</v>
      </c>
      <c r="F162" s="416">
        <v>2</v>
      </c>
      <c r="G162" s="18">
        <v>0.2</v>
      </c>
      <c r="H162" s="416">
        <v>9</v>
      </c>
      <c r="I162" s="18">
        <v>0.9</v>
      </c>
    </row>
    <row r="163" spans="1:9">
      <c r="A163" s="284">
        <v>46120</v>
      </c>
      <c r="B163" s="416">
        <v>3</v>
      </c>
      <c r="C163" s="18">
        <v>0.42857142857142855</v>
      </c>
      <c r="D163" s="416">
        <v>4</v>
      </c>
      <c r="E163" s="18">
        <v>0.5714285714285714</v>
      </c>
      <c r="F163" s="416">
        <v>5</v>
      </c>
      <c r="G163" s="18">
        <v>0.7142857142857143</v>
      </c>
      <c r="H163" s="416">
        <v>6</v>
      </c>
      <c r="I163" s="18">
        <v>0.8571428571428571</v>
      </c>
    </row>
    <row r="164" spans="1:9">
      <c r="A164" s="284">
        <v>46121</v>
      </c>
      <c r="B164" s="416">
        <v>4</v>
      </c>
      <c r="C164" s="18">
        <v>0.66666666666666663</v>
      </c>
      <c r="D164" s="416">
        <v>2</v>
      </c>
      <c r="E164" s="18">
        <v>0.33333333333333331</v>
      </c>
      <c r="F164" s="416">
        <v>1</v>
      </c>
      <c r="G164" s="18">
        <v>0.16666666666666666</v>
      </c>
      <c r="H164" s="416">
        <v>2</v>
      </c>
      <c r="I164" s="18">
        <v>0.33333333333333331</v>
      </c>
    </row>
    <row r="165" spans="1:9">
      <c r="A165" s="284">
        <v>46122</v>
      </c>
      <c r="B165" s="416">
        <v>7</v>
      </c>
      <c r="C165" s="18">
        <v>0.46666666666666667</v>
      </c>
      <c r="D165" s="416">
        <v>10</v>
      </c>
      <c r="E165" s="18">
        <v>0.66666666666666663</v>
      </c>
      <c r="F165" s="416">
        <v>9</v>
      </c>
      <c r="G165" s="18">
        <v>0.6</v>
      </c>
      <c r="H165" s="416">
        <v>10</v>
      </c>
      <c r="I165" s="18">
        <v>0.66666666666666663</v>
      </c>
    </row>
    <row r="166" spans="1:9">
      <c r="A166" s="284">
        <v>46124</v>
      </c>
      <c r="B166" s="416">
        <v>7</v>
      </c>
      <c r="C166" s="18">
        <v>0.46666666666666667</v>
      </c>
      <c r="D166" s="416">
        <v>10</v>
      </c>
      <c r="E166" s="18">
        <v>0.66666666666666663</v>
      </c>
      <c r="F166" s="416">
        <v>10</v>
      </c>
      <c r="G166" s="18">
        <v>0.66666666666666663</v>
      </c>
      <c r="H166" s="416">
        <v>11</v>
      </c>
      <c r="I166" s="18">
        <v>0.73333333333333328</v>
      </c>
    </row>
    <row r="167" spans="1:9">
      <c r="A167" s="284">
        <v>46126</v>
      </c>
      <c r="B167" s="416">
        <v>2</v>
      </c>
      <c r="C167" s="18">
        <v>1</v>
      </c>
      <c r="D167" s="416">
        <v>1</v>
      </c>
      <c r="E167" s="18">
        <v>0.5</v>
      </c>
      <c r="F167" s="416">
        <v>1</v>
      </c>
      <c r="G167" s="18">
        <v>0.5</v>
      </c>
      <c r="H167" s="416">
        <v>0</v>
      </c>
      <c r="I167" s="18">
        <v>0</v>
      </c>
    </row>
    <row r="168" spans="1:9">
      <c r="A168" s="284">
        <v>46127</v>
      </c>
      <c r="B168" s="416">
        <v>1</v>
      </c>
      <c r="C168" s="18">
        <v>0.5</v>
      </c>
      <c r="D168" s="416">
        <v>1</v>
      </c>
      <c r="E168" s="18">
        <v>0.5</v>
      </c>
      <c r="F168" s="416">
        <v>1</v>
      </c>
      <c r="G168" s="18">
        <v>0.5</v>
      </c>
      <c r="H168" s="416">
        <v>1</v>
      </c>
      <c r="I168" s="18">
        <v>0.5</v>
      </c>
    </row>
    <row r="169" spans="1:9">
      <c r="A169" s="284">
        <v>46129</v>
      </c>
      <c r="B169" s="416">
        <v>0</v>
      </c>
      <c r="C169" s="18">
        <v>0</v>
      </c>
      <c r="D169" s="416">
        <v>1</v>
      </c>
      <c r="E169" s="18">
        <v>0.5</v>
      </c>
      <c r="F169" s="416">
        <v>0</v>
      </c>
      <c r="G169" s="18">
        <v>0</v>
      </c>
      <c r="H169" s="416">
        <v>2</v>
      </c>
      <c r="I169" s="18">
        <v>1</v>
      </c>
    </row>
    <row r="170" spans="1:9">
      <c r="A170" s="284">
        <v>46130</v>
      </c>
      <c r="B170" s="416">
        <v>1</v>
      </c>
      <c r="C170" s="18">
        <v>0.25</v>
      </c>
      <c r="D170" s="416">
        <v>1</v>
      </c>
      <c r="E170" s="18">
        <v>0.25</v>
      </c>
      <c r="F170" s="416">
        <v>1</v>
      </c>
      <c r="G170" s="18">
        <v>0.25</v>
      </c>
      <c r="H170" s="416">
        <v>4</v>
      </c>
      <c r="I170" s="18">
        <v>1</v>
      </c>
    </row>
    <row r="171" spans="1:9">
      <c r="A171" s="284">
        <v>46131</v>
      </c>
      <c r="B171" s="416">
        <v>1</v>
      </c>
      <c r="C171" s="18">
        <v>0.25</v>
      </c>
      <c r="D171" s="416">
        <v>1</v>
      </c>
      <c r="E171" s="18">
        <v>0.25</v>
      </c>
      <c r="F171" s="416">
        <v>0</v>
      </c>
      <c r="G171" s="18">
        <v>0</v>
      </c>
      <c r="H171" s="416">
        <v>3</v>
      </c>
      <c r="I171" s="18">
        <v>0.75</v>
      </c>
    </row>
    <row r="172" spans="1:9">
      <c r="A172" s="284">
        <v>46132</v>
      </c>
      <c r="B172" s="416">
        <v>1</v>
      </c>
      <c r="C172" s="18">
        <v>0.33333333333333331</v>
      </c>
      <c r="D172" s="416">
        <v>1</v>
      </c>
      <c r="E172" s="18">
        <v>0.33333333333333331</v>
      </c>
      <c r="F172" s="416">
        <v>0</v>
      </c>
      <c r="G172" s="18">
        <v>0</v>
      </c>
      <c r="H172" s="416">
        <v>1</v>
      </c>
      <c r="I172" s="18">
        <v>0.33333333333333331</v>
      </c>
    </row>
    <row r="173" spans="1:9">
      <c r="A173" s="284">
        <v>46133</v>
      </c>
      <c r="B173" s="416">
        <v>1</v>
      </c>
      <c r="C173" s="18">
        <v>0.33333333333333331</v>
      </c>
      <c r="D173" s="416">
        <v>0</v>
      </c>
      <c r="E173" s="18">
        <v>0</v>
      </c>
      <c r="F173" s="416">
        <v>0</v>
      </c>
      <c r="G173" s="18">
        <v>0</v>
      </c>
      <c r="H173" s="416">
        <v>1</v>
      </c>
      <c r="I173" s="18">
        <v>0.33333333333333331</v>
      </c>
    </row>
    <row r="174" spans="1:9">
      <c r="A174" s="284">
        <v>46134</v>
      </c>
      <c r="B174" s="416">
        <v>0</v>
      </c>
      <c r="C174" s="18">
        <v>0</v>
      </c>
      <c r="D174" s="416">
        <v>1</v>
      </c>
      <c r="E174" s="18">
        <v>0.5</v>
      </c>
      <c r="F174" s="416">
        <v>0</v>
      </c>
      <c r="G174" s="18">
        <v>0</v>
      </c>
      <c r="H174" s="416">
        <v>2</v>
      </c>
      <c r="I174" s="18">
        <v>1</v>
      </c>
    </row>
    <row r="175" spans="1:9">
      <c r="A175" s="284">
        <v>46135</v>
      </c>
      <c r="B175" s="416">
        <v>0</v>
      </c>
      <c r="C175" s="18">
        <v>0</v>
      </c>
      <c r="D175" s="416">
        <v>1</v>
      </c>
      <c r="E175" s="18">
        <v>0.33333333333333331</v>
      </c>
      <c r="F175" s="416">
        <v>1</v>
      </c>
      <c r="G175" s="18">
        <v>0.33333333333333331</v>
      </c>
      <c r="H175" s="416">
        <v>1</v>
      </c>
      <c r="I175" s="18">
        <v>0.33333333333333331</v>
      </c>
    </row>
    <row r="176" spans="1:9">
      <c r="A176" s="284">
        <v>46136</v>
      </c>
      <c r="B176" s="416">
        <v>0</v>
      </c>
      <c r="C176" s="18">
        <v>0</v>
      </c>
      <c r="D176" s="416">
        <v>0</v>
      </c>
      <c r="E176" s="18">
        <v>0</v>
      </c>
      <c r="F176" s="416">
        <v>0</v>
      </c>
      <c r="G176" s="18">
        <v>0</v>
      </c>
      <c r="H176" s="416">
        <v>2</v>
      </c>
      <c r="I176" s="18">
        <v>0.66666666666666663</v>
      </c>
    </row>
    <row r="177" spans="1:9">
      <c r="A177" s="284">
        <v>46137</v>
      </c>
      <c r="B177" s="416">
        <v>1</v>
      </c>
      <c r="C177" s="18">
        <v>0.25</v>
      </c>
      <c r="D177" s="416">
        <v>1</v>
      </c>
      <c r="E177" s="18">
        <v>0.25</v>
      </c>
      <c r="F177" s="416">
        <v>1</v>
      </c>
      <c r="G177" s="18">
        <v>0.25</v>
      </c>
      <c r="H177" s="416">
        <v>2</v>
      </c>
      <c r="I177" s="18">
        <v>0.5</v>
      </c>
    </row>
    <row r="178" spans="1:9">
      <c r="A178" s="284">
        <v>46138</v>
      </c>
      <c r="B178" s="416">
        <v>1</v>
      </c>
      <c r="C178" s="18">
        <v>0.25</v>
      </c>
      <c r="D178" s="416">
        <v>0</v>
      </c>
      <c r="E178" s="18">
        <v>0</v>
      </c>
      <c r="F178" s="416">
        <v>1</v>
      </c>
      <c r="G178" s="18">
        <v>0.25</v>
      </c>
      <c r="H178" s="416">
        <v>3</v>
      </c>
      <c r="I178" s="18">
        <v>0.75</v>
      </c>
    </row>
    <row r="179" spans="1:9">
      <c r="A179" s="284">
        <v>46139</v>
      </c>
      <c r="B179" s="416">
        <v>1</v>
      </c>
      <c r="C179" s="18">
        <v>0.33333333333333331</v>
      </c>
      <c r="D179" s="416">
        <v>2</v>
      </c>
      <c r="E179" s="18">
        <v>0.66666666666666663</v>
      </c>
      <c r="F179" s="416">
        <v>2</v>
      </c>
      <c r="G179" s="18">
        <v>0.66666666666666663</v>
      </c>
      <c r="H179" s="416">
        <v>2</v>
      </c>
      <c r="I179" s="18">
        <v>0.66666666666666663</v>
      </c>
    </row>
    <row r="180" spans="1:9">
      <c r="A180" s="284">
        <v>46140</v>
      </c>
      <c r="B180" s="416">
        <v>1</v>
      </c>
      <c r="C180" s="18">
        <v>0.33333333333333331</v>
      </c>
      <c r="D180" s="416">
        <v>1</v>
      </c>
      <c r="E180" s="18">
        <v>0.33333333333333331</v>
      </c>
      <c r="F180" s="416">
        <v>0</v>
      </c>
      <c r="G180" s="18">
        <v>0</v>
      </c>
      <c r="H180" s="416">
        <v>1</v>
      </c>
      <c r="I180" s="18">
        <v>0.33333333333333331</v>
      </c>
    </row>
    <row r="181" spans="1:9">
      <c r="A181" s="284">
        <v>46141</v>
      </c>
      <c r="B181" s="416">
        <v>1</v>
      </c>
      <c r="C181" s="18">
        <v>0.33333333333333331</v>
      </c>
      <c r="D181" s="416">
        <v>2</v>
      </c>
      <c r="E181" s="18">
        <v>0.66666666666666663</v>
      </c>
      <c r="F181" s="416">
        <v>1</v>
      </c>
      <c r="G181" s="18">
        <v>0.33333333333333331</v>
      </c>
      <c r="H181" s="416">
        <v>2</v>
      </c>
      <c r="I181" s="18">
        <v>0.66666666666666663</v>
      </c>
    </row>
    <row r="182" spans="1:9">
      <c r="A182" s="284">
        <v>46142</v>
      </c>
      <c r="B182" s="416">
        <v>1</v>
      </c>
      <c r="C182" s="18">
        <v>0.33333333333333331</v>
      </c>
      <c r="D182" s="416">
        <v>1</v>
      </c>
      <c r="E182" s="18">
        <v>0.33333333333333331</v>
      </c>
      <c r="F182" s="416">
        <v>0</v>
      </c>
      <c r="G182" s="18">
        <v>0</v>
      </c>
      <c r="H182" s="416">
        <v>1</v>
      </c>
      <c r="I182" s="18">
        <v>0.33333333333333331</v>
      </c>
    </row>
    <row r="183" spans="1:9">
      <c r="A183" s="284">
        <v>46143</v>
      </c>
      <c r="B183" s="416">
        <v>0</v>
      </c>
      <c r="C183" s="18">
        <v>0</v>
      </c>
      <c r="D183" s="416">
        <v>0</v>
      </c>
      <c r="E183" s="18">
        <v>0</v>
      </c>
      <c r="F183" s="416">
        <v>0</v>
      </c>
      <c r="G183" s="18">
        <v>0</v>
      </c>
      <c r="H183" s="416">
        <v>3</v>
      </c>
      <c r="I183" s="18">
        <v>1</v>
      </c>
    </row>
    <row r="184" spans="1:9">
      <c r="A184" s="284">
        <v>46144</v>
      </c>
      <c r="B184" s="416">
        <v>1</v>
      </c>
      <c r="C184" s="18">
        <v>1</v>
      </c>
      <c r="D184" s="416">
        <v>0</v>
      </c>
      <c r="E184" s="18">
        <v>0</v>
      </c>
      <c r="F184" s="416">
        <v>0</v>
      </c>
      <c r="G184" s="18">
        <v>0</v>
      </c>
      <c r="H184" s="416">
        <v>0</v>
      </c>
      <c r="I184" s="18">
        <v>0</v>
      </c>
    </row>
    <row r="185" spans="1:9">
      <c r="A185" s="284">
        <v>46145</v>
      </c>
      <c r="B185" s="416">
        <v>0</v>
      </c>
      <c r="C185" s="18">
        <v>0</v>
      </c>
      <c r="D185" s="416">
        <v>1</v>
      </c>
      <c r="E185" s="18">
        <v>0.5</v>
      </c>
      <c r="F185" s="416">
        <v>0</v>
      </c>
      <c r="G185" s="18">
        <v>0</v>
      </c>
      <c r="H185" s="416">
        <v>2</v>
      </c>
      <c r="I185" s="18">
        <v>1</v>
      </c>
    </row>
    <row r="186" spans="1:9">
      <c r="A186" s="284">
        <v>46146</v>
      </c>
      <c r="B186" s="416">
        <v>0</v>
      </c>
      <c r="C186" s="18">
        <v>0</v>
      </c>
      <c r="D186" s="416">
        <v>1</v>
      </c>
      <c r="E186" s="18">
        <v>0.5</v>
      </c>
      <c r="F186" s="416">
        <v>1</v>
      </c>
      <c r="G186" s="18">
        <v>0.5</v>
      </c>
      <c r="H186" s="416">
        <v>0</v>
      </c>
      <c r="I186" s="18">
        <v>0</v>
      </c>
    </row>
    <row r="187" spans="1:9">
      <c r="A187" s="284">
        <v>46147</v>
      </c>
      <c r="B187" s="416">
        <v>0</v>
      </c>
      <c r="C187" s="18">
        <v>0</v>
      </c>
      <c r="D187" s="416">
        <v>0</v>
      </c>
      <c r="E187" s="18">
        <v>0</v>
      </c>
      <c r="F187" s="416">
        <v>0</v>
      </c>
      <c r="G187" s="18">
        <v>0</v>
      </c>
      <c r="H187" s="416">
        <v>1</v>
      </c>
      <c r="I187" s="18">
        <v>0.5</v>
      </c>
    </row>
    <row r="188" spans="1:9">
      <c r="A188" s="284">
        <v>46148</v>
      </c>
      <c r="B188" s="416">
        <v>0</v>
      </c>
      <c r="C188" s="18">
        <v>0</v>
      </c>
      <c r="D188" s="416">
        <v>1</v>
      </c>
      <c r="E188" s="18">
        <v>0.5</v>
      </c>
      <c r="F188" s="416">
        <v>0</v>
      </c>
      <c r="G188" s="18">
        <v>0</v>
      </c>
      <c r="H188" s="416">
        <v>1</v>
      </c>
      <c r="I188" s="18">
        <v>0.5</v>
      </c>
    </row>
    <row r="189" spans="1:9">
      <c r="A189" s="284">
        <v>46149</v>
      </c>
      <c r="B189" s="416">
        <v>0</v>
      </c>
      <c r="C189" s="18">
        <v>0</v>
      </c>
      <c r="D189" s="416">
        <v>1</v>
      </c>
      <c r="E189" s="18">
        <v>0.5</v>
      </c>
      <c r="F189" s="416">
        <v>1</v>
      </c>
      <c r="G189" s="18">
        <v>0.5</v>
      </c>
      <c r="H189" s="416">
        <v>1</v>
      </c>
      <c r="I189" s="18">
        <v>0.5</v>
      </c>
    </row>
    <row r="190" spans="1:9">
      <c r="A190" s="284">
        <v>46150</v>
      </c>
      <c r="B190" s="416">
        <v>0</v>
      </c>
      <c r="C190" s="18">
        <v>0</v>
      </c>
      <c r="D190" s="416">
        <v>0</v>
      </c>
      <c r="E190" s="18">
        <v>0</v>
      </c>
      <c r="F190" s="416">
        <v>0</v>
      </c>
      <c r="G190" s="18">
        <v>0</v>
      </c>
      <c r="H190" s="416">
        <v>1</v>
      </c>
      <c r="I190" s="18">
        <v>0.5</v>
      </c>
    </row>
    <row r="191" spans="1:9">
      <c r="A191" s="284">
        <v>46151</v>
      </c>
      <c r="B191" s="416">
        <v>1</v>
      </c>
      <c r="C191" s="18">
        <v>0.5</v>
      </c>
      <c r="D191" s="416">
        <v>1</v>
      </c>
      <c r="E191" s="18">
        <v>0.5</v>
      </c>
      <c r="F191" s="416">
        <v>1</v>
      </c>
      <c r="G191" s="18">
        <v>0.5</v>
      </c>
      <c r="H191" s="416">
        <v>2</v>
      </c>
      <c r="I191" s="18">
        <v>1</v>
      </c>
    </row>
    <row r="192" spans="1:9">
      <c r="A192" s="284">
        <v>46152</v>
      </c>
      <c r="B192" s="416">
        <v>1</v>
      </c>
      <c r="C192" s="18">
        <v>0.5</v>
      </c>
      <c r="D192" s="416">
        <v>1</v>
      </c>
      <c r="E192" s="18">
        <v>0.5</v>
      </c>
      <c r="F192" s="416">
        <v>1</v>
      </c>
      <c r="G192" s="18">
        <v>0.5</v>
      </c>
      <c r="H192" s="416">
        <v>1</v>
      </c>
      <c r="I192" s="18">
        <v>0.5</v>
      </c>
    </row>
    <row r="193" spans="1:9">
      <c r="A193" s="284">
        <v>46153</v>
      </c>
      <c r="B193" s="416">
        <v>0</v>
      </c>
      <c r="C193" s="18">
        <v>0</v>
      </c>
      <c r="D193" s="416">
        <v>1</v>
      </c>
      <c r="E193" s="18">
        <v>0.5</v>
      </c>
      <c r="F193" s="416">
        <v>0</v>
      </c>
      <c r="G193" s="18">
        <v>0</v>
      </c>
      <c r="H193" s="416">
        <v>1</v>
      </c>
      <c r="I193" s="18">
        <v>0.5</v>
      </c>
    </row>
    <row r="194" spans="1:9">
      <c r="A194" s="284">
        <v>46154</v>
      </c>
      <c r="B194" s="416">
        <v>0</v>
      </c>
      <c r="C194" s="18">
        <v>0</v>
      </c>
      <c r="D194" s="416">
        <v>1</v>
      </c>
      <c r="E194" s="18">
        <v>1</v>
      </c>
      <c r="F194" s="416">
        <v>0</v>
      </c>
      <c r="G194" s="18">
        <v>0</v>
      </c>
      <c r="H194" s="416">
        <v>1</v>
      </c>
      <c r="I194" s="18">
        <v>1</v>
      </c>
    </row>
    <row r="195" spans="1:9">
      <c r="A195" s="284">
        <v>46155</v>
      </c>
      <c r="B195" s="416">
        <v>1</v>
      </c>
      <c r="C195" s="18">
        <v>1</v>
      </c>
      <c r="D195" s="416">
        <v>1</v>
      </c>
      <c r="E195" s="18">
        <v>1</v>
      </c>
      <c r="F195" s="416">
        <v>1</v>
      </c>
      <c r="G195" s="18">
        <v>1</v>
      </c>
      <c r="H195" s="416">
        <v>0</v>
      </c>
      <c r="I195" s="18">
        <v>0</v>
      </c>
    </row>
    <row r="196" spans="1:9">
      <c r="A196" s="284">
        <v>46157</v>
      </c>
      <c r="B196" s="416">
        <v>2</v>
      </c>
      <c r="C196" s="18">
        <v>1</v>
      </c>
      <c r="D196" s="416">
        <v>0</v>
      </c>
      <c r="E196" s="18">
        <v>0</v>
      </c>
      <c r="F196" s="416">
        <v>1</v>
      </c>
      <c r="G196" s="18">
        <v>0.5</v>
      </c>
      <c r="H196" s="416">
        <v>0</v>
      </c>
      <c r="I196" s="18">
        <v>0</v>
      </c>
    </row>
    <row r="197" spans="1:9">
      <c r="A197" s="284">
        <v>46159</v>
      </c>
      <c r="B197" s="416">
        <v>1</v>
      </c>
      <c r="C197" s="18">
        <v>1</v>
      </c>
      <c r="D197" s="416">
        <v>0</v>
      </c>
      <c r="E197" s="18">
        <v>0</v>
      </c>
      <c r="F197" s="416">
        <v>0</v>
      </c>
      <c r="G197" s="18">
        <v>0</v>
      </c>
      <c r="H197" s="416">
        <v>0</v>
      </c>
      <c r="I197" s="18">
        <v>0</v>
      </c>
    </row>
    <row r="198" spans="1:9">
      <c r="A198" s="284">
        <v>46160</v>
      </c>
      <c r="B198" s="416">
        <v>1</v>
      </c>
      <c r="C198" s="18">
        <v>1</v>
      </c>
      <c r="D198" s="416">
        <v>0</v>
      </c>
      <c r="E198" s="18">
        <v>0</v>
      </c>
      <c r="F198" s="416">
        <v>1</v>
      </c>
      <c r="G198" s="18">
        <v>1</v>
      </c>
      <c r="H198" s="416">
        <v>0</v>
      </c>
      <c r="I198" s="18">
        <v>0</v>
      </c>
    </row>
    <row r="199" spans="1:9">
      <c r="A199" s="284">
        <v>46161</v>
      </c>
      <c r="B199" s="416">
        <v>0</v>
      </c>
      <c r="C199" s="18">
        <v>0</v>
      </c>
      <c r="D199" s="416">
        <v>1</v>
      </c>
      <c r="E199" s="18">
        <v>1</v>
      </c>
      <c r="F199" s="416">
        <v>0</v>
      </c>
      <c r="G199" s="18">
        <v>0</v>
      </c>
      <c r="H199" s="416">
        <v>1</v>
      </c>
      <c r="I199" s="18">
        <v>1</v>
      </c>
    </row>
    <row r="200" spans="1:9">
      <c r="A200" s="284">
        <v>46162</v>
      </c>
      <c r="B200" s="416">
        <v>0</v>
      </c>
      <c r="C200" s="18">
        <v>0</v>
      </c>
      <c r="D200" s="416">
        <v>1</v>
      </c>
      <c r="E200" s="18">
        <v>1</v>
      </c>
      <c r="F200" s="416">
        <v>1</v>
      </c>
      <c r="G200" s="18">
        <v>1</v>
      </c>
      <c r="H200" s="416">
        <v>1</v>
      </c>
      <c r="I200" s="18">
        <v>1</v>
      </c>
    </row>
    <row r="201" spans="1:9">
      <c r="A201" s="284">
        <v>46163</v>
      </c>
      <c r="B201" s="416">
        <v>0</v>
      </c>
      <c r="C201" s="18">
        <v>0</v>
      </c>
      <c r="D201" s="416">
        <v>0</v>
      </c>
      <c r="E201" s="18">
        <v>0</v>
      </c>
      <c r="F201" s="416">
        <v>0</v>
      </c>
      <c r="G201" s="18">
        <v>0</v>
      </c>
      <c r="H201" s="416">
        <v>1</v>
      </c>
      <c r="I201" s="18">
        <v>1</v>
      </c>
    </row>
    <row r="202" spans="1:9">
      <c r="A202" s="284">
        <v>46164</v>
      </c>
      <c r="B202" s="416">
        <v>1</v>
      </c>
      <c r="C202" s="18">
        <v>1</v>
      </c>
      <c r="D202" s="416">
        <v>0</v>
      </c>
      <c r="E202" s="18">
        <v>0</v>
      </c>
      <c r="F202" s="416">
        <v>0</v>
      </c>
      <c r="G202" s="18">
        <v>0</v>
      </c>
      <c r="H202" s="416">
        <v>0</v>
      </c>
      <c r="I202" s="18">
        <v>0</v>
      </c>
    </row>
    <row r="203" spans="1:9">
      <c r="A203" s="284">
        <v>46165</v>
      </c>
      <c r="B203" s="416">
        <v>1</v>
      </c>
      <c r="C203" s="18">
        <v>1</v>
      </c>
      <c r="D203" s="416">
        <v>0</v>
      </c>
      <c r="E203" s="18">
        <v>0</v>
      </c>
      <c r="F203" s="416">
        <v>1</v>
      </c>
      <c r="G203" s="18">
        <v>1</v>
      </c>
      <c r="H203" s="416">
        <v>1</v>
      </c>
      <c r="I203" s="18">
        <v>1</v>
      </c>
    </row>
    <row r="204" spans="1:9">
      <c r="A204" s="284">
        <v>46166</v>
      </c>
      <c r="B204" s="416">
        <v>0</v>
      </c>
      <c r="C204" s="18">
        <v>0</v>
      </c>
      <c r="D204" s="416">
        <v>0</v>
      </c>
      <c r="E204" s="18">
        <v>0</v>
      </c>
      <c r="F204" s="416">
        <v>0</v>
      </c>
      <c r="G204" s="18">
        <v>0</v>
      </c>
      <c r="H204" s="416">
        <v>0</v>
      </c>
      <c r="I204" s="18">
        <v>0</v>
      </c>
    </row>
    <row r="205" spans="1:9">
      <c r="A205" s="284">
        <v>46167</v>
      </c>
      <c r="B205" s="416">
        <v>1</v>
      </c>
      <c r="C205" s="18">
        <v>1</v>
      </c>
      <c r="D205" s="416">
        <v>0</v>
      </c>
      <c r="E205" s="18">
        <v>0</v>
      </c>
      <c r="F205" s="416">
        <v>0</v>
      </c>
      <c r="G205" s="18">
        <v>0</v>
      </c>
      <c r="H205" s="416">
        <v>1</v>
      </c>
      <c r="I205" s="18">
        <v>1</v>
      </c>
    </row>
    <row r="206" spans="1:9">
      <c r="A206" s="284">
        <v>46168</v>
      </c>
      <c r="B206" s="416">
        <v>1</v>
      </c>
      <c r="C206" s="18">
        <v>1</v>
      </c>
      <c r="D206" s="416">
        <v>1</v>
      </c>
      <c r="E206" s="18">
        <v>1</v>
      </c>
      <c r="F206" s="416">
        <v>1</v>
      </c>
      <c r="G206" s="18">
        <v>1</v>
      </c>
      <c r="H206" s="416">
        <v>1</v>
      </c>
      <c r="I206" s="18">
        <v>1</v>
      </c>
    </row>
    <row r="207" spans="1:9">
      <c r="A207" s="284">
        <v>46170</v>
      </c>
      <c r="B207" s="416">
        <v>0</v>
      </c>
      <c r="C207" s="18">
        <v>0</v>
      </c>
      <c r="D207" s="416">
        <v>1</v>
      </c>
      <c r="E207" s="18">
        <v>1</v>
      </c>
      <c r="F207" s="416">
        <v>0</v>
      </c>
      <c r="G207" s="18">
        <v>0</v>
      </c>
      <c r="H207" s="416">
        <v>0</v>
      </c>
      <c r="I207" s="18">
        <v>0</v>
      </c>
    </row>
    <row r="208" spans="1:9">
      <c r="A208" s="284">
        <v>46172</v>
      </c>
      <c r="B208" s="416">
        <v>0</v>
      </c>
      <c r="C208" s="18">
        <v>0</v>
      </c>
      <c r="D208" s="416">
        <v>0</v>
      </c>
      <c r="E208" s="18">
        <v>0</v>
      </c>
      <c r="F208" s="416">
        <v>0</v>
      </c>
      <c r="G208" s="18">
        <v>0</v>
      </c>
      <c r="H208" s="416">
        <v>0</v>
      </c>
      <c r="I208" s="18">
        <v>0</v>
      </c>
    </row>
    <row r="209" spans="1:9">
      <c r="A209" s="284" t="s">
        <v>1003</v>
      </c>
      <c r="B209" s="416">
        <v>631</v>
      </c>
      <c r="C209" s="18">
        <v>0.47911921032649962</v>
      </c>
      <c r="D209" s="416">
        <v>596</v>
      </c>
      <c r="E209" s="18">
        <v>0.45254365983295369</v>
      </c>
      <c r="F209" s="416">
        <v>606</v>
      </c>
      <c r="G209" s="18">
        <v>0.46013667425968108</v>
      </c>
      <c r="H209" s="416">
        <v>744</v>
      </c>
      <c r="I209" s="18">
        <v>0.56492027334851935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C35D-7FCD-44F6-94A6-461FCEADFB99}">
  <dimension ref="A1:C53"/>
  <sheetViews>
    <sheetView workbookViewId="0">
      <selection activeCell="D4" sqref="D4"/>
    </sheetView>
  </sheetViews>
  <sheetFormatPr defaultRowHeight="15"/>
  <cols>
    <col min="1" max="1" width="12" bestFit="1" customWidth="1"/>
    <col min="2" max="2" width="18.7109375" bestFit="1" customWidth="1"/>
    <col min="3" max="3" width="11.85546875" bestFit="1" customWidth="1"/>
  </cols>
  <sheetData>
    <row r="1" spans="1:3">
      <c r="A1" s="42" t="s">
        <v>1004</v>
      </c>
      <c r="B1" s="42" t="s">
        <v>1005</v>
      </c>
      <c r="C1" s="42" t="s">
        <v>664</v>
      </c>
    </row>
    <row r="2" spans="1:3">
      <c r="A2">
        <v>43</v>
      </c>
      <c r="B2" t="s">
        <v>617</v>
      </c>
      <c r="C2" t="str">
        <f>TEXT(tblResultadosNBA[[#This Row],[Fecha]],"mmm")</f>
        <v>oct</v>
      </c>
    </row>
    <row r="3" spans="1:3">
      <c r="A3">
        <v>44</v>
      </c>
      <c r="B3" t="s">
        <v>618</v>
      </c>
      <c r="C3" t="s">
        <v>1006</v>
      </c>
    </row>
    <row r="4" spans="1:3">
      <c r="A4">
        <v>45</v>
      </c>
      <c r="B4" t="s">
        <v>619</v>
      </c>
      <c r="C4" t="s">
        <v>1007</v>
      </c>
    </row>
    <row r="5" spans="1:3">
      <c r="A5">
        <v>46</v>
      </c>
      <c r="B5" t="s">
        <v>621</v>
      </c>
      <c r="C5" t="s">
        <v>1008</v>
      </c>
    </row>
    <row r="6" spans="1:3">
      <c r="A6">
        <v>47</v>
      </c>
      <c r="B6" t="s">
        <v>622</v>
      </c>
      <c r="C6" t="s">
        <v>1009</v>
      </c>
    </row>
    <row r="7" spans="1:3">
      <c r="A7">
        <v>48</v>
      </c>
      <c r="B7" t="s">
        <v>623</v>
      </c>
      <c r="C7" t="s">
        <v>1010</v>
      </c>
    </row>
    <row r="8" spans="1:3">
      <c r="A8">
        <v>49</v>
      </c>
      <c r="B8" t="s">
        <v>624</v>
      </c>
      <c r="C8" t="s">
        <v>1011</v>
      </c>
    </row>
    <row r="9" spans="1:3">
      <c r="A9">
        <v>50</v>
      </c>
      <c r="B9" t="s">
        <v>625</v>
      </c>
      <c r="C9" t="s">
        <v>994</v>
      </c>
    </row>
    <row r="10" spans="1:3">
      <c r="A10">
        <v>51</v>
      </c>
      <c r="B10" t="s">
        <v>626</v>
      </c>
      <c r="C10" t="s">
        <v>1012</v>
      </c>
    </row>
    <row r="11" spans="1:3">
      <c r="A11">
        <v>52</v>
      </c>
      <c r="B11" t="s">
        <v>627</v>
      </c>
      <c r="C11" t="s">
        <v>1013</v>
      </c>
    </row>
    <row r="12" spans="1:3">
      <c r="A12">
        <v>1</v>
      </c>
      <c r="B12" t="s">
        <v>628</v>
      </c>
      <c r="C12" t="s">
        <v>1014</v>
      </c>
    </row>
    <row r="13" spans="1:3">
      <c r="A13">
        <v>2</v>
      </c>
      <c r="B13" t="s">
        <v>629</v>
      </c>
      <c r="C13" t="s">
        <v>1015</v>
      </c>
    </row>
    <row r="14" spans="1:3">
      <c r="A14">
        <v>3</v>
      </c>
      <c r="B14" t="s">
        <v>630</v>
      </c>
    </row>
    <row r="15" spans="1:3">
      <c r="A15">
        <v>4</v>
      </c>
      <c r="B15" t="s">
        <v>631</v>
      </c>
    </row>
    <row r="16" spans="1:3">
      <c r="A16">
        <v>5</v>
      </c>
      <c r="B16" t="s">
        <v>632</v>
      </c>
    </row>
    <row r="17" spans="1:2">
      <c r="A17">
        <v>6</v>
      </c>
      <c r="B17" t="s">
        <v>633</v>
      </c>
    </row>
    <row r="18" spans="1:2">
      <c r="A18">
        <v>7</v>
      </c>
      <c r="B18" t="s">
        <v>634</v>
      </c>
    </row>
    <row r="19" spans="1:2">
      <c r="A19">
        <v>8</v>
      </c>
      <c r="B19" t="s">
        <v>635</v>
      </c>
    </row>
    <row r="20" spans="1:2">
      <c r="A20">
        <v>9</v>
      </c>
      <c r="B20" t="s">
        <v>636</v>
      </c>
    </row>
    <row r="21" spans="1:2">
      <c r="A21">
        <v>10</v>
      </c>
      <c r="B21" t="s">
        <v>637</v>
      </c>
    </row>
    <row r="22" spans="1:2">
      <c r="A22">
        <v>11</v>
      </c>
      <c r="B22" t="s">
        <v>638</v>
      </c>
    </row>
    <row r="23" spans="1:2">
      <c r="A23">
        <v>12</v>
      </c>
      <c r="B23" t="s">
        <v>639</v>
      </c>
    </row>
    <row r="24" spans="1:2">
      <c r="A24">
        <v>13</v>
      </c>
      <c r="B24" t="s">
        <v>640</v>
      </c>
    </row>
    <row r="25" spans="1:2">
      <c r="A25">
        <v>14</v>
      </c>
      <c r="B25" t="s">
        <v>641</v>
      </c>
    </row>
    <row r="26" spans="1:2">
      <c r="A26">
        <v>15</v>
      </c>
      <c r="B26" t="s">
        <v>642</v>
      </c>
    </row>
    <row r="27" spans="1:2">
      <c r="A27">
        <v>16</v>
      </c>
      <c r="B27" t="s">
        <v>643</v>
      </c>
    </row>
    <row r="28" spans="1:2">
      <c r="A28">
        <v>17</v>
      </c>
      <c r="B28" t="s">
        <v>644</v>
      </c>
    </row>
    <row r="29" spans="1:2">
      <c r="A29">
        <v>18</v>
      </c>
      <c r="B29" t="s">
        <v>645</v>
      </c>
    </row>
    <row r="30" spans="1:2">
      <c r="A30">
        <v>19</v>
      </c>
      <c r="B30" t="s">
        <v>646</v>
      </c>
    </row>
    <row r="31" spans="1:2">
      <c r="A31">
        <v>20</v>
      </c>
      <c r="B31" t="s">
        <v>1016</v>
      </c>
    </row>
    <row r="32" spans="1:2">
      <c r="A32">
        <v>21</v>
      </c>
      <c r="B32" t="s">
        <v>1017</v>
      </c>
    </row>
    <row r="33" spans="1:2">
      <c r="A33">
        <v>22</v>
      </c>
      <c r="B33" t="s">
        <v>987</v>
      </c>
    </row>
    <row r="34" spans="1:2">
      <c r="A34">
        <v>23</v>
      </c>
      <c r="B34" t="s">
        <v>1018</v>
      </c>
    </row>
    <row r="35" spans="1:2">
      <c r="A35">
        <v>24</v>
      </c>
      <c r="B35" t="s">
        <v>1019</v>
      </c>
    </row>
    <row r="36" spans="1:2">
      <c r="A36">
        <v>25</v>
      </c>
      <c r="B36" t="s">
        <v>1020</v>
      </c>
    </row>
    <row r="37" spans="1:2">
      <c r="A37">
        <v>26</v>
      </c>
      <c r="B37" t="s">
        <v>1021</v>
      </c>
    </row>
    <row r="38" spans="1:2">
      <c r="A38">
        <v>27</v>
      </c>
      <c r="B38" t="s">
        <v>1022</v>
      </c>
    </row>
    <row r="39" spans="1:2">
      <c r="A39">
        <v>28</v>
      </c>
      <c r="B39" t="s">
        <v>1023</v>
      </c>
    </row>
    <row r="40" spans="1:2">
      <c r="A40">
        <v>29</v>
      </c>
      <c r="B40" t="s">
        <v>1024</v>
      </c>
    </row>
    <row r="41" spans="1:2">
      <c r="A41">
        <v>30</v>
      </c>
      <c r="B41" t="s">
        <v>1025</v>
      </c>
    </row>
    <row r="42" spans="1:2">
      <c r="A42">
        <v>31</v>
      </c>
      <c r="B42" t="s">
        <v>1026</v>
      </c>
    </row>
    <row r="43" spans="1:2">
      <c r="A43">
        <v>32</v>
      </c>
      <c r="B43" t="s">
        <v>1027</v>
      </c>
    </row>
    <row r="44" spans="1:2">
      <c r="A44">
        <v>33</v>
      </c>
      <c r="B44" t="s">
        <v>1028</v>
      </c>
    </row>
    <row r="45" spans="1:2">
      <c r="A45">
        <v>34</v>
      </c>
      <c r="B45" t="s">
        <v>1029</v>
      </c>
    </row>
    <row r="46" spans="1:2">
      <c r="A46">
        <v>35</v>
      </c>
      <c r="B46" t="s">
        <v>1030</v>
      </c>
    </row>
    <row r="47" spans="1:2">
      <c r="A47">
        <v>36</v>
      </c>
      <c r="B47" t="s">
        <v>1031</v>
      </c>
    </row>
    <row r="48" spans="1:2">
      <c r="A48">
        <v>37</v>
      </c>
      <c r="B48" t="s">
        <v>1032</v>
      </c>
    </row>
    <row r="49" spans="1:2">
      <c r="A49">
        <v>38</v>
      </c>
      <c r="B49" t="s">
        <v>1033</v>
      </c>
    </row>
    <row r="50" spans="1:2">
      <c r="A50">
        <v>39</v>
      </c>
      <c r="B50" t="s">
        <v>1034</v>
      </c>
    </row>
    <row r="51" spans="1:2">
      <c r="A51">
        <v>40</v>
      </c>
      <c r="B51" t="s">
        <v>1035</v>
      </c>
    </row>
    <row r="52" spans="1:2">
      <c r="A52">
        <v>41</v>
      </c>
      <c r="B52" t="s">
        <v>1036</v>
      </c>
    </row>
    <row r="53" spans="1:2">
      <c r="A53">
        <v>42</v>
      </c>
      <c r="B53" t="s">
        <v>1037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9539-D078-4CF6-A821-474EFBC8661B}">
  <sheetPr>
    <tabColor rgb="FF00B0F0"/>
  </sheetPr>
  <dimension ref="A1:AE226"/>
  <sheetViews>
    <sheetView topLeftCell="A152" workbookViewId="0">
      <selection activeCell="A156" sqref="A156:XFD156"/>
    </sheetView>
  </sheetViews>
  <sheetFormatPr defaultColWidth="9.140625" defaultRowHeight="15"/>
  <cols>
    <col min="1" max="1" width="33" bestFit="1" customWidth="1"/>
    <col min="2" max="2" width="8.28515625" bestFit="1" customWidth="1"/>
    <col min="3" max="3" width="9.5703125" bestFit="1" customWidth="1"/>
    <col min="4" max="4" width="22.28515625" bestFit="1" customWidth="1"/>
    <col min="5" max="5" width="9" bestFit="1" customWidth="1"/>
    <col min="6" max="6" width="19.5703125" bestFit="1" customWidth="1"/>
    <col min="7" max="7" width="46.28515625" style="186" customWidth="1"/>
    <col min="8" max="8" width="10.7109375" hidden="1" customWidth="1"/>
    <col min="9" max="9" width="10.5703125" hidden="1" customWidth="1"/>
    <col min="10" max="10" width="15.7109375" hidden="1" customWidth="1"/>
    <col min="11" max="12" width="9.140625" customWidth="1"/>
    <col min="13" max="13" width="7.28515625" bestFit="1" customWidth="1"/>
    <col min="14" max="14" width="6.140625" customWidth="1"/>
    <col min="15" max="15" width="8.85546875" customWidth="1"/>
    <col min="16" max="16" width="12.28515625" bestFit="1" customWidth="1"/>
    <col min="17" max="17" width="8.140625" style="2" bestFit="1" customWidth="1"/>
    <col min="18" max="18" width="8.28515625" customWidth="1"/>
    <col min="19" max="19" width="7.7109375" customWidth="1"/>
    <col min="20" max="20" width="8" customWidth="1"/>
    <col min="21" max="21" width="7.85546875" bestFit="1" customWidth="1"/>
    <col min="22" max="22" width="14.140625" bestFit="1" customWidth="1"/>
    <col min="23" max="257" width="11.42578125" customWidth="1"/>
  </cols>
  <sheetData>
    <row r="1" spans="1:17" ht="15.75" thickBot="1">
      <c r="A1" s="131" t="s">
        <v>0</v>
      </c>
      <c r="B1" s="114" t="s">
        <v>1</v>
      </c>
      <c r="C1" s="114" t="s">
        <v>2</v>
      </c>
      <c r="D1" s="114" t="s">
        <v>3</v>
      </c>
      <c r="E1" s="115" t="s">
        <v>4</v>
      </c>
      <c r="F1" s="133" t="s">
        <v>5</v>
      </c>
      <c r="G1" s="222" t="s">
        <v>1</v>
      </c>
      <c r="H1" t="s">
        <v>6</v>
      </c>
      <c r="I1" t="s">
        <v>7</v>
      </c>
      <c r="J1" t="s">
        <v>8</v>
      </c>
      <c r="K1" s="250"/>
      <c r="M1" s="689" t="s">
        <v>1038</v>
      </c>
      <c r="N1" s="689"/>
      <c r="O1" s="689"/>
      <c r="P1" s="689"/>
      <c r="Q1"/>
    </row>
    <row r="2" spans="1:17" ht="15.75" thickBot="1">
      <c r="A2" s="686">
        <v>45905</v>
      </c>
      <c r="B2" s="181">
        <v>1</v>
      </c>
      <c r="C2" s="164">
        <v>3.04</v>
      </c>
      <c r="D2" s="164">
        <f>(B2*C2)-B2</f>
        <v>2.04</v>
      </c>
      <c r="E2" s="215">
        <f>SUM($D$2:D2)/SUM($B$2:B2)</f>
        <v>2.04</v>
      </c>
      <c r="F2" s="164">
        <f>D2</f>
        <v>2.04</v>
      </c>
      <c r="G2" s="216" t="s">
        <v>1039</v>
      </c>
      <c r="H2" s="185"/>
      <c r="I2" s="186"/>
      <c r="J2" s="186"/>
      <c r="Q2"/>
    </row>
    <row r="3" spans="1:17">
      <c r="A3" s="687"/>
      <c r="B3" s="167">
        <v>1</v>
      </c>
      <c r="C3" s="163">
        <v>1.93</v>
      </c>
      <c r="D3" s="163">
        <f t="shared" ref="D3:D66" si="0">(B3*C3)-B3</f>
        <v>0.92999999999999994</v>
      </c>
      <c r="E3" s="193">
        <f>SUM($D$2:D3)/SUM($B$2:B3)</f>
        <v>1.4849999999999999</v>
      </c>
      <c r="F3" s="163">
        <f>F2+D3</f>
        <v>2.9699999999999998</v>
      </c>
      <c r="G3" s="171" t="s">
        <v>1040</v>
      </c>
      <c r="H3" s="185"/>
      <c r="I3" s="186"/>
      <c r="J3" s="186"/>
      <c r="Q3"/>
    </row>
    <row r="4" spans="1:17">
      <c r="A4" s="687"/>
      <c r="B4" s="170">
        <v>1</v>
      </c>
      <c r="C4" s="152">
        <v>1.86</v>
      </c>
      <c r="D4" s="152">
        <f t="shared" si="0"/>
        <v>0.8600000000000001</v>
      </c>
      <c r="E4" s="192">
        <f>SUM($D$2:D4)/SUM($B$2:B4)</f>
        <v>1.2766666666666666</v>
      </c>
      <c r="F4" s="152">
        <f t="shared" ref="F4:F67" si="1">F3+D4</f>
        <v>3.83</v>
      </c>
      <c r="G4" s="194" t="s">
        <v>1041</v>
      </c>
      <c r="H4" s="185"/>
      <c r="I4" s="186"/>
      <c r="J4" s="186"/>
      <c r="Q4"/>
    </row>
    <row r="5" spans="1:17">
      <c r="A5" s="687"/>
      <c r="B5" s="169">
        <v>1</v>
      </c>
      <c r="C5" s="151">
        <v>2.0099999999999998</v>
      </c>
      <c r="D5" s="151">
        <f t="shared" si="0"/>
        <v>1.0099999999999998</v>
      </c>
      <c r="E5" s="156">
        <f>SUM($D$2:D5)/SUM($B$2:B5)</f>
        <v>1.21</v>
      </c>
      <c r="F5" s="151">
        <f t="shared" si="1"/>
        <v>4.84</v>
      </c>
      <c r="G5" s="191" t="s">
        <v>1042</v>
      </c>
      <c r="H5" s="185"/>
      <c r="I5" s="186"/>
      <c r="J5" s="186"/>
      <c r="Q5"/>
    </row>
    <row r="6" spans="1:17" ht="15.75" thickBot="1">
      <c r="A6" s="687"/>
      <c r="B6" s="172">
        <v>1</v>
      </c>
      <c r="C6" s="165"/>
      <c r="D6" s="165">
        <f t="shared" si="0"/>
        <v>-1</v>
      </c>
      <c r="E6" s="195">
        <f>SUM($D$2:D6)/SUM($B$2:B6)</f>
        <v>0.76800000000000002</v>
      </c>
      <c r="F6" s="165">
        <f t="shared" si="1"/>
        <v>3.84</v>
      </c>
      <c r="G6" s="196" t="s">
        <v>1043</v>
      </c>
      <c r="H6" s="185"/>
      <c r="I6" s="186"/>
      <c r="J6" s="186"/>
      <c r="Q6"/>
    </row>
    <row r="7" spans="1:17" ht="15.75" thickBot="1">
      <c r="A7" s="686">
        <v>45906</v>
      </c>
      <c r="B7" s="235">
        <v>1</v>
      </c>
      <c r="C7" s="235"/>
      <c r="D7" s="235">
        <f t="shared" si="0"/>
        <v>-1</v>
      </c>
      <c r="E7" s="253">
        <f>SUM($D$2:D7)/SUM($B$2:B7)</f>
        <v>0.47333333333333333</v>
      </c>
      <c r="F7" s="236">
        <f t="shared" si="1"/>
        <v>2.84</v>
      </c>
      <c r="G7" s="254" t="s">
        <v>1044</v>
      </c>
      <c r="H7" s="185"/>
      <c r="I7" s="186"/>
      <c r="J7" s="186"/>
      <c r="K7" s="58"/>
      <c r="M7" s="2"/>
      <c r="Q7"/>
    </row>
    <row r="8" spans="1:17">
      <c r="A8" s="688"/>
      <c r="B8" s="167">
        <v>1</v>
      </c>
      <c r="C8" s="206"/>
      <c r="D8" s="206">
        <f t="shared" si="0"/>
        <v>-1</v>
      </c>
      <c r="E8" s="193">
        <f>SUM($D$2:D8)/SUM($B$2:B8)</f>
        <v>0.26285714285714284</v>
      </c>
      <c r="F8" s="163">
        <f t="shared" si="1"/>
        <v>1.8399999999999999</v>
      </c>
      <c r="G8" s="212" t="s">
        <v>1041</v>
      </c>
      <c r="H8" s="185"/>
      <c r="I8" s="186"/>
      <c r="J8" s="186"/>
      <c r="K8" s="18"/>
      <c r="M8" s="2"/>
      <c r="N8" s="18"/>
      <c r="Q8"/>
    </row>
    <row r="9" spans="1:17">
      <c r="A9" s="688"/>
      <c r="B9" s="169">
        <v>1</v>
      </c>
      <c r="C9" s="207"/>
      <c r="D9" s="207">
        <f t="shared" si="0"/>
        <v>-1</v>
      </c>
      <c r="E9" s="156">
        <f>SUM($D$2:D9)/SUM($B$2:B9)</f>
        <v>0.10499999999999998</v>
      </c>
      <c r="F9" s="151">
        <f t="shared" si="1"/>
        <v>0.83999999999999986</v>
      </c>
      <c r="G9" s="203" t="s">
        <v>1045</v>
      </c>
      <c r="H9" s="185"/>
      <c r="I9" s="186"/>
      <c r="J9" s="186"/>
      <c r="K9" s="18"/>
      <c r="M9" s="2"/>
      <c r="N9" s="18"/>
      <c r="Q9"/>
    </row>
    <row r="10" spans="1:17">
      <c r="A10" s="688"/>
      <c r="B10" s="169">
        <v>1</v>
      </c>
      <c r="C10" s="207"/>
      <c r="D10" s="207">
        <f t="shared" si="0"/>
        <v>-1</v>
      </c>
      <c r="E10" s="156">
        <f>SUM($D$2:D10)/SUM($B$2:B10)</f>
        <v>-1.7777777777777795E-2</v>
      </c>
      <c r="F10" s="151">
        <f t="shared" si="1"/>
        <v>-0.16000000000000014</v>
      </c>
      <c r="G10" s="203" t="s">
        <v>1046</v>
      </c>
      <c r="H10" s="185"/>
      <c r="I10" s="186"/>
      <c r="J10" s="186"/>
      <c r="K10" s="18"/>
      <c r="M10" s="2"/>
      <c r="N10" s="18"/>
      <c r="Q10"/>
    </row>
    <row r="11" spans="1:17">
      <c r="A11" s="688"/>
      <c r="B11" s="169">
        <v>1</v>
      </c>
      <c r="C11" s="207"/>
      <c r="D11" s="207">
        <f t="shared" si="0"/>
        <v>-1</v>
      </c>
      <c r="E11" s="156">
        <f>SUM($D$2:D11)/SUM($B$2:B11)</f>
        <v>-0.11600000000000002</v>
      </c>
      <c r="F11" s="151">
        <f t="shared" si="1"/>
        <v>-1.1600000000000001</v>
      </c>
      <c r="G11" s="203" t="s">
        <v>1040</v>
      </c>
      <c r="H11" s="185"/>
      <c r="I11" s="186"/>
      <c r="J11" s="186"/>
      <c r="K11" s="18"/>
      <c r="M11" s="2"/>
      <c r="N11" s="18"/>
      <c r="Q11"/>
    </row>
    <row r="12" spans="1:17">
      <c r="A12" s="688"/>
      <c r="B12" s="169">
        <v>1</v>
      </c>
      <c r="C12" s="207"/>
      <c r="D12" s="207">
        <f t="shared" si="0"/>
        <v>-1</v>
      </c>
      <c r="E12" s="156">
        <f>SUM($D$2:D12)/SUM($B$2:B12)</f>
        <v>-0.19636363636363638</v>
      </c>
      <c r="F12" s="151">
        <f t="shared" si="1"/>
        <v>-2.16</v>
      </c>
      <c r="G12" s="203" t="s">
        <v>1047</v>
      </c>
      <c r="H12" s="185"/>
      <c r="I12" s="186"/>
      <c r="J12" s="186"/>
      <c r="K12" s="18"/>
      <c r="M12" s="2"/>
      <c r="N12" s="18"/>
      <c r="Q12"/>
    </row>
    <row r="13" spans="1:17" ht="15.75" thickBot="1">
      <c r="A13" s="688"/>
      <c r="B13" s="172">
        <v>1</v>
      </c>
      <c r="C13" s="208">
        <v>1.97</v>
      </c>
      <c r="D13" s="208">
        <f t="shared" si="0"/>
        <v>0.97</v>
      </c>
      <c r="E13" s="195">
        <f>SUM($D$2:D13)/SUM($B$2:B13)</f>
        <v>-9.9166666666666681E-2</v>
      </c>
      <c r="F13" s="165">
        <f t="shared" si="1"/>
        <v>-1.1900000000000002</v>
      </c>
      <c r="G13" s="205" t="s">
        <v>1048</v>
      </c>
      <c r="H13" s="185"/>
      <c r="I13" s="186"/>
      <c r="J13" s="186"/>
      <c r="K13" s="18"/>
      <c r="M13" s="2"/>
      <c r="N13" s="18"/>
      <c r="Q13"/>
    </row>
    <row r="14" spans="1:17" ht="15.75" thickBot="1">
      <c r="A14" s="686">
        <v>45907</v>
      </c>
      <c r="B14" s="209">
        <v>1</v>
      </c>
      <c r="C14" s="209"/>
      <c r="D14" s="209">
        <f t="shared" si="0"/>
        <v>-1</v>
      </c>
      <c r="E14" s="215">
        <f>SUM($D$2:D14)/SUM($B$2:B14)</f>
        <v>-0.1684615384615385</v>
      </c>
      <c r="F14" s="164">
        <f t="shared" si="1"/>
        <v>-2.1900000000000004</v>
      </c>
      <c r="G14" s="217" t="s">
        <v>1049</v>
      </c>
      <c r="H14" s="185"/>
      <c r="I14" s="186"/>
      <c r="J14" s="186"/>
      <c r="K14" s="58"/>
      <c r="M14" s="2"/>
      <c r="Q14"/>
    </row>
    <row r="15" spans="1:17">
      <c r="A15" s="687"/>
      <c r="B15" s="206">
        <v>1</v>
      </c>
      <c r="C15" s="206"/>
      <c r="D15" s="206">
        <f t="shared" si="0"/>
        <v>-1</v>
      </c>
      <c r="E15" s="193">
        <f>SUM($D$2:D15)/SUM($B$2:B15)</f>
        <v>-0.2278571428571429</v>
      </c>
      <c r="F15" s="163">
        <f t="shared" si="1"/>
        <v>-3.1900000000000004</v>
      </c>
      <c r="G15" s="212" t="s">
        <v>1050</v>
      </c>
      <c r="H15" s="185"/>
      <c r="I15" s="186"/>
      <c r="J15" s="186"/>
      <c r="K15" s="18"/>
      <c r="M15" s="2"/>
      <c r="N15" s="18"/>
      <c r="Q15"/>
    </row>
    <row r="16" spans="1:17">
      <c r="A16" s="687"/>
      <c r="B16" s="207">
        <v>1</v>
      </c>
      <c r="C16" s="207"/>
      <c r="D16" s="207">
        <f t="shared" si="0"/>
        <v>-1</v>
      </c>
      <c r="E16" s="156">
        <f>SUM($D$2:D16)/SUM($B$2:B16)</f>
        <v>-0.27933333333333338</v>
      </c>
      <c r="F16" s="151">
        <f t="shared" si="1"/>
        <v>-4.1900000000000004</v>
      </c>
      <c r="G16" s="203" t="s">
        <v>1045</v>
      </c>
      <c r="H16" s="185"/>
      <c r="I16" s="186"/>
      <c r="J16" s="186"/>
      <c r="K16" s="18"/>
      <c r="M16" s="2"/>
      <c r="N16" s="18"/>
      <c r="Q16"/>
    </row>
    <row r="17" spans="1:17">
      <c r="A17" s="687"/>
      <c r="B17" s="207">
        <v>1</v>
      </c>
      <c r="C17" s="207">
        <v>1.9</v>
      </c>
      <c r="D17" s="207">
        <f t="shared" si="0"/>
        <v>0.89999999999999991</v>
      </c>
      <c r="E17" s="156">
        <f>SUM($D$2:D17)/SUM($B$2:B17)</f>
        <v>-0.20562500000000003</v>
      </c>
      <c r="F17" s="151">
        <f t="shared" si="1"/>
        <v>-3.2900000000000005</v>
      </c>
      <c r="G17" s="203" t="s">
        <v>1041</v>
      </c>
      <c r="H17" s="185"/>
      <c r="I17" s="186"/>
      <c r="J17" s="186"/>
      <c r="K17" s="18"/>
      <c r="M17" s="2"/>
      <c r="N17" s="18"/>
      <c r="Q17"/>
    </row>
    <row r="18" spans="1:17">
      <c r="A18" s="687"/>
      <c r="B18" s="207">
        <v>1</v>
      </c>
      <c r="C18" s="207">
        <v>1.88</v>
      </c>
      <c r="D18" s="207">
        <f t="shared" si="0"/>
        <v>0.87999999999999989</v>
      </c>
      <c r="E18" s="156">
        <f>SUM($D$2:D18)/SUM($B$2:B18)</f>
        <v>-0.14176470588235299</v>
      </c>
      <c r="F18" s="151">
        <f t="shared" si="1"/>
        <v>-2.4100000000000006</v>
      </c>
      <c r="G18" s="203" t="s">
        <v>1051</v>
      </c>
      <c r="H18" s="185"/>
      <c r="I18" s="186"/>
      <c r="J18" s="186"/>
      <c r="K18" s="18"/>
      <c r="M18" s="2"/>
      <c r="N18" s="18"/>
      <c r="Q18"/>
    </row>
    <row r="19" spans="1:17" ht="15.75" thickBot="1">
      <c r="A19" s="687"/>
      <c r="B19" s="155">
        <v>1</v>
      </c>
      <c r="C19" s="155"/>
      <c r="D19" s="155">
        <f t="shared" si="0"/>
        <v>-1</v>
      </c>
      <c r="E19" s="192">
        <f>SUM($D$2:D19)/SUM($B$2:B19)</f>
        <v>-0.18944444444444447</v>
      </c>
      <c r="F19" s="152">
        <f t="shared" si="1"/>
        <v>-3.4100000000000006</v>
      </c>
      <c r="G19" s="213" t="s">
        <v>1047</v>
      </c>
      <c r="H19" s="185"/>
      <c r="I19" s="186"/>
      <c r="J19" s="186"/>
      <c r="K19" s="58"/>
      <c r="M19" s="2"/>
      <c r="N19" s="18"/>
      <c r="Q19"/>
    </row>
    <row r="20" spans="1:17">
      <c r="A20" s="650">
        <v>45908</v>
      </c>
      <c r="B20" s="206">
        <v>1</v>
      </c>
      <c r="C20" s="206"/>
      <c r="D20" s="206">
        <f t="shared" si="0"/>
        <v>-1</v>
      </c>
      <c r="E20" s="193">
        <f>SUM($D$2:D20)/SUM($B$2:B20)</f>
        <v>-0.23210526315789473</v>
      </c>
      <c r="F20" s="163">
        <f t="shared" si="1"/>
        <v>-4.41</v>
      </c>
      <c r="G20" s="212" t="s">
        <v>1052</v>
      </c>
      <c r="H20" s="185"/>
      <c r="I20" s="186"/>
      <c r="J20" s="186"/>
      <c r="K20" s="18"/>
      <c r="M20" s="2"/>
      <c r="N20" s="18"/>
      <c r="Q20"/>
    </row>
    <row r="21" spans="1:17">
      <c r="A21" s="652"/>
      <c r="B21" s="207">
        <v>1</v>
      </c>
      <c r="C21" s="207"/>
      <c r="D21" s="207">
        <f t="shared" si="0"/>
        <v>-1</v>
      </c>
      <c r="E21" s="156">
        <f>SUM($D$2:D21)/SUM($B$2:B21)</f>
        <v>-0.27050000000000002</v>
      </c>
      <c r="F21" s="151">
        <f t="shared" si="1"/>
        <v>-5.41</v>
      </c>
      <c r="G21" s="203" t="s">
        <v>1053</v>
      </c>
      <c r="H21" s="185"/>
      <c r="I21" s="186"/>
      <c r="J21" s="186"/>
      <c r="K21" s="18"/>
      <c r="M21" s="2"/>
      <c r="N21" s="18"/>
      <c r="Q21"/>
    </row>
    <row r="22" spans="1:17">
      <c r="A22" s="652"/>
      <c r="B22" s="207">
        <v>1</v>
      </c>
      <c r="C22" s="207">
        <v>1.909</v>
      </c>
      <c r="D22" s="207">
        <f t="shared" si="0"/>
        <v>0.90900000000000003</v>
      </c>
      <c r="E22" s="156">
        <f>SUM($D$2:D22)/SUM($B$2:B22)</f>
        <v>-0.21433333333333335</v>
      </c>
      <c r="F22" s="151">
        <f t="shared" si="1"/>
        <v>-4.5010000000000003</v>
      </c>
      <c r="G22" s="203" t="s">
        <v>1054</v>
      </c>
      <c r="H22" s="185"/>
      <c r="I22" s="186"/>
      <c r="J22" s="186"/>
      <c r="K22" s="18"/>
      <c r="M22" s="2"/>
      <c r="N22" s="18"/>
      <c r="Q22"/>
    </row>
    <row r="23" spans="1:17" ht="15.75" thickBot="1">
      <c r="A23" s="652"/>
      <c r="B23" s="155">
        <v>1</v>
      </c>
      <c r="C23" s="155"/>
      <c r="D23" s="155">
        <f t="shared" si="0"/>
        <v>-1</v>
      </c>
      <c r="E23" s="192">
        <f>SUM($D$2:D23)/SUM($B$2:B23)</f>
        <v>-0.25004545454545457</v>
      </c>
      <c r="F23" s="152">
        <f t="shared" si="1"/>
        <v>-5.5010000000000003</v>
      </c>
      <c r="G23" s="213" t="s">
        <v>1055</v>
      </c>
      <c r="H23" s="185"/>
      <c r="I23" s="186"/>
      <c r="J23" s="186"/>
      <c r="K23" s="18"/>
      <c r="M23" s="2"/>
      <c r="N23" s="18"/>
      <c r="Q23"/>
    </row>
    <row r="24" spans="1:17">
      <c r="A24" s="653">
        <v>45909</v>
      </c>
      <c r="B24" s="167">
        <v>1</v>
      </c>
      <c r="C24" s="206">
        <v>1.74</v>
      </c>
      <c r="D24" s="206">
        <f t="shared" si="0"/>
        <v>0.74</v>
      </c>
      <c r="E24" s="193">
        <f>SUM($D$2:D24)/SUM($B$2:B24)</f>
        <v>-0.20700000000000002</v>
      </c>
      <c r="F24" s="163">
        <f t="shared" si="1"/>
        <v>-4.7610000000000001</v>
      </c>
      <c r="G24" s="212" t="s">
        <v>1056</v>
      </c>
      <c r="H24" s="185"/>
      <c r="I24" s="186"/>
      <c r="J24" s="186"/>
      <c r="K24" s="18"/>
      <c r="M24" s="2"/>
      <c r="N24" s="18"/>
      <c r="Q24"/>
    </row>
    <row r="25" spans="1:17">
      <c r="A25" s="654"/>
      <c r="B25" s="169">
        <v>1</v>
      </c>
      <c r="C25" s="207">
        <v>1.89</v>
      </c>
      <c r="D25" s="207">
        <f t="shared" si="0"/>
        <v>0.8899999999999999</v>
      </c>
      <c r="E25" s="156">
        <f>SUM($D$2:D25)/SUM($B$2:B25)</f>
        <v>-0.16129166666666669</v>
      </c>
      <c r="F25" s="151">
        <f t="shared" si="1"/>
        <v>-3.8710000000000004</v>
      </c>
      <c r="G25" s="203" t="s">
        <v>1057</v>
      </c>
      <c r="H25" s="185"/>
      <c r="I25" s="186"/>
      <c r="J25" s="186"/>
      <c r="K25" s="18"/>
      <c r="M25" s="2"/>
      <c r="N25" s="18"/>
      <c r="Q25"/>
    </row>
    <row r="26" spans="1:17" ht="15.75" thickBot="1">
      <c r="A26" s="654"/>
      <c r="B26" s="172">
        <v>1</v>
      </c>
      <c r="C26" s="208"/>
      <c r="D26" s="208">
        <f t="shared" si="0"/>
        <v>-1</v>
      </c>
      <c r="E26" s="195">
        <f>SUM($D$2:D26)/SUM($B$2:B26)</f>
        <v>-0.19484000000000001</v>
      </c>
      <c r="F26" s="165">
        <f t="shared" si="1"/>
        <v>-4.8710000000000004</v>
      </c>
      <c r="G26" s="205" t="s">
        <v>1055</v>
      </c>
      <c r="H26" s="185"/>
      <c r="I26" s="186"/>
      <c r="J26" s="186"/>
      <c r="K26" s="18"/>
      <c r="M26" s="2"/>
      <c r="N26" s="18"/>
      <c r="Q26"/>
    </row>
    <row r="27" spans="1:17" ht="15.75" thickBot="1">
      <c r="A27" s="677">
        <v>45910</v>
      </c>
      <c r="B27" s="255">
        <v>1</v>
      </c>
      <c r="C27" s="255">
        <v>2.85</v>
      </c>
      <c r="D27" s="255">
        <f t="shared" si="0"/>
        <v>1.85</v>
      </c>
      <c r="E27" s="256">
        <f>SUM($D$2:D27)/SUM($B$2:B27)</f>
        <v>-0.11619230769230771</v>
      </c>
      <c r="F27" s="257">
        <f t="shared" si="1"/>
        <v>-3.0210000000000004</v>
      </c>
      <c r="G27" s="258" t="s">
        <v>1058</v>
      </c>
      <c r="H27" s="185"/>
      <c r="I27" s="186"/>
      <c r="J27" s="186"/>
      <c r="K27" s="18"/>
      <c r="Q27"/>
    </row>
    <row r="28" spans="1:17">
      <c r="A28" s="678"/>
      <c r="B28" s="206">
        <v>1</v>
      </c>
      <c r="C28" s="206">
        <v>1.7270000000000001</v>
      </c>
      <c r="D28" s="206">
        <f t="shared" si="0"/>
        <v>0.72700000000000009</v>
      </c>
      <c r="E28" s="193">
        <f>SUM($D$2:D28)/SUM($B$2:B28)</f>
        <v>-8.4962962962962976E-2</v>
      </c>
      <c r="F28" s="163">
        <f t="shared" si="1"/>
        <v>-2.2940000000000005</v>
      </c>
      <c r="G28" s="212" t="s">
        <v>1056</v>
      </c>
      <c r="H28" s="185"/>
      <c r="I28" s="186"/>
      <c r="J28" s="186"/>
      <c r="K28" s="18"/>
      <c r="Q28"/>
    </row>
    <row r="29" spans="1:17">
      <c r="A29" s="678"/>
      <c r="B29" s="207">
        <v>1</v>
      </c>
      <c r="C29" s="207"/>
      <c r="D29" s="207">
        <f t="shared" si="0"/>
        <v>-1</v>
      </c>
      <c r="E29" s="156">
        <f>SUM($D$2:D29)/SUM($B$2:B29)</f>
        <v>-0.11764285714285716</v>
      </c>
      <c r="F29" s="151">
        <f t="shared" si="1"/>
        <v>-3.2940000000000005</v>
      </c>
      <c r="G29" s="203" t="s">
        <v>1054</v>
      </c>
      <c r="H29" s="185"/>
      <c r="I29" s="186"/>
      <c r="J29" s="186"/>
      <c r="K29" s="18"/>
      <c r="Q29"/>
    </row>
    <row r="30" spans="1:17" ht="15.75" thickBot="1">
      <c r="A30" s="678"/>
      <c r="B30" s="208">
        <v>1</v>
      </c>
      <c r="C30" s="208"/>
      <c r="D30" s="208">
        <f t="shared" si="0"/>
        <v>-1</v>
      </c>
      <c r="E30" s="195">
        <f>SUM($D$2:D30)/SUM($B$2:B30)</f>
        <v>-0.14806896551724139</v>
      </c>
      <c r="F30" s="165">
        <f t="shared" si="1"/>
        <v>-4.2940000000000005</v>
      </c>
      <c r="G30" s="213" t="s">
        <v>1057</v>
      </c>
      <c r="H30" s="185"/>
      <c r="I30" s="186"/>
      <c r="J30" s="186"/>
      <c r="K30" s="18"/>
      <c r="Q30"/>
    </row>
    <row r="31" spans="1:17" ht="15.75" thickBot="1">
      <c r="A31" s="677">
        <v>45911</v>
      </c>
      <c r="B31" s="208">
        <v>1</v>
      </c>
      <c r="C31" s="208">
        <v>2.99</v>
      </c>
      <c r="D31" s="208">
        <f t="shared" si="0"/>
        <v>1.9900000000000002</v>
      </c>
      <c r="E31" s="195">
        <f>SUM($D$2:D31)/SUM($B$2:B31)</f>
        <v>-7.6800000000000007E-2</v>
      </c>
      <c r="F31" s="165">
        <f t="shared" si="1"/>
        <v>-2.3040000000000003</v>
      </c>
      <c r="G31" s="205" t="s">
        <v>1059</v>
      </c>
      <c r="H31" s="185"/>
      <c r="I31" s="186"/>
      <c r="J31" s="186"/>
      <c r="K31" s="18"/>
      <c r="Q31"/>
    </row>
    <row r="32" spans="1:17">
      <c r="A32" s="678"/>
      <c r="B32" s="206">
        <v>1</v>
      </c>
      <c r="C32" s="206">
        <v>1.92</v>
      </c>
      <c r="D32" s="206">
        <f t="shared" si="0"/>
        <v>0.91999999999999993</v>
      </c>
      <c r="E32" s="193">
        <f>SUM($D$2:D32)/SUM($B$2:B32)</f>
        <v>-4.4645161290322595E-2</v>
      </c>
      <c r="F32" s="163">
        <f t="shared" si="1"/>
        <v>-1.3840000000000003</v>
      </c>
      <c r="G32" s="212" t="s">
        <v>1060</v>
      </c>
      <c r="H32" s="185"/>
      <c r="I32" s="186"/>
      <c r="J32" s="186"/>
      <c r="K32" s="18"/>
      <c r="Q32"/>
    </row>
    <row r="33" spans="1:17" ht="15.75" thickBot="1">
      <c r="A33" s="685"/>
      <c r="B33" s="208">
        <v>1</v>
      </c>
      <c r="C33" s="208">
        <v>1.98</v>
      </c>
      <c r="D33" s="208">
        <f t="shared" si="0"/>
        <v>0.98</v>
      </c>
      <c r="E33" s="195">
        <f>SUM($D$2:D33)/SUM($B$2:B33)</f>
        <v>-1.2625000000000011E-2</v>
      </c>
      <c r="F33" s="165">
        <f t="shared" si="1"/>
        <v>-0.40400000000000036</v>
      </c>
      <c r="G33" s="213" t="s">
        <v>1061</v>
      </c>
      <c r="H33" s="185"/>
      <c r="I33" s="186"/>
      <c r="J33" s="186"/>
      <c r="K33" s="18"/>
      <c r="Q33"/>
    </row>
    <row r="34" spans="1:17">
      <c r="A34" s="677">
        <v>45912</v>
      </c>
      <c r="B34" s="206">
        <v>1</v>
      </c>
      <c r="C34" s="206">
        <v>1.76</v>
      </c>
      <c r="D34" s="206">
        <f t="shared" si="0"/>
        <v>0.76</v>
      </c>
      <c r="E34" s="193">
        <f>SUM($D$2:D34)/SUM($B$2:B34)</f>
        <v>1.0787878787878777E-2</v>
      </c>
      <c r="F34" s="163">
        <f t="shared" si="1"/>
        <v>0.35599999999999965</v>
      </c>
      <c r="G34" s="212" t="s">
        <v>1062</v>
      </c>
      <c r="H34" s="185"/>
      <c r="I34" s="186"/>
      <c r="J34" s="186"/>
      <c r="K34" s="18"/>
      <c r="Q34"/>
    </row>
    <row r="35" spans="1:17">
      <c r="A35" s="678"/>
      <c r="B35" s="207">
        <v>1</v>
      </c>
      <c r="C35" s="207"/>
      <c r="D35" s="207">
        <f t="shared" si="0"/>
        <v>-1</v>
      </c>
      <c r="E35" s="156">
        <f>SUM($D$2:D35)/SUM($B$2:B35)</f>
        <v>-1.8941176470588246E-2</v>
      </c>
      <c r="F35" s="151">
        <f t="shared" si="1"/>
        <v>-0.64400000000000035</v>
      </c>
      <c r="G35" s="203" t="s">
        <v>1063</v>
      </c>
      <c r="H35" s="185"/>
      <c r="I35" s="186"/>
      <c r="J35" s="186"/>
      <c r="K35" s="18"/>
      <c r="Q35"/>
    </row>
    <row r="36" spans="1:17">
      <c r="A36" s="678"/>
      <c r="B36" s="207">
        <v>1</v>
      </c>
      <c r="C36" s="207">
        <v>1.93</v>
      </c>
      <c r="D36" s="207">
        <f t="shared" si="0"/>
        <v>0.92999999999999994</v>
      </c>
      <c r="E36" s="156">
        <f>SUM($D$2:D36)/SUM($B$2:B36)</f>
        <v>8.1714285714285604E-3</v>
      </c>
      <c r="F36" s="151">
        <f t="shared" si="1"/>
        <v>0.28599999999999959</v>
      </c>
      <c r="G36" s="203" t="s">
        <v>1064</v>
      </c>
      <c r="H36" s="185"/>
      <c r="I36" s="186"/>
      <c r="J36" s="186"/>
      <c r="K36" s="18"/>
      <c r="Q36"/>
    </row>
    <row r="37" spans="1:17">
      <c r="A37" s="678"/>
      <c r="B37" s="207">
        <v>1</v>
      </c>
      <c r="C37" s="207"/>
      <c r="D37" s="207">
        <f t="shared" si="0"/>
        <v>-1</v>
      </c>
      <c r="E37" s="156">
        <f>SUM($D$2:D37)/SUM($B$2:B37)</f>
        <v>-1.9833333333333345E-2</v>
      </c>
      <c r="F37" s="151">
        <f t="shared" si="1"/>
        <v>-0.71400000000000041</v>
      </c>
      <c r="G37" s="203" t="s">
        <v>1065</v>
      </c>
      <c r="H37" s="185"/>
      <c r="I37" s="186"/>
      <c r="J37" s="186"/>
      <c r="K37" s="18"/>
      <c r="Q37"/>
    </row>
    <row r="38" spans="1:17" ht="15.75" thickBot="1">
      <c r="A38" s="678"/>
      <c r="B38" s="208">
        <v>1</v>
      </c>
      <c r="C38" s="208">
        <v>1.89</v>
      </c>
      <c r="D38" s="208">
        <f t="shared" si="0"/>
        <v>0.8899999999999999</v>
      </c>
      <c r="E38" s="195">
        <f>SUM($D$2:D38)/SUM($B$2:B38)</f>
        <v>4.7567567567567432E-3</v>
      </c>
      <c r="F38" s="165">
        <f t="shared" si="1"/>
        <v>0.17599999999999949</v>
      </c>
      <c r="G38" s="204" t="s">
        <v>1066</v>
      </c>
      <c r="H38" s="185"/>
      <c r="I38" s="186"/>
      <c r="J38" s="186"/>
      <c r="K38" s="18"/>
      <c r="Q38"/>
    </row>
    <row r="39" spans="1:17">
      <c r="A39" s="677">
        <v>45913</v>
      </c>
      <c r="B39" s="206">
        <v>1</v>
      </c>
      <c r="C39" s="206">
        <v>1.89</v>
      </c>
      <c r="D39" s="206">
        <f t="shared" si="0"/>
        <v>0.8899999999999999</v>
      </c>
      <c r="E39" s="193">
        <f>SUM($D$2:D39)/SUM($B$2:B39)</f>
        <v>2.8052631578947353E-2</v>
      </c>
      <c r="F39" s="163">
        <f t="shared" si="1"/>
        <v>1.0659999999999994</v>
      </c>
      <c r="G39" s="212" t="s">
        <v>1067</v>
      </c>
      <c r="H39" s="185"/>
      <c r="I39" s="186"/>
      <c r="J39" s="186"/>
      <c r="K39" s="18"/>
      <c r="Q39"/>
    </row>
    <row r="40" spans="1:17">
      <c r="A40" s="678"/>
      <c r="B40" s="207">
        <v>1</v>
      </c>
      <c r="C40" s="207">
        <v>2.02</v>
      </c>
      <c r="D40" s="207">
        <f t="shared" si="0"/>
        <v>1.02</v>
      </c>
      <c r="E40" s="156">
        <f>SUM($D$2:D40)/SUM($B$2:B40)</f>
        <v>5.3487179487179473E-2</v>
      </c>
      <c r="F40" s="151">
        <f t="shared" si="1"/>
        <v>2.0859999999999994</v>
      </c>
      <c r="G40" s="203" t="s">
        <v>1068</v>
      </c>
      <c r="H40" s="185"/>
      <c r="I40" s="186"/>
      <c r="J40" s="186"/>
      <c r="K40" s="18"/>
      <c r="Q40"/>
    </row>
    <row r="41" spans="1:17">
      <c r="A41" s="678"/>
      <c r="B41" s="207">
        <v>1</v>
      </c>
      <c r="C41" s="207">
        <v>1.92</v>
      </c>
      <c r="D41" s="207">
        <f t="shared" si="0"/>
        <v>0.91999999999999993</v>
      </c>
      <c r="E41" s="156">
        <f>SUM($D$2:D41)/SUM($B$2:B41)</f>
        <v>7.5149999999999981E-2</v>
      </c>
      <c r="F41" s="151">
        <f t="shared" si="1"/>
        <v>3.0059999999999993</v>
      </c>
      <c r="G41" s="203" t="s">
        <v>1066</v>
      </c>
      <c r="H41" s="185"/>
      <c r="I41" s="186"/>
      <c r="J41" s="186"/>
      <c r="K41" s="18"/>
      <c r="Q41"/>
    </row>
    <row r="42" spans="1:17">
      <c r="A42" s="678"/>
      <c r="B42" s="207">
        <v>1</v>
      </c>
      <c r="C42" s="207"/>
      <c r="D42" s="207">
        <f t="shared" si="0"/>
        <v>-1</v>
      </c>
      <c r="E42" s="156">
        <f>SUM($D$2:D42)/SUM($B$2:B42)</f>
        <v>4.8926829268292664E-2</v>
      </c>
      <c r="F42" s="151">
        <f t="shared" si="1"/>
        <v>2.0059999999999993</v>
      </c>
      <c r="G42" s="203" t="s">
        <v>1062</v>
      </c>
      <c r="H42" s="185"/>
      <c r="I42" s="186"/>
      <c r="J42" s="186"/>
      <c r="K42" s="18"/>
      <c r="Q42"/>
    </row>
    <row r="43" spans="1:17">
      <c r="A43" s="678"/>
      <c r="B43" s="207">
        <v>1</v>
      </c>
      <c r="C43" s="207"/>
      <c r="D43" s="207">
        <f t="shared" si="0"/>
        <v>-1</v>
      </c>
      <c r="E43" s="156">
        <f>SUM($D$2:D43)/SUM($B$2:B43)</f>
        <v>2.3952380952380937E-2</v>
      </c>
      <c r="F43" s="151">
        <f t="shared" si="1"/>
        <v>1.0059999999999993</v>
      </c>
      <c r="G43" s="203" t="s">
        <v>1069</v>
      </c>
      <c r="H43" s="185"/>
      <c r="I43" s="186"/>
      <c r="J43" s="186"/>
      <c r="K43" s="18"/>
      <c r="Q43"/>
    </row>
    <row r="44" spans="1:17">
      <c r="A44" s="678"/>
      <c r="B44" s="207">
        <v>1</v>
      </c>
      <c r="C44" s="207">
        <v>1.98</v>
      </c>
      <c r="D44" s="207">
        <f t="shared" si="0"/>
        <v>0.98</v>
      </c>
      <c r="E44" s="156">
        <f>SUM($D$2:D44)/SUM($B$2:B44)</f>
        <v>4.6186046511627894E-2</v>
      </c>
      <c r="F44" s="151">
        <f t="shared" si="1"/>
        <v>1.9859999999999993</v>
      </c>
      <c r="G44" s="203" t="s">
        <v>1070</v>
      </c>
      <c r="H44" s="185"/>
      <c r="I44" s="186"/>
      <c r="J44" s="186"/>
      <c r="K44" s="18"/>
      <c r="Q44"/>
    </row>
    <row r="45" spans="1:17" ht="15.75" thickBot="1">
      <c r="A45" s="678"/>
      <c r="B45" s="208">
        <v>1</v>
      </c>
      <c r="C45" s="208">
        <v>1.9</v>
      </c>
      <c r="D45" s="208">
        <f t="shared" si="0"/>
        <v>0.89999999999999991</v>
      </c>
      <c r="E45" s="195">
        <f>SUM($D$2:D45)/SUM($B$2:B45)</f>
        <v>6.5590909090909075E-2</v>
      </c>
      <c r="F45" s="165">
        <f t="shared" si="1"/>
        <v>2.8859999999999992</v>
      </c>
      <c r="G45" s="204" t="s">
        <v>1071</v>
      </c>
      <c r="H45" s="185"/>
      <c r="I45" s="186"/>
      <c r="J45" s="186"/>
      <c r="K45" s="18"/>
      <c r="Q45"/>
    </row>
    <row r="46" spans="1:17">
      <c r="A46" s="677">
        <v>45914</v>
      </c>
      <c r="B46" s="206">
        <v>1</v>
      </c>
      <c r="C46" s="206"/>
      <c r="D46" s="206">
        <f t="shared" si="0"/>
        <v>-1</v>
      </c>
      <c r="E46" s="193">
        <f>SUM($D$2:D46)/SUM($B$2:B46)</f>
        <v>4.1911111111111093E-2</v>
      </c>
      <c r="F46" s="163">
        <f t="shared" si="1"/>
        <v>1.8859999999999992</v>
      </c>
      <c r="G46" s="212" t="s">
        <v>1071</v>
      </c>
      <c r="H46" s="185"/>
      <c r="I46" s="186"/>
      <c r="J46" s="186"/>
      <c r="K46" s="18"/>
      <c r="Q46"/>
    </row>
    <row r="47" spans="1:17">
      <c r="A47" s="678"/>
      <c r="B47" s="207">
        <v>1</v>
      </c>
      <c r="C47" s="207">
        <v>1.88</v>
      </c>
      <c r="D47" s="207">
        <f t="shared" si="0"/>
        <v>0.87999999999999989</v>
      </c>
      <c r="E47" s="156">
        <f>SUM($D$2:D47)/SUM($B$2:B47)</f>
        <v>6.0130434782608676E-2</v>
      </c>
      <c r="F47" s="151">
        <f t="shared" si="1"/>
        <v>2.7659999999999991</v>
      </c>
      <c r="G47" s="203" t="s">
        <v>1072</v>
      </c>
      <c r="H47" s="185"/>
      <c r="I47" s="186"/>
      <c r="J47" s="186"/>
      <c r="K47" s="18"/>
      <c r="Q47"/>
    </row>
    <row r="48" spans="1:17">
      <c r="A48" s="678"/>
      <c r="B48" s="207">
        <v>1</v>
      </c>
      <c r="C48" s="207">
        <v>2</v>
      </c>
      <c r="D48" s="207">
        <f t="shared" si="0"/>
        <v>1</v>
      </c>
      <c r="E48" s="156">
        <f>SUM($D$2:D48)/SUM($B$2:B48)</f>
        <v>8.012765957446806E-2</v>
      </c>
      <c r="F48" s="151">
        <f t="shared" si="1"/>
        <v>3.7659999999999991</v>
      </c>
      <c r="G48" s="203" t="s">
        <v>1066</v>
      </c>
      <c r="H48" s="185"/>
      <c r="I48" s="186"/>
      <c r="J48" s="186"/>
      <c r="K48" s="18"/>
      <c r="Q48"/>
    </row>
    <row r="49" spans="1:17">
      <c r="A49" s="678"/>
      <c r="B49" s="207">
        <v>1</v>
      </c>
      <c r="C49" s="207">
        <v>1.81</v>
      </c>
      <c r="D49" s="207">
        <f t="shared" si="0"/>
        <v>0.81</v>
      </c>
      <c r="E49" s="156">
        <f>SUM($D$2:D49)/SUM($B$2:B49)</f>
        <v>9.5333333333333312E-2</v>
      </c>
      <c r="F49" s="151">
        <f t="shared" si="1"/>
        <v>4.5759999999999987</v>
      </c>
      <c r="G49" s="203" t="s">
        <v>1062</v>
      </c>
      <c r="H49" s="185"/>
      <c r="I49" s="186"/>
      <c r="J49" s="186"/>
      <c r="K49" s="18"/>
      <c r="Q49"/>
    </row>
    <row r="50" spans="1:17">
      <c r="A50" s="678"/>
      <c r="B50" s="207">
        <v>1</v>
      </c>
      <c r="C50" s="207"/>
      <c r="D50" s="207">
        <f t="shared" si="0"/>
        <v>-1</v>
      </c>
      <c r="E50" s="156">
        <f>SUM($D$2:D50)/SUM($B$2:B50)</f>
        <v>7.2979591836734664E-2</v>
      </c>
      <c r="F50" s="151">
        <f t="shared" si="1"/>
        <v>3.5759999999999987</v>
      </c>
      <c r="G50" s="203" t="s">
        <v>1065</v>
      </c>
      <c r="H50" s="185"/>
      <c r="I50" s="186"/>
      <c r="J50" s="186"/>
      <c r="K50" s="18"/>
      <c r="Q50"/>
    </row>
    <row r="51" spans="1:17" ht="15.75" thickBot="1">
      <c r="A51" s="685"/>
      <c r="B51" s="208">
        <v>1</v>
      </c>
      <c r="C51" s="208"/>
      <c r="D51" s="208">
        <f t="shared" si="0"/>
        <v>-1</v>
      </c>
      <c r="E51" s="195">
        <f>SUM($D$2:D51)/SUM($B$2:B51)</f>
        <v>5.1519999999999976E-2</v>
      </c>
      <c r="F51" s="165">
        <f t="shared" si="1"/>
        <v>2.5759999999999987</v>
      </c>
      <c r="G51" s="204" t="s">
        <v>1070</v>
      </c>
      <c r="H51" s="185"/>
      <c r="I51" s="186"/>
      <c r="J51" s="186"/>
      <c r="K51" s="18"/>
      <c r="Q51"/>
    </row>
    <row r="52" spans="1:17">
      <c r="A52" s="677">
        <v>45915</v>
      </c>
      <c r="B52" s="207">
        <v>1</v>
      </c>
      <c r="C52" s="207">
        <v>1.84</v>
      </c>
      <c r="D52" s="207">
        <f t="shared" si="0"/>
        <v>0.84000000000000008</v>
      </c>
      <c r="E52" s="156">
        <f>SUM($D$2:D52)/SUM($B$2:B52)</f>
        <v>6.6980392156862717E-2</v>
      </c>
      <c r="F52" s="151">
        <f t="shared" si="1"/>
        <v>3.4159999999999986</v>
      </c>
      <c r="G52" s="203" t="s">
        <v>1073</v>
      </c>
      <c r="H52" s="185"/>
      <c r="I52" s="186"/>
      <c r="J52" s="186"/>
      <c r="K52" s="18"/>
      <c r="Q52"/>
    </row>
    <row r="53" spans="1:17">
      <c r="A53" s="678"/>
      <c r="B53" s="207">
        <v>1</v>
      </c>
      <c r="C53" s="207">
        <v>1.97</v>
      </c>
      <c r="D53" s="207">
        <f t="shared" si="0"/>
        <v>0.97</v>
      </c>
      <c r="E53" s="156">
        <f>SUM($D$2:D53)/SUM($B$2:B53)</f>
        <v>8.4346153846153821E-2</v>
      </c>
      <c r="F53" s="151">
        <f t="shared" si="1"/>
        <v>4.3859999999999983</v>
      </c>
      <c r="G53" s="203" t="s">
        <v>1074</v>
      </c>
      <c r="H53" s="185"/>
      <c r="I53" s="186"/>
      <c r="J53" s="186"/>
      <c r="K53" s="18"/>
      <c r="Q53"/>
    </row>
    <row r="54" spans="1:17" ht="15.75" thickBot="1">
      <c r="A54" s="685"/>
      <c r="B54" s="208">
        <v>1</v>
      </c>
      <c r="C54" s="208">
        <v>1.909</v>
      </c>
      <c r="D54" s="208">
        <f t="shared" si="0"/>
        <v>0.90900000000000003</v>
      </c>
      <c r="E54" s="195">
        <f>SUM($D$2:D54)/SUM($B$2:B54)</f>
        <v>9.9905660377358457E-2</v>
      </c>
      <c r="F54" s="165">
        <f t="shared" si="1"/>
        <v>5.2949999999999982</v>
      </c>
      <c r="G54" s="204" t="s">
        <v>1075</v>
      </c>
      <c r="H54" s="185"/>
      <c r="I54" s="186"/>
      <c r="J54" s="186"/>
      <c r="K54" s="18"/>
      <c r="Q54"/>
    </row>
    <row r="55" spans="1:17">
      <c r="A55" s="677">
        <v>45916</v>
      </c>
      <c r="B55" s="207">
        <v>1</v>
      </c>
      <c r="C55" s="207">
        <v>1.86</v>
      </c>
      <c r="D55" s="207">
        <f t="shared" si="0"/>
        <v>0.8600000000000001</v>
      </c>
      <c r="E55" s="156">
        <f>SUM($D$2:D55)/SUM($B$2:B55)</f>
        <v>0.11398148148148145</v>
      </c>
      <c r="F55" s="151">
        <f t="shared" si="1"/>
        <v>6.1549999999999985</v>
      </c>
      <c r="G55" s="277" t="s">
        <v>1073</v>
      </c>
      <c r="H55" s="185"/>
      <c r="I55" s="186"/>
      <c r="J55" s="186"/>
      <c r="K55" s="18"/>
      <c r="Q55"/>
    </row>
    <row r="56" spans="1:17">
      <c r="A56" s="678"/>
      <c r="B56" s="207">
        <v>1</v>
      </c>
      <c r="C56" s="207"/>
      <c r="D56" s="207">
        <f t="shared" si="0"/>
        <v>-1</v>
      </c>
      <c r="E56" s="156">
        <f>SUM($D$2:D56)/SUM($B$2:B56)</f>
        <v>9.3727272727272701E-2</v>
      </c>
      <c r="F56" s="151">
        <f t="shared" si="1"/>
        <v>5.1549999999999985</v>
      </c>
      <c r="G56" s="203" t="s">
        <v>1076</v>
      </c>
      <c r="H56" s="185"/>
      <c r="I56" s="186"/>
      <c r="J56" s="186"/>
      <c r="K56" s="18"/>
      <c r="Q56"/>
    </row>
    <row r="57" spans="1:17">
      <c r="A57" s="678"/>
      <c r="B57" s="207">
        <v>1</v>
      </c>
      <c r="C57" s="207">
        <v>1.95</v>
      </c>
      <c r="D57" s="207">
        <f t="shared" si="0"/>
        <v>0.95</v>
      </c>
      <c r="E57" s="156">
        <f>SUM($D$2:D57)/SUM($B$2:B57)</f>
        <v>0.10901785714285712</v>
      </c>
      <c r="F57" s="151">
        <f t="shared" si="1"/>
        <v>6.1049999999999986</v>
      </c>
      <c r="G57" s="203" t="s">
        <v>1075</v>
      </c>
      <c r="H57" s="185"/>
      <c r="I57" s="186"/>
      <c r="J57" s="186"/>
      <c r="K57" s="18"/>
      <c r="Q57"/>
    </row>
    <row r="58" spans="1:17">
      <c r="A58" s="678"/>
      <c r="B58" s="207">
        <v>1</v>
      </c>
      <c r="C58" s="207">
        <v>1.98</v>
      </c>
      <c r="D58" s="207">
        <f t="shared" si="0"/>
        <v>0.98</v>
      </c>
      <c r="E58" s="156">
        <f>SUM($D$2:D58)/SUM($B$2:B58)</f>
        <v>0.12429824561403507</v>
      </c>
      <c r="F58" s="151">
        <f t="shared" si="1"/>
        <v>7.0849999999999991</v>
      </c>
      <c r="G58" s="203" t="s">
        <v>1074</v>
      </c>
      <c r="H58" s="185"/>
      <c r="I58" s="186"/>
      <c r="J58" s="186"/>
      <c r="K58" s="18"/>
      <c r="Q58"/>
    </row>
    <row r="59" spans="1:17">
      <c r="A59" s="678"/>
      <c r="B59" s="207">
        <v>1</v>
      </c>
      <c r="C59" s="207">
        <v>1.87</v>
      </c>
      <c r="D59" s="207">
        <f t="shared" si="0"/>
        <v>0.87000000000000011</v>
      </c>
      <c r="E59" s="156">
        <f>SUM($D$2:D59)/SUM($B$2:B59)</f>
        <v>0.1371551724137931</v>
      </c>
      <c r="F59" s="151">
        <f t="shared" si="1"/>
        <v>7.9549999999999992</v>
      </c>
      <c r="G59" s="203" t="s">
        <v>1077</v>
      </c>
      <c r="H59" s="185"/>
      <c r="I59" s="186"/>
      <c r="J59" s="186"/>
      <c r="K59" s="18"/>
      <c r="Q59"/>
    </row>
    <row r="60" spans="1:17" ht="15.75" thickBot="1">
      <c r="A60" s="685"/>
      <c r="B60" s="208">
        <v>1</v>
      </c>
      <c r="C60" s="208"/>
      <c r="D60" s="208">
        <f t="shared" si="0"/>
        <v>-1</v>
      </c>
      <c r="E60" s="195">
        <f>SUM($D$2:D60)/SUM($B$2:B60)</f>
        <v>0.11788135593220338</v>
      </c>
      <c r="F60" s="165">
        <f t="shared" si="1"/>
        <v>6.9549999999999992</v>
      </c>
      <c r="G60" s="204" t="s">
        <v>1078</v>
      </c>
      <c r="H60" s="185"/>
      <c r="I60" s="186"/>
      <c r="J60" s="186"/>
      <c r="K60" s="18"/>
      <c r="Q60"/>
    </row>
    <row r="61" spans="1:17">
      <c r="A61" s="677">
        <v>45917</v>
      </c>
      <c r="B61" s="167">
        <v>1</v>
      </c>
      <c r="C61" s="206">
        <v>3.14</v>
      </c>
      <c r="D61" s="206">
        <f t="shared" si="0"/>
        <v>2.14</v>
      </c>
      <c r="E61" s="193">
        <f>SUM($D$2:D61)/SUM($B$2:B61)</f>
        <v>0.15158333333333332</v>
      </c>
      <c r="F61" s="163">
        <f t="shared" si="1"/>
        <v>9.0949999999999989</v>
      </c>
      <c r="G61" s="202" t="s">
        <v>1079</v>
      </c>
      <c r="H61" s="185"/>
      <c r="I61" s="186"/>
      <c r="J61" s="186"/>
      <c r="K61" s="18"/>
      <c r="Q61"/>
    </row>
    <row r="62" spans="1:17" ht="15.75" thickBot="1">
      <c r="A62" s="678"/>
      <c r="B62" s="172">
        <v>1</v>
      </c>
      <c r="C62" s="208">
        <v>2.81</v>
      </c>
      <c r="D62" s="208">
        <f t="shared" si="0"/>
        <v>1.81</v>
      </c>
      <c r="E62" s="195">
        <f>SUM($D$2:D62)/SUM($B$2:B62)</f>
        <v>0.17877049180327867</v>
      </c>
      <c r="F62" s="165">
        <f t="shared" si="1"/>
        <v>10.904999999999999</v>
      </c>
      <c r="G62" s="204" t="s">
        <v>1080</v>
      </c>
      <c r="H62" s="185"/>
      <c r="I62" s="186"/>
      <c r="J62" s="186"/>
      <c r="K62" s="18"/>
      <c r="Q62"/>
    </row>
    <row r="63" spans="1:17">
      <c r="A63" s="678"/>
      <c r="B63" s="209">
        <v>1</v>
      </c>
      <c r="C63" s="209">
        <v>2.0099999999999998</v>
      </c>
      <c r="D63" s="209">
        <f t="shared" si="0"/>
        <v>1.0099999999999998</v>
      </c>
      <c r="E63" s="197">
        <f>SUM($D$2:D63)/SUM($B$2:B63)</f>
        <v>0.1921774193548387</v>
      </c>
      <c r="F63" s="164">
        <f t="shared" si="1"/>
        <v>11.914999999999999</v>
      </c>
      <c r="G63" s="279" t="s">
        <v>1081</v>
      </c>
      <c r="H63" s="185"/>
      <c r="I63" s="186"/>
      <c r="J63" s="186"/>
      <c r="K63" s="18"/>
      <c r="Q63"/>
    </row>
    <row r="64" spans="1:17">
      <c r="A64" s="678"/>
      <c r="B64" s="207">
        <v>1</v>
      </c>
      <c r="C64" s="207">
        <v>1.87</v>
      </c>
      <c r="D64" s="207">
        <f t="shared" si="0"/>
        <v>0.87000000000000011</v>
      </c>
      <c r="E64" s="156">
        <f>SUM($D$2:D64)/SUM($B$2:B64)</f>
        <v>0.20293650793650794</v>
      </c>
      <c r="F64" s="151">
        <f t="shared" si="1"/>
        <v>12.785</v>
      </c>
      <c r="G64" s="203" t="s">
        <v>1082</v>
      </c>
      <c r="H64" s="185"/>
      <c r="I64" s="186"/>
      <c r="J64" s="186"/>
      <c r="K64" s="18"/>
      <c r="Q64"/>
    </row>
    <row r="65" spans="1:17">
      <c r="A65" s="678"/>
      <c r="B65" s="207">
        <v>1</v>
      </c>
      <c r="C65" s="207"/>
      <c r="D65" s="207">
        <f t="shared" si="0"/>
        <v>-1</v>
      </c>
      <c r="E65" s="156">
        <f>SUM($D$2:D65)/SUM($B$2:B65)</f>
        <v>0.184140625</v>
      </c>
      <c r="F65" s="151">
        <f t="shared" si="1"/>
        <v>11.785</v>
      </c>
      <c r="G65" s="203" t="s">
        <v>1073</v>
      </c>
      <c r="H65" s="185"/>
      <c r="I65" s="186"/>
      <c r="J65" s="186"/>
      <c r="K65" s="18"/>
      <c r="Q65"/>
    </row>
    <row r="66" spans="1:17">
      <c r="A66" s="678"/>
      <c r="B66" s="207">
        <v>1</v>
      </c>
      <c r="C66" s="207">
        <v>1.93</v>
      </c>
      <c r="D66" s="207">
        <f t="shared" si="0"/>
        <v>0.92999999999999994</v>
      </c>
      <c r="E66" s="156">
        <f>SUM($D$2:D66)/SUM($B$2:B66)</f>
        <v>0.19561538461538461</v>
      </c>
      <c r="F66" s="151">
        <f t="shared" si="1"/>
        <v>12.715</v>
      </c>
      <c r="G66" s="203" t="s">
        <v>1083</v>
      </c>
      <c r="H66" s="185"/>
      <c r="I66" s="186"/>
      <c r="J66" s="186"/>
      <c r="K66" s="18"/>
      <c r="Q66"/>
    </row>
    <row r="67" spans="1:17">
      <c r="A67" s="678"/>
      <c r="B67" s="207">
        <v>1</v>
      </c>
      <c r="C67" s="207"/>
      <c r="D67" s="207">
        <f t="shared" ref="D67:D119" si="2">(B67*C67)-B67</f>
        <v>-1</v>
      </c>
      <c r="E67" s="156">
        <f>SUM($D$2:D67)/SUM($B$2:B67)</f>
        <v>0.17749999999999999</v>
      </c>
      <c r="F67" s="151">
        <f t="shared" si="1"/>
        <v>11.715</v>
      </c>
      <c r="G67" s="203" t="s">
        <v>1084</v>
      </c>
      <c r="H67" s="185"/>
      <c r="I67" s="186"/>
      <c r="J67" s="186"/>
      <c r="K67" s="18"/>
      <c r="Q67"/>
    </row>
    <row r="68" spans="1:17" ht="15.75" thickBot="1">
      <c r="A68" s="685"/>
      <c r="B68" s="208">
        <v>1</v>
      </c>
      <c r="C68" s="208">
        <v>1.87</v>
      </c>
      <c r="D68" s="208">
        <f t="shared" si="2"/>
        <v>0.87000000000000011</v>
      </c>
      <c r="E68" s="195">
        <f>SUM($D$2:D68)/SUM($B$2:B68)</f>
        <v>0.18783582089552239</v>
      </c>
      <c r="F68" s="165">
        <f t="shared" ref="F68:F119" si="3">F67+D68</f>
        <v>12.585000000000001</v>
      </c>
      <c r="G68" s="204" t="s">
        <v>1077</v>
      </c>
      <c r="H68" s="185"/>
      <c r="I68" s="186"/>
      <c r="J68" s="186"/>
      <c r="K68" s="18"/>
      <c r="Q68"/>
    </row>
    <row r="69" spans="1:17">
      <c r="A69" s="677">
        <v>45918</v>
      </c>
      <c r="B69" s="206">
        <v>1</v>
      </c>
      <c r="C69" s="206"/>
      <c r="D69" s="206">
        <f t="shared" si="2"/>
        <v>-1</v>
      </c>
      <c r="E69" s="193">
        <f>SUM($D$2:D69)/SUM($B$2:B69)</f>
        <v>0.17036764705882354</v>
      </c>
      <c r="F69" s="163">
        <f t="shared" si="3"/>
        <v>11.585000000000001</v>
      </c>
      <c r="G69" s="203" t="s">
        <v>1075</v>
      </c>
      <c r="H69" s="185"/>
      <c r="I69" s="186"/>
      <c r="J69" s="186"/>
      <c r="K69" s="18"/>
      <c r="Q69"/>
    </row>
    <row r="70" spans="1:17">
      <c r="A70" s="678"/>
      <c r="B70" s="207">
        <v>1</v>
      </c>
      <c r="C70" s="207">
        <v>1.87</v>
      </c>
      <c r="D70" s="207">
        <f t="shared" si="2"/>
        <v>0.87000000000000011</v>
      </c>
      <c r="E70" s="156">
        <f>SUM($D$2:D70)/SUM($B$2:B70)</f>
        <v>0.18050724637681162</v>
      </c>
      <c r="F70" s="151">
        <f t="shared" si="3"/>
        <v>12.455000000000002</v>
      </c>
      <c r="G70" s="203" t="s">
        <v>1085</v>
      </c>
      <c r="H70" s="185"/>
      <c r="I70" s="186"/>
      <c r="J70" s="186"/>
      <c r="K70" s="18"/>
      <c r="Q70"/>
    </row>
    <row r="71" spans="1:17">
      <c r="A71" s="678"/>
      <c r="B71" s="207">
        <v>1</v>
      </c>
      <c r="C71" s="207">
        <v>1.9</v>
      </c>
      <c r="D71" s="207">
        <f t="shared" si="2"/>
        <v>0.89999999999999991</v>
      </c>
      <c r="E71" s="156">
        <f>SUM($D$2:D71)/SUM($B$2:B71)</f>
        <v>0.19078571428571431</v>
      </c>
      <c r="F71" s="151">
        <f t="shared" si="3"/>
        <v>13.355000000000002</v>
      </c>
      <c r="G71" s="203" t="s">
        <v>1086</v>
      </c>
      <c r="H71" s="185"/>
      <c r="I71" s="186"/>
      <c r="J71" s="186"/>
      <c r="K71" s="18"/>
      <c r="Q71"/>
    </row>
    <row r="72" spans="1:17">
      <c r="A72" s="678"/>
      <c r="B72" s="207">
        <v>1</v>
      </c>
      <c r="C72" s="207"/>
      <c r="D72" s="207">
        <f t="shared" si="2"/>
        <v>-1</v>
      </c>
      <c r="E72" s="156">
        <f>SUM($D$2:D72)/SUM($B$2:B72)</f>
        <v>0.17401408450704228</v>
      </c>
      <c r="F72" s="151">
        <f t="shared" si="3"/>
        <v>12.355000000000002</v>
      </c>
      <c r="G72" s="203" t="s">
        <v>1087</v>
      </c>
      <c r="H72" s="185"/>
      <c r="I72" s="186"/>
      <c r="J72" s="186"/>
      <c r="K72" s="18"/>
      <c r="Q72"/>
    </row>
    <row r="73" spans="1:17">
      <c r="A73" s="678"/>
      <c r="B73" s="207">
        <v>1</v>
      </c>
      <c r="C73" s="207"/>
      <c r="D73" s="207">
        <f t="shared" si="2"/>
        <v>-1</v>
      </c>
      <c r="E73" s="156">
        <f>SUM($D$2:D73)/SUM($B$2:B73)</f>
        <v>0.15770833333333337</v>
      </c>
      <c r="F73" s="151">
        <f t="shared" si="3"/>
        <v>11.355000000000002</v>
      </c>
      <c r="G73" s="203" t="s">
        <v>1088</v>
      </c>
      <c r="H73" s="185"/>
      <c r="I73" s="186"/>
      <c r="J73" s="186"/>
      <c r="K73" s="18"/>
      <c r="Q73"/>
    </row>
    <row r="74" spans="1:17" ht="15.75" thickBot="1">
      <c r="A74" s="685"/>
      <c r="B74" s="208">
        <v>1</v>
      </c>
      <c r="C74" s="208"/>
      <c r="D74" s="208">
        <f t="shared" si="2"/>
        <v>-1</v>
      </c>
      <c r="E74" s="195">
        <f>SUM($D$2:D74)/SUM($B$2:B74)</f>
        <v>0.14184931506849319</v>
      </c>
      <c r="F74" s="165">
        <f t="shared" si="3"/>
        <v>10.355000000000002</v>
      </c>
      <c r="G74" s="204" t="s">
        <v>1089</v>
      </c>
      <c r="H74" s="185"/>
      <c r="I74" s="186"/>
      <c r="J74" s="186"/>
      <c r="K74" s="18"/>
      <c r="Q74"/>
    </row>
    <row r="75" spans="1:17">
      <c r="A75" s="677">
        <v>45919</v>
      </c>
      <c r="B75" s="206">
        <v>1</v>
      </c>
      <c r="C75" s="206">
        <v>2.0099999999999998</v>
      </c>
      <c r="D75" s="206">
        <f t="shared" si="2"/>
        <v>1.0099999999999998</v>
      </c>
      <c r="E75" s="193">
        <f>SUM($D$2:D75)/SUM($B$2:B75)</f>
        <v>0.15358108108108109</v>
      </c>
      <c r="F75" s="163">
        <f t="shared" si="3"/>
        <v>11.365000000000002</v>
      </c>
      <c r="G75" s="203" t="s">
        <v>1090</v>
      </c>
      <c r="H75" s="185"/>
      <c r="I75" s="186"/>
      <c r="J75" s="186"/>
      <c r="K75" s="18"/>
      <c r="Q75"/>
    </row>
    <row r="76" spans="1:17">
      <c r="A76" s="678"/>
      <c r="B76" s="207">
        <v>1</v>
      </c>
      <c r="C76" s="207">
        <v>1.615</v>
      </c>
      <c r="D76" s="207">
        <f t="shared" si="2"/>
        <v>0.61499999999999999</v>
      </c>
      <c r="E76" s="156">
        <f>SUM($D$2:D76)/SUM($B$2:B76)</f>
        <v>0.15973333333333337</v>
      </c>
      <c r="F76" s="151">
        <f t="shared" si="3"/>
        <v>11.980000000000002</v>
      </c>
      <c r="G76" s="203" t="s">
        <v>1091</v>
      </c>
      <c r="H76" s="185"/>
      <c r="I76" s="186"/>
      <c r="J76" s="186"/>
      <c r="K76" s="18"/>
      <c r="Q76"/>
    </row>
    <row r="77" spans="1:17">
      <c r="A77" s="678"/>
      <c r="B77" s="207">
        <v>1</v>
      </c>
      <c r="C77" s="207">
        <v>1.92</v>
      </c>
      <c r="D77" s="207">
        <f t="shared" si="2"/>
        <v>0.91999999999999993</v>
      </c>
      <c r="E77" s="156">
        <f>SUM($D$2:D77)/SUM($B$2:B77)</f>
        <v>0.16973684210526319</v>
      </c>
      <c r="F77" s="151">
        <f t="shared" si="3"/>
        <v>12.900000000000002</v>
      </c>
      <c r="G77" s="203" t="s">
        <v>1088</v>
      </c>
      <c r="H77" s="185"/>
      <c r="I77" s="186"/>
      <c r="J77" s="186"/>
      <c r="K77" s="18"/>
      <c r="Q77"/>
    </row>
    <row r="78" spans="1:17">
      <c r="A78" s="678"/>
      <c r="B78" s="207">
        <v>1</v>
      </c>
      <c r="C78" s="207">
        <v>1.84</v>
      </c>
      <c r="D78" s="207">
        <f t="shared" si="2"/>
        <v>0.84000000000000008</v>
      </c>
      <c r="E78" s="156">
        <f>SUM($D$2:D78)/SUM($B$2:B78)</f>
        <v>0.17844155844155846</v>
      </c>
      <c r="F78" s="151">
        <f t="shared" si="3"/>
        <v>13.740000000000002</v>
      </c>
      <c r="G78" s="203" t="s">
        <v>1092</v>
      </c>
      <c r="H78" s="185"/>
      <c r="I78" s="186"/>
      <c r="J78" s="186"/>
      <c r="K78" s="18"/>
      <c r="Q78"/>
    </row>
    <row r="79" spans="1:17">
      <c r="A79" s="678"/>
      <c r="B79" s="207">
        <v>1</v>
      </c>
      <c r="C79" s="207">
        <v>1.909</v>
      </c>
      <c r="D79" s="207">
        <f t="shared" si="2"/>
        <v>0.90900000000000003</v>
      </c>
      <c r="E79" s="156">
        <f>SUM($D$2:D79)/SUM($B$2:B79)</f>
        <v>0.18780769230769234</v>
      </c>
      <c r="F79" s="151">
        <f t="shared" si="3"/>
        <v>14.649000000000003</v>
      </c>
      <c r="G79" s="203" t="s">
        <v>1093</v>
      </c>
      <c r="H79" s="185"/>
      <c r="I79" s="186"/>
      <c r="J79" s="186"/>
      <c r="K79" s="18"/>
      <c r="Q79"/>
    </row>
    <row r="80" spans="1:17">
      <c r="A80" s="678"/>
      <c r="B80" s="207">
        <v>1</v>
      </c>
      <c r="C80" s="207">
        <v>1.98</v>
      </c>
      <c r="D80" s="207">
        <f t="shared" si="2"/>
        <v>0.98</v>
      </c>
      <c r="E80" s="156">
        <f>SUM($D$2:D80)/SUM($B$2:B80)</f>
        <v>0.19783544303797473</v>
      </c>
      <c r="F80" s="151">
        <f t="shared" si="3"/>
        <v>15.629000000000003</v>
      </c>
      <c r="G80" s="203" t="s">
        <v>1094</v>
      </c>
      <c r="H80" s="185"/>
      <c r="I80" s="186"/>
      <c r="J80" s="186"/>
      <c r="K80" s="18"/>
      <c r="Q80"/>
    </row>
    <row r="81" spans="1:17">
      <c r="A81" s="678"/>
      <c r="B81" s="207">
        <v>1</v>
      </c>
      <c r="C81" s="207">
        <v>1.909</v>
      </c>
      <c r="D81" s="207">
        <f t="shared" si="2"/>
        <v>0.90900000000000003</v>
      </c>
      <c r="E81" s="156">
        <f>SUM($D$2:D81)/SUM($B$2:B81)</f>
        <v>0.20672500000000005</v>
      </c>
      <c r="F81" s="151">
        <f t="shared" si="3"/>
        <v>16.538000000000004</v>
      </c>
      <c r="G81" s="203" t="s">
        <v>1089</v>
      </c>
      <c r="H81" s="185"/>
      <c r="I81" s="186"/>
      <c r="J81" s="186"/>
      <c r="K81" s="18"/>
      <c r="Q81"/>
    </row>
    <row r="82" spans="1:17">
      <c r="A82" s="678"/>
      <c r="B82" s="207">
        <v>1</v>
      </c>
      <c r="C82" s="207">
        <v>2.06</v>
      </c>
      <c r="D82" s="207">
        <f t="shared" si="2"/>
        <v>1.06</v>
      </c>
      <c r="E82" s="156">
        <f>SUM($D$2:D82)/SUM($B$2:B82)</f>
        <v>0.21725925925925929</v>
      </c>
      <c r="F82" s="151">
        <f t="shared" si="3"/>
        <v>17.598000000000003</v>
      </c>
      <c r="G82" s="203" t="s">
        <v>1095</v>
      </c>
      <c r="H82" s="185"/>
      <c r="I82" s="186"/>
      <c r="J82" s="186"/>
      <c r="K82" s="18"/>
      <c r="Q82"/>
    </row>
    <row r="83" spans="1:17">
      <c r="A83" s="678"/>
      <c r="B83" s="207">
        <v>1</v>
      </c>
      <c r="C83" s="207"/>
      <c r="D83" s="207">
        <f t="shared" si="2"/>
        <v>-1</v>
      </c>
      <c r="E83" s="156">
        <f>SUM($D$2:D83)/SUM($B$2:B83)</f>
        <v>0.2024146341463415</v>
      </c>
      <c r="F83" s="151">
        <f t="shared" si="3"/>
        <v>16.598000000000003</v>
      </c>
      <c r="G83" s="203" t="s">
        <v>1086</v>
      </c>
      <c r="H83" s="185"/>
      <c r="I83" s="186"/>
      <c r="J83" s="186"/>
      <c r="K83" s="18"/>
      <c r="Q83"/>
    </row>
    <row r="84" spans="1:17" ht="15.75" thickBot="1">
      <c r="A84" s="685"/>
      <c r="B84" s="208">
        <v>1</v>
      </c>
      <c r="C84" s="208">
        <v>2.13</v>
      </c>
      <c r="D84" s="208">
        <f t="shared" si="2"/>
        <v>1.1299999999999999</v>
      </c>
      <c r="E84" s="195">
        <f>SUM($D$2:D84)/SUM($B$2:B84)</f>
        <v>0.21359036144578314</v>
      </c>
      <c r="F84" s="165">
        <f t="shared" si="3"/>
        <v>17.728000000000002</v>
      </c>
      <c r="G84" s="204" t="s">
        <v>1096</v>
      </c>
      <c r="H84" s="185"/>
      <c r="I84" s="186"/>
      <c r="J84" s="186"/>
      <c r="K84" s="18"/>
      <c r="Q84"/>
    </row>
    <row r="85" spans="1:17">
      <c r="A85" s="677">
        <v>45920</v>
      </c>
      <c r="B85" s="207">
        <v>1</v>
      </c>
      <c r="C85" s="207">
        <v>1.93</v>
      </c>
      <c r="D85" s="207">
        <f t="shared" si="2"/>
        <v>0.92999999999999994</v>
      </c>
      <c r="E85" s="156">
        <f>SUM($D$2:D85)/SUM($B$2:B85)</f>
        <v>0.22211904761904763</v>
      </c>
      <c r="F85" s="151">
        <f t="shared" si="3"/>
        <v>18.658000000000001</v>
      </c>
      <c r="G85" s="203" t="s">
        <v>1094</v>
      </c>
      <c r="H85" s="185"/>
      <c r="I85" s="186"/>
      <c r="J85" s="186"/>
      <c r="K85" s="18"/>
      <c r="Q85"/>
    </row>
    <row r="86" spans="1:17">
      <c r="A86" s="678"/>
      <c r="B86" s="207">
        <v>1</v>
      </c>
      <c r="C86" s="207">
        <v>1.88</v>
      </c>
      <c r="D86" s="207">
        <f t="shared" si="2"/>
        <v>0.87999999999999989</v>
      </c>
      <c r="E86" s="156">
        <f>SUM($D$2:D86)/SUM($B$2:B86)</f>
        <v>0.22985882352941175</v>
      </c>
      <c r="F86" s="151">
        <f t="shared" si="3"/>
        <v>19.538</v>
      </c>
      <c r="G86" s="203" t="s">
        <v>1086</v>
      </c>
      <c r="H86" s="185"/>
      <c r="I86" s="186"/>
      <c r="J86" s="186"/>
      <c r="K86" s="18"/>
      <c r="Q86"/>
    </row>
    <row r="87" spans="1:17">
      <c r="A87" s="678"/>
      <c r="B87" s="207">
        <v>1</v>
      </c>
      <c r="C87" s="207">
        <v>1.87</v>
      </c>
      <c r="D87" s="207">
        <f t="shared" si="2"/>
        <v>0.87000000000000011</v>
      </c>
      <c r="E87" s="156">
        <f>SUM($D$2:D87)/SUM($B$2:B87)</f>
        <v>0.23730232558139536</v>
      </c>
      <c r="F87" s="151">
        <f t="shared" si="3"/>
        <v>20.408000000000001</v>
      </c>
      <c r="G87" s="203" t="s">
        <v>1092</v>
      </c>
      <c r="H87" s="185"/>
      <c r="I87" s="186"/>
      <c r="J87" s="186"/>
      <c r="K87" s="18"/>
      <c r="Q87"/>
    </row>
    <row r="88" spans="1:17">
      <c r="A88" s="678"/>
      <c r="B88" s="207">
        <v>1</v>
      </c>
      <c r="C88" s="207">
        <v>1.87</v>
      </c>
      <c r="D88" s="207">
        <f t="shared" si="2"/>
        <v>0.87000000000000011</v>
      </c>
      <c r="E88" s="156">
        <f>SUM($D$2:D88)/SUM($B$2:B88)</f>
        <v>0.24457471264367819</v>
      </c>
      <c r="F88" s="151">
        <f t="shared" si="3"/>
        <v>21.278000000000002</v>
      </c>
      <c r="G88" s="203" t="s">
        <v>1089</v>
      </c>
      <c r="H88" s="185"/>
      <c r="I88" s="186"/>
      <c r="J88" s="186"/>
      <c r="K88" s="18"/>
      <c r="Q88"/>
    </row>
    <row r="89" spans="1:17">
      <c r="A89" s="678"/>
      <c r="B89" s="207">
        <v>1</v>
      </c>
      <c r="C89" s="207"/>
      <c r="D89" s="207">
        <f t="shared" si="2"/>
        <v>-1</v>
      </c>
      <c r="E89" s="156">
        <f>SUM($D$2:D89)/SUM($B$2:B89)</f>
        <v>0.23043181818181821</v>
      </c>
      <c r="F89" s="151">
        <f t="shared" si="3"/>
        <v>20.278000000000002</v>
      </c>
      <c r="G89" s="203" t="s">
        <v>1097</v>
      </c>
      <c r="H89" s="185"/>
      <c r="I89" s="186"/>
      <c r="J89" s="186"/>
      <c r="K89" s="18"/>
      <c r="Q89"/>
    </row>
    <row r="90" spans="1:17">
      <c r="A90" s="678"/>
      <c r="B90" s="207">
        <v>1</v>
      </c>
      <c r="C90" s="207"/>
      <c r="D90" s="207">
        <f t="shared" si="2"/>
        <v>-1</v>
      </c>
      <c r="E90" s="156">
        <f>SUM($D$2:D90)/SUM($B$2:B90)</f>
        <v>0.21660674157303372</v>
      </c>
      <c r="F90" s="151">
        <f t="shared" si="3"/>
        <v>19.278000000000002</v>
      </c>
      <c r="G90" s="203" t="s">
        <v>1088</v>
      </c>
      <c r="H90" s="185"/>
      <c r="I90" s="186"/>
      <c r="J90" s="186"/>
      <c r="K90" s="18"/>
      <c r="Q90"/>
    </row>
    <row r="91" spans="1:17">
      <c r="A91" s="678"/>
      <c r="B91" s="207">
        <v>1</v>
      </c>
      <c r="C91" s="207"/>
      <c r="D91" s="207">
        <f t="shared" si="2"/>
        <v>-1</v>
      </c>
      <c r="E91" s="156">
        <f>SUM($D$2:D91)/SUM($B$2:B91)</f>
        <v>0.2030888888888889</v>
      </c>
      <c r="F91" s="151">
        <f t="shared" si="3"/>
        <v>18.278000000000002</v>
      </c>
      <c r="G91" s="203" t="s">
        <v>1093</v>
      </c>
      <c r="H91" s="185"/>
      <c r="I91" s="186"/>
      <c r="J91" s="186"/>
      <c r="K91" s="18"/>
      <c r="Q91"/>
    </row>
    <row r="92" spans="1:17" ht="15.75" thickBot="1">
      <c r="A92" s="685"/>
      <c r="B92" s="208">
        <v>1</v>
      </c>
      <c r="C92" s="208">
        <v>2</v>
      </c>
      <c r="D92" s="208">
        <f t="shared" si="2"/>
        <v>1</v>
      </c>
      <c r="E92" s="195">
        <f>SUM($D$2:D92)/SUM($B$2:B92)</f>
        <v>0.21184615384615388</v>
      </c>
      <c r="F92" s="165">
        <f t="shared" si="3"/>
        <v>19.278000000000002</v>
      </c>
      <c r="G92" s="204" t="s">
        <v>1095</v>
      </c>
      <c r="H92" s="185"/>
      <c r="I92" s="186"/>
      <c r="J92" s="186"/>
      <c r="K92" s="18"/>
      <c r="Q92"/>
    </row>
    <row r="93" spans="1:17">
      <c r="A93" s="677">
        <v>45921</v>
      </c>
      <c r="B93" s="167">
        <v>1</v>
      </c>
      <c r="C93" s="206"/>
      <c r="D93" s="206">
        <f t="shared" si="2"/>
        <v>-1</v>
      </c>
      <c r="E93" s="184">
        <f>SUM($D$2:D93)/SUM($B$2:B93)</f>
        <v>0.19867391304347828</v>
      </c>
      <c r="F93" s="163">
        <f t="shared" si="3"/>
        <v>18.278000000000002</v>
      </c>
      <c r="G93" s="202" t="s">
        <v>1098</v>
      </c>
      <c r="H93" s="185"/>
      <c r="I93" s="186"/>
      <c r="J93" s="186"/>
      <c r="K93" s="18"/>
      <c r="Q93"/>
    </row>
    <row r="94" spans="1:17" ht="15.75" thickBot="1">
      <c r="A94" s="678"/>
      <c r="B94" s="234">
        <v>1</v>
      </c>
      <c r="C94" s="235"/>
      <c r="D94" s="235">
        <f t="shared" si="2"/>
        <v>-1</v>
      </c>
      <c r="E94" s="253">
        <f>SUM($D$2:D94)/SUM($B$2:B94)</f>
        <v>0.18578494623655917</v>
      </c>
      <c r="F94" s="236">
        <f t="shared" si="3"/>
        <v>17.278000000000002</v>
      </c>
      <c r="G94" s="254" t="s">
        <v>1099</v>
      </c>
      <c r="H94" s="185"/>
      <c r="I94" s="186"/>
      <c r="J94" s="186"/>
      <c r="K94" s="18"/>
      <c r="Q94"/>
    </row>
    <row r="95" spans="1:17">
      <c r="A95" s="684"/>
      <c r="B95" s="167">
        <v>1</v>
      </c>
      <c r="C95" s="206"/>
      <c r="D95" s="206">
        <f t="shared" si="2"/>
        <v>-1</v>
      </c>
      <c r="E95" s="193">
        <f>SUM($D$2:D95)/SUM($B$2:B95)</f>
        <v>0.17317021276595748</v>
      </c>
      <c r="F95" s="163">
        <f t="shared" si="3"/>
        <v>16.278000000000002</v>
      </c>
      <c r="G95" s="202" t="s">
        <v>1086</v>
      </c>
      <c r="H95" s="185"/>
      <c r="I95" s="186"/>
      <c r="J95" s="186"/>
      <c r="K95" s="18"/>
      <c r="Q95"/>
    </row>
    <row r="96" spans="1:17">
      <c r="A96" s="684"/>
      <c r="B96" s="169">
        <v>1</v>
      </c>
      <c r="C96" s="207"/>
      <c r="D96" s="207">
        <f t="shared" si="2"/>
        <v>-1</v>
      </c>
      <c r="E96" s="156">
        <f>SUM($D$2:D96)/SUM($B$2:B96)</f>
        <v>0.16082105263157898</v>
      </c>
      <c r="F96" s="151">
        <f t="shared" si="3"/>
        <v>15.278000000000002</v>
      </c>
      <c r="G96" s="203" t="s">
        <v>1100</v>
      </c>
      <c r="H96" s="185"/>
      <c r="I96" s="186"/>
      <c r="J96" s="186"/>
      <c r="K96" s="18"/>
      <c r="Q96"/>
    </row>
    <row r="97" spans="1:17">
      <c r="A97" s="684"/>
      <c r="B97" s="169">
        <v>1</v>
      </c>
      <c r="C97" s="207"/>
      <c r="D97" s="207">
        <f t="shared" si="2"/>
        <v>-1</v>
      </c>
      <c r="E97" s="156">
        <f>SUM($D$2:D97)/SUM($B$2:B97)</f>
        <v>0.14872916666666669</v>
      </c>
      <c r="F97" s="151">
        <f t="shared" si="3"/>
        <v>14.278000000000002</v>
      </c>
      <c r="G97" s="203" t="s">
        <v>1094</v>
      </c>
      <c r="H97" s="185"/>
      <c r="I97" s="186"/>
      <c r="J97" s="186"/>
      <c r="K97" s="18"/>
      <c r="Q97"/>
    </row>
    <row r="98" spans="1:17">
      <c r="A98" s="684"/>
      <c r="B98" s="169">
        <v>1</v>
      </c>
      <c r="C98" s="207">
        <v>1.87</v>
      </c>
      <c r="D98" s="207">
        <f t="shared" si="2"/>
        <v>0.87000000000000011</v>
      </c>
      <c r="E98" s="156">
        <f>SUM($D$2:D98)/SUM($B$2:B98)</f>
        <v>0.15616494845360829</v>
      </c>
      <c r="F98" s="151">
        <f t="shared" si="3"/>
        <v>15.148000000000003</v>
      </c>
      <c r="G98" s="203" t="s">
        <v>1092</v>
      </c>
      <c r="H98" s="185"/>
      <c r="I98" s="186"/>
      <c r="J98" s="186"/>
      <c r="K98" s="18"/>
      <c r="Q98"/>
    </row>
    <row r="99" spans="1:17" ht="15.75" thickBot="1">
      <c r="A99" s="684"/>
      <c r="B99" s="170">
        <v>1</v>
      </c>
      <c r="C99" s="155">
        <v>1.64</v>
      </c>
      <c r="D99" s="155">
        <f t="shared" si="2"/>
        <v>0.6399999999999999</v>
      </c>
      <c r="E99" s="192">
        <f>SUM($D$2:D99)/SUM($B$2:B99)</f>
        <v>0.16110204081632656</v>
      </c>
      <c r="F99" s="152">
        <f t="shared" si="3"/>
        <v>15.788000000000004</v>
      </c>
      <c r="G99" s="211" t="s">
        <v>1091</v>
      </c>
      <c r="H99" s="185"/>
      <c r="I99" s="186"/>
      <c r="J99" s="186"/>
      <c r="K99" s="18"/>
      <c r="Q99"/>
    </row>
    <row r="100" spans="1:17" ht="15.75" thickBot="1">
      <c r="A100" s="268">
        <v>45922</v>
      </c>
      <c r="B100" s="261">
        <v>1</v>
      </c>
      <c r="C100" s="265">
        <v>1.98</v>
      </c>
      <c r="D100" s="265">
        <f t="shared" si="2"/>
        <v>0.98</v>
      </c>
      <c r="E100" s="269">
        <f>SUM($D$2:D100)/SUM($B$2:B100)</f>
        <v>0.16937373737373743</v>
      </c>
      <c r="F100" s="262">
        <f t="shared" si="3"/>
        <v>16.768000000000004</v>
      </c>
      <c r="G100" s="266" t="s">
        <v>1101</v>
      </c>
      <c r="H100" s="185"/>
      <c r="I100" s="186"/>
      <c r="J100" s="186"/>
      <c r="K100" s="18"/>
      <c r="Q100"/>
    </row>
    <row r="101" spans="1:17">
      <c r="A101" s="683">
        <v>45923</v>
      </c>
      <c r="B101" s="167">
        <v>1</v>
      </c>
      <c r="C101" s="206">
        <v>2.81</v>
      </c>
      <c r="D101" s="206">
        <f t="shared" si="2"/>
        <v>1.81</v>
      </c>
      <c r="E101" s="193">
        <f>SUM($D$2:D101)/SUM($B$2:B101)</f>
        <v>0.18578000000000003</v>
      </c>
      <c r="F101" s="163">
        <f t="shared" si="3"/>
        <v>18.578000000000003</v>
      </c>
      <c r="G101" s="202" t="s">
        <v>1058</v>
      </c>
      <c r="H101" s="185"/>
      <c r="I101" s="186"/>
      <c r="J101" s="186"/>
      <c r="K101" s="18"/>
      <c r="Q101"/>
    </row>
    <row r="102" spans="1:17" ht="15.75" thickBot="1">
      <c r="A102" s="684"/>
      <c r="B102" s="172">
        <v>1</v>
      </c>
      <c r="C102" s="208">
        <v>2.85</v>
      </c>
      <c r="D102" s="208">
        <f t="shared" si="2"/>
        <v>1.85</v>
      </c>
      <c r="E102" s="195">
        <f>SUM($D$2:D102)/SUM($B$2:B102)</f>
        <v>0.2022574257425743</v>
      </c>
      <c r="F102" s="165">
        <f t="shared" si="3"/>
        <v>20.428000000000004</v>
      </c>
      <c r="G102" s="204" t="s">
        <v>1102</v>
      </c>
      <c r="H102" s="185"/>
      <c r="I102" s="186"/>
      <c r="J102" s="186"/>
      <c r="K102" s="18"/>
      <c r="Q102"/>
    </row>
    <row r="103" spans="1:17">
      <c r="A103" s="684"/>
      <c r="B103" s="169">
        <v>1</v>
      </c>
      <c r="C103" s="207">
        <v>1.75</v>
      </c>
      <c r="D103" s="207">
        <f t="shared" si="2"/>
        <v>0.75</v>
      </c>
      <c r="E103" s="156">
        <f>SUM($D$2:D103)/SUM($B$2:B103)</f>
        <v>0.2076274509803922</v>
      </c>
      <c r="F103" s="151">
        <f t="shared" si="3"/>
        <v>21.178000000000004</v>
      </c>
      <c r="G103" s="203" t="s">
        <v>1103</v>
      </c>
      <c r="H103" s="185"/>
      <c r="I103" s="186"/>
      <c r="J103" s="186"/>
      <c r="K103" s="18"/>
      <c r="Q103"/>
    </row>
    <row r="104" spans="1:17">
      <c r="A104" s="684"/>
      <c r="B104" s="169">
        <v>1</v>
      </c>
      <c r="C104" s="207"/>
      <c r="D104" s="207">
        <f t="shared" si="2"/>
        <v>-1</v>
      </c>
      <c r="E104" s="156">
        <f>SUM($D$2:D104)/SUM($B$2:B104)</f>
        <v>0.19590291262135925</v>
      </c>
      <c r="F104" s="151">
        <f t="shared" si="3"/>
        <v>20.178000000000004</v>
      </c>
      <c r="G104" s="203" t="s">
        <v>1104</v>
      </c>
      <c r="H104" s="185"/>
      <c r="I104" s="186"/>
      <c r="J104" s="186"/>
      <c r="K104" s="18"/>
      <c r="Q104"/>
    </row>
    <row r="105" spans="1:17">
      <c r="A105" s="684"/>
      <c r="B105" s="169">
        <v>1</v>
      </c>
      <c r="C105" s="207">
        <v>1.95</v>
      </c>
      <c r="D105" s="207">
        <f t="shared" si="2"/>
        <v>0.95</v>
      </c>
      <c r="E105" s="156">
        <f>SUM($D$2:D105)/SUM($B$2:B105)</f>
        <v>0.20315384615384618</v>
      </c>
      <c r="F105" s="151">
        <f t="shared" si="3"/>
        <v>21.128000000000004</v>
      </c>
      <c r="G105" s="203" t="s">
        <v>1105</v>
      </c>
      <c r="H105" s="185"/>
      <c r="I105" s="186"/>
      <c r="J105" s="186"/>
      <c r="K105" s="18"/>
      <c r="Q105"/>
    </row>
    <row r="106" spans="1:17">
      <c r="A106" s="684"/>
      <c r="B106" s="169">
        <v>1</v>
      </c>
      <c r="C106" s="207"/>
      <c r="D106" s="207">
        <f t="shared" si="2"/>
        <v>-1</v>
      </c>
      <c r="E106" s="156">
        <f>SUM($D$2:D106)/SUM($B$2:B106)</f>
        <v>0.19169523809523814</v>
      </c>
      <c r="F106" s="151">
        <f t="shared" si="3"/>
        <v>20.128000000000004</v>
      </c>
      <c r="G106" s="276" t="s">
        <v>1106</v>
      </c>
      <c r="H106" s="185"/>
      <c r="I106" s="186"/>
      <c r="J106" s="186"/>
      <c r="K106" s="18"/>
      <c r="Q106"/>
    </row>
    <row r="107" spans="1:17">
      <c r="A107" s="684"/>
      <c r="B107" s="169">
        <v>1</v>
      </c>
      <c r="C107" s="207"/>
      <c r="D107" s="207">
        <f t="shared" si="2"/>
        <v>-1</v>
      </c>
      <c r="E107" s="156">
        <f>SUM($D$2:D107)/SUM($B$2:B107)</f>
        <v>0.18045283018867928</v>
      </c>
      <c r="F107" s="151">
        <f t="shared" si="3"/>
        <v>19.128000000000004</v>
      </c>
      <c r="G107" s="203" t="s">
        <v>1107</v>
      </c>
      <c r="H107" s="185"/>
      <c r="I107" s="186"/>
      <c r="J107" s="186"/>
      <c r="K107" s="18"/>
      <c r="Q107"/>
    </row>
    <row r="108" spans="1:17" ht="15.75" thickBot="1">
      <c r="A108" s="696"/>
      <c r="B108" s="170">
        <v>1</v>
      </c>
      <c r="C108" s="155"/>
      <c r="D108" s="155">
        <f t="shared" si="2"/>
        <v>-1</v>
      </c>
      <c r="E108" s="192">
        <f>SUM($D$2:D108)/SUM($B$2:B108)</f>
        <v>0.1694205607476636</v>
      </c>
      <c r="F108" s="152">
        <f t="shared" si="3"/>
        <v>18.128000000000004</v>
      </c>
      <c r="G108" s="211" t="s">
        <v>1108</v>
      </c>
      <c r="H108" s="185"/>
      <c r="I108" s="186"/>
      <c r="J108" s="186"/>
      <c r="K108" s="18"/>
      <c r="Q108"/>
    </row>
    <row r="109" spans="1:17">
      <c r="A109" s="683">
        <v>45924</v>
      </c>
      <c r="B109" s="167">
        <v>1</v>
      </c>
      <c r="C109" s="206"/>
      <c r="D109" s="206">
        <f t="shared" si="2"/>
        <v>-1</v>
      </c>
      <c r="E109" s="193">
        <f>SUM($D$2:D109)/SUM($B$2:B109)</f>
        <v>0.15859259259259262</v>
      </c>
      <c r="F109" s="163">
        <f t="shared" si="3"/>
        <v>17.128000000000004</v>
      </c>
      <c r="G109" s="202" t="s">
        <v>1104</v>
      </c>
      <c r="H109" s="185"/>
      <c r="I109" s="186"/>
      <c r="J109" s="186"/>
      <c r="K109" s="18"/>
      <c r="Q109"/>
    </row>
    <row r="110" spans="1:17">
      <c r="A110" s="684"/>
      <c r="B110" s="169">
        <v>1</v>
      </c>
      <c r="C110" s="207">
        <v>1.833</v>
      </c>
      <c r="D110" s="207">
        <f t="shared" si="2"/>
        <v>0.83299999999999996</v>
      </c>
      <c r="E110" s="156">
        <f>SUM($D$2:D110)/SUM($B$2:B110)</f>
        <v>0.16477981651376147</v>
      </c>
      <c r="F110" s="151">
        <f t="shared" si="3"/>
        <v>17.961000000000002</v>
      </c>
      <c r="G110" s="203" t="s">
        <v>1109</v>
      </c>
      <c r="H110" s="185"/>
      <c r="I110" s="186"/>
      <c r="J110" s="186"/>
      <c r="K110" s="18"/>
      <c r="Q110"/>
    </row>
    <row r="111" spans="1:17">
      <c r="A111" s="684"/>
      <c r="B111" s="169">
        <v>1</v>
      </c>
      <c r="C111" s="207">
        <v>2</v>
      </c>
      <c r="D111" s="207">
        <f t="shared" si="2"/>
        <v>1</v>
      </c>
      <c r="E111" s="156">
        <f>SUM($D$2:D111)/SUM($B$2:B111)</f>
        <v>0.17237272727272729</v>
      </c>
      <c r="F111" s="151">
        <f t="shared" si="3"/>
        <v>18.961000000000002</v>
      </c>
      <c r="G111" s="203" t="s">
        <v>1106</v>
      </c>
      <c r="H111" s="185"/>
      <c r="I111" s="186"/>
      <c r="J111" s="186"/>
      <c r="K111" s="18"/>
      <c r="Q111"/>
    </row>
    <row r="112" spans="1:17">
      <c r="A112" s="684"/>
      <c r="B112" s="169">
        <v>1</v>
      </c>
      <c r="C112" s="207">
        <v>2.06</v>
      </c>
      <c r="D112" s="207">
        <f t="shared" si="2"/>
        <v>1.06</v>
      </c>
      <c r="E112" s="156">
        <f>SUM($D$2:D112)/SUM($B$2:B112)</f>
        <v>0.18036936936936937</v>
      </c>
      <c r="F112" s="151">
        <f t="shared" si="3"/>
        <v>20.021000000000001</v>
      </c>
      <c r="G112" s="203" t="s">
        <v>1110</v>
      </c>
      <c r="H112" s="185"/>
      <c r="I112" s="186"/>
      <c r="J112" s="186"/>
      <c r="K112" s="18"/>
      <c r="Q112"/>
    </row>
    <row r="113" spans="1:17" ht="15.75" thickBot="1">
      <c r="A113" s="696"/>
      <c r="B113" s="172">
        <v>1</v>
      </c>
      <c r="C113" s="208"/>
      <c r="D113" s="208">
        <f t="shared" si="2"/>
        <v>-1</v>
      </c>
      <c r="E113" s="195">
        <f>SUM($D$2:D113)/SUM($B$2:B113)</f>
        <v>0.16983035714285716</v>
      </c>
      <c r="F113" s="165">
        <f t="shared" si="3"/>
        <v>19.021000000000001</v>
      </c>
      <c r="G113" s="204" t="s">
        <v>1101</v>
      </c>
      <c r="H113" s="185"/>
      <c r="I113" s="186"/>
      <c r="J113" s="186"/>
      <c r="K113" s="18"/>
      <c r="Q113"/>
    </row>
    <row r="114" spans="1:17">
      <c r="A114" s="683">
        <v>45925</v>
      </c>
      <c r="B114" s="167">
        <v>1</v>
      </c>
      <c r="C114" s="206">
        <v>1.88</v>
      </c>
      <c r="D114" s="206">
        <f t="shared" si="2"/>
        <v>0.87999999999999989</v>
      </c>
      <c r="E114" s="193">
        <f>SUM($D$2:D114)/SUM($B$2:B114)</f>
        <v>0.17611504424778762</v>
      </c>
      <c r="F114" s="163">
        <f t="shared" si="3"/>
        <v>19.901</v>
      </c>
      <c r="G114" s="202" t="s">
        <v>1104</v>
      </c>
      <c r="H114" s="185"/>
      <c r="I114" s="186"/>
      <c r="J114" s="186"/>
      <c r="K114" s="18"/>
      <c r="Q114"/>
    </row>
    <row r="115" spans="1:17">
      <c r="A115" s="684"/>
      <c r="B115" s="169">
        <v>1</v>
      </c>
      <c r="C115" s="207">
        <v>1.8</v>
      </c>
      <c r="D115" s="207">
        <f t="shared" si="2"/>
        <v>0.8</v>
      </c>
      <c r="E115" s="156">
        <f>SUM($D$2:D115)/SUM($B$2:B115)</f>
        <v>0.18158771929824563</v>
      </c>
      <c r="F115" s="151">
        <f t="shared" si="3"/>
        <v>20.701000000000001</v>
      </c>
      <c r="G115" s="203" t="s">
        <v>1103</v>
      </c>
      <c r="H115" s="185"/>
      <c r="I115" s="186"/>
      <c r="J115" s="186"/>
      <c r="K115" s="18"/>
      <c r="Q115"/>
    </row>
    <row r="116" spans="1:17">
      <c r="A116" s="684"/>
      <c r="B116" s="169">
        <v>1</v>
      </c>
      <c r="C116" s="207"/>
      <c r="D116" s="207">
        <f t="shared" si="2"/>
        <v>-1</v>
      </c>
      <c r="E116" s="156">
        <f>SUM($D$2:D116)/SUM($B$2:B116)</f>
        <v>0.17131304347826087</v>
      </c>
      <c r="F116" s="151">
        <f t="shared" si="3"/>
        <v>19.701000000000001</v>
      </c>
      <c r="G116" s="203" t="s">
        <v>1106</v>
      </c>
      <c r="H116" s="185"/>
      <c r="I116" s="186"/>
      <c r="J116" s="186"/>
      <c r="K116" s="18"/>
      <c r="Q116"/>
    </row>
    <row r="117" spans="1:17">
      <c r="A117" s="684"/>
      <c r="B117" s="169">
        <v>1</v>
      </c>
      <c r="C117" s="207">
        <v>1.98</v>
      </c>
      <c r="D117" s="207">
        <f t="shared" si="2"/>
        <v>0.98</v>
      </c>
      <c r="E117" s="156">
        <f>SUM($D$2:D117)/SUM($B$2:B117)</f>
        <v>0.17828448275862069</v>
      </c>
      <c r="F117" s="151">
        <f t="shared" si="3"/>
        <v>20.681000000000001</v>
      </c>
      <c r="G117" s="203" t="s">
        <v>1111</v>
      </c>
      <c r="H117" s="185"/>
      <c r="I117" s="186"/>
      <c r="J117" s="186"/>
      <c r="K117" s="18"/>
      <c r="Q117"/>
    </row>
    <row r="118" spans="1:17">
      <c r="A118" s="684"/>
      <c r="B118" s="169">
        <v>1</v>
      </c>
      <c r="C118" s="207"/>
      <c r="D118" s="207">
        <f t="shared" si="2"/>
        <v>-1</v>
      </c>
      <c r="E118" s="156">
        <f>SUM($D$2:D118)/SUM($B$2:B118)</f>
        <v>0.16821367521367522</v>
      </c>
      <c r="F118" s="151">
        <f t="shared" si="3"/>
        <v>19.681000000000001</v>
      </c>
      <c r="G118" s="203" t="s">
        <v>1112</v>
      </c>
      <c r="H118" s="185"/>
      <c r="I118" s="186"/>
      <c r="J118" s="186"/>
      <c r="K118" s="18"/>
      <c r="Q118"/>
    </row>
    <row r="119" spans="1:17" ht="15.75" thickBot="1">
      <c r="A119" s="684"/>
      <c r="B119" s="172">
        <v>1</v>
      </c>
      <c r="C119" s="208">
        <v>2.0299999999999998</v>
      </c>
      <c r="D119" s="208">
        <f t="shared" si="2"/>
        <v>1.0299999999999998</v>
      </c>
      <c r="E119" s="195">
        <f>SUM($D$2:D119)/SUM($B$2:B119)</f>
        <v>0.1755169491525424</v>
      </c>
      <c r="F119" s="165">
        <f t="shared" si="3"/>
        <v>20.711000000000002</v>
      </c>
      <c r="G119" s="204" t="s">
        <v>1113</v>
      </c>
      <c r="H119" s="185"/>
      <c r="I119" s="186"/>
      <c r="J119" s="186"/>
      <c r="K119" s="18"/>
      <c r="Q119"/>
    </row>
    <row r="120" spans="1:17">
      <c r="A120" s="677">
        <v>45926</v>
      </c>
      <c r="B120" s="281">
        <v>1</v>
      </c>
      <c r="C120" s="218"/>
      <c r="D120" s="218">
        <f>(B120*C120)-B120</f>
        <v>-1</v>
      </c>
      <c r="E120" s="96">
        <f>SUM($D$2:D120)/SUM($B$2:B120)</f>
        <v>0.1656386554621849</v>
      </c>
      <c r="F120" s="97">
        <f>F119+D120</f>
        <v>19.711000000000002</v>
      </c>
      <c r="G120" s="219" t="s">
        <v>1114</v>
      </c>
      <c r="H120" s="185"/>
      <c r="I120" s="186"/>
      <c r="J120" s="186"/>
      <c r="K120" s="18"/>
      <c r="Q120"/>
    </row>
    <row r="121" spans="1:17">
      <c r="A121" s="678"/>
      <c r="B121" s="103">
        <v>1</v>
      </c>
      <c r="C121" s="41"/>
      <c r="D121" s="41">
        <f>(B121*C121)-B121</f>
        <v>-1</v>
      </c>
      <c r="E121" s="47">
        <f>SUM($D$2:D121)/SUM($B$2:B121)</f>
        <v>0.15592500000000001</v>
      </c>
      <c r="F121" s="37">
        <f>F120+D121</f>
        <v>18.711000000000002</v>
      </c>
      <c r="G121" s="129" t="s">
        <v>1115</v>
      </c>
      <c r="H121" s="185"/>
      <c r="I121" s="186"/>
      <c r="J121" s="186"/>
      <c r="K121" s="18"/>
      <c r="Q121"/>
    </row>
    <row r="122" spans="1:17">
      <c r="A122" s="678"/>
      <c r="B122" s="103">
        <v>1</v>
      </c>
      <c r="C122" s="41">
        <v>1.93</v>
      </c>
      <c r="D122" s="41">
        <f>(B122*C122)-B122</f>
        <v>0.92999999999999994</v>
      </c>
      <c r="E122" s="47">
        <f>SUM($D$2:D122)/SUM($B$2:B122)</f>
        <v>0.1623223140495868</v>
      </c>
      <c r="F122" s="37">
        <f>F121+D122</f>
        <v>19.641000000000002</v>
      </c>
      <c r="G122" s="129" t="s">
        <v>1116</v>
      </c>
      <c r="H122" s="185"/>
      <c r="I122" s="186"/>
      <c r="J122" s="186"/>
      <c r="K122" s="18"/>
      <c r="Q122"/>
    </row>
    <row r="123" spans="1:17">
      <c r="A123" s="678"/>
      <c r="B123" s="103">
        <v>1</v>
      </c>
      <c r="C123" s="41">
        <v>2.06</v>
      </c>
      <c r="D123" s="41">
        <f>(B123*C123)-B123</f>
        <v>1.06</v>
      </c>
      <c r="E123" s="47">
        <f>SUM($D$2:D123)/SUM($B$2:B123)</f>
        <v>0.16968032786885245</v>
      </c>
      <c r="F123" s="37">
        <f>F122+D123</f>
        <v>20.701000000000001</v>
      </c>
      <c r="G123" s="129" t="s">
        <v>1117</v>
      </c>
      <c r="H123" s="185"/>
      <c r="I123" s="186"/>
      <c r="J123" s="186"/>
      <c r="K123" s="18"/>
      <c r="Q123"/>
    </row>
    <row r="124" spans="1:17">
      <c r="A124" s="678"/>
      <c r="B124" s="103">
        <v>1</v>
      </c>
      <c r="C124" s="41">
        <v>1.87</v>
      </c>
      <c r="D124" s="41">
        <f>(B124*C124)-B124</f>
        <v>0.87000000000000011</v>
      </c>
      <c r="E124" s="47">
        <f>SUM($D$2:D124)/SUM($B$2:B124)</f>
        <v>0.1753739837398374</v>
      </c>
      <c r="F124" s="37">
        <f>F123+D124</f>
        <v>21.571000000000002</v>
      </c>
      <c r="G124" s="129" t="s">
        <v>1118</v>
      </c>
      <c r="H124" s="185"/>
      <c r="I124" s="186"/>
      <c r="J124" s="186"/>
      <c r="K124" s="18"/>
      <c r="Q124"/>
    </row>
    <row r="125" spans="1:17">
      <c r="A125" s="678"/>
      <c r="B125" s="103">
        <v>1</v>
      </c>
      <c r="C125" s="41">
        <v>2.0099999999999998</v>
      </c>
      <c r="D125" s="41">
        <f>(B125*C125)-B125</f>
        <v>1.0099999999999998</v>
      </c>
      <c r="E125" s="47">
        <f>SUM($D$2:D125)/SUM($B$2:B125)</f>
        <v>0.18210483870967745</v>
      </c>
      <c r="F125" s="37">
        <f>F124+D125</f>
        <v>22.581000000000003</v>
      </c>
      <c r="G125" s="129" t="s">
        <v>1119</v>
      </c>
      <c r="H125" s="185"/>
      <c r="I125" s="186"/>
      <c r="J125" s="186"/>
      <c r="K125" s="18"/>
      <c r="Q125"/>
    </row>
    <row r="126" spans="1:17" ht="15.75" thickBot="1">
      <c r="A126" s="685"/>
      <c r="B126" s="105">
        <v>1</v>
      </c>
      <c r="C126" s="220">
        <v>1.97</v>
      </c>
      <c r="D126" s="220">
        <f>(B126*C126)-B126</f>
        <v>0.97</v>
      </c>
      <c r="E126" s="59">
        <f>SUM($D$2:D126)/SUM($B$2:B126)</f>
        <v>0.18840800000000002</v>
      </c>
      <c r="F126" s="38">
        <f>F125+D126</f>
        <v>23.551000000000002</v>
      </c>
      <c r="G126" s="141" t="s">
        <v>1120</v>
      </c>
      <c r="H126" s="185"/>
      <c r="I126" s="186"/>
      <c r="J126" s="186"/>
      <c r="K126" s="18"/>
      <c r="Q126"/>
    </row>
    <row r="127" spans="1:17">
      <c r="A127" s="677">
        <v>45927</v>
      </c>
      <c r="B127" s="167">
        <v>1</v>
      </c>
      <c r="C127" s="206"/>
      <c r="D127" s="206">
        <f>(B127*C127)-B127</f>
        <v>-1</v>
      </c>
      <c r="E127" s="193">
        <f>SUM($D$2:D127)/SUM($B$2:B127)</f>
        <v>0.17897619047619048</v>
      </c>
      <c r="F127" s="163">
        <f>F126+D127</f>
        <v>22.551000000000002</v>
      </c>
      <c r="G127" s="168" t="s">
        <v>1121</v>
      </c>
      <c r="H127" s="185"/>
      <c r="I127" s="186"/>
      <c r="J127" s="186"/>
      <c r="K127" s="18"/>
      <c r="Q127"/>
    </row>
    <row r="128" spans="1:17">
      <c r="A128" s="678"/>
      <c r="B128" s="169">
        <v>1</v>
      </c>
      <c r="C128" s="207">
        <v>1.88</v>
      </c>
      <c r="D128" s="207">
        <f>(B128*C128)-B128</f>
        <v>0.87999999999999989</v>
      </c>
      <c r="E128" s="156">
        <f>SUM($D$2:D128)/SUM($B$2:B128)</f>
        <v>0.18449606299212598</v>
      </c>
      <c r="F128" s="151">
        <f>F127+D128</f>
        <v>23.431000000000001</v>
      </c>
      <c r="G128" s="191" t="s">
        <v>1122</v>
      </c>
      <c r="H128" s="185"/>
      <c r="I128" s="186"/>
      <c r="J128" s="186"/>
      <c r="K128" s="18"/>
      <c r="Q128"/>
    </row>
    <row r="129" spans="1:17">
      <c r="A129" s="678"/>
      <c r="B129" s="169">
        <v>1</v>
      </c>
      <c r="C129" s="207">
        <v>1.77</v>
      </c>
      <c r="D129" s="207">
        <f>(B129*C129)-B129</f>
        <v>0.77</v>
      </c>
      <c r="E129" s="156">
        <f>SUM($D$2:D129)/SUM($B$2:B129)</f>
        <v>0.1890703125</v>
      </c>
      <c r="F129" s="151">
        <f>F128+D129</f>
        <v>24.201000000000001</v>
      </c>
      <c r="G129" s="191" t="s">
        <v>1115</v>
      </c>
      <c r="H129" s="185"/>
      <c r="I129" s="186"/>
      <c r="J129" s="186"/>
      <c r="K129" s="18"/>
      <c r="Q129"/>
    </row>
    <row r="130" spans="1:17">
      <c r="A130" s="678"/>
      <c r="B130" s="169">
        <v>1</v>
      </c>
      <c r="C130" s="207">
        <v>2</v>
      </c>
      <c r="D130" s="207">
        <f>(B130*C130)-B130</f>
        <v>1</v>
      </c>
      <c r="E130" s="156">
        <f>SUM($D$2:D130)/SUM($B$2:B130)</f>
        <v>0.19535658914728682</v>
      </c>
      <c r="F130" s="151">
        <f>F129+D130</f>
        <v>25.201000000000001</v>
      </c>
      <c r="G130" s="191" t="s">
        <v>1119</v>
      </c>
      <c r="H130" s="185"/>
      <c r="I130" s="186"/>
      <c r="J130" s="186"/>
      <c r="K130" s="18"/>
      <c r="Q130"/>
    </row>
    <row r="131" spans="1:17">
      <c r="A131" s="678"/>
      <c r="B131" s="169">
        <v>1</v>
      </c>
      <c r="C131" s="207"/>
      <c r="D131" s="207">
        <f>(B131*C131)-B131</f>
        <v>-1</v>
      </c>
      <c r="E131" s="156">
        <f>SUM($D$2:D131)/SUM($B$2:B131)</f>
        <v>0.18616153846153846</v>
      </c>
      <c r="F131" s="151">
        <f>F130+D131</f>
        <v>24.201000000000001</v>
      </c>
      <c r="G131" s="191" t="s">
        <v>1120</v>
      </c>
      <c r="H131" s="185"/>
      <c r="I131" s="186"/>
      <c r="J131" s="186"/>
      <c r="K131" s="18"/>
      <c r="Q131"/>
    </row>
    <row r="132" spans="1:17">
      <c r="A132" s="678"/>
      <c r="B132" s="169">
        <v>1</v>
      </c>
      <c r="C132" s="207">
        <v>1.83</v>
      </c>
      <c r="D132" s="207">
        <f>(B132*C132)-B132</f>
        <v>0.83000000000000007</v>
      </c>
      <c r="E132" s="156">
        <f>SUM($D$2:D132)/SUM($B$2:B132)</f>
        <v>0.19107633587786257</v>
      </c>
      <c r="F132" s="151">
        <f>F131+D132</f>
        <v>25.030999999999999</v>
      </c>
      <c r="G132" s="191" t="s">
        <v>1118</v>
      </c>
      <c r="H132" s="185"/>
      <c r="I132" s="186"/>
      <c r="J132" s="186"/>
      <c r="K132" s="18"/>
      <c r="Q132"/>
    </row>
    <row r="133" spans="1:17">
      <c r="A133" s="678"/>
      <c r="B133" s="169">
        <v>1</v>
      </c>
      <c r="C133" s="207">
        <v>1.96</v>
      </c>
      <c r="D133" s="207">
        <f>(B133*C133)-B133</f>
        <v>0.96</v>
      </c>
      <c r="E133" s="156">
        <f>SUM($D$2:D133)/SUM($B$2:B133)</f>
        <v>0.19690151515151516</v>
      </c>
      <c r="F133" s="151">
        <f>F132+D133</f>
        <v>25.991</v>
      </c>
      <c r="G133" s="191" t="s">
        <v>1123</v>
      </c>
      <c r="H133" s="185"/>
      <c r="I133" s="186"/>
      <c r="J133" s="186"/>
      <c r="K133" s="18"/>
      <c r="Q133"/>
    </row>
    <row r="134" spans="1:17" ht="15.75" thickBot="1">
      <c r="A134" s="685"/>
      <c r="B134" s="172">
        <v>1</v>
      </c>
      <c r="C134" s="208">
        <v>2.06</v>
      </c>
      <c r="D134" s="208">
        <f>(B134*C134)-B134</f>
        <v>1.06</v>
      </c>
      <c r="E134" s="195">
        <f>SUM($D$2:D134)/SUM($B$2:B134)</f>
        <v>0.20339097744360901</v>
      </c>
      <c r="F134" s="165">
        <f>F133+D134</f>
        <v>27.050999999999998</v>
      </c>
      <c r="G134" s="196" t="s">
        <v>1124</v>
      </c>
      <c r="H134" s="185"/>
      <c r="I134" s="186"/>
      <c r="J134" s="186"/>
      <c r="K134" s="18"/>
      <c r="Q134"/>
    </row>
    <row r="135" spans="1:17" ht="15.75" thickBot="1">
      <c r="A135" s="697">
        <v>45928</v>
      </c>
      <c r="B135" s="225">
        <v>1</v>
      </c>
      <c r="C135" s="226">
        <v>2.85</v>
      </c>
      <c r="D135" s="226">
        <f>(B135*C135)-B135</f>
        <v>1.85</v>
      </c>
      <c r="E135" s="227">
        <f>SUM($D$2:D135)/SUM($B$2:B135)</f>
        <v>0.21567910447761193</v>
      </c>
      <c r="F135" s="228">
        <f>F134+D135</f>
        <v>28.901</v>
      </c>
      <c r="G135" s="278" t="s">
        <v>1125</v>
      </c>
      <c r="H135" s="185"/>
      <c r="I135" s="186"/>
      <c r="J135" s="186"/>
      <c r="K135" s="18"/>
      <c r="Q135"/>
    </row>
    <row r="136" spans="1:17">
      <c r="A136" s="698"/>
      <c r="B136" s="181">
        <v>1</v>
      </c>
      <c r="C136" s="209">
        <v>1.87</v>
      </c>
      <c r="D136" s="209">
        <f>(B136*C136)-B136</f>
        <v>0.87000000000000011</v>
      </c>
      <c r="E136" s="197">
        <f>SUM($D$2:D136)/SUM($B$2:B136)</f>
        <v>0.22052592592592593</v>
      </c>
      <c r="F136" s="164">
        <f>F135+D136</f>
        <v>29.771000000000001</v>
      </c>
      <c r="G136" s="216" t="s">
        <v>1122</v>
      </c>
      <c r="H136" s="185"/>
      <c r="I136" s="186"/>
      <c r="J136" s="186"/>
      <c r="K136" s="18"/>
      <c r="Q136"/>
    </row>
    <row r="137" spans="1:17">
      <c r="A137" s="698"/>
      <c r="B137" s="169">
        <v>1</v>
      </c>
      <c r="C137" s="207"/>
      <c r="D137" s="207">
        <f>(B137*C137)-B137</f>
        <v>-1</v>
      </c>
      <c r="E137" s="156">
        <f>SUM($D$2:D137)/SUM($B$2:B137)</f>
        <v>0.21155147058823531</v>
      </c>
      <c r="F137" s="151">
        <f>F136+D137</f>
        <v>28.771000000000001</v>
      </c>
      <c r="G137" s="191" t="s">
        <v>1126</v>
      </c>
      <c r="H137" s="185"/>
      <c r="I137" s="186"/>
      <c r="J137" s="186"/>
      <c r="K137" s="18"/>
      <c r="Q137"/>
    </row>
    <row r="138" spans="1:17">
      <c r="A138" s="698"/>
      <c r="B138" s="169">
        <v>1</v>
      </c>
      <c r="C138" s="207">
        <v>1.81</v>
      </c>
      <c r="D138" s="207">
        <f>(B138*C138)-B138</f>
        <v>0.81</v>
      </c>
      <c r="E138" s="156">
        <f>SUM($D$2:D138)/SUM($B$2:B138)</f>
        <v>0.21591970802919708</v>
      </c>
      <c r="F138" s="151">
        <f>F137+D138</f>
        <v>29.581</v>
      </c>
      <c r="G138" s="191" t="s">
        <v>1127</v>
      </c>
      <c r="H138" s="185"/>
      <c r="I138" s="186"/>
      <c r="J138" s="186"/>
      <c r="K138" s="18"/>
      <c r="Q138"/>
    </row>
    <row r="139" spans="1:17">
      <c r="A139" s="698"/>
      <c r="B139" s="169">
        <v>1</v>
      </c>
      <c r="C139" s="207">
        <v>1.87</v>
      </c>
      <c r="D139" s="207">
        <f>(B139*C139)-B139</f>
        <v>0.87000000000000011</v>
      </c>
      <c r="E139" s="156">
        <f>SUM($D$2:D139)/SUM($B$2:B139)</f>
        <v>0.22065942028985508</v>
      </c>
      <c r="F139" s="151">
        <f>F138+D139</f>
        <v>30.451000000000001</v>
      </c>
      <c r="G139" s="191" t="s">
        <v>1114</v>
      </c>
      <c r="H139" s="185"/>
      <c r="I139" s="186"/>
      <c r="J139" s="186"/>
      <c r="K139" s="18"/>
      <c r="Q139"/>
    </row>
    <row r="140" spans="1:17">
      <c r="A140" s="698"/>
      <c r="B140" s="169">
        <v>1</v>
      </c>
      <c r="C140" s="207">
        <v>1.98</v>
      </c>
      <c r="D140" s="207">
        <f>(B140*C140)-B140</f>
        <v>0.98</v>
      </c>
      <c r="E140" s="156">
        <f>SUM($D$2:D140)/SUM($B$2:B140)</f>
        <v>0.22612230215827339</v>
      </c>
      <c r="F140" s="151">
        <f>F139+D140</f>
        <v>31.431000000000001</v>
      </c>
      <c r="G140" s="191" t="s">
        <v>1119</v>
      </c>
      <c r="H140" s="185"/>
      <c r="I140" s="186"/>
      <c r="J140" s="186"/>
      <c r="K140" s="18"/>
      <c r="Q140"/>
    </row>
    <row r="141" spans="1:17">
      <c r="A141" s="698"/>
      <c r="B141" s="169">
        <v>1</v>
      </c>
      <c r="C141" s="207">
        <v>2.02</v>
      </c>
      <c r="D141" s="207">
        <f>(B141*C141)-B141</f>
        <v>1.02</v>
      </c>
      <c r="E141" s="156">
        <f>SUM($D$2:D141)/SUM($B$2:B141)</f>
        <v>0.23179285714285713</v>
      </c>
      <c r="F141" s="151">
        <f>F140+D141</f>
        <v>32.451000000000001</v>
      </c>
      <c r="G141" s="191" t="s">
        <v>1124</v>
      </c>
      <c r="H141" s="185"/>
      <c r="I141" s="186"/>
      <c r="J141" s="186"/>
      <c r="K141" s="18"/>
      <c r="Q141"/>
    </row>
    <row r="142" spans="1:17" ht="15.75" thickBot="1">
      <c r="A142" s="699"/>
      <c r="B142" s="172">
        <v>1</v>
      </c>
      <c r="C142" s="208">
        <v>2</v>
      </c>
      <c r="D142" s="208">
        <f>(B142*C142)-B142</f>
        <v>1</v>
      </c>
      <c r="E142" s="195">
        <f>SUM($D$2:D142)/SUM($B$2:B142)</f>
        <v>0.23724113475177305</v>
      </c>
      <c r="F142" s="165">
        <f>F141+D142</f>
        <v>33.451000000000001</v>
      </c>
      <c r="G142" s="196" t="s">
        <v>1120</v>
      </c>
      <c r="H142" s="185"/>
      <c r="I142" s="186"/>
      <c r="J142" s="186"/>
      <c r="K142" s="18"/>
      <c r="Q142"/>
    </row>
    <row r="143" spans="1:17" s="186" customFormat="1">
      <c r="A143" s="677">
        <v>45930</v>
      </c>
      <c r="B143" s="103">
        <v>1</v>
      </c>
      <c r="C143" s="41"/>
      <c r="D143" s="41">
        <f>(B143*C143)-B143</f>
        <v>-1</v>
      </c>
      <c r="E143" s="47">
        <f>SUM($D$2:D143)/SUM($B$2:B143)</f>
        <v>0.22852816901408451</v>
      </c>
      <c r="F143" s="37">
        <f>F142+D143</f>
        <v>32.451000000000001</v>
      </c>
      <c r="G143" s="129" t="s">
        <v>1128</v>
      </c>
      <c r="H143" s="185"/>
      <c r="K143" s="238"/>
    </row>
    <row r="144" spans="1:17" s="186" customFormat="1" ht="15.75" thickBot="1">
      <c r="A144" s="685"/>
      <c r="B144" s="105">
        <v>1</v>
      </c>
      <c r="C144" s="220"/>
      <c r="D144" s="220">
        <f>(B144*C144)-B144</f>
        <v>-1</v>
      </c>
      <c r="E144" s="59">
        <f>SUM($D$2:D144)/SUM($B$2:B144)</f>
        <v>0.21993706293706294</v>
      </c>
      <c r="F144" s="38">
        <f>F143+D144</f>
        <v>31.451000000000001</v>
      </c>
      <c r="G144" s="141" t="s">
        <v>1129</v>
      </c>
      <c r="H144" s="185"/>
      <c r="K144" s="238"/>
    </row>
    <row r="145" spans="1:18" s="186" customFormat="1">
      <c r="A145" s="677">
        <v>45931</v>
      </c>
      <c r="B145" s="41">
        <v>1</v>
      </c>
      <c r="C145" s="41">
        <v>2.0699999999999998</v>
      </c>
      <c r="D145" s="41">
        <f>(B145*C145)-B145</f>
        <v>1.0699999999999998</v>
      </c>
      <c r="E145" s="47">
        <f>SUM($D$2:D145)/SUM($B$2:B145)</f>
        <v>0.22584027777777779</v>
      </c>
      <c r="F145" s="37">
        <f>F144+D145</f>
        <v>32.521000000000001</v>
      </c>
      <c r="G145" s="129" t="s">
        <v>1128</v>
      </c>
      <c r="H145" s="185"/>
      <c r="K145" s="238"/>
    </row>
    <row r="146" spans="1:18" s="186" customFormat="1" ht="15.75" thickBot="1">
      <c r="A146" s="685"/>
      <c r="B146" s="220">
        <v>1</v>
      </c>
      <c r="C146" s="220">
        <v>2.2200000000000002</v>
      </c>
      <c r="D146" s="220">
        <f>(B146*C146)-B146</f>
        <v>1.2200000000000002</v>
      </c>
      <c r="E146" s="59">
        <f>SUM($D$2:D146)/SUM($B$2:B146)</f>
        <v>0.23269655172413792</v>
      </c>
      <c r="F146" s="38">
        <f>F145+D146</f>
        <v>33.741</v>
      </c>
      <c r="G146" s="141" t="s">
        <v>1129</v>
      </c>
      <c r="H146" s="185"/>
      <c r="K146" s="238"/>
    </row>
    <row r="147" spans="1:18" s="186" customFormat="1">
      <c r="A147" s="677">
        <v>45932</v>
      </c>
      <c r="B147" s="41">
        <v>1</v>
      </c>
      <c r="C147" s="41"/>
      <c r="D147" s="41">
        <f>(B147*C147)-B147</f>
        <v>-1</v>
      </c>
      <c r="E147" s="47">
        <f>SUM($D$2:D147)/SUM($B$2:B147)</f>
        <v>0.22425342465753426</v>
      </c>
      <c r="F147" s="37">
        <f>F146+D147</f>
        <v>32.741</v>
      </c>
      <c r="G147" s="129" t="s">
        <v>1128</v>
      </c>
      <c r="H147" s="185"/>
      <c r="K147" s="238"/>
    </row>
    <row r="148" spans="1:18" s="186" customFormat="1">
      <c r="A148" s="685"/>
      <c r="B148" s="220">
        <v>1</v>
      </c>
      <c r="C148" s="220"/>
      <c r="D148" s="220">
        <f>(B148*C148)-B148</f>
        <v>-1</v>
      </c>
      <c r="E148" s="59">
        <f>SUM($D$2:D148)/SUM($B$2:B148)</f>
        <v>0.21592517006802722</v>
      </c>
      <c r="F148" s="38">
        <f>F147+D148</f>
        <v>31.741</v>
      </c>
      <c r="G148" s="141" t="s">
        <v>1129</v>
      </c>
      <c r="H148" s="185"/>
      <c r="K148" s="238"/>
    </row>
    <row r="149" spans="1:18" s="186" customFormat="1">
      <c r="A149" s="630">
        <v>45934</v>
      </c>
      <c r="B149" s="225">
        <v>1</v>
      </c>
      <c r="C149" s="226">
        <v>1.97</v>
      </c>
      <c r="D149" s="226">
        <f>(B149*C149)-B149</f>
        <v>0.97</v>
      </c>
      <c r="E149" s="227">
        <f>SUM($D$2:D149)/SUM($B$2:B149)</f>
        <v>0.22102027027027027</v>
      </c>
      <c r="F149" s="228">
        <f t="shared" ref="F149:F156" si="4">F148+D149</f>
        <v>32.710999999999999</v>
      </c>
      <c r="G149" s="278" t="s">
        <v>1130</v>
      </c>
      <c r="H149" s="185"/>
      <c r="K149" s="238"/>
    </row>
    <row r="150" spans="1:18" s="186" customFormat="1">
      <c r="A150" s="630">
        <v>45936</v>
      </c>
      <c r="B150" s="225">
        <v>1</v>
      </c>
      <c r="C150" s="226"/>
      <c r="D150" s="226">
        <f>(B150*C150)-B150</f>
        <v>-1</v>
      </c>
      <c r="E150" s="227">
        <f>SUM($D$2:D150)/SUM($B$2:B150)</f>
        <v>0.21282550335570469</v>
      </c>
      <c r="F150" s="228">
        <f t="shared" si="4"/>
        <v>31.710999999999999</v>
      </c>
      <c r="G150" s="229" t="s">
        <v>1131</v>
      </c>
      <c r="H150" s="185"/>
      <c r="K150" s="238"/>
    </row>
    <row r="151" spans="1:18" s="186" customFormat="1">
      <c r="A151" s="630">
        <v>45937</v>
      </c>
      <c r="B151" s="225">
        <v>1</v>
      </c>
      <c r="C151" s="226"/>
      <c r="D151" s="226">
        <f>(B151*C151)-B151</f>
        <v>-1</v>
      </c>
      <c r="E151" s="227">
        <f>SUM($D$2:D151)/SUM($B$2:B151)</f>
        <v>0.20473999999999998</v>
      </c>
      <c r="F151" s="228">
        <f t="shared" si="4"/>
        <v>30.710999999999999</v>
      </c>
      <c r="G151" s="229" t="s">
        <v>1132</v>
      </c>
      <c r="H151" s="185"/>
      <c r="K151" s="238"/>
    </row>
    <row r="152" spans="1:18" s="186" customFormat="1">
      <c r="A152" s="677">
        <v>45938</v>
      </c>
      <c r="B152" s="167">
        <v>1</v>
      </c>
      <c r="C152" s="206"/>
      <c r="D152" s="206">
        <f>(B152*C152)-B152</f>
        <v>-1</v>
      </c>
      <c r="E152" s="193">
        <f>SUM($D$2:D152)/SUM($B$2:B152)</f>
        <v>0.19676158940397351</v>
      </c>
      <c r="F152" s="163">
        <f t="shared" si="4"/>
        <v>29.710999999999999</v>
      </c>
      <c r="G152" s="171" t="s">
        <v>1078</v>
      </c>
      <c r="H152" s="185"/>
      <c r="K152" s="238"/>
    </row>
    <row r="153" spans="1:18" s="186" customFormat="1">
      <c r="A153" s="678"/>
      <c r="B153" s="169">
        <v>1</v>
      </c>
      <c r="C153" s="207">
        <v>1.92</v>
      </c>
      <c r="D153" s="207">
        <f>(B153*C153)-B153</f>
        <v>0.91999999999999993</v>
      </c>
      <c r="E153" s="156">
        <f>SUM($D$2:D153)/SUM($B$2:B153)</f>
        <v>0.20151973684210525</v>
      </c>
      <c r="F153" s="151">
        <f t="shared" si="4"/>
        <v>30.631</v>
      </c>
      <c r="G153" s="157" t="s">
        <v>1041</v>
      </c>
      <c r="H153" s="185"/>
      <c r="K153" s="238"/>
    </row>
    <row r="154" spans="1:18" s="186" customFormat="1">
      <c r="A154" s="685"/>
      <c r="B154" s="172">
        <v>1</v>
      </c>
      <c r="C154" s="208"/>
      <c r="D154" s="208">
        <f>(B154*C154)-B154</f>
        <v>-1</v>
      </c>
      <c r="E154" s="195">
        <f>SUM($D$2:D154)/SUM($B$2:B154)</f>
        <v>0.19366666666666668</v>
      </c>
      <c r="F154" s="165">
        <f t="shared" si="4"/>
        <v>29.631</v>
      </c>
      <c r="G154" s="196" t="s">
        <v>1132</v>
      </c>
      <c r="H154" s="185"/>
      <c r="K154" s="238"/>
    </row>
    <row r="155" spans="1:18" s="186" customFormat="1">
      <c r="A155" s="630">
        <v>45942</v>
      </c>
      <c r="B155" s="225">
        <v>1</v>
      </c>
      <c r="C155" s="228">
        <v>1.97</v>
      </c>
      <c r="D155" s="228">
        <f t="shared" ref="D155" si="5">(B155*C155)-B155</f>
        <v>0.97</v>
      </c>
      <c r="E155" s="227">
        <f>SUM($D$2:D155)/SUM($B$2:B155)</f>
        <v>0.19870779220779219</v>
      </c>
      <c r="F155" s="228">
        <f t="shared" si="4"/>
        <v>30.600999999999999</v>
      </c>
      <c r="G155" s="229" t="s">
        <v>1133</v>
      </c>
      <c r="H155" s="185"/>
      <c r="K155" s="238"/>
    </row>
    <row r="156" spans="1:18" s="186" customFormat="1">
      <c r="A156" s="630">
        <v>45946</v>
      </c>
      <c r="B156" s="255">
        <v>1</v>
      </c>
      <c r="C156" s="255"/>
      <c r="D156" s="255">
        <f>(B156*C156)-B156</f>
        <v>-1</v>
      </c>
      <c r="E156" s="256">
        <f>SUM($D$2:D156)/SUM($B$2:B156)</f>
        <v>0.1909741935483871</v>
      </c>
      <c r="F156" s="257">
        <f t="shared" si="4"/>
        <v>29.600999999999999</v>
      </c>
      <c r="G156" s="283" t="s">
        <v>1134</v>
      </c>
      <c r="H156" s="185"/>
      <c r="K156" s="238"/>
    </row>
    <row r="157" spans="1:18">
      <c r="A157" s="626"/>
      <c r="B157" s="255"/>
      <c r="C157" s="255"/>
      <c r="D157" s="255"/>
      <c r="E157" s="256"/>
      <c r="F157" s="257"/>
      <c r="G157" s="258"/>
      <c r="H157" s="185"/>
      <c r="I157" s="186"/>
      <c r="J157" s="186"/>
      <c r="K157" s="18"/>
      <c r="Q157"/>
    </row>
    <row r="158" spans="1:18" ht="15.75" thickBot="1">
      <c r="B158" s="130">
        <f>SUM(B2:B157)</f>
        <v>155</v>
      </c>
      <c r="D158" s="13">
        <f>SUM(D2:D157)</f>
        <v>29.600999999999999</v>
      </c>
      <c r="E158" s="14"/>
      <c r="F158" s="43">
        <f>D158-MAX(F2:F157)</f>
        <v>-4.1400000000000006</v>
      </c>
      <c r="H158" s="11">
        <f>D158-SUM(H2:H157)</f>
        <v>29.600999999999999</v>
      </c>
      <c r="I158" s="11">
        <f>D158-SUM(I2:I157)</f>
        <v>29.600999999999999</v>
      </c>
      <c r="J158" s="12">
        <f>D158-SUM(J2:J157)</f>
        <v>29.600999999999999</v>
      </c>
      <c r="O158" s="58"/>
      <c r="R158" s="18"/>
    </row>
    <row r="159" spans="1:18">
      <c r="D159" s="2"/>
      <c r="E159" s="2"/>
      <c r="O159" s="58"/>
      <c r="P159" s="58"/>
    </row>
    <row r="160" spans="1:18" ht="15.75" customHeight="1">
      <c r="A160" t="s">
        <v>601</v>
      </c>
      <c r="C160" s="679" t="s">
        <v>602</v>
      </c>
      <c r="D160" s="680"/>
      <c r="E160" s="681"/>
      <c r="H160" s="671">
        <f>100</f>
        <v>100</v>
      </c>
      <c r="I160" s="682"/>
      <c r="J160" s="16" t="s">
        <v>1135</v>
      </c>
      <c r="K160" s="671">
        <v>100</v>
      </c>
      <c r="L160" s="682"/>
      <c r="M160" s="16" t="s">
        <v>1135</v>
      </c>
      <c r="N160" s="19"/>
      <c r="O160" s="138"/>
      <c r="P160" s="58"/>
    </row>
    <row r="161" spans="1:16" ht="15" customHeight="1">
      <c r="A161">
        <f>COUNT(B2:B157)</f>
        <v>155</v>
      </c>
      <c r="B161" s="1"/>
      <c r="C161" s="158">
        <f>I161</f>
        <v>5</v>
      </c>
      <c r="D161" s="694">
        <v>1.32</v>
      </c>
      <c r="E161" s="159">
        <f>C161*D161-C161</f>
        <v>1.6000000000000005</v>
      </c>
      <c r="F161" s="15"/>
      <c r="G161" s="148" t="s">
        <v>604</v>
      </c>
      <c r="H161" s="75">
        <f>H164/100</f>
        <v>1</v>
      </c>
      <c r="I161" s="150">
        <f>H161*5</f>
        <v>5</v>
      </c>
      <c r="J161" s="3" t="s">
        <v>605</v>
      </c>
      <c r="K161" s="75">
        <f>K164/100</f>
        <v>1.2960099999999999</v>
      </c>
      <c r="L161" s="150">
        <f>K161*5</f>
        <v>6.4800499999999994</v>
      </c>
      <c r="M161" s="3" t="s">
        <v>605</v>
      </c>
    </row>
    <row r="162" spans="1:16" ht="15" customHeight="1">
      <c r="A162" t="s">
        <v>606</v>
      </c>
      <c r="B162" s="99"/>
      <c r="C162" s="135">
        <f>E162/(D161-1)</f>
        <v>9.3749999999999982</v>
      </c>
      <c r="D162" s="695"/>
      <c r="E162" s="136">
        <v>3</v>
      </c>
      <c r="F162" s="15"/>
      <c r="G162" s="148" t="s">
        <v>607</v>
      </c>
      <c r="H162" s="127">
        <f>SUM(H2:H157)</f>
        <v>0</v>
      </c>
      <c r="I162" s="149"/>
      <c r="J162" s="3" t="s">
        <v>608</v>
      </c>
      <c r="K162" s="127">
        <f>D158</f>
        <v>29.600999999999999</v>
      </c>
      <c r="L162" s="149"/>
      <c r="M162" s="3" t="s">
        <v>608</v>
      </c>
    </row>
    <row r="163" spans="1:16">
      <c r="A163" s="18">
        <f>COUNT(C2:C157)/A161</f>
        <v>0.59354838709677415</v>
      </c>
      <c r="B163" s="18"/>
      <c r="D163" s="15">
        <f>1/A163</f>
        <v>1.6847826086956523</v>
      </c>
      <c r="E163" s="15"/>
      <c r="F163" s="15"/>
      <c r="G163" s="148" t="s">
        <v>609</v>
      </c>
      <c r="H163" s="690">
        <f>(H162-I162)</f>
        <v>0</v>
      </c>
      <c r="I163" s="691"/>
      <c r="J163" s="128"/>
      <c r="K163" s="690">
        <f>(K162-L162)</f>
        <v>29.600999999999999</v>
      </c>
      <c r="L163" s="691"/>
      <c r="M163" s="128"/>
    </row>
    <row r="164" spans="1:16">
      <c r="A164" t="s">
        <v>4</v>
      </c>
      <c r="G164" s="148" t="s">
        <v>610</v>
      </c>
      <c r="H164" s="692">
        <f>H160+H163</f>
        <v>100</v>
      </c>
      <c r="I164" s="693"/>
      <c r="J164" s="128">
        <f>130-H164</f>
        <v>30</v>
      </c>
      <c r="K164" s="692">
        <f>K160+K163</f>
        <v>129.601</v>
      </c>
      <c r="L164" s="693"/>
      <c r="M164" s="128"/>
      <c r="O164" s="239">
        <v>74.147999999999996</v>
      </c>
      <c r="P164" s="18"/>
    </row>
    <row r="165" spans="1:16">
      <c r="A165" s="18">
        <f>D158/B158</f>
        <v>0.1909741935483871</v>
      </c>
      <c r="F165" s="160"/>
      <c r="G165" s="148" t="s">
        <v>611</v>
      </c>
      <c r="H165" s="45">
        <f>(H164-H160)/H160</f>
        <v>0</v>
      </c>
      <c r="I165" s="46">
        <f>B158/H160</f>
        <v>1.55</v>
      </c>
      <c r="J165" t="s">
        <v>612</v>
      </c>
      <c r="K165" s="45">
        <f>(K164-K160)/K160</f>
        <v>0.29601</v>
      </c>
      <c r="L165" s="46">
        <f>B158/K160</f>
        <v>1.55</v>
      </c>
      <c r="M165" t="s">
        <v>612</v>
      </c>
    </row>
    <row r="166" spans="1:16">
      <c r="A166" s="18"/>
      <c r="G166" s="148"/>
      <c r="H166" s="18"/>
      <c r="I166" s="2"/>
      <c r="K166" s="3"/>
      <c r="L166" s="3"/>
      <c r="N166" s="19"/>
      <c r="O166" s="58"/>
      <c r="P166" s="58"/>
    </row>
    <row r="167" spans="1:16">
      <c r="K167" s="3"/>
      <c r="L167" s="3"/>
      <c r="N167" s="19"/>
      <c r="O167" s="58"/>
      <c r="P167" s="58"/>
    </row>
    <row r="168" spans="1:16">
      <c r="N168" s="19"/>
      <c r="O168" s="58"/>
      <c r="P168" s="58"/>
    </row>
    <row r="169" spans="1:16">
      <c r="H169" s="20"/>
      <c r="K169" s="3"/>
      <c r="L169" s="3"/>
      <c r="N169" s="19"/>
      <c r="O169" s="58"/>
      <c r="P169" s="58"/>
    </row>
    <row r="170" spans="1:16">
      <c r="K170" s="2"/>
      <c r="L170" s="2"/>
      <c r="N170" s="19"/>
      <c r="O170" s="58"/>
      <c r="P170" s="58"/>
    </row>
    <row r="171" spans="1:16">
      <c r="K171" s="18"/>
      <c r="L171" s="18"/>
      <c r="N171" s="19"/>
      <c r="O171" s="58"/>
      <c r="P171" s="58"/>
    </row>
    <row r="172" spans="1:16">
      <c r="N172" s="19"/>
      <c r="O172" s="58"/>
      <c r="P172" s="58"/>
    </row>
    <row r="173" spans="1:16">
      <c r="P173" s="58"/>
    </row>
    <row r="174" spans="1:16">
      <c r="P174" s="58"/>
    </row>
    <row r="175" spans="1:16">
      <c r="P175" s="58"/>
    </row>
    <row r="176" spans="1:16">
      <c r="P176" s="58"/>
    </row>
    <row r="182" spans="1:31">
      <c r="A182" s="186"/>
      <c r="G182"/>
      <c r="K182" s="2"/>
      <c r="Q182"/>
    </row>
    <row r="183" spans="1:31">
      <c r="A183" s="186"/>
      <c r="G183"/>
      <c r="K183" s="2"/>
      <c r="Q183"/>
    </row>
    <row r="184" spans="1:31">
      <c r="A184" s="186"/>
      <c r="G184"/>
      <c r="K184" s="2"/>
      <c r="Q184"/>
    </row>
    <row r="185" spans="1:31">
      <c r="A185" s="186"/>
      <c r="G185"/>
      <c r="K185" s="2"/>
      <c r="Q185"/>
    </row>
    <row r="186" spans="1:31">
      <c r="A186" s="186"/>
      <c r="G186"/>
      <c r="K186" s="2"/>
      <c r="Q186"/>
    </row>
    <row r="187" spans="1:31">
      <c r="A187" s="223"/>
      <c r="G187"/>
      <c r="K187" s="2"/>
      <c r="Q187"/>
      <c r="AE187">
        <v>47</v>
      </c>
    </row>
    <row r="188" spans="1:31">
      <c r="A188" s="223"/>
      <c r="G188"/>
      <c r="K188" s="2"/>
      <c r="Q188"/>
    </row>
    <row r="189" spans="1:31">
      <c r="A189" s="223"/>
      <c r="G189"/>
      <c r="K189" s="2"/>
      <c r="Q189"/>
    </row>
    <row r="190" spans="1:31">
      <c r="A190" s="223"/>
      <c r="G190"/>
      <c r="K190" s="2"/>
      <c r="Q190"/>
    </row>
    <row r="191" spans="1:31">
      <c r="A191" s="223"/>
      <c r="G191"/>
      <c r="K191" s="2"/>
      <c r="Q191"/>
    </row>
    <row r="192" spans="1:31">
      <c r="A192" s="223"/>
      <c r="G192"/>
      <c r="K192" s="2"/>
      <c r="Q192"/>
    </row>
    <row r="193" spans="1:17">
      <c r="A193" s="223"/>
      <c r="G193"/>
      <c r="K193" s="2"/>
      <c r="Q193"/>
    </row>
    <row r="194" spans="1:17">
      <c r="A194" s="223"/>
      <c r="G194"/>
      <c r="K194" s="2"/>
      <c r="Q194"/>
    </row>
    <row r="195" spans="1:17">
      <c r="A195" s="223"/>
      <c r="G195"/>
      <c r="K195" s="2"/>
      <c r="Q195"/>
    </row>
    <row r="196" spans="1:17">
      <c r="A196" s="223"/>
      <c r="G196"/>
      <c r="K196" s="2"/>
      <c r="Q196"/>
    </row>
    <row r="197" spans="1:17">
      <c r="A197" s="223"/>
      <c r="G197"/>
      <c r="K197" s="2"/>
      <c r="Q197"/>
    </row>
    <row r="198" spans="1:17">
      <c r="A198" s="223"/>
      <c r="G198"/>
      <c r="K198" s="2"/>
      <c r="Q198"/>
    </row>
    <row r="199" spans="1:17">
      <c r="A199" s="223"/>
      <c r="G199"/>
      <c r="H199" s="19"/>
      <c r="I199" s="58"/>
      <c r="K199" s="2"/>
      <c r="Q199"/>
    </row>
    <row r="200" spans="1:17">
      <c r="A200" s="223"/>
      <c r="G200"/>
      <c r="K200" s="2"/>
      <c r="Q200"/>
    </row>
    <row r="201" spans="1:17">
      <c r="C201" s="57"/>
    </row>
    <row r="202" spans="1:17">
      <c r="C202" s="57"/>
    </row>
    <row r="203" spans="1:17">
      <c r="C203" s="57"/>
      <c r="P203" s="58"/>
    </row>
    <row r="204" spans="1:17">
      <c r="C204" s="57"/>
    </row>
    <row r="205" spans="1:17">
      <c r="C205" s="57"/>
    </row>
    <row r="206" spans="1:17">
      <c r="C206" s="57"/>
    </row>
    <row r="207" spans="1:17">
      <c r="C207" s="57"/>
    </row>
    <row r="208" spans="1:17">
      <c r="C208" s="57"/>
    </row>
    <row r="209" spans="1:7">
      <c r="A209" s="139" t="s">
        <v>617</v>
      </c>
      <c r="B209" s="140">
        <f>SUM(B2:B19)</f>
        <v>18</v>
      </c>
      <c r="C209" s="140"/>
      <c r="D209" s="140">
        <f>SUM(D2:D19)</f>
        <v>-3.4100000000000006</v>
      </c>
      <c r="E209" s="144">
        <f t="shared" ref="E209:E210" si="6">D209/B209</f>
        <v>-0.18944444444444447</v>
      </c>
      <c r="F209" s="18"/>
      <c r="G209" s="224" t="s">
        <v>616</v>
      </c>
    </row>
    <row r="210" spans="1:7">
      <c r="A210" s="139" t="s">
        <v>618</v>
      </c>
      <c r="B210" s="140">
        <f>SUM(B20:B51)</f>
        <v>32</v>
      </c>
      <c r="C210" s="140"/>
      <c r="D210" s="140">
        <f>SUM(D20:D51)</f>
        <v>5.9859999999999989</v>
      </c>
      <c r="E210" s="144">
        <f t="shared" si="6"/>
        <v>0.18706249999999996</v>
      </c>
      <c r="G210" s="223"/>
    </row>
    <row r="211" spans="1:7">
      <c r="A211" s="139" t="s">
        <v>619</v>
      </c>
      <c r="B211" s="140">
        <f>SUM(B52:B99)</f>
        <v>48</v>
      </c>
      <c r="C211" s="140"/>
      <c r="D211" s="140">
        <f>SUM(D52:D99)</f>
        <v>13.212000000000007</v>
      </c>
      <c r="E211" s="144">
        <f t="shared" ref="E211" si="7">D211/B211</f>
        <v>0.27525000000000016</v>
      </c>
      <c r="G211" s="223"/>
    </row>
    <row r="212" spans="1:7">
      <c r="A212" s="139" t="s">
        <v>621</v>
      </c>
      <c r="B212" s="140">
        <f>SUM(B100:B157)</f>
        <v>57</v>
      </c>
      <c r="C212" s="140"/>
      <c r="D212" s="140">
        <f>SUM(D100:D157)</f>
        <v>13.812999999999999</v>
      </c>
      <c r="E212" s="144">
        <f t="shared" ref="E212" si="8">D212/B212</f>
        <v>0.24233333333333332</v>
      </c>
      <c r="G212" s="223"/>
    </row>
    <row r="213" spans="1:7">
      <c r="A213" s="139" t="s">
        <v>622</v>
      </c>
      <c r="B213" s="140"/>
      <c r="C213" s="140"/>
      <c r="D213" s="140"/>
      <c r="E213" s="144"/>
      <c r="G213" s="223"/>
    </row>
    <row r="214" spans="1:7">
      <c r="A214" s="142"/>
      <c r="B214" s="143"/>
      <c r="C214" s="143"/>
      <c r="D214" s="143"/>
      <c r="E214" s="144"/>
      <c r="G214" s="185"/>
    </row>
    <row r="215" spans="1:7">
      <c r="D215" s="137"/>
    </row>
    <row r="216" spans="1:7">
      <c r="B216" s="43">
        <f>SUM(B209:B215)</f>
        <v>155</v>
      </c>
      <c r="C216" s="42"/>
      <c r="D216" s="43">
        <f>SUM(D209:D215)</f>
        <v>29.601000000000006</v>
      </c>
      <c r="E216" s="44">
        <f>D216/B216</f>
        <v>0.19097419354838713</v>
      </c>
      <c r="F216" t="s">
        <v>647</v>
      </c>
      <c r="G216" s="223"/>
    </row>
    <row r="225" spans="2:3">
      <c r="B225">
        <v>29.37</v>
      </c>
      <c r="C225" s="186">
        <v>1200</v>
      </c>
    </row>
    <row r="226" spans="2:3">
      <c r="B226">
        <f>C226*B225/C225</f>
        <v>300.97519374999996</v>
      </c>
      <c r="C226" s="240">
        <v>12297.25</v>
      </c>
    </row>
  </sheetData>
  <mergeCells count="36">
    <mergeCell ref="D161:D162"/>
    <mergeCell ref="A31:A33"/>
    <mergeCell ref="A34:A38"/>
    <mergeCell ref="A39:A45"/>
    <mergeCell ref="A46:A51"/>
    <mergeCell ref="A52:A54"/>
    <mergeCell ref="A55:A60"/>
    <mergeCell ref="A61:A68"/>
    <mergeCell ref="A69:A74"/>
    <mergeCell ref="A75:A84"/>
    <mergeCell ref="A85:A92"/>
    <mergeCell ref="A93:A99"/>
    <mergeCell ref="A109:A113"/>
    <mergeCell ref="A101:A108"/>
    <mergeCell ref="A120:A126"/>
    <mergeCell ref="A135:A142"/>
    <mergeCell ref="M1:P1"/>
    <mergeCell ref="H163:I163"/>
    <mergeCell ref="K163:L163"/>
    <mergeCell ref="H164:I164"/>
    <mergeCell ref="K164:L164"/>
    <mergeCell ref="A2:A6"/>
    <mergeCell ref="A7:A13"/>
    <mergeCell ref="A14:A19"/>
    <mergeCell ref="A20:A23"/>
    <mergeCell ref="A24:A26"/>
    <mergeCell ref="A27:A30"/>
    <mergeCell ref="C160:E160"/>
    <mergeCell ref="H160:I160"/>
    <mergeCell ref="K160:L160"/>
    <mergeCell ref="A114:A119"/>
    <mergeCell ref="A127:A134"/>
    <mergeCell ref="A143:A144"/>
    <mergeCell ref="A145:A146"/>
    <mergeCell ref="A147:A148"/>
    <mergeCell ref="A152:A154"/>
  </mergeCells>
  <conditionalFormatting sqref="A165">
    <cfRule type="cellIs" dxfId="72" priority="31" operator="lessThanOrEqual">
      <formula>0</formula>
    </cfRule>
    <cfRule type="cellIs" dxfId="71" priority="32" operator="between">
      <formula>0.05</formula>
      <formula>0</formula>
    </cfRule>
    <cfRule type="cellIs" dxfId="70" priority="33" operator="greaterThan">
      <formula>0.05</formula>
    </cfRule>
  </conditionalFormatting>
  <conditionalFormatting sqref="D163">
    <cfRule type="cellIs" dxfId="69" priority="37" operator="greaterThan">
      <formula>$D$161</formula>
    </cfRule>
    <cfRule type="cellIs" dxfId="68" priority="38" operator="lessThan">
      <formula>$D$161</formula>
    </cfRule>
  </conditionalFormatting>
  <conditionalFormatting sqref="E2:E158">
    <cfRule type="cellIs" dxfId="67" priority="1" stopIfTrue="1" operator="greaterThan">
      <formula>5</formula>
    </cfRule>
  </conditionalFormatting>
  <conditionalFormatting sqref="E201:E214">
    <cfRule type="cellIs" dxfId="66" priority="43" stopIfTrue="1" operator="greaterThan">
      <formula>5</formula>
    </cfRule>
  </conditionalFormatting>
  <conditionalFormatting sqref="E216">
    <cfRule type="cellIs" dxfId="65" priority="39" operator="equal">
      <formula>$A$165</formula>
    </cfRule>
  </conditionalFormatting>
  <conditionalFormatting sqref="F165">
    <cfRule type="cellIs" dxfId="64" priority="36" stopIfTrue="1" operator="greaterThan">
      <formula>5</formula>
    </cfRule>
  </conditionalFormatting>
  <conditionalFormatting sqref="H163:I163">
    <cfRule type="cellIs" dxfId="63" priority="42" stopIfTrue="1" operator="greaterThan">
      <formula>50</formula>
    </cfRule>
  </conditionalFormatting>
  <conditionalFormatting sqref="H164:I164">
    <cfRule type="cellIs" dxfId="62" priority="41" stopIfTrue="1" operator="greaterThan">
      <formula>221</formula>
    </cfRule>
  </conditionalFormatting>
  <conditionalFormatting sqref="K162">
    <cfRule type="cellIs" dxfId="61" priority="26" operator="greaterThan">
      <formula>30</formula>
    </cfRule>
  </conditionalFormatting>
  <conditionalFormatting sqref="K163:L163">
    <cfRule type="cellIs" dxfId="60" priority="35" stopIfTrue="1" operator="greaterThan">
      <formula>50</formula>
    </cfRule>
  </conditionalFormatting>
  <conditionalFormatting sqref="K164:L164">
    <cfRule type="cellIs" dxfId="59" priority="34" stopIfTrue="1" operator="greaterThan">
      <formula>221</formula>
    </cfRule>
  </conditionalFormatting>
  <conditionalFormatting sqref="N160:N172">
    <cfRule type="cellIs" dxfId="58" priority="40" operator="greaterThan">
      <formula>0.5</formula>
    </cfRule>
  </conditionalFormatting>
  <pageMargins left="0.7" right="0.7" top="0.75" bottom="0.75" header="0.3" footer="0.3"/>
  <pageSetup fitToWidth="0" fitToHeight="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9F2E-0BE4-41A0-AE30-85B2CDFB773A}">
  <sheetPr>
    <tabColor rgb="FF00B0F0"/>
  </sheetPr>
  <dimension ref="A1:AK80"/>
  <sheetViews>
    <sheetView topLeftCell="A8" workbookViewId="0">
      <selection activeCell="A13" sqref="A13"/>
    </sheetView>
  </sheetViews>
  <sheetFormatPr defaultColWidth="9.140625" defaultRowHeight="15"/>
  <cols>
    <col min="1" max="1" width="33" bestFit="1" customWidth="1"/>
    <col min="2" max="2" width="8.28515625" bestFit="1" customWidth="1"/>
    <col min="3" max="3" width="9.5703125" bestFit="1" customWidth="1"/>
    <col min="4" max="4" width="22.28515625" bestFit="1" customWidth="1"/>
    <col min="5" max="5" width="9" bestFit="1" customWidth="1"/>
    <col min="6" max="6" width="19.5703125" bestFit="1" customWidth="1"/>
    <col min="7" max="7" width="46.28515625" style="186" customWidth="1"/>
    <col min="8" max="8" width="10.7109375" hidden="1" customWidth="1"/>
    <col min="9" max="9" width="10.5703125" hidden="1" customWidth="1"/>
    <col min="10" max="10" width="15.7109375" hidden="1" customWidth="1"/>
    <col min="11" max="12" width="9.140625" customWidth="1"/>
    <col min="13" max="13" width="7.28515625" bestFit="1" customWidth="1"/>
    <col min="14" max="14" width="6.140625" customWidth="1"/>
    <col min="15" max="15" width="8.85546875" customWidth="1"/>
    <col min="16" max="16" width="12.28515625" bestFit="1" customWidth="1"/>
    <col min="17" max="17" width="8.140625" style="2" bestFit="1" customWidth="1"/>
    <col min="18" max="18" width="8.28515625" customWidth="1"/>
    <col min="19" max="19" width="7.7109375" customWidth="1"/>
    <col min="20" max="20" width="8" customWidth="1"/>
    <col min="21" max="21" width="7.85546875" bestFit="1" customWidth="1"/>
    <col min="22" max="22" width="14.140625" bestFit="1" customWidth="1"/>
    <col min="23" max="257" width="11.42578125" customWidth="1"/>
  </cols>
  <sheetData>
    <row r="1" spans="1:23">
      <c r="A1" s="210" t="s">
        <v>0</v>
      </c>
      <c r="B1" s="124" t="s">
        <v>1</v>
      </c>
      <c r="C1" s="124" t="s">
        <v>2</v>
      </c>
      <c r="D1" s="124" t="s">
        <v>3</v>
      </c>
      <c r="E1" s="161" t="s">
        <v>4</v>
      </c>
      <c r="F1" s="162" t="s">
        <v>5</v>
      </c>
      <c r="G1" s="260" t="s">
        <v>1</v>
      </c>
      <c r="H1" t="s">
        <v>6</v>
      </c>
      <c r="I1" t="s">
        <v>7</v>
      </c>
      <c r="J1" t="s">
        <v>8</v>
      </c>
      <c r="O1" s="18" t="s">
        <v>1136</v>
      </c>
      <c r="P1" s="250" t="s">
        <v>1137</v>
      </c>
      <c r="Q1" s="252" t="s">
        <v>5</v>
      </c>
      <c r="R1" s="250"/>
      <c r="T1" s="689" t="s">
        <v>1038</v>
      </c>
      <c r="U1" s="689"/>
      <c r="V1" s="689"/>
      <c r="W1" s="689"/>
    </row>
    <row r="2" spans="1:23">
      <c r="A2" s="629">
        <v>45905</v>
      </c>
      <c r="B2" s="261">
        <v>1</v>
      </c>
      <c r="C2" s="262">
        <v>3.04</v>
      </c>
      <c r="D2" s="262">
        <f>(B2*C2)-B2</f>
        <v>2.04</v>
      </c>
      <c r="E2" s="263">
        <f>SUM($D$2:D2)/SUM($B$2:B2)</f>
        <v>2.04</v>
      </c>
      <c r="F2" s="262">
        <f>D2</f>
        <v>2.04</v>
      </c>
      <c r="G2" s="264" t="s">
        <v>1039</v>
      </c>
      <c r="H2" s="185"/>
      <c r="I2" s="186"/>
      <c r="J2" s="186"/>
      <c r="K2" s="187">
        <v>0.55400000000000005</v>
      </c>
      <c r="L2" s="188">
        <f>K2</f>
        <v>0.55400000000000005</v>
      </c>
      <c r="M2" s="189">
        <f t="shared" ref="M2" si="0">1/L2</f>
        <v>1.8050541516245486</v>
      </c>
      <c r="N2" s="190">
        <f t="shared" ref="N2:N6" si="1">IF(C2&gt;=M2,1,0)</f>
        <v>1</v>
      </c>
      <c r="O2" s="238">
        <f>L2-((1-L2)/D2)</f>
        <v>0.33537254901960789</v>
      </c>
      <c r="P2" s="238">
        <f>O2/10</f>
        <v>3.3537254901960786E-2</v>
      </c>
      <c r="Q2" s="185">
        <f>$O$21*P2</f>
        <v>2.4867203764705881</v>
      </c>
    </row>
    <row r="3" spans="1:23">
      <c r="A3" s="259">
        <v>45906</v>
      </c>
      <c r="B3" s="265">
        <v>1</v>
      </c>
      <c r="C3" s="265"/>
      <c r="D3" s="265">
        <f t="shared" ref="D3:D12" si="2">(B3*C3)-B3</f>
        <v>-1</v>
      </c>
      <c r="E3" s="263">
        <f>SUM($D$2:D3)/SUM($B$2:B3)</f>
        <v>0.52</v>
      </c>
      <c r="F3" s="262">
        <f>F2+D3</f>
        <v>1.04</v>
      </c>
      <c r="G3" s="266" t="s">
        <v>1044</v>
      </c>
      <c r="H3" s="185"/>
      <c r="I3" s="186"/>
      <c r="J3" s="186"/>
      <c r="K3" s="187">
        <v>0.5</v>
      </c>
      <c r="L3" s="188">
        <f>K3</f>
        <v>0.5</v>
      </c>
      <c r="M3" s="189">
        <f t="shared" ref="M3" si="3">1/L3</f>
        <v>2</v>
      </c>
      <c r="N3" s="190">
        <f t="shared" si="1"/>
        <v>0</v>
      </c>
      <c r="O3" s="18">
        <f>L3-((1-L3)/D3)</f>
        <v>1</v>
      </c>
      <c r="P3" s="18">
        <f>O3/10</f>
        <v>0.1</v>
      </c>
      <c r="Q3" s="2">
        <f>$O$21*P3</f>
        <v>7.4147999999999996</v>
      </c>
      <c r="R3" s="58"/>
      <c r="T3" s="2"/>
    </row>
    <row r="4" spans="1:23">
      <c r="A4" s="477">
        <v>45907</v>
      </c>
      <c r="B4" s="261">
        <v>1</v>
      </c>
      <c r="C4" s="265"/>
      <c r="D4" s="265">
        <f t="shared" si="2"/>
        <v>-1</v>
      </c>
      <c r="E4" s="263">
        <f>SUM($D$2:D4)/SUM($B$2:B4)</f>
        <v>1.3333333333333345E-2</v>
      </c>
      <c r="F4" s="262">
        <f t="shared" ref="F4:F12" si="4">F3+D4</f>
        <v>4.0000000000000036E-2</v>
      </c>
      <c r="G4" s="266" t="s">
        <v>1049</v>
      </c>
      <c r="H4" s="185"/>
      <c r="I4" s="186"/>
      <c r="J4" s="186"/>
      <c r="K4" s="187">
        <v>0.61699999999999999</v>
      </c>
      <c r="L4" s="188">
        <f>K4</f>
        <v>0.61699999999999999</v>
      </c>
      <c r="M4" s="189">
        <f t="shared" ref="M4" si="5">1/L4</f>
        <v>1.6207455429497568</v>
      </c>
      <c r="N4" s="190">
        <f t="shared" si="1"/>
        <v>0</v>
      </c>
      <c r="O4" s="18">
        <f>L4-((1-L4)/D4)</f>
        <v>1</v>
      </c>
      <c r="P4" s="18">
        <f>O4/10</f>
        <v>0.1</v>
      </c>
      <c r="Q4" s="2">
        <f>$O$21*P4</f>
        <v>7.4147999999999996</v>
      </c>
      <c r="R4" s="58"/>
      <c r="T4" s="2"/>
    </row>
    <row r="5" spans="1:23">
      <c r="A5" s="268">
        <v>45910</v>
      </c>
      <c r="B5" s="261">
        <v>1</v>
      </c>
      <c r="C5" s="265">
        <v>2.85</v>
      </c>
      <c r="D5" s="265">
        <f t="shared" si="2"/>
        <v>1.85</v>
      </c>
      <c r="E5" s="269">
        <f>SUM($D$2:D5)/SUM($B$2:B5)</f>
        <v>0.47250000000000003</v>
      </c>
      <c r="F5" s="262">
        <f t="shared" si="4"/>
        <v>1.8900000000000001</v>
      </c>
      <c r="G5" s="270" t="s">
        <v>1058</v>
      </c>
      <c r="H5" s="185"/>
      <c r="I5" s="186"/>
      <c r="J5" s="186"/>
      <c r="K5" s="187">
        <v>0.54800000000000004</v>
      </c>
      <c r="L5" s="188">
        <f t="shared" ref="L5:L6" si="6">K5</f>
        <v>0.54800000000000004</v>
      </c>
      <c r="M5" s="189">
        <f t="shared" ref="M5:M6" si="7">1/L5</f>
        <v>1.824817518248175</v>
      </c>
      <c r="N5" s="190">
        <f t="shared" si="1"/>
        <v>1</v>
      </c>
      <c r="O5" s="18">
        <f t="shared" ref="O5:O6" si="8">L5-((1-L5)/D5)</f>
        <v>0.30367567567567577</v>
      </c>
      <c r="P5" s="238">
        <f t="shared" ref="P5:P6" si="9">O5/10</f>
        <v>3.0367567567567578E-2</v>
      </c>
      <c r="Q5" s="2">
        <f>$O$21*P5</f>
        <v>2.2516944000000008</v>
      </c>
      <c r="R5" s="18"/>
    </row>
    <row r="6" spans="1:23">
      <c r="A6" s="275">
        <v>45911</v>
      </c>
      <c r="B6" s="225">
        <v>1</v>
      </c>
      <c r="C6" s="226">
        <v>2.99</v>
      </c>
      <c r="D6" s="226">
        <f t="shared" si="2"/>
        <v>1.9900000000000002</v>
      </c>
      <c r="E6" s="227">
        <f>SUM($D$2:D6)/SUM($B$2:B6)</f>
        <v>0.77600000000000002</v>
      </c>
      <c r="F6" s="228">
        <f t="shared" si="4"/>
        <v>3.8800000000000003</v>
      </c>
      <c r="G6" s="267" t="s">
        <v>1059</v>
      </c>
      <c r="H6" s="185"/>
      <c r="I6" s="186"/>
      <c r="J6" s="186"/>
      <c r="K6" s="271">
        <v>0.55600000000000005</v>
      </c>
      <c r="L6" s="272">
        <f t="shared" si="6"/>
        <v>0.55600000000000005</v>
      </c>
      <c r="M6" s="273">
        <f t="shared" si="7"/>
        <v>1.7985611510791366</v>
      </c>
      <c r="N6" s="274">
        <f t="shared" si="1"/>
        <v>1</v>
      </c>
      <c r="O6" s="18">
        <f t="shared" si="8"/>
        <v>0.33288442211055286</v>
      </c>
      <c r="P6" s="238">
        <f t="shared" si="9"/>
        <v>3.3288442211055286E-2</v>
      </c>
      <c r="Q6" s="2">
        <f>$O$21*P6</f>
        <v>2.4682714130653274</v>
      </c>
      <c r="R6" s="18"/>
    </row>
    <row r="7" spans="1:23">
      <c r="A7" s="659">
        <v>45917</v>
      </c>
      <c r="B7" s="167">
        <v>1</v>
      </c>
      <c r="C7" s="206">
        <v>3.14</v>
      </c>
      <c r="D7" s="206">
        <f t="shared" si="2"/>
        <v>2.14</v>
      </c>
      <c r="E7" s="193">
        <f>SUM($D$2:D7)/SUM($B$2:B7)</f>
        <v>1.0033333333333334</v>
      </c>
      <c r="F7" s="163">
        <f t="shared" si="4"/>
        <v>6.0200000000000005</v>
      </c>
      <c r="G7" s="202" t="s">
        <v>1079</v>
      </c>
      <c r="H7" s="185"/>
      <c r="I7" s="186"/>
      <c r="J7" s="186"/>
      <c r="K7" s="198"/>
      <c r="L7" s="199"/>
      <c r="M7" s="200"/>
      <c r="N7" s="201"/>
      <c r="O7" s="18"/>
      <c r="P7" s="238"/>
      <c r="R7" s="18"/>
    </row>
    <row r="8" spans="1:23">
      <c r="A8" s="661"/>
      <c r="B8" s="172">
        <v>1</v>
      </c>
      <c r="C8" s="208">
        <v>2.81</v>
      </c>
      <c r="D8" s="208">
        <f t="shared" si="2"/>
        <v>1.81</v>
      </c>
      <c r="E8" s="195">
        <f>SUM($D$2:D8)/SUM($B$2:B8)</f>
        <v>1.1185714285714285</v>
      </c>
      <c r="F8" s="165">
        <f t="shared" si="4"/>
        <v>7.83</v>
      </c>
      <c r="G8" s="204" t="s">
        <v>1080</v>
      </c>
      <c r="H8" s="185"/>
      <c r="I8" s="186"/>
      <c r="J8" s="186"/>
      <c r="K8" s="198"/>
      <c r="L8" s="199"/>
      <c r="M8" s="200"/>
      <c r="N8" s="201"/>
      <c r="O8" s="18"/>
      <c r="P8" s="238"/>
      <c r="R8" s="18"/>
    </row>
    <row r="9" spans="1:23">
      <c r="A9" s="659">
        <v>45921</v>
      </c>
      <c r="B9" s="167">
        <v>1</v>
      </c>
      <c r="C9" s="206"/>
      <c r="D9" s="206">
        <f t="shared" si="2"/>
        <v>-1</v>
      </c>
      <c r="E9" s="184">
        <f>SUM($D$2:D9)/SUM($B$2:B9)</f>
        <v>0.85375000000000001</v>
      </c>
      <c r="F9" s="163">
        <f t="shared" si="4"/>
        <v>6.83</v>
      </c>
      <c r="G9" s="202" t="s">
        <v>1098</v>
      </c>
      <c r="H9" s="185"/>
      <c r="I9" s="186"/>
      <c r="J9" s="186"/>
      <c r="K9" s="198"/>
      <c r="L9" s="199"/>
      <c r="M9" s="200"/>
      <c r="N9" s="201"/>
      <c r="O9" s="18"/>
      <c r="P9" s="238"/>
      <c r="R9" s="18"/>
    </row>
    <row r="10" spans="1:23">
      <c r="A10" s="661"/>
      <c r="B10" s="234">
        <v>1</v>
      </c>
      <c r="C10" s="235"/>
      <c r="D10" s="235">
        <f t="shared" si="2"/>
        <v>-1</v>
      </c>
      <c r="E10" s="253">
        <f>SUM($D$2:D10)/SUM($B$2:B10)</f>
        <v>0.64777777777777779</v>
      </c>
      <c r="F10" s="236">
        <f t="shared" si="4"/>
        <v>5.83</v>
      </c>
      <c r="G10" s="254" t="s">
        <v>1099</v>
      </c>
      <c r="H10" s="185"/>
      <c r="I10" s="186"/>
      <c r="J10" s="186"/>
      <c r="K10" s="198"/>
      <c r="L10" s="199"/>
      <c r="M10" s="200"/>
      <c r="N10" s="201"/>
      <c r="O10" s="18"/>
      <c r="P10" s="238"/>
      <c r="R10" s="18"/>
    </row>
    <row r="11" spans="1:23">
      <c r="A11" s="659">
        <v>45922</v>
      </c>
      <c r="B11" s="167">
        <v>1</v>
      </c>
      <c r="C11" s="206">
        <v>2.81</v>
      </c>
      <c r="D11" s="206">
        <f t="shared" si="2"/>
        <v>1.81</v>
      </c>
      <c r="E11" s="193">
        <f>SUM($D$2:D11)/SUM($B$2:B11)</f>
        <v>0.76400000000000001</v>
      </c>
      <c r="F11" s="163">
        <f t="shared" si="4"/>
        <v>7.6400000000000006</v>
      </c>
      <c r="G11" s="202" t="s">
        <v>1058</v>
      </c>
      <c r="H11" s="185"/>
      <c r="I11" s="186"/>
      <c r="J11" s="186"/>
      <c r="K11" s="198"/>
      <c r="L11" s="199"/>
      <c r="M11" s="200"/>
      <c r="N11" s="201"/>
      <c r="O11" s="18"/>
      <c r="P11" s="238"/>
      <c r="R11" s="18"/>
    </row>
    <row r="12" spans="1:23">
      <c r="A12" s="661"/>
      <c r="B12" s="172">
        <v>1</v>
      </c>
      <c r="C12" s="208">
        <v>2.85</v>
      </c>
      <c r="D12" s="208">
        <f t="shared" si="2"/>
        <v>1.85</v>
      </c>
      <c r="E12" s="195">
        <f>SUM($D$2:D12)/SUM($B$2:B12)</f>
        <v>0.86272727272727279</v>
      </c>
      <c r="F12" s="165">
        <f t="shared" si="4"/>
        <v>9.49</v>
      </c>
      <c r="G12" s="204" t="s">
        <v>1102</v>
      </c>
      <c r="H12" s="185"/>
      <c r="I12" s="186"/>
      <c r="J12" s="186"/>
      <c r="K12" s="198"/>
      <c r="L12" s="199"/>
      <c r="M12" s="200"/>
      <c r="N12" s="201"/>
      <c r="O12" s="18"/>
      <c r="P12" s="238"/>
      <c r="R12" s="18"/>
    </row>
    <row r="13" spans="1:23">
      <c r="A13" s="282">
        <v>45928</v>
      </c>
      <c r="B13" s="225">
        <v>1</v>
      </c>
      <c r="C13" s="226">
        <v>2.85</v>
      </c>
      <c r="D13" s="226">
        <f>(B13*C13)-B13</f>
        <v>1.85</v>
      </c>
      <c r="E13" s="227">
        <f>SUM($D$2:D13)/SUM($B$2:B13)</f>
        <v>0.94499999999999995</v>
      </c>
      <c r="F13" s="228">
        <f>F12+D13</f>
        <v>11.34</v>
      </c>
      <c r="G13" s="278" t="s">
        <v>1125</v>
      </c>
      <c r="H13" s="185"/>
      <c r="I13" s="186"/>
      <c r="J13" s="186"/>
      <c r="K13" s="198"/>
      <c r="L13" s="199"/>
      <c r="M13" s="200"/>
      <c r="N13" s="201"/>
      <c r="O13" s="18"/>
      <c r="P13" s="238"/>
      <c r="R13" s="18"/>
    </row>
    <row r="14" spans="1:23">
      <c r="A14" s="626"/>
      <c r="B14" s="208"/>
      <c r="C14" s="208"/>
      <c r="D14" s="208"/>
      <c r="E14" s="195"/>
      <c r="F14" s="165"/>
      <c r="G14" s="205"/>
      <c r="H14" s="185"/>
      <c r="I14" s="186"/>
      <c r="J14" s="186"/>
      <c r="K14" s="198"/>
      <c r="L14" s="199"/>
      <c r="M14" s="200"/>
      <c r="N14" s="201"/>
      <c r="O14" s="18"/>
      <c r="R14" s="18"/>
    </row>
    <row r="15" spans="1:23">
      <c r="B15" s="130">
        <f>SUM(B2:B14)</f>
        <v>12</v>
      </c>
      <c r="D15" s="13">
        <f>SUM(D2:D14)</f>
        <v>11.34</v>
      </c>
      <c r="E15" s="14"/>
      <c r="F15" s="43">
        <f>D15-MAX(F2:F14)</f>
        <v>0</v>
      </c>
      <c r="H15" s="11">
        <f>D15-SUM(H2:H14)</f>
        <v>11.34</v>
      </c>
      <c r="I15" s="11">
        <f>D15-SUM(I2:I14)</f>
        <v>11.34</v>
      </c>
      <c r="J15" s="12">
        <f>D15-SUM(J2:J14)</f>
        <v>11.34</v>
      </c>
      <c r="O15" s="58"/>
      <c r="R15" s="18"/>
    </row>
    <row r="16" spans="1:23">
      <c r="D16" s="2"/>
      <c r="E16" s="2"/>
      <c r="O16" s="58"/>
      <c r="P16" s="58"/>
    </row>
    <row r="17" spans="1:16" ht="15.75" customHeight="1">
      <c r="A17" t="s">
        <v>601</v>
      </c>
      <c r="C17" s="679" t="s">
        <v>602</v>
      </c>
      <c r="D17" s="680"/>
      <c r="E17" s="681"/>
      <c r="H17" s="671">
        <f>100</f>
        <v>100</v>
      </c>
      <c r="I17" s="682"/>
      <c r="J17" s="16" t="s">
        <v>1135</v>
      </c>
      <c r="K17" s="671">
        <v>80.89</v>
      </c>
      <c r="L17" s="682"/>
      <c r="M17" s="16" t="s">
        <v>1135</v>
      </c>
      <c r="N17" s="19"/>
      <c r="O17" s="138"/>
      <c r="P17" s="58"/>
    </row>
    <row r="18" spans="1:16" ht="15" customHeight="1">
      <c r="A18">
        <f>COUNT(B2:B14)</f>
        <v>12</v>
      </c>
      <c r="B18" s="1"/>
      <c r="C18" s="158">
        <f>I18</f>
        <v>5</v>
      </c>
      <c r="D18" s="694">
        <v>1.32</v>
      </c>
      <c r="E18" s="159">
        <f>C18*D18-C18</f>
        <v>1.6000000000000005</v>
      </c>
      <c r="F18" s="15"/>
      <c r="G18" s="148" t="s">
        <v>604</v>
      </c>
      <c r="H18" s="75">
        <f>H21/100</f>
        <v>1</v>
      </c>
      <c r="I18" s="150">
        <f>H18*5</f>
        <v>5</v>
      </c>
      <c r="J18" s="3" t="s">
        <v>605</v>
      </c>
      <c r="K18" s="75">
        <f>K21/100</f>
        <v>0.92230000000000001</v>
      </c>
      <c r="L18" s="150">
        <f>K18*5</f>
        <v>4.6115000000000004</v>
      </c>
      <c r="M18" s="3" t="s">
        <v>605</v>
      </c>
    </row>
    <row r="19" spans="1:16" ht="15" customHeight="1">
      <c r="A19" t="s">
        <v>606</v>
      </c>
      <c r="B19" s="99"/>
      <c r="C19" s="135">
        <f>E19/(D18-1)</f>
        <v>9.3749999999999982</v>
      </c>
      <c r="D19" s="695"/>
      <c r="E19" s="136">
        <v>3</v>
      </c>
      <c r="F19" s="15"/>
      <c r="G19" s="148" t="s">
        <v>607</v>
      </c>
      <c r="H19" s="127">
        <f>SUM(H2:H14)</f>
        <v>0</v>
      </c>
      <c r="I19" s="149"/>
      <c r="J19" s="3" t="s">
        <v>608</v>
      </c>
      <c r="K19" s="127">
        <f>D15</f>
        <v>11.34</v>
      </c>
      <c r="L19" s="149"/>
      <c r="M19" s="3" t="s">
        <v>608</v>
      </c>
    </row>
    <row r="20" spans="1:16">
      <c r="A20" s="18">
        <f>COUNT(C2:C14)/A18</f>
        <v>0.66666666666666663</v>
      </c>
      <c r="B20" s="18"/>
      <c r="D20" s="15">
        <f>1/A20</f>
        <v>1.5</v>
      </c>
      <c r="E20" s="15"/>
      <c r="F20" s="15"/>
      <c r="G20" s="148" t="s">
        <v>609</v>
      </c>
      <c r="H20" s="690">
        <f>(H19-I19)</f>
        <v>0</v>
      </c>
      <c r="I20" s="691"/>
      <c r="J20" s="128"/>
      <c r="K20" s="690">
        <f>(K19-L19)</f>
        <v>11.34</v>
      </c>
      <c r="L20" s="691"/>
      <c r="M20" s="128"/>
    </row>
    <row r="21" spans="1:16">
      <c r="A21" t="s">
        <v>4</v>
      </c>
      <c r="G21" s="148" t="s">
        <v>610</v>
      </c>
      <c r="H21" s="692">
        <f>H17+H20</f>
        <v>100</v>
      </c>
      <c r="I21" s="693"/>
      <c r="J21" s="128">
        <f>130-H21</f>
        <v>30</v>
      </c>
      <c r="K21" s="692">
        <f>K17+K20</f>
        <v>92.23</v>
      </c>
      <c r="L21" s="693"/>
      <c r="M21" s="128"/>
      <c r="O21" s="239">
        <v>74.147999999999996</v>
      </c>
      <c r="P21" s="18"/>
    </row>
    <row r="22" spans="1:16">
      <c r="A22" s="18">
        <f>D15/B15</f>
        <v>0.94499999999999995</v>
      </c>
      <c r="F22" s="160"/>
      <c r="G22" s="148" t="s">
        <v>611</v>
      </c>
      <c r="H22" s="45">
        <f>(H21-H17)/H17</f>
        <v>0</v>
      </c>
      <c r="I22" s="46">
        <f>B15/H17</f>
        <v>0.12</v>
      </c>
      <c r="J22" t="s">
        <v>612</v>
      </c>
      <c r="K22" s="45">
        <f>(K21-K17)/K17</f>
        <v>0.14019038200024728</v>
      </c>
      <c r="L22" s="46">
        <f>B15/K17</f>
        <v>0.14834961058227222</v>
      </c>
      <c r="M22" t="s">
        <v>612</v>
      </c>
    </row>
    <row r="23" spans="1:16">
      <c r="A23" s="18"/>
      <c r="G23" s="148"/>
      <c r="H23" s="18"/>
      <c r="I23" s="2"/>
      <c r="K23" s="3"/>
      <c r="L23" s="3"/>
      <c r="N23" s="19"/>
      <c r="O23" s="58"/>
      <c r="P23" s="58"/>
    </row>
    <row r="24" spans="1:16">
      <c r="K24" s="3"/>
      <c r="L24" s="3"/>
      <c r="N24" s="19"/>
      <c r="O24" s="58"/>
      <c r="P24" s="58"/>
    </row>
    <row r="25" spans="1:16">
      <c r="N25" s="19"/>
      <c r="O25" s="58"/>
      <c r="P25" s="58"/>
    </row>
    <row r="26" spans="1:16">
      <c r="H26" s="20"/>
      <c r="K26" s="3"/>
      <c r="L26" s="3"/>
      <c r="N26" s="19"/>
      <c r="O26" s="58"/>
      <c r="P26" s="58"/>
    </row>
    <row r="27" spans="1:16">
      <c r="K27" s="2"/>
      <c r="L27" s="2"/>
      <c r="N27" s="19"/>
      <c r="O27" s="58"/>
      <c r="P27" s="58"/>
    </row>
    <row r="28" spans="1:16">
      <c r="K28" s="18"/>
      <c r="L28" s="18"/>
      <c r="N28" s="19"/>
      <c r="O28" s="58"/>
      <c r="P28" s="58"/>
    </row>
    <row r="29" spans="1:16">
      <c r="N29" s="19"/>
      <c r="O29" s="58"/>
      <c r="P29" s="58"/>
    </row>
    <row r="30" spans="1:16">
      <c r="P30" s="58"/>
    </row>
    <row r="31" spans="1:16">
      <c r="P31" s="58"/>
    </row>
    <row r="32" spans="1:16">
      <c r="P32" s="58"/>
    </row>
    <row r="33" spans="1:37">
      <c r="P33" s="58"/>
    </row>
    <row r="39" spans="1:37">
      <c r="D39" s="114" t="s">
        <v>3</v>
      </c>
    </row>
    <row r="40" spans="1:37">
      <c r="A40" s="631" t="s">
        <v>615</v>
      </c>
      <c r="B40" s="132" t="s">
        <v>1</v>
      </c>
      <c r="C40" s="632"/>
      <c r="E40" s="134" t="s">
        <v>4</v>
      </c>
    </row>
    <row r="42" spans="1:37">
      <c r="D42" s="7" t="s">
        <v>3</v>
      </c>
    </row>
    <row r="43" spans="1:37">
      <c r="B43" s="21" t="s">
        <v>1138</v>
      </c>
      <c r="C43" s="8"/>
      <c r="D43" s="24">
        <f>SUM(D2:D2)</f>
        <v>2.04</v>
      </c>
      <c r="E43" s="22" t="s">
        <v>4</v>
      </c>
    </row>
    <row r="44" spans="1:37">
      <c r="B44" s="24">
        <f>SUM(B2:B2)</f>
        <v>1</v>
      </c>
      <c r="C44" s="24"/>
      <c r="D44" s="23" t="e">
        <f>SUM(#REF!)</f>
        <v>#REF!</v>
      </c>
      <c r="E44" s="9">
        <f t="shared" ref="E44:E57" si="10">D43/B44</f>
        <v>2.04</v>
      </c>
      <c r="G44" s="223"/>
      <c r="AK44">
        <v>47</v>
      </c>
    </row>
    <row r="45" spans="1:37">
      <c r="B45" s="23" t="e">
        <f>SUM(#REF!)</f>
        <v>#REF!</v>
      </c>
      <c r="C45" s="23"/>
      <c r="D45" s="23" t="e">
        <f>SUM(#REF!)</f>
        <v>#REF!</v>
      </c>
      <c r="E45" s="10" t="e">
        <f t="shared" si="10"/>
        <v>#REF!</v>
      </c>
      <c r="G45" s="223"/>
    </row>
    <row r="46" spans="1:37">
      <c r="B46" s="23" t="e">
        <f>SUM(#REF!)</f>
        <v>#REF!</v>
      </c>
      <c r="C46" s="23"/>
      <c r="D46" s="23" t="e">
        <f>SUM(#REF!)</f>
        <v>#REF!</v>
      </c>
      <c r="E46" s="10" t="e">
        <f t="shared" si="10"/>
        <v>#REF!</v>
      </c>
      <c r="G46" s="223"/>
    </row>
    <row r="47" spans="1:37">
      <c r="B47" s="23" t="e">
        <f>SUM(#REF!)</f>
        <v>#REF!</v>
      </c>
      <c r="C47" s="23"/>
      <c r="D47" s="23" t="e">
        <f>SUM(#REF!)</f>
        <v>#REF!</v>
      </c>
      <c r="E47" s="10" t="e">
        <f t="shared" si="10"/>
        <v>#REF!</v>
      </c>
      <c r="G47" s="223"/>
    </row>
    <row r="48" spans="1:37">
      <c r="B48" s="23" t="e">
        <f>SUM(#REF!)</f>
        <v>#REF!</v>
      </c>
      <c r="C48" s="23"/>
      <c r="D48" s="23" t="e">
        <f>SUM(#REF!)</f>
        <v>#REF!</v>
      </c>
      <c r="E48" s="10" t="e">
        <f t="shared" si="10"/>
        <v>#REF!</v>
      </c>
      <c r="G48" s="223"/>
    </row>
    <row r="49" spans="2:16">
      <c r="B49" s="23" t="e">
        <f>SUM(#REF!)</f>
        <v>#REF!</v>
      </c>
      <c r="C49" s="23"/>
      <c r="D49" s="23" t="e">
        <f>SUM(#REF!)</f>
        <v>#REF!</v>
      </c>
      <c r="E49" s="10" t="e">
        <f t="shared" si="10"/>
        <v>#REF!</v>
      </c>
      <c r="G49" s="223"/>
    </row>
    <row r="50" spans="2:16">
      <c r="B50" s="23" t="e">
        <f>SUM(#REF!)</f>
        <v>#REF!</v>
      </c>
      <c r="C50" s="23"/>
      <c r="D50" s="23" t="e">
        <f>SUM(#REF!)</f>
        <v>#REF!</v>
      </c>
      <c r="E50" s="10" t="e">
        <f t="shared" si="10"/>
        <v>#REF!</v>
      </c>
      <c r="G50" s="223"/>
    </row>
    <row r="51" spans="2:16">
      <c r="B51" s="23" t="e">
        <f>SUM(#REF!)</f>
        <v>#REF!</v>
      </c>
      <c r="C51" s="23"/>
      <c r="D51" s="23" t="e">
        <f>SUM(#REF!)</f>
        <v>#REF!</v>
      </c>
      <c r="E51" s="10" t="e">
        <f t="shared" si="10"/>
        <v>#REF!</v>
      </c>
      <c r="G51" s="223"/>
    </row>
    <row r="52" spans="2:16">
      <c r="B52" s="23" t="e">
        <f>SUM(#REF!)</f>
        <v>#REF!</v>
      </c>
      <c r="C52" s="23"/>
      <c r="D52" s="23" t="e">
        <f>SUM(#REF!)</f>
        <v>#REF!</v>
      </c>
      <c r="E52" s="10" t="e">
        <f t="shared" si="10"/>
        <v>#REF!</v>
      </c>
      <c r="G52" s="223"/>
    </row>
    <row r="53" spans="2:16">
      <c r="B53" s="23" t="e">
        <f>SUM(#REF!)</f>
        <v>#REF!</v>
      </c>
      <c r="C53" s="23"/>
      <c r="D53" s="23" t="e">
        <f>SUM(#REF!)</f>
        <v>#REF!</v>
      </c>
      <c r="E53" s="10" t="e">
        <f t="shared" si="10"/>
        <v>#REF!</v>
      </c>
      <c r="G53" s="223"/>
    </row>
    <row r="54" spans="2:16">
      <c r="B54" s="23" t="e">
        <f>SUM(#REF!)</f>
        <v>#REF!</v>
      </c>
      <c r="C54" s="23"/>
      <c r="D54" s="23" t="e">
        <f>SUM(#REF!)</f>
        <v>#REF!</v>
      </c>
      <c r="E54" s="10" t="e">
        <f t="shared" si="10"/>
        <v>#REF!</v>
      </c>
      <c r="G54" s="223"/>
    </row>
    <row r="55" spans="2:16">
      <c r="B55" s="23" t="e">
        <f>SUM(#REF!)</f>
        <v>#REF!</v>
      </c>
      <c r="C55" s="23"/>
      <c r="D55" s="23" t="e">
        <f>SUM(#REF!)</f>
        <v>#REF!</v>
      </c>
      <c r="E55" s="10" t="e">
        <f t="shared" si="10"/>
        <v>#REF!</v>
      </c>
      <c r="G55" s="223"/>
    </row>
    <row r="56" spans="2:16">
      <c r="B56" s="23" t="e">
        <f>SUM(#REF!)</f>
        <v>#REF!</v>
      </c>
      <c r="C56" s="23"/>
      <c r="D56" s="23" t="e">
        <f>SUM(#REF!)</f>
        <v>#REF!</v>
      </c>
      <c r="E56" s="10" t="e">
        <f t="shared" si="10"/>
        <v>#REF!</v>
      </c>
      <c r="G56" s="223"/>
      <c r="N56" s="19"/>
      <c r="O56" s="58"/>
    </row>
    <row r="57" spans="2:16">
      <c r="B57" s="23" t="e">
        <f>SUM(#REF!)</f>
        <v>#REF!</v>
      </c>
      <c r="C57" s="23"/>
      <c r="D57" s="23" t="e">
        <f>SUM(#REF!)</f>
        <v>#REF!</v>
      </c>
      <c r="E57" s="10" t="e">
        <f t="shared" si="10"/>
        <v>#REF!</v>
      </c>
      <c r="G57" s="223"/>
    </row>
    <row r="58" spans="2:16">
      <c r="C58" s="57"/>
    </row>
    <row r="59" spans="2:16">
      <c r="C59" s="57"/>
    </row>
    <row r="60" spans="2:16">
      <c r="C60" s="57"/>
      <c r="P60" s="58"/>
    </row>
    <row r="61" spans="2:16">
      <c r="C61" s="57"/>
    </row>
    <row r="62" spans="2:16">
      <c r="C62" s="57"/>
    </row>
    <row r="63" spans="2:16">
      <c r="C63" s="57"/>
    </row>
    <row r="64" spans="2:16">
      <c r="C64" s="57"/>
    </row>
    <row r="65" spans="1:7">
      <c r="C65" s="57"/>
    </row>
    <row r="66" spans="1:7">
      <c r="A66" s="139" t="s">
        <v>617</v>
      </c>
      <c r="B66" s="140">
        <f>SUM(B2:B4)</f>
        <v>3</v>
      </c>
      <c r="C66" s="140"/>
      <c r="D66" s="140">
        <f>SUM(D2:D4)</f>
        <v>4.0000000000000036E-2</v>
      </c>
      <c r="E66" s="153">
        <f t="shared" ref="E66:E67" si="11">D66/B66</f>
        <v>1.3333333333333345E-2</v>
      </c>
      <c r="F66" s="18"/>
      <c r="G66" s="224" t="s">
        <v>616</v>
      </c>
    </row>
    <row r="67" spans="1:7">
      <c r="A67" s="139" t="s">
        <v>618</v>
      </c>
      <c r="B67" s="140">
        <f>SUM(B5:B14)</f>
        <v>9</v>
      </c>
      <c r="C67" s="140"/>
      <c r="D67" s="140">
        <f>SUM(D5:D14)</f>
        <v>11.3</v>
      </c>
      <c r="E67" s="153">
        <f t="shared" si="11"/>
        <v>1.2555555555555555</v>
      </c>
      <c r="G67" s="223"/>
    </row>
    <row r="68" spans="1:7">
      <c r="A68" s="142"/>
      <c r="B68" s="143"/>
      <c r="C68" s="143"/>
      <c r="D68" s="143"/>
      <c r="E68" s="144"/>
      <c r="G68" s="185"/>
    </row>
    <row r="69" spans="1:7">
      <c r="D69" s="137"/>
    </row>
    <row r="70" spans="1:7">
      <c r="B70" s="43">
        <f>SUM(B66:B69)</f>
        <v>12</v>
      </c>
      <c r="C70" s="42"/>
      <c r="D70" s="43">
        <f>SUM(D66:D69)</f>
        <v>11.34</v>
      </c>
      <c r="E70" s="44">
        <f>D70/B70</f>
        <v>0.94499999999999995</v>
      </c>
      <c r="F70" t="s">
        <v>647</v>
      </c>
      <c r="G70" s="223"/>
    </row>
    <row r="79" spans="1:7">
      <c r="B79">
        <v>29.37</v>
      </c>
      <c r="C79" s="186">
        <v>1200</v>
      </c>
    </row>
    <row r="80" spans="1:7">
      <c r="B80">
        <f>C80*B79/C79</f>
        <v>300.97519374999996</v>
      </c>
      <c r="C80" s="240">
        <v>12297.25</v>
      </c>
    </row>
  </sheetData>
  <mergeCells count="12">
    <mergeCell ref="A7:A8"/>
    <mergeCell ref="C17:E17"/>
    <mergeCell ref="H17:I17"/>
    <mergeCell ref="K17:L17"/>
    <mergeCell ref="D18:D19"/>
    <mergeCell ref="A9:A10"/>
    <mergeCell ref="A11:A12"/>
    <mergeCell ref="T1:W1"/>
    <mergeCell ref="H20:I20"/>
    <mergeCell ref="K20:L20"/>
    <mergeCell ref="H21:I21"/>
    <mergeCell ref="K21:L21"/>
  </mergeCells>
  <conditionalFormatting sqref="A22">
    <cfRule type="cellIs" dxfId="57" priority="5" operator="lessThanOrEqual">
      <formula>0</formula>
    </cfRule>
    <cfRule type="cellIs" dxfId="56" priority="6" operator="between">
      <formula>0.05</formula>
      <formula>0</formula>
    </cfRule>
    <cfRule type="cellIs" dxfId="55" priority="7" operator="greaterThan">
      <formula>0.05</formula>
    </cfRule>
  </conditionalFormatting>
  <conditionalFormatting sqref="D20">
    <cfRule type="cellIs" dxfId="54" priority="11" operator="greaterThan">
      <formula>$D$18</formula>
    </cfRule>
    <cfRule type="cellIs" dxfId="53" priority="12" operator="lessThan">
      <formula>$D$18</formula>
    </cfRule>
  </conditionalFormatting>
  <conditionalFormatting sqref="E2:E15">
    <cfRule type="cellIs" dxfId="52" priority="1" stopIfTrue="1" operator="greaterThan">
      <formula>5</formula>
    </cfRule>
  </conditionalFormatting>
  <conditionalFormatting sqref="E44:E68">
    <cfRule type="cellIs" dxfId="51" priority="17" stopIfTrue="1" operator="greaterThan">
      <formula>5</formula>
    </cfRule>
  </conditionalFormatting>
  <conditionalFormatting sqref="E70">
    <cfRule type="cellIs" dxfId="50" priority="13" operator="equal">
      <formula>$A$22</formula>
    </cfRule>
  </conditionalFormatting>
  <conditionalFormatting sqref="F22">
    <cfRule type="cellIs" dxfId="49" priority="10" stopIfTrue="1" operator="greaterThan">
      <formula>5</formula>
    </cfRule>
  </conditionalFormatting>
  <conditionalFormatting sqref="H20:I20">
    <cfRule type="cellIs" dxfId="48" priority="16" stopIfTrue="1" operator="greaterThan">
      <formula>50</formula>
    </cfRule>
  </conditionalFormatting>
  <conditionalFormatting sqref="H21:I21">
    <cfRule type="cellIs" dxfId="47" priority="15" stopIfTrue="1" operator="greaterThan">
      <formula>221</formula>
    </cfRule>
  </conditionalFormatting>
  <conditionalFormatting sqref="K20:L20">
    <cfRule type="cellIs" dxfId="46" priority="9" stopIfTrue="1" operator="greaterThan">
      <formula>50</formula>
    </cfRule>
  </conditionalFormatting>
  <conditionalFormatting sqref="K21:L21">
    <cfRule type="cellIs" dxfId="45" priority="8" stopIfTrue="1" operator="greaterThan">
      <formula>221</formula>
    </cfRule>
  </conditionalFormatting>
  <conditionalFormatting sqref="N2:N14 N17:N29">
    <cfRule type="cellIs" dxfId="44" priority="14" operator="greaterThan">
      <formula>0.5</formula>
    </cfRule>
  </conditionalFormatting>
  <pageMargins left="0.7" right="0.7" top="0.75" bottom="0.75" header="0.3" footer="0.3"/>
  <pageSetup fitToWidth="0"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6EA5-2021-460A-8269-0A890132645E}">
  <sheetPr>
    <tabColor rgb="FF00B0F0"/>
  </sheetPr>
  <dimension ref="A1:AK214"/>
  <sheetViews>
    <sheetView topLeftCell="A137" workbookViewId="0">
      <selection activeCell="A144" sqref="A144"/>
    </sheetView>
  </sheetViews>
  <sheetFormatPr defaultColWidth="9.140625" defaultRowHeight="15"/>
  <cols>
    <col min="1" max="1" width="32" bestFit="1" customWidth="1"/>
    <col min="2" max="2" width="8.28515625" bestFit="1" customWidth="1"/>
    <col min="3" max="3" width="9.5703125" bestFit="1" customWidth="1"/>
    <col min="4" max="4" width="22.28515625" bestFit="1" customWidth="1"/>
    <col min="5" max="5" width="9" bestFit="1" customWidth="1"/>
    <col min="6" max="6" width="19.5703125" bestFit="1" customWidth="1"/>
    <col min="7" max="7" width="46.28515625" style="186" customWidth="1"/>
    <col min="8" max="8" width="10.7109375" hidden="1" customWidth="1"/>
    <col min="9" max="9" width="10.5703125" hidden="1" customWidth="1"/>
    <col min="10" max="10" width="15.7109375" hidden="1" customWidth="1"/>
    <col min="11" max="12" width="9.140625" customWidth="1"/>
    <col min="13" max="13" width="7.28515625" bestFit="1" customWidth="1"/>
    <col min="14" max="14" width="6.140625" customWidth="1"/>
    <col min="15" max="15" width="8.85546875" customWidth="1"/>
    <col min="16" max="16" width="12.28515625" bestFit="1" customWidth="1"/>
    <col min="17" max="17" width="8.140625" style="2" bestFit="1" customWidth="1"/>
    <col min="18" max="18" width="8.28515625" customWidth="1"/>
    <col min="19" max="19" width="7.7109375" customWidth="1"/>
    <col min="20" max="20" width="8" customWidth="1"/>
    <col min="21" max="21" width="7.85546875" bestFit="1" customWidth="1"/>
    <col min="22" max="22" width="14.140625" bestFit="1" customWidth="1"/>
    <col min="23" max="257" width="11.42578125" customWidth="1"/>
  </cols>
  <sheetData>
    <row r="1" spans="1:17" ht="15.75" thickBot="1">
      <c r="A1" s="210" t="s">
        <v>0</v>
      </c>
      <c r="B1" s="114" t="s">
        <v>1</v>
      </c>
      <c r="C1" s="114" t="s">
        <v>2</v>
      </c>
      <c r="D1" s="114" t="s">
        <v>3</v>
      </c>
      <c r="E1" s="115" t="s">
        <v>4</v>
      </c>
      <c r="F1" s="133" t="s">
        <v>5</v>
      </c>
      <c r="G1" s="222" t="s">
        <v>1</v>
      </c>
      <c r="H1" t="s">
        <v>6</v>
      </c>
      <c r="I1" t="s">
        <v>7</v>
      </c>
      <c r="J1" t="s">
        <v>8</v>
      </c>
      <c r="K1" s="250"/>
      <c r="M1" s="689" t="s">
        <v>1038</v>
      </c>
      <c r="N1" s="689"/>
      <c r="O1" s="689"/>
      <c r="P1" s="689"/>
      <c r="Q1"/>
    </row>
    <row r="2" spans="1:17">
      <c r="A2" s="650">
        <v>45905</v>
      </c>
      <c r="B2" s="206">
        <v>1</v>
      </c>
      <c r="C2" s="163">
        <v>1.93</v>
      </c>
      <c r="D2" s="163">
        <f t="shared" ref="D2:D65" si="0">(B2*C2)-B2</f>
        <v>0.92999999999999994</v>
      </c>
      <c r="E2" s="193">
        <f>SUM($D$2:D2)/SUM($B$2:B2)</f>
        <v>0.92999999999999994</v>
      </c>
      <c r="F2" s="163">
        <f>D2</f>
        <v>0.92999999999999994</v>
      </c>
      <c r="G2" s="171" t="s">
        <v>1040</v>
      </c>
      <c r="H2" s="185"/>
      <c r="I2" s="186"/>
      <c r="J2" s="186"/>
      <c r="Q2"/>
    </row>
    <row r="3" spans="1:17">
      <c r="A3" s="652"/>
      <c r="B3" s="155">
        <v>1</v>
      </c>
      <c r="C3" s="152">
        <v>1.86</v>
      </c>
      <c r="D3" s="152">
        <f t="shared" si="0"/>
        <v>0.8600000000000001</v>
      </c>
      <c r="E3" s="192">
        <f>SUM($D$2:D3)/SUM($B$2:B3)</f>
        <v>0.89500000000000002</v>
      </c>
      <c r="F3" s="152">
        <f t="shared" ref="F3:F66" si="1">F2+D3</f>
        <v>1.79</v>
      </c>
      <c r="G3" s="194" t="s">
        <v>1041</v>
      </c>
      <c r="H3" s="185"/>
      <c r="I3" s="186"/>
      <c r="J3" s="186"/>
      <c r="Q3"/>
    </row>
    <row r="4" spans="1:17">
      <c r="A4" s="652"/>
      <c r="B4" s="207">
        <v>1</v>
      </c>
      <c r="C4" s="151">
        <v>2.0099999999999998</v>
      </c>
      <c r="D4" s="151">
        <f t="shared" si="0"/>
        <v>1.0099999999999998</v>
      </c>
      <c r="E4" s="156">
        <f>SUM($D$2:D4)/SUM($B$2:B4)</f>
        <v>0.93333333333333324</v>
      </c>
      <c r="F4" s="151">
        <f t="shared" si="1"/>
        <v>2.8</v>
      </c>
      <c r="G4" s="191" t="s">
        <v>1042</v>
      </c>
      <c r="H4" s="185"/>
      <c r="I4" s="186"/>
      <c r="J4" s="186"/>
      <c r="Q4"/>
    </row>
    <row r="5" spans="1:17" ht="15.75" thickBot="1">
      <c r="A5" s="651"/>
      <c r="B5" s="208">
        <v>1</v>
      </c>
      <c r="C5" s="165"/>
      <c r="D5" s="165">
        <f t="shared" si="0"/>
        <v>-1</v>
      </c>
      <c r="E5" s="195">
        <f>SUM($D$2:D5)/SUM($B$2:B5)</f>
        <v>0.44999999999999996</v>
      </c>
      <c r="F5" s="165">
        <f t="shared" si="1"/>
        <v>1.7999999999999998</v>
      </c>
      <c r="G5" s="196" t="s">
        <v>1043</v>
      </c>
      <c r="H5" s="185"/>
      <c r="I5" s="186"/>
      <c r="J5" s="186"/>
      <c r="Q5"/>
    </row>
    <row r="6" spans="1:17">
      <c r="A6" s="686">
        <v>45906</v>
      </c>
      <c r="B6" s="167">
        <v>1</v>
      </c>
      <c r="C6" s="206"/>
      <c r="D6" s="206">
        <f t="shared" si="0"/>
        <v>-1</v>
      </c>
      <c r="E6" s="193">
        <f>SUM($D$2:D6)/SUM($B$2:B6)</f>
        <v>0.15999999999999998</v>
      </c>
      <c r="F6" s="163">
        <f t="shared" si="1"/>
        <v>0.79999999999999982</v>
      </c>
      <c r="G6" s="212" t="s">
        <v>1041</v>
      </c>
      <c r="H6" s="185"/>
      <c r="I6" s="186"/>
      <c r="J6" s="186"/>
      <c r="K6" s="18"/>
      <c r="M6" s="2"/>
      <c r="N6" s="18"/>
      <c r="Q6"/>
    </row>
    <row r="7" spans="1:17">
      <c r="A7" s="687"/>
      <c r="B7" s="169">
        <v>1</v>
      </c>
      <c r="C7" s="207"/>
      <c r="D7" s="207">
        <f t="shared" si="0"/>
        <v>-1</v>
      </c>
      <c r="E7" s="156">
        <f>SUM($D$2:D7)/SUM($B$2:B7)</f>
        <v>-3.3333333333333361E-2</v>
      </c>
      <c r="F7" s="151">
        <f t="shared" si="1"/>
        <v>-0.20000000000000018</v>
      </c>
      <c r="G7" s="203" t="s">
        <v>1045</v>
      </c>
      <c r="H7" s="185"/>
      <c r="I7" s="186"/>
      <c r="J7" s="186"/>
      <c r="K7" s="18"/>
      <c r="M7" s="2"/>
      <c r="N7" s="18"/>
      <c r="Q7"/>
    </row>
    <row r="8" spans="1:17">
      <c r="A8" s="687"/>
      <c r="B8" s="169">
        <v>1</v>
      </c>
      <c r="C8" s="207"/>
      <c r="D8" s="207">
        <f t="shared" si="0"/>
        <v>-1</v>
      </c>
      <c r="E8" s="156">
        <f>SUM($D$2:D8)/SUM($B$2:B8)</f>
        <v>-0.17142857142857146</v>
      </c>
      <c r="F8" s="151">
        <f t="shared" si="1"/>
        <v>-1.2000000000000002</v>
      </c>
      <c r="G8" s="203" t="s">
        <v>1046</v>
      </c>
      <c r="H8" s="185"/>
      <c r="I8" s="186"/>
      <c r="J8" s="186"/>
      <c r="K8" s="18"/>
      <c r="M8" s="2"/>
      <c r="N8" s="18"/>
      <c r="Q8"/>
    </row>
    <row r="9" spans="1:17">
      <c r="A9" s="687"/>
      <c r="B9" s="169">
        <v>1</v>
      </c>
      <c r="C9" s="207"/>
      <c r="D9" s="207">
        <f t="shared" si="0"/>
        <v>-1</v>
      </c>
      <c r="E9" s="156">
        <f>SUM($D$2:D9)/SUM($B$2:B9)</f>
        <v>-0.27500000000000002</v>
      </c>
      <c r="F9" s="151">
        <f t="shared" si="1"/>
        <v>-2.2000000000000002</v>
      </c>
      <c r="G9" s="203" t="s">
        <v>1040</v>
      </c>
      <c r="H9" s="185"/>
      <c r="I9" s="186"/>
      <c r="J9" s="186"/>
      <c r="K9" s="18"/>
      <c r="M9" s="2"/>
      <c r="N9" s="18"/>
      <c r="Q9"/>
    </row>
    <row r="10" spans="1:17">
      <c r="A10" s="687"/>
      <c r="B10" s="169">
        <v>1</v>
      </c>
      <c r="C10" s="207"/>
      <c r="D10" s="207">
        <f t="shared" si="0"/>
        <v>-1</v>
      </c>
      <c r="E10" s="156">
        <f>SUM($D$2:D10)/SUM($B$2:B10)</f>
        <v>-0.35555555555555557</v>
      </c>
      <c r="F10" s="151">
        <f t="shared" si="1"/>
        <v>-3.2</v>
      </c>
      <c r="G10" s="203" t="s">
        <v>1047</v>
      </c>
      <c r="H10" s="185"/>
      <c r="I10" s="186"/>
      <c r="J10" s="186"/>
      <c r="K10" s="18"/>
      <c r="M10" s="2"/>
      <c r="N10" s="18"/>
      <c r="Q10"/>
    </row>
    <row r="11" spans="1:17" ht="15.75" thickBot="1">
      <c r="A11" s="701"/>
      <c r="B11" s="172">
        <v>1</v>
      </c>
      <c r="C11" s="208">
        <v>1.97</v>
      </c>
      <c r="D11" s="208">
        <f t="shared" si="0"/>
        <v>0.97</v>
      </c>
      <c r="E11" s="195">
        <f>SUM($D$2:D11)/SUM($B$2:B11)</f>
        <v>-0.22300000000000003</v>
      </c>
      <c r="F11" s="165">
        <f t="shared" si="1"/>
        <v>-2.2300000000000004</v>
      </c>
      <c r="G11" s="205" t="s">
        <v>1048</v>
      </c>
      <c r="H11" s="185"/>
      <c r="I11" s="186"/>
      <c r="J11" s="186"/>
      <c r="K11" s="18"/>
      <c r="M11" s="2"/>
      <c r="N11" s="18"/>
      <c r="Q11"/>
    </row>
    <row r="12" spans="1:17">
      <c r="A12" s="702">
        <v>45907</v>
      </c>
      <c r="B12" s="206">
        <v>1</v>
      </c>
      <c r="C12" s="206"/>
      <c r="D12" s="206">
        <f t="shared" si="0"/>
        <v>-1</v>
      </c>
      <c r="E12" s="193">
        <f>SUM($D$2:D12)/SUM($B$2:B12)</f>
        <v>-0.2936363636363637</v>
      </c>
      <c r="F12" s="163">
        <f t="shared" si="1"/>
        <v>-3.2300000000000004</v>
      </c>
      <c r="G12" s="212" t="s">
        <v>1050</v>
      </c>
      <c r="H12" s="185"/>
      <c r="I12" s="186"/>
      <c r="J12" s="186"/>
      <c r="K12" s="18"/>
      <c r="M12" s="2"/>
      <c r="N12" s="18"/>
      <c r="Q12"/>
    </row>
    <row r="13" spans="1:17">
      <c r="A13" s="703"/>
      <c r="B13" s="207">
        <v>1</v>
      </c>
      <c r="C13" s="207"/>
      <c r="D13" s="207">
        <f t="shared" si="0"/>
        <v>-1</v>
      </c>
      <c r="E13" s="156">
        <f>SUM($D$2:D13)/SUM($B$2:B13)</f>
        <v>-0.35250000000000004</v>
      </c>
      <c r="F13" s="151">
        <f t="shared" si="1"/>
        <v>-4.2300000000000004</v>
      </c>
      <c r="G13" s="203" t="s">
        <v>1045</v>
      </c>
      <c r="H13" s="185"/>
      <c r="I13" s="186"/>
      <c r="J13" s="186"/>
      <c r="K13" s="18"/>
      <c r="M13" s="2"/>
      <c r="N13" s="18"/>
      <c r="Q13"/>
    </row>
    <row r="14" spans="1:17">
      <c r="A14" s="703"/>
      <c r="B14" s="207">
        <v>1</v>
      </c>
      <c r="C14" s="207">
        <v>1.9</v>
      </c>
      <c r="D14" s="207">
        <f t="shared" si="0"/>
        <v>0.89999999999999991</v>
      </c>
      <c r="E14" s="156">
        <f>SUM($D$2:D14)/SUM($B$2:B14)</f>
        <v>-0.25615384615384618</v>
      </c>
      <c r="F14" s="151">
        <f t="shared" si="1"/>
        <v>-3.3300000000000005</v>
      </c>
      <c r="G14" s="203" t="s">
        <v>1041</v>
      </c>
      <c r="H14" s="185"/>
      <c r="I14" s="186"/>
      <c r="J14" s="186"/>
      <c r="K14" s="18"/>
      <c r="M14" s="2"/>
      <c r="N14" s="18"/>
      <c r="Q14"/>
    </row>
    <row r="15" spans="1:17">
      <c r="A15" s="703"/>
      <c r="B15" s="207">
        <v>1</v>
      </c>
      <c r="C15" s="207">
        <v>1.88</v>
      </c>
      <c r="D15" s="207">
        <f t="shared" si="0"/>
        <v>0.87999999999999989</v>
      </c>
      <c r="E15" s="156">
        <f>SUM($D$2:D15)/SUM($B$2:B15)</f>
        <v>-0.17500000000000004</v>
      </c>
      <c r="F15" s="151">
        <f t="shared" si="1"/>
        <v>-2.4500000000000006</v>
      </c>
      <c r="G15" s="203" t="s">
        <v>1051</v>
      </c>
      <c r="H15" s="185"/>
      <c r="I15" s="186"/>
      <c r="J15" s="186"/>
      <c r="K15" s="18"/>
      <c r="M15" s="2"/>
      <c r="N15" s="18"/>
      <c r="Q15"/>
    </row>
    <row r="16" spans="1:17" ht="15.75" thickBot="1">
      <c r="A16" s="704"/>
      <c r="B16" s="155">
        <v>1</v>
      </c>
      <c r="C16" s="155"/>
      <c r="D16" s="155">
        <f t="shared" si="0"/>
        <v>-1</v>
      </c>
      <c r="E16" s="192">
        <f>SUM($D$2:D16)/SUM($B$2:B16)</f>
        <v>-0.23000000000000004</v>
      </c>
      <c r="F16" s="152">
        <f t="shared" si="1"/>
        <v>-3.4500000000000006</v>
      </c>
      <c r="G16" s="213" t="s">
        <v>1047</v>
      </c>
      <c r="H16" s="185"/>
      <c r="I16" s="186"/>
      <c r="J16" s="186"/>
      <c r="K16" s="58"/>
      <c r="M16" s="2"/>
      <c r="N16" s="18"/>
      <c r="Q16"/>
    </row>
    <row r="17" spans="1:17">
      <c r="A17" s="650">
        <v>45908</v>
      </c>
      <c r="B17" s="206">
        <v>1</v>
      </c>
      <c r="C17" s="206"/>
      <c r="D17" s="206">
        <f t="shared" si="0"/>
        <v>-1</v>
      </c>
      <c r="E17" s="193">
        <f>SUM($D$2:D17)/SUM($B$2:B17)</f>
        <v>-0.27812500000000007</v>
      </c>
      <c r="F17" s="163">
        <f t="shared" si="1"/>
        <v>-4.4500000000000011</v>
      </c>
      <c r="G17" s="212" t="s">
        <v>1052</v>
      </c>
      <c r="H17" s="185"/>
      <c r="I17" s="186"/>
      <c r="J17" s="186"/>
      <c r="K17" s="18"/>
      <c r="M17" s="2"/>
      <c r="N17" s="18"/>
      <c r="Q17"/>
    </row>
    <row r="18" spans="1:17">
      <c r="A18" s="652"/>
      <c r="B18" s="207">
        <v>1</v>
      </c>
      <c r="C18" s="207"/>
      <c r="D18" s="207">
        <f t="shared" si="0"/>
        <v>-1</v>
      </c>
      <c r="E18" s="156">
        <f>SUM($D$2:D18)/SUM($B$2:B18)</f>
        <v>-0.32058823529411773</v>
      </c>
      <c r="F18" s="151">
        <f t="shared" si="1"/>
        <v>-5.4500000000000011</v>
      </c>
      <c r="G18" s="203" t="s">
        <v>1053</v>
      </c>
      <c r="H18" s="185"/>
      <c r="I18" s="186"/>
      <c r="J18" s="186"/>
      <c r="K18" s="18"/>
      <c r="M18" s="2"/>
      <c r="N18" s="18"/>
      <c r="Q18"/>
    </row>
    <row r="19" spans="1:17">
      <c r="A19" s="652"/>
      <c r="B19" s="207">
        <v>1</v>
      </c>
      <c r="C19" s="207">
        <v>1.909</v>
      </c>
      <c r="D19" s="207">
        <f t="shared" si="0"/>
        <v>0.90900000000000003</v>
      </c>
      <c r="E19" s="156">
        <f>SUM($D$2:D19)/SUM($B$2:B19)</f>
        <v>-0.25227777777777782</v>
      </c>
      <c r="F19" s="151">
        <f t="shared" si="1"/>
        <v>-4.5410000000000013</v>
      </c>
      <c r="G19" s="203" t="s">
        <v>1054</v>
      </c>
      <c r="H19" s="185"/>
      <c r="I19" s="186"/>
      <c r="J19" s="186"/>
      <c r="K19" s="18"/>
      <c r="M19" s="2"/>
      <c r="N19" s="18"/>
      <c r="Q19"/>
    </row>
    <row r="20" spans="1:17" ht="15.75" thickBot="1">
      <c r="A20" s="652"/>
      <c r="B20" s="155">
        <v>1</v>
      </c>
      <c r="C20" s="155"/>
      <c r="D20" s="155">
        <f t="shared" si="0"/>
        <v>-1</v>
      </c>
      <c r="E20" s="192">
        <f>SUM($D$2:D20)/SUM($B$2:B20)</f>
        <v>-0.29163157894736846</v>
      </c>
      <c r="F20" s="152">
        <f t="shared" si="1"/>
        <v>-5.5410000000000013</v>
      </c>
      <c r="G20" s="213" t="s">
        <v>1055</v>
      </c>
      <c r="H20" s="185"/>
      <c r="I20" s="186"/>
      <c r="J20" s="186"/>
      <c r="K20" s="18"/>
      <c r="M20" s="2"/>
      <c r="N20" s="18"/>
      <c r="Q20"/>
    </row>
    <row r="21" spans="1:17">
      <c r="A21" s="653">
        <v>45909</v>
      </c>
      <c r="B21" s="167">
        <v>1</v>
      </c>
      <c r="C21" s="206">
        <v>1.74</v>
      </c>
      <c r="D21" s="206">
        <f t="shared" si="0"/>
        <v>0.74</v>
      </c>
      <c r="E21" s="193">
        <f>SUM($D$2:D21)/SUM($B$2:B21)</f>
        <v>-0.24005000000000004</v>
      </c>
      <c r="F21" s="163">
        <f t="shared" si="1"/>
        <v>-4.801000000000001</v>
      </c>
      <c r="G21" s="212" t="s">
        <v>1056</v>
      </c>
      <c r="H21" s="185"/>
      <c r="I21" s="186"/>
      <c r="J21" s="186"/>
      <c r="K21" s="18"/>
      <c r="M21" s="2"/>
      <c r="N21" s="18"/>
      <c r="Q21"/>
    </row>
    <row r="22" spans="1:17">
      <c r="A22" s="654"/>
      <c r="B22" s="169">
        <v>1</v>
      </c>
      <c r="C22" s="207">
        <v>1.89</v>
      </c>
      <c r="D22" s="207">
        <f t="shared" si="0"/>
        <v>0.8899999999999999</v>
      </c>
      <c r="E22" s="156">
        <f>SUM($D$2:D22)/SUM($B$2:B22)</f>
        <v>-0.18623809523809531</v>
      </c>
      <c r="F22" s="151">
        <f t="shared" si="1"/>
        <v>-3.9110000000000014</v>
      </c>
      <c r="G22" s="203" t="s">
        <v>1057</v>
      </c>
      <c r="H22" s="185"/>
      <c r="I22" s="186"/>
      <c r="J22" s="186"/>
      <c r="K22" s="18"/>
      <c r="M22" s="2"/>
      <c r="N22" s="18"/>
      <c r="Q22"/>
    </row>
    <row r="23" spans="1:17" ht="15.75" thickBot="1">
      <c r="A23" s="654"/>
      <c r="B23" s="172">
        <v>1</v>
      </c>
      <c r="C23" s="208"/>
      <c r="D23" s="208">
        <f t="shared" si="0"/>
        <v>-1</v>
      </c>
      <c r="E23" s="195">
        <f>SUM($D$2:D23)/SUM($B$2:B23)</f>
        <v>-0.2232272727272728</v>
      </c>
      <c r="F23" s="165">
        <f t="shared" si="1"/>
        <v>-4.9110000000000014</v>
      </c>
      <c r="G23" s="205" t="s">
        <v>1055</v>
      </c>
      <c r="H23" s="185"/>
      <c r="I23" s="186"/>
      <c r="J23" s="186"/>
      <c r="K23" s="18"/>
      <c r="M23" s="2"/>
      <c r="N23" s="18"/>
      <c r="Q23"/>
    </row>
    <row r="24" spans="1:17">
      <c r="A24" s="677">
        <v>45910</v>
      </c>
      <c r="B24" s="206">
        <v>1</v>
      </c>
      <c r="C24" s="206">
        <v>1.7270000000000001</v>
      </c>
      <c r="D24" s="206">
        <f t="shared" si="0"/>
        <v>0.72700000000000009</v>
      </c>
      <c r="E24" s="193">
        <f>SUM($D$2:D24)/SUM($B$2:B24)</f>
        <v>-0.18191304347826093</v>
      </c>
      <c r="F24" s="163">
        <f t="shared" si="1"/>
        <v>-4.1840000000000011</v>
      </c>
      <c r="G24" s="212" t="s">
        <v>1056</v>
      </c>
      <c r="H24" s="185"/>
      <c r="I24" s="186"/>
      <c r="J24" s="186"/>
      <c r="K24" s="18"/>
      <c r="Q24"/>
    </row>
    <row r="25" spans="1:17">
      <c r="A25" s="678"/>
      <c r="B25" s="207">
        <v>1</v>
      </c>
      <c r="C25" s="207"/>
      <c r="D25" s="207">
        <f t="shared" si="0"/>
        <v>-1</v>
      </c>
      <c r="E25" s="156">
        <f>SUM($D$2:D25)/SUM($B$2:B25)</f>
        <v>-0.21600000000000005</v>
      </c>
      <c r="F25" s="151">
        <f t="shared" si="1"/>
        <v>-5.1840000000000011</v>
      </c>
      <c r="G25" s="203" t="s">
        <v>1054</v>
      </c>
      <c r="H25" s="185"/>
      <c r="I25" s="186"/>
      <c r="J25" s="186"/>
      <c r="K25" s="18"/>
      <c r="Q25"/>
    </row>
    <row r="26" spans="1:17" ht="15.75" thickBot="1">
      <c r="A26" s="685"/>
      <c r="B26" s="208">
        <v>1</v>
      </c>
      <c r="C26" s="208"/>
      <c r="D26" s="208">
        <f t="shared" si="0"/>
        <v>-1</v>
      </c>
      <c r="E26" s="195">
        <f>SUM($D$2:D26)/SUM($B$2:B26)</f>
        <v>-0.24736000000000005</v>
      </c>
      <c r="F26" s="165">
        <f t="shared" si="1"/>
        <v>-6.1840000000000011</v>
      </c>
      <c r="G26" s="213" t="s">
        <v>1057</v>
      </c>
      <c r="H26" s="185"/>
      <c r="I26" s="186"/>
      <c r="J26" s="186"/>
      <c r="K26" s="18"/>
      <c r="Q26"/>
    </row>
    <row r="27" spans="1:17">
      <c r="A27" s="655">
        <v>45911</v>
      </c>
      <c r="B27" s="206">
        <v>1</v>
      </c>
      <c r="C27" s="206">
        <v>1.92</v>
      </c>
      <c r="D27" s="206">
        <f t="shared" si="0"/>
        <v>0.91999999999999993</v>
      </c>
      <c r="E27" s="193">
        <f>SUM($D$2:D27)/SUM($B$2:B27)</f>
        <v>-0.2024615384615385</v>
      </c>
      <c r="F27" s="163">
        <f t="shared" si="1"/>
        <v>-5.2640000000000011</v>
      </c>
      <c r="G27" s="212" t="s">
        <v>1060</v>
      </c>
      <c r="H27" s="185"/>
      <c r="I27" s="186"/>
      <c r="J27" s="186"/>
      <c r="K27" s="18"/>
      <c r="Q27"/>
    </row>
    <row r="28" spans="1:17" ht="15.75" thickBot="1">
      <c r="A28" s="700"/>
      <c r="B28" s="208">
        <v>1</v>
      </c>
      <c r="C28" s="208">
        <v>1.98</v>
      </c>
      <c r="D28" s="208">
        <f t="shared" si="0"/>
        <v>0.98</v>
      </c>
      <c r="E28" s="195">
        <f>SUM($D$2:D28)/SUM($B$2:B28)</f>
        <v>-0.15866666666666671</v>
      </c>
      <c r="F28" s="165">
        <f t="shared" si="1"/>
        <v>-4.2840000000000007</v>
      </c>
      <c r="G28" s="213" t="s">
        <v>1061</v>
      </c>
      <c r="H28" s="185"/>
      <c r="I28" s="186"/>
      <c r="J28" s="186"/>
      <c r="K28" s="18"/>
      <c r="Q28"/>
    </row>
    <row r="29" spans="1:17">
      <c r="A29" s="655">
        <v>45912</v>
      </c>
      <c r="B29" s="206">
        <v>1</v>
      </c>
      <c r="C29" s="206">
        <v>1.76</v>
      </c>
      <c r="D29" s="206">
        <f t="shared" si="0"/>
        <v>0.76</v>
      </c>
      <c r="E29" s="193">
        <f>SUM($D$2:D29)/SUM($B$2:B29)</f>
        <v>-0.12585714285714289</v>
      </c>
      <c r="F29" s="163">
        <f t="shared" si="1"/>
        <v>-3.5240000000000009</v>
      </c>
      <c r="G29" s="212" t="s">
        <v>1062</v>
      </c>
      <c r="H29" s="185"/>
      <c r="I29" s="186"/>
      <c r="J29" s="186"/>
      <c r="K29" s="18"/>
      <c r="Q29"/>
    </row>
    <row r="30" spans="1:17">
      <c r="A30" s="658"/>
      <c r="B30" s="207">
        <v>1</v>
      </c>
      <c r="C30" s="207"/>
      <c r="D30" s="207">
        <f t="shared" si="0"/>
        <v>-1</v>
      </c>
      <c r="E30" s="156">
        <f>SUM($D$2:D30)/SUM($B$2:B30)</f>
        <v>-0.15600000000000003</v>
      </c>
      <c r="F30" s="151">
        <f t="shared" si="1"/>
        <v>-4.5240000000000009</v>
      </c>
      <c r="G30" s="203" t="s">
        <v>1063</v>
      </c>
      <c r="H30" s="185"/>
      <c r="I30" s="186"/>
      <c r="J30" s="186"/>
      <c r="K30" s="18"/>
      <c r="Q30"/>
    </row>
    <row r="31" spans="1:17">
      <c r="A31" s="658"/>
      <c r="B31" s="207">
        <v>1</v>
      </c>
      <c r="C31" s="207">
        <v>1.93</v>
      </c>
      <c r="D31" s="207">
        <f t="shared" si="0"/>
        <v>0.92999999999999994</v>
      </c>
      <c r="E31" s="156">
        <f>SUM($D$2:D31)/SUM($B$2:B31)</f>
        <v>-0.11980000000000005</v>
      </c>
      <c r="F31" s="151">
        <f t="shared" si="1"/>
        <v>-3.5940000000000012</v>
      </c>
      <c r="G31" s="203" t="s">
        <v>1064</v>
      </c>
      <c r="H31" s="185"/>
      <c r="I31" s="186"/>
      <c r="J31" s="186"/>
      <c r="K31" s="18"/>
      <c r="Q31"/>
    </row>
    <row r="32" spans="1:17">
      <c r="A32" s="658"/>
      <c r="B32" s="207">
        <v>1</v>
      </c>
      <c r="C32" s="207"/>
      <c r="D32" s="207">
        <f t="shared" si="0"/>
        <v>-1</v>
      </c>
      <c r="E32" s="156">
        <f>SUM($D$2:D32)/SUM($B$2:B32)</f>
        <v>-0.14819354838709681</v>
      </c>
      <c r="F32" s="151">
        <f t="shared" si="1"/>
        <v>-4.5940000000000012</v>
      </c>
      <c r="G32" s="203" t="s">
        <v>1065</v>
      </c>
      <c r="H32" s="185"/>
      <c r="I32" s="186"/>
      <c r="J32" s="186"/>
      <c r="K32" s="18"/>
      <c r="Q32"/>
    </row>
    <row r="33" spans="1:17" ht="15.75" thickBot="1">
      <c r="A33" s="700"/>
      <c r="B33" s="208">
        <v>1</v>
      </c>
      <c r="C33" s="208">
        <v>1.89</v>
      </c>
      <c r="D33" s="208">
        <f t="shared" si="0"/>
        <v>0.8899999999999999</v>
      </c>
      <c r="E33" s="195">
        <f>SUM($D$2:D33)/SUM($B$2:B33)</f>
        <v>-0.11575000000000005</v>
      </c>
      <c r="F33" s="165">
        <f t="shared" si="1"/>
        <v>-3.7040000000000015</v>
      </c>
      <c r="G33" s="204" t="s">
        <v>1066</v>
      </c>
      <c r="H33" s="185"/>
      <c r="I33" s="186"/>
      <c r="J33" s="186"/>
      <c r="K33" s="18"/>
      <c r="Q33"/>
    </row>
    <row r="34" spans="1:17">
      <c r="A34" s="677">
        <v>45913</v>
      </c>
      <c r="B34" s="206">
        <v>1</v>
      </c>
      <c r="C34" s="206">
        <v>1.89</v>
      </c>
      <c r="D34" s="206">
        <f t="shared" si="0"/>
        <v>0.8899999999999999</v>
      </c>
      <c r="E34" s="193">
        <f>SUM($D$2:D34)/SUM($B$2:B34)</f>
        <v>-8.5272727272727333E-2</v>
      </c>
      <c r="F34" s="163">
        <f t="shared" si="1"/>
        <v>-2.8140000000000018</v>
      </c>
      <c r="G34" s="212" t="s">
        <v>1067</v>
      </c>
      <c r="H34" s="185"/>
      <c r="I34" s="186"/>
      <c r="J34" s="186"/>
      <c r="K34" s="18"/>
      <c r="Q34"/>
    </row>
    <row r="35" spans="1:17">
      <c r="A35" s="678"/>
      <c r="B35" s="207">
        <v>1</v>
      </c>
      <c r="C35" s="207">
        <v>2.02</v>
      </c>
      <c r="D35" s="207">
        <f t="shared" si="0"/>
        <v>1.02</v>
      </c>
      <c r="E35" s="156">
        <f>SUM($D$2:D35)/SUM($B$2:B35)</f>
        <v>-5.2764705882352991E-2</v>
      </c>
      <c r="F35" s="151">
        <f t="shared" si="1"/>
        <v>-1.7940000000000018</v>
      </c>
      <c r="G35" s="203" t="s">
        <v>1068</v>
      </c>
      <c r="H35" s="185"/>
      <c r="I35" s="186"/>
      <c r="J35" s="186"/>
      <c r="K35" s="18"/>
      <c r="Q35"/>
    </row>
    <row r="36" spans="1:17">
      <c r="A36" s="678"/>
      <c r="B36" s="207">
        <v>1</v>
      </c>
      <c r="C36" s="207">
        <v>1.92</v>
      </c>
      <c r="D36" s="207">
        <f t="shared" si="0"/>
        <v>0.91999999999999993</v>
      </c>
      <c r="E36" s="156">
        <f>SUM($D$2:D36)/SUM($B$2:B36)</f>
        <v>-2.4971428571428627E-2</v>
      </c>
      <c r="F36" s="151">
        <f t="shared" si="1"/>
        <v>-0.87400000000000189</v>
      </c>
      <c r="G36" s="203" t="s">
        <v>1066</v>
      </c>
      <c r="H36" s="185"/>
      <c r="I36" s="186"/>
      <c r="J36" s="186"/>
      <c r="K36" s="18"/>
      <c r="Q36"/>
    </row>
    <row r="37" spans="1:17">
      <c r="A37" s="678"/>
      <c r="B37" s="207">
        <v>1</v>
      </c>
      <c r="C37" s="207"/>
      <c r="D37" s="207">
        <f t="shared" si="0"/>
        <v>-1</v>
      </c>
      <c r="E37" s="156">
        <f>SUM($D$2:D37)/SUM($B$2:B37)</f>
        <v>-5.2055555555555605E-2</v>
      </c>
      <c r="F37" s="151">
        <f t="shared" si="1"/>
        <v>-1.8740000000000019</v>
      </c>
      <c r="G37" s="203" t="s">
        <v>1062</v>
      </c>
      <c r="H37" s="185"/>
      <c r="I37" s="186"/>
      <c r="J37" s="186"/>
      <c r="K37" s="18"/>
      <c r="Q37"/>
    </row>
    <row r="38" spans="1:17">
      <c r="A38" s="678"/>
      <c r="B38" s="207">
        <v>1</v>
      </c>
      <c r="C38" s="207"/>
      <c r="D38" s="207">
        <f t="shared" si="0"/>
        <v>-1</v>
      </c>
      <c r="E38" s="156">
        <f>SUM($D$2:D38)/SUM($B$2:B38)</f>
        <v>-7.7675675675675723E-2</v>
      </c>
      <c r="F38" s="151">
        <f t="shared" si="1"/>
        <v>-2.8740000000000019</v>
      </c>
      <c r="G38" s="203" t="s">
        <v>1069</v>
      </c>
      <c r="H38" s="185"/>
      <c r="I38" s="186"/>
      <c r="J38" s="186"/>
      <c r="K38" s="18"/>
      <c r="Q38"/>
    </row>
    <row r="39" spans="1:17">
      <c r="A39" s="678"/>
      <c r="B39" s="207">
        <v>1</v>
      </c>
      <c r="C39" s="207">
        <v>1.98</v>
      </c>
      <c r="D39" s="207">
        <f t="shared" si="0"/>
        <v>0.98</v>
      </c>
      <c r="E39" s="156">
        <f>SUM($D$2:D39)/SUM($B$2:B39)</f>
        <v>-4.9842105263157944E-2</v>
      </c>
      <c r="F39" s="151">
        <f t="shared" si="1"/>
        <v>-1.8940000000000019</v>
      </c>
      <c r="G39" s="203" t="s">
        <v>1070</v>
      </c>
      <c r="H39" s="185"/>
      <c r="I39" s="186"/>
      <c r="J39" s="186"/>
      <c r="K39" s="18"/>
      <c r="Q39"/>
    </row>
    <row r="40" spans="1:17" ht="15.75" thickBot="1">
      <c r="A40" s="685"/>
      <c r="B40" s="208">
        <v>1</v>
      </c>
      <c r="C40" s="208">
        <v>1.9</v>
      </c>
      <c r="D40" s="208">
        <f t="shared" si="0"/>
        <v>0.89999999999999991</v>
      </c>
      <c r="E40" s="195">
        <f>SUM($D$2:D40)/SUM($B$2:B40)</f>
        <v>-2.5487179487179538E-2</v>
      </c>
      <c r="F40" s="165">
        <f t="shared" si="1"/>
        <v>-0.99400000000000199</v>
      </c>
      <c r="G40" s="204" t="s">
        <v>1071</v>
      </c>
      <c r="H40" s="185"/>
      <c r="I40" s="186"/>
      <c r="J40" s="186"/>
      <c r="K40" s="18"/>
      <c r="Q40"/>
    </row>
    <row r="41" spans="1:17">
      <c r="A41" s="677">
        <v>45914</v>
      </c>
      <c r="B41" s="206">
        <v>1</v>
      </c>
      <c r="C41" s="206"/>
      <c r="D41" s="206">
        <f t="shared" si="0"/>
        <v>-1</v>
      </c>
      <c r="E41" s="193">
        <f>SUM($D$2:D41)/SUM($B$2:B41)</f>
        <v>-4.9850000000000047E-2</v>
      </c>
      <c r="F41" s="163">
        <f t="shared" si="1"/>
        <v>-1.994000000000002</v>
      </c>
      <c r="G41" s="212" t="s">
        <v>1071</v>
      </c>
      <c r="H41" s="185"/>
      <c r="I41" s="186"/>
      <c r="J41" s="186"/>
      <c r="K41" s="18"/>
      <c r="Q41"/>
    </row>
    <row r="42" spans="1:17">
      <c r="A42" s="678"/>
      <c r="B42" s="207">
        <v>1</v>
      </c>
      <c r="C42" s="207">
        <v>1.88</v>
      </c>
      <c r="D42" s="207">
        <f t="shared" si="0"/>
        <v>0.87999999999999989</v>
      </c>
      <c r="E42" s="156">
        <f>SUM($D$2:D42)/SUM($B$2:B42)</f>
        <v>-2.7170731707317125E-2</v>
      </c>
      <c r="F42" s="151">
        <f t="shared" si="1"/>
        <v>-1.1140000000000021</v>
      </c>
      <c r="G42" s="203" t="s">
        <v>1072</v>
      </c>
      <c r="H42" s="185"/>
      <c r="I42" s="186"/>
      <c r="J42" s="186"/>
      <c r="K42" s="18"/>
      <c r="Q42"/>
    </row>
    <row r="43" spans="1:17">
      <c r="A43" s="678"/>
      <c r="B43" s="207">
        <v>1</v>
      </c>
      <c r="C43" s="207">
        <v>2</v>
      </c>
      <c r="D43" s="207">
        <f t="shared" si="0"/>
        <v>1</v>
      </c>
      <c r="E43" s="156">
        <f>SUM($D$2:D43)/SUM($B$2:B43)</f>
        <v>-2.7142857142857641E-3</v>
      </c>
      <c r="F43" s="151">
        <f t="shared" si="1"/>
        <v>-0.1140000000000021</v>
      </c>
      <c r="G43" s="203" t="s">
        <v>1066</v>
      </c>
      <c r="H43" s="185"/>
      <c r="I43" s="186"/>
      <c r="J43" s="186"/>
      <c r="K43" s="18"/>
      <c r="Q43"/>
    </row>
    <row r="44" spans="1:17">
      <c r="A44" s="678"/>
      <c r="B44" s="207">
        <v>1</v>
      </c>
      <c r="C44" s="207">
        <v>1.81</v>
      </c>
      <c r="D44" s="207">
        <f t="shared" si="0"/>
        <v>0.81</v>
      </c>
      <c r="E44" s="156">
        <f>SUM($D$2:D44)/SUM($B$2:B44)</f>
        <v>1.6186046511627861E-2</v>
      </c>
      <c r="F44" s="151">
        <f t="shared" si="1"/>
        <v>0.69599999999999795</v>
      </c>
      <c r="G44" s="203" t="s">
        <v>1062</v>
      </c>
      <c r="H44" s="185"/>
      <c r="I44" s="186"/>
      <c r="J44" s="186"/>
      <c r="K44" s="18"/>
      <c r="Q44"/>
    </row>
    <row r="45" spans="1:17">
      <c r="A45" s="678"/>
      <c r="B45" s="207">
        <v>1</v>
      </c>
      <c r="C45" s="207"/>
      <c r="D45" s="207">
        <f t="shared" si="0"/>
        <v>-1</v>
      </c>
      <c r="E45" s="156">
        <f>SUM($D$2:D45)/SUM($B$2:B45)</f>
        <v>-6.9090909090909558E-3</v>
      </c>
      <c r="F45" s="151">
        <f t="shared" si="1"/>
        <v>-0.30400000000000205</v>
      </c>
      <c r="G45" s="203" t="s">
        <v>1065</v>
      </c>
      <c r="H45" s="185"/>
      <c r="I45" s="186"/>
      <c r="J45" s="186"/>
      <c r="K45" s="18"/>
      <c r="Q45"/>
    </row>
    <row r="46" spans="1:17" ht="15.75" thickBot="1">
      <c r="A46" s="685"/>
      <c r="B46" s="208">
        <v>1</v>
      </c>
      <c r="C46" s="208"/>
      <c r="D46" s="208">
        <f t="shared" si="0"/>
        <v>-1</v>
      </c>
      <c r="E46" s="195">
        <f>SUM($D$2:D46)/SUM($B$2:B46)</f>
        <v>-2.8977777777777824E-2</v>
      </c>
      <c r="F46" s="165">
        <f t="shared" si="1"/>
        <v>-1.304000000000002</v>
      </c>
      <c r="G46" s="204" t="s">
        <v>1070</v>
      </c>
      <c r="H46" s="185"/>
      <c r="I46" s="186"/>
      <c r="J46" s="186"/>
      <c r="K46" s="18"/>
      <c r="Q46"/>
    </row>
    <row r="47" spans="1:17">
      <c r="A47" s="677">
        <v>45915</v>
      </c>
      <c r="B47" s="207">
        <v>1</v>
      </c>
      <c r="C47" s="207">
        <v>1.84</v>
      </c>
      <c r="D47" s="207">
        <f t="shared" si="0"/>
        <v>0.84000000000000008</v>
      </c>
      <c r="E47" s="156">
        <f>SUM($D$2:D47)/SUM($B$2:B47)</f>
        <v>-1.0086956521739174E-2</v>
      </c>
      <c r="F47" s="151">
        <f t="shared" si="1"/>
        <v>-0.46400000000000197</v>
      </c>
      <c r="G47" s="203" t="s">
        <v>1073</v>
      </c>
      <c r="H47" s="185"/>
      <c r="I47" s="186"/>
      <c r="J47" s="186"/>
      <c r="K47" s="18"/>
      <c r="Q47"/>
    </row>
    <row r="48" spans="1:17">
      <c r="A48" s="678"/>
      <c r="B48" s="207">
        <v>1</v>
      </c>
      <c r="C48" s="207">
        <v>1.97</v>
      </c>
      <c r="D48" s="207">
        <f t="shared" si="0"/>
        <v>0.97</v>
      </c>
      <c r="E48" s="156">
        <f>SUM($D$2:D48)/SUM($B$2:B48)</f>
        <v>1.0765957446808468E-2</v>
      </c>
      <c r="F48" s="151">
        <f t="shared" si="1"/>
        <v>0.50599999999999801</v>
      </c>
      <c r="G48" s="203" t="s">
        <v>1074</v>
      </c>
      <c r="H48" s="185"/>
      <c r="I48" s="186"/>
      <c r="J48" s="186"/>
      <c r="K48" s="18"/>
      <c r="Q48"/>
    </row>
    <row r="49" spans="1:17" ht="15.75" thickBot="1">
      <c r="A49" s="685"/>
      <c r="B49" s="208">
        <v>1</v>
      </c>
      <c r="C49" s="208">
        <v>1.909</v>
      </c>
      <c r="D49" s="208">
        <f t="shared" si="0"/>
        <v>0.90900000000000003</v>
      </c>
      <c r="E49" s="195">
        <f>SUM($D$2:D49)/SUM($B$2:B49)</f>
        <v>2.9479166666666626E-2</v>
      </c>
      <c r="F49" s="165">
        <f t="shared" si="1"/>
        <v>1.414999999999998</v>
      </c>
      <c r="G49" s="204" t="s">
        <v>1075</v>
      </c>
      <c r="H49" s="185"/>
      <c r="I49" s="186"/>
      <c r="J49" s="186"/>
      <c r="K49" s="18"/>
      <c r="Q49"/>
    </row>
    <row r="50" spans="1:17">
      <c r="A50" s="677">
        <v>45916</v>
      </c>
      <c r="B50" s="207">
        <v>1</v>
      </c>
      <c r="C50" s="207">
        <v>1.86</v>
      </c>
      <c r="D50" s="207">
        <f t="shared" si="0"/>
        <v>0.8600000000000001</v>
      </c>
      <c r="E50" s="156">
        <f>SUM($D$2:D50)/SUM($B$2:B50)</f>
        <v>4.6428571428571389E-2</v>
      </c>
      <c r="F50" s="151">
        <f t="shared" si="1"/>
        <v>2.2749999999999981</v>
      </c>
      <c r="G50" s="276" t="s">
        <v>1073</v>
      </c>
      <c r="H50" s="185"/>
      <c r="I50" s="186"/>
      <c r="J50" s="186"/>
      <c r="K50" s="18"/>
      <c r="Q50"/>
    </row>
    <row r="51" spans="1:17">
      <c r="A51" s="678"/>
      <c r="B51" s="207">
        <v>1</v>
      </c>
      <c r="C51" s="207"/>
      <c r="D51" s="207">
        <f t="shared" si="0"/>
        <v>-1</v>
      </c>
      <c r="E51" s="156">
        <f>SUM($D$2:D51)/SUM($B$2:B51)</f>
        <v>2.5499999999999964E-2</v>
      </c>
      <c r="F51" s="151">
        <f t="shared" si="1"/>
        <v>1.2749999999999981</v>
      </c>
      <c r="G51" s="203" t="s">
        <v>1076</v>
      </c>
      <c r="H51" s="185"/>
      <c r="I51" s="186"/>
      <c r="J51" s="186"/>
      <c r="K51" s="18"/>
      <c r="Q51"/>
    </row>
    <row r="52" spans="1:17">
      <c r="A52" s="678"/>
      <c r="B52" s="207">
        <v>1</v>
      </c>
      <c r="C52" s="207">
        <v>1.95</v>
      </c>
      <c r="D52" s="207">
        <f t="shared" si="0"/>
        <v>0.95</v>
      </c>
      <c r="E52" s="156">
        <f>SUM($D$2:D52)/SUM($B$2:B52)</f>
        <v>4.3627450980392113E-2</v>
      </c>
      <c r="F52" s="151">
        <f t="shared" si="1"/>
        <v>2.2249999999999979</v>
      </c>
      <c r="G52" s="203" t="s">
        <v>1075</v>
      </c>
      <c r="H52" s="185"/>
      <c r="I52" s="186"/>
      <c r="J52" s="186"/>
      <c r="K52" s="18"/>
      <c r="Q52"/>
    </row>
    <row r="53" spans="1:17">
      <c r="A53" s="678"/>
      <c r="B53" s="207">
        <v>1</v>
      </c>
      <c r="C53" s="207">
        <v>1.98</v>
      </c>
      <c r="D53" s="207">
        <f t="shared" si="0"/>
        <v>0.98</v>
      </c>
      <c r="E53" s="156">
        <f>SUM($D$2:D53)/SUM($B$2:B53)</f>
        <v>6.1634615384615343E-2</v>
      </c>
      <c r="F53" s="151">
        <f t="shared" si="1"/>
        <v>3.2049999999999979</v>
      </c>
      <c r="G53" s="203" t="s">
        <v>1074</v>
      </c>
      <c r="H53" s="185"/>
      <c r="I53" s="186"/>
      <c r="J53" s="186"/>
      <c r="K53" s="18"/>
      <c r="Q53"/>
    </row>
    <row r="54" spans="1:17">
      <c r="A54" s="678"/>
      <c r="B54" s="207">
        <v>1</v>
      </c>
      <c r="C54" s="207">
        <v>1.87</v>
      </c>
      <c r="D54" s="207">
        <f t="shared" si="0"/>
        <v>0.87000000000000011</v>
      </c>
      <c r="E54" s="156">
        <f>SUM($D$2:D54)/SUM($B$2:B54)</f>
        <v>7.6886792452830144E-2</v>
      </c>
      <c r="F54" s="151">
        <f t="shared" si="1"/>
        <v>4.0749999999999975</v>
      </c>
      <c r="G54" s="203" t="s">
        <v>1077</v>
      </c>
      <c r="H54" s="185"/>
      <c r="I54" s="186"/>
      <c r="J54" s="186"/>
      <c r="K54" s="18"/>
      <c r="Q54"/>
    </row>
    <row r="55" spans="1:17" ht="15.75" thickBot="1">
      <c r="A55" s="685"/>
      <c r="B55" s="208">
        <v>1</v>
      </c>
      <c r="C55" s="208"/>
      <c r="D55" s="208">
        <f t="shared" si="0"/>
        <v>-1</v>
      </c>
      <c r="E55" s="195">
        <f>SUM($D$2:D55)/SUM($B$2:B55)</f>
        <v>5.6944444444444402E-2</v>
      </c>
      <c r="F55" s="165">
        <f t="shared" si="1"/>
        <v>3.0749999999999975</v>
      </c>
      <c r="G55" s="204" t="s">
        <v>1078</v>
      </c>
      <c r="H55" s="185"/>
      <c r="I55" s="186"/>
      <c r="J55" s="186"/>
      <c r="K55" s="18"/>
      <c r="Q55"/>
    </row>
    <row r="56" spans="1:17">
      <c r="A56" s="677">
        <v>45917</v>
      </c>
      <c r="B56" s="209">
        <v>1</v>
      </c>
      <c r="C56" s="209">
        <v>2.0099999999999998</v>
      </c>
      <c r="D56" s="209">
        <f t="shared" si="0"/>
        <v>1.0099999999999998</v>
      </c>
      <c r="E56" s="197">
        <f>SUM($D$2:D56)/SUM($B$2:B56)</f>
        <v>7.4272727272727226E-2</v>
      </c>
      <c r="F56" s="164">
        <f t="shared" si="1"/>
        <v>4.0849999999999973</v>
      </c>
      <c r="G56" s="279" t="s">
        <v>1081</v>
      </c>
      <c r="H56" s="185"/>
      <c r="I56" s="186"/>
      <c r="J56" s="186"/>
      <c r="K56" s="18"/>
      <c r="Q56"/>
    </row>
    <row r="57" spans="1:17">
      <c r="A57" s="678"/>
      <c r="B57" s="207">
        <v>1</v>
      </c>
      <c r="C57" s="207">
        <v>1.87</v>
      </c>
      <c r="D57" s="207">
        <f t="shared" si="0"/>
        <v>0.87000000000000011</v>
      </c>
      <c r="E57" s="156">
        <f>SUM($D$2:D57)/SUM($B$2:B57)</f>
        <v>8.8482142857142815E-2</v>
      </c>
      <c r="F57" s="151">
        <f t="shared" si="1"/>
        <v>4.9549999999999974</v>
      </c>
      <c r="G57" s="203" t="s">
        <v>1082</v>
      </c>
      <c r="H57" s="185"/>
      <c r="I57" s="186"/>
      <c r="J57" s="186"/>
      <c r="K57" s="18"/>
      <c r="Q57"/>
    </row>
    <row r="58" spans="1:17">
      <c r="A58" s="678"/>
      <c r="B58" s="207">
        <v>1</v>
      </c>
      <c r="C58" s="207"/>
      <c r="D58" s="207">
        <f t="shared" si="0"/>
        <v>-1</v>
      </c>
      <c r="E58" s="156">
        <f>SUM($D$2:D58)/SUM($B$2:B58)</f>
        <v>6.9385964912280662E-2</v>
      </c>
      <c r="F58" s="151">
        <f t="shared" si="1"/>
        <v>3.9549999999999974</v>
      </c>
      <c r="G58" s="203" t="s">
        <v>1073</v>
      </c>
      <c r="H58" s="185"/>
      <c r="I58" s="186"/>
      <c r="J58" s="186"/>
      <c r="K58" s="18"/>
      <c r="Q58"/>
    </row>
    <row r="59" spans="1:17">
      <c r="A59" s="678"/>
      <c r="B59" s="207">
        <v>1</v>
      </c>
      <c r="C59" s="207">
        <v>1.93</v>
      </c>
      <c r="D59" s="207">
        <f t="shared" si="0"/>
        <v>0.92999999999999994</v>
      </c>
      <c r="E59" s="156">
        <f>SUM($D$2:D59)/SUM($B$2:B59)</f>
        <v>8.4224137931034435E-2</v>
      </c>
      <c r="F59" s="151">
        <f t="shared" si="1"/>
        <v>4.8849999999999971</v>
      </c>
      <c r="G59" s="203" t="s">
        <v>1083</v>
      </c>
      <c r="H59" s="185"/>
      <c r="I59" s="186"/>
      <c r="J59" s="186"/>
      <c r="K59" s="18"/>
      <c r="Q59"/>
    </row>
    <row r="60" spans="1:17">
      <c r="A60" s="678"/>
      <c r="B60" s="207">
        <v>1</v>
      </c>
      <c r="C60" s="207"/>
      <c r="D60" s="207">
        <f t="shared" si="0"/>
        <v>-1</v>
      </c>
      <c r="E60" s="156">
        <f>SUM($D$2:D60)/SUM($B$2:B60)</f>
        <v>6.5847457627118591E-2</v>
      </c>
      <c r="F60" s="151">
        <f t="shared" si="1"/>
        <v>3.8849999999999971</v>
      </c>
      <c r="G60" s="203" t="s">
        <v>1084</v>
      </c>
      <c r="H60" s="185"/>
      <c r="I60" s="186"/>
      <c r="J60" s="186"/>
      <c r="K60" s="18"/>
      <c r="Q60"/>
    </row>
    <row r="61" spans="1:17" ht="15.75" thickBot="1">
      <c r="A61" s="685"/>
      <c r="B61" s="208">
        <v>1</v>
      </c>
      <c r="C61" s="208">
        <v>1.87</v>
      </c>
      <c r="D61" s="208">
        <f t="shared" si="0"/>
        <v>0.87000000000000011</v>
      </c>
      <c r="E61" s="195">
        <f>SUM($D$2:D61)/SUM($B$2:B61)</f>
        <v>7.9249999999999959E-2</v>
      </c>
      <c r="F61" s="165">
        <f t="shared" si="1"/>
        <v>4.7549999999999972</v>
      </c>
      <c r="G61" s="204" t="s">
        <v>1077</v>
      </c>
      <c r="H61" s="185"/>
      <c r="I61" s="186"/>
      <c r="J61" s="186"/>
      <c r="K61" s="18"/>
      <c r="Q61"/>
    </row>
    <row r="62" spans="1:17">
      <c r="A62" s="677">
        <v>45918</v>
      </c>
      <c r="B62" s="206">
        <v>1</v>
      </c>
      <c r="C62" s="206"/>
      <c r="D62" s="206">
        <f t="shared" si="0"/>
        <v>-1</v>
      </c>
      <c r="E62" s="193">
        <f>SUM($D$2:D62)/SUM($B$2:B62)</f>
        <v>6.1557377049180281E-2</v>
      </c>
      <c r="F62" s="163">
        <f t="shared" si="1"/>
        <v>3.7549999999999972</v>
      </c>
      <c r="G62" s="203" t="s">
        <v>1075</v>
      </c>
      <c r="H62" s="185"/>
      <c r="I62" s="186"/>
      <c r="J62" s="186"/>
      <c r="K62" s="18"/>
      <c r="Q62"/>
    </row>
    <row r="63" spans="1:17">
      <c r="A63" s="678"/>
      <c r="B63" s="207">
        <v>1</v>
      </c>
      <c r="C63" s="207">
        <v>1.87</v>
      </c>
      <c r="D63" s="207">
        <f t="shared" si="0"/>
        <v>0.87000000000000011</v>
      </c>
      <c r="E63" s="156">
        <f>SUM($D$2:D63)/SUM($B$2:B63)</f>
        <v>7.4596774193548349E-2</v>
      </c>
      <c r="F63" s="151">
        <f t="shared" si="1"/>
        <v>4.6249999999999973</v>
      </c>
      <c r="G63" s="203" t="s">
        <v>1085</v>
      </c>
      <c r="H63" s="185"/>
      <c r="I63" s="186"/>
      <c r="J63" s="186"/>
      <c r="K63" s="18"/>
      <c r="Q63"/>
    </row>
    <row r="64" spans="1:17">
      <c r="A64" s="678"/>
      <c r="B64" s="207">
        <v>1</v>
      </c>
      <c r="C64" s="207">
        <v>1.9</v>
      </c>
      <c r="D64" s="207">
        <f t="shared" si="0"/>
        <v>0.89999999999999991</v>
      </c>
      <c r="E64" s="156">
        <f>SUM($D$2:D64)/SUM($B$2:B64)</f>
        <v>8.7698412698412651E-2</v>
      </c>
      <c r="F64" s="151">
        <f t="shared" si="1"/>
        <v>5.5249999999999968</v>
      </c>
      <c r="G64" s="203" t="s">
        <v>1086</v>
      </c>
      <c r="H64" s="185"/>
      <c r="I64" s="186"/>
      <c r="J64" s="186"/>
      <c r="K64" s="18"/>
      <c r="Q64"/>
    </row>
    <row r="65" spans="1:17">
      <c r="A65" s="678"/>
      <c r="B65" s="207">
        <v>1</v>
      </c>
      <c r="C65" s="207"/>
      <c r="D65" s="207">
        <f t="shared" si="0"/>
        <v>-1</v>
      </c>
      <c r="E65" s="156">
        <f>SUM($D$2:D65)/SUM($B$2:B65)</f>
        <v>7.070312499999995E-2</v>
      </c>
      <c r="F65" s="151">
        <f t="shared" si="1"/>
        <v>4.5249999999999968</v>
      </c>
      <c r="G65" s="203" t="s">
        <v>1087</v>
      </c>
      <c r="H65" s="185"/>
      <c r="I65" s="186"/>
      <c r="J65" s="186"/>
      <c r="K65" s="18"/>
      <c r="Q65"/>
    </row>
    <row r="66" spans="1:17">
      <c r="A66" s="678"/>
      <c r="B66" s="207">
        <v>1</v>
      </c>
      <c r="C66" s="207"/>
      <c r="D66" s="207">
        <f t="shared" ref="D66:D108" si="2">(B66*C66)-B66</f>
        <v>-1</v>
      </c>
      <c r="E66" s="156">
        <f>SUM($D$2:D66)/SUM($B$2:B66)</f>
        <v>5.423076923076918E-2</v>
      </c>
      <c r="F66" s="151">
        <f t="shared" si="1"/>
        <v>3.5249999999999968</v>
      </c>
      <c r="G66" s="203" t="s">
        <v>1088</v>
      </c>
      <c r="H66" s="185"/>
      <c r="I66" s="186"/>
      <c r="J66" s="186"/>
      <c r="K66" s="18"/>
      <c r="Q66"/>
    </row>
    <row r="67" spans="1:17" ht="15.75" thickBot="1">
      <c r="A67" s="685"/>
      <c r="B67" s="208">
        <v>1</v>
      </c>
      <c r="C67" s="208"/>
      <c r="D67" s="208">
        <f t="shared" si="2"/>
        <v>-1</v>
      </c>
      <c r="E67" s="195">
        <f>SUM($D$2:D67)/SUM($B$2:B67)</f>
        <v>3.8257575757575712E-2</v>
      </c>
      <c r="F67" s="165">
        <f t="shared" ref="F67:F108" si="3">F66+D67</f>
        <v>2.5249999999999968</v>
      </c>
      <c r="G67" s="204" t="s">
        <v>1089</v>
      </c>
      <c r="H67" s="185"/>
      <c r="I67" s="186"/>
      <c r="J67" s="186"/>
      <c r="K67" s="18"/>
      <c r="Q67"/>
    </row>
    <row r="68" spans="1:17">
      <c r="A68" s="677">
        <v>45919</v>
      </c>
      <c r="B68" s="206">
        <v>1</v>
      </c>
      <c r="C68" s="206">
        <v>2.0099999999999998</v>
      </c>
      <c r="D68" s="206">
        <f t="shared" si="2"/>
        <v>1.0099999999999998</v>
      </c>
      <c r="E68" s="193">
        <f>SUM($D$2:D68)/SUM($B$2:B68)</f>
        <v>5.2761194029850696E-2</v>
      </c>
      <c r="F68" s="163">
        <f t="shared" si="3"/>
        <v>3.5349999999999966</v>
      </c>
      <c r="G68" s="203" t="s">
        <v>1090</v>
      </c>
      <c r="H68" s="185"/>
      <c r="I68" s="186"/>
      <c r="J68" s="186"/>
      <c r="K68" s="18"/>
      <c r="Q68"/>
    </row>
    <row r="69" spans="1:17">
      <c r="A69" s="678"/>
      <c r="B69" s="207">
        <v>1</v>
      </c>
      <c r="C69" s="207">
        <v>1.615</v>
      </c>
      <c r="D69" s="207">
        <f t="shared" si="2"/>
        <v>0.61499999999999999</v>
      </c>
      <c r="E69" s="156">
        <f>SUM($D$2:D69)/SUM($B$2:B69)</f>
        <v>6.1029411764705832E-2</v>
      </c>
      <c r="F69" s="151">
        <f t="shared" si="3"/>
        <v>4.1499999999999968</v>
      </c>
      <c r="G69" s="203" t="s">
        <v>1091</v>
      </c>
      <c r="H69" s="185"/>
      <c r="I69" s="186"/>
      <c r="J69" s="186"/>
      <c r="K69" s="18"/>
      <c r="Q69"/>
    </row>
    <row r="70" spans="1:17">
      <c r="A70" s="678"/>
      <c r="B70" s="207">
        <v>1</v>
      </c>
      <c r="C70" s="207">
        <v>1.92</v>
      </c>
      <c r="D70" s="207">
        <f t="shared" si="2"/>
        <v>0.91999999999999993</v>
      </c>
      <c r="E70" s="156">
        <f>SUM($D$2:D70)/SUM($B$2:B70)</f>
        <v>7.3478260869565173E-2</v>
      </c>
      <c r="F70" s="151">
        <f t="shared" si="3"/>
        <v>5.0699999999999967</v>
      </c>
      <c r="G70" s="203" t="s">
        <v>1088</v>
      </c>
      <c r="H70" s="185"/>
      <c r="I70" s="186"/>
      <c r="J70" s="186"/>
      <c r="K70" s="18"/>
      <c r="Q70"/>
    </row>
    <row r="71" spans="1:17">
      <c r="A71" s="678"/>
      <c r="B71" s="207">
        <v>1</v>
      </c>
      <c r="C71" s="207">
        <v>1.84</v>
      </c>
      <c r="D71" s="207">
        <f t="shared" si="2"/>
        <v>0.84000000000000008</v>
      </c>
      <c r="E71" s="156">
        <f>SUM($D$2:D71)/SUM($B$2:B71)</f>
        <v>8.4428571428571381E-2</v>
      </c>
      <c r="F71" s="151">
        <f t="shared" si="3"/>
        <v>5.9099999999999966</v>
      </c>
      <c r="G71" s="203" t="s">
        <v>1092</v>
      </c>
      <c r="H71" s="185"/>
      <c r="I71" s="186"/>
      <c r="J71" s="186"/>
      <c r="K71" s="18"/>
      <c r="Q71"/>
    </row>
    <row r="72" spans="1:17">
      <c r="A72" s="678"/>
      <c r="B72" s="207">
        <v>1</v>
      </c>
      <c r="C72" s="207">
        <v>1.909</v>
      </c>
      <c r="D72" s="207">
        <f t="shared" si="2"/>
        <v>0.90900000000000003</v>
      </c>
      <c r="E72" s="156">
        <f>SUM($D$2:D72)/SUM($B$2:B72)</f>
        <v>9.6042253521126705E-2</v>
      </c>
      <c r="F72" s="151">
        <f t="shared" si="3"/>
        <v>6.8189999999999964</v>
      </c>
      <c r="G72" s="203" t="s">
        <v>1093</v>
      </c>
      <c r="H72" s="185"/>
      <c r="I72" s="186"/>
      <c r="J72" s="186"/>
      <c r="K72" s="18"/>
      <c r="Q72"/>
    </row>
    <row r="73" spans="1:17">
      <c r="A73" s="678"/>
      <c r="B73" s="207">
        <v>1</v>
      </c>
      <c r="C73" s="207">
        <v>1.98</v>
      </c>
      <c r="D73" s="207">
        <f t="shared" si="2"/>
        <v>0.98</v>
      </c>
      <c r="E73" s="156">
        <f>SUM($D$2:D73)/SUM($B$2:B73)</f>
        <v>0.10831944444444438</v>
      </c>
      <c r="F73" s="151">
        <f t="shared" si="3"/>
        <v>7.7989999999999959</v>
      </c>
      <c r="G73" s="203" t="s">
        <v>1094</v>
      </c>
      <c r="H73" s="185"/>
      <c r="I73" s="186"/>
      <c r="J73" s="186"/>
      <c r="K73" s="18"/>
      <c r="Q73"/>
    </row>
    <row r="74" spans="1:17">
      <c r="A74" s="678"/>
      <c r="B74" s="207">
        <v>1</v>
      </c>
      <c r="C74" s="207">
        <v>1.909</v>
      </c>
      <c r="D74" s="207">
        <f t="shared" si="2"/>
        <v>0.90900000000000003</v>
      </c>
      <c r="E74" s="156">
        <f>SUM($D$2:D74)/SUM($B$2:B74)</f>
        <v>0.11928767123287666</v>
      </c>
      <c r="F74" s="151">
        <f t="shared" si="3"/>
        <v>8.7079999999999966</v>
      </c>
      <c r="G74" s="203" t="s">
        <v>1089</v>
      </c>
      <c r="H74" s="185"/>
      <c r="I74" s="186"/>
      <c r="J74" s="186"/>
      <c r="K74" s="18"/>
      <c r="Q74"/>
    </row>
    <row r="75" spans="1:17">
      <c r="A75" s="678"/>
      <c r="B75" s="207">
        <v>1</v>
      </c>
      <c r="C75" s="207">
        <v>2.06</v>
      </c>
      <c r="D75" s="207">
        <f t="shared" si="2"/>
        <v>1.06</v>
      </c>
      <c r="E75" s="156">
        <f>SUM($D$2:D75)/SUM($B$2:B75)</f>
        <v>0.13199999999999995</v>
      </c>
      <c r="F75" s="151">
        <f t="shared" si="3"/>
        <v>9.7679999999999971</v>
      </c>
      <c r="G75" s="203" t="s">
        <v>1095</v>
      </c>
      <c r="H75" s="185"/>
      <c r="I75" s="186"/>
      <c r="J75" s="186"/>
      <c r="K75" s="18"/>
      <c r="Q75"/>
    </row>
    <row r="76" spans="1:17">
      <c r="A76" s="678"/>
      <c r="B76" s="207">
        <v>1</v>
      </c>
      <c r="C76" s="207"/>
      <c r="D76" s="207">
        <f t="shared" si="2"/>
        <v>-1</v>
      </c>
      <c r="E76" s="156">
        <f>SUM($D$2:D76)/SUM($B$2:B76)</f>
        <v>0.11690666666666663</v>
      </c>
      <c r="F76" s="151">
        <f t="shared" si="3"/>
        <v>8.7679999999999971</v>
      </c>
      <c r="G76" s="203" t="s">
        <v>1086</v>
      </c>
      <c r="H76" s="185"/>
      <c r="I76" s="186"/>
      <c r="J76" s="186"/>
      <c r="K76" s="18"/>
      <c r="Q76"/>
    </row>
    <row r="77" spans="1:17" ht="15.75" thickBot="1">
      <c r="A77" s="685"/>
      <c r="B77" s="208">
        <v>1</v>
      </c>
      <c r="C77" s="208">
        <v>2.13</v>
      </c>
      <c r="D77" s="208">
        <f t="shared" si="2"/>
        <v>1.1299999999999999</v>
      </c>
      <c r="E77" s="195">
        <f>SUM($D$2:D77)/SUM($B$2:B77)</f>
        <v>0.1302368421052631</v>
      </c>
      <c r="F77" s="165">
        <f t="shared" si="3"/>
        <v>9.8979999999999961</v>
      </c>
      <c r="G77" s="204" t="s">
        <v>1096</v>
      </c>
      <c r="H77" s="185"/>
      <c r="I77" s="186"/>
      <c r="J77" s="186"/>
      <c r="K77" s="18"/>
      <c r="Q77"/>
    </row>
    <row r="78" spans="1:17">
      <c r="A78" s="677">
        <v>45920</v>
      </c>
      <c r="B78" s="207">
        <v>1</v>
      </c>
      <c r="C78" s="207">
        <v>1.93</v>
      </c>
      <c r="D78" s="207">
        <f t="shared" si="2"/>
        <v>0.92999999999999994</v>
      </c>
      <c r="E78" s="156">
        <f>SUM($D$2:D78)/SUM($B$2:B78)</f>
        <v>0.14062337662337657</v>
      </c>
      <c r="F78" s="151">
        <f t="shared" si="3"/>
        <v>10.827999999999996</v>
      </c>
      <c r="G78" s="203" t="s">
        <v>1094</v>
      </c>
      <c r="H78" s="185"/>
      <c r="I78" s="186"/>
      <c r="J78" s="186"/>
      <c r="K78" s="18"/>
      <c r="Q78"/>
    </row>
    <row r="79" spans="1:17">
      <c r="A79" s="678"/>
      <c r="B79" s="207">
        <v>1</v>
      </c>
      <c r="C79" s="207">
        <v>1.88</v>
      </c>
      <c r="D79" s="207">
        <f t="shared" si="2"/>
        <v>0.87999999999999989</v>
      </c>
      <c r="E79" s="156">
        <f>SUM($D$2:D79)/SUM($B$2:B79)</f>
        <v>0.15010256410256403</v>
      </c>
      <c r="F79" s="151">
        <f t="shared" si="3"/>
        <v>11.707999999999995</v>
      </c>
      <c r="G79" s="203" t="s">
        <v>1086</v>
      </c>
      <c r="H79" s="185"/>
      <c r="I79" s="186"/>
      <c r="J79" s="186"/>
      <c r="K79" s="18"/>
      <c r="Q79"/>
    </row>
    <row r="80" spans="1:17">
      <c r="A80" s="678"/>
      <c r="B80" s="207">
        <v>1</v>
      </c>
      <c r="C80" s="207">
        <v>1.87</v>
      </c>
      <c r="D80" s="207">
        <f t="shared" si="2"/>
        <v>0.87000000000000011</v>
      </c>
      <c r="E80" s="156">
        <f>SUM($D$2:D80)/SUM($B$2:B80)</f>
        <v>0.15921518987341768</v>
      </c>
      <c r="F80" s="151">
        <f t="shared" si="3"/>
        <v>12.577999999999996</v>
      </c>
      <c r="G80" s="203" t="s">
        <v>1092</v>
      </c>
      <c r="H80" s="185"/>
      <c r="I80" s="186"/>
      <c r="J80" s="186"/>
      <c r="K80" s="18"/>
      <c r="Q80"/>
    </row>
    <row r="81" spans="1:17">
      <c r="A81" s="678"/>
      <c r="B81" s="207">
        <v>1</v>
      </c>
      <c r="C81" s="207">
        <v>1.87</v>
      </c>
      <c r="D81" s="207">
        <f t="shared" si="2"/>
        <v>0.87000000000000011</v>
      </c>
      <c r="E81" s="156">
        <f>SUM($D$2:D81)/SUM($B$2:B81)</f>
        <v>0.16809999999999997</v>
      </c>
      <c r="F81" s="37">
        <f>F80+D81</f>
        <v>13.447999999999997</v>
      </c>
      <c r="G81" s="203" t="s">
        <v>1089</v>
      </c>
      <c r="H81" s="185"/>
      <c r="I81" s="186"/>
      <c r="J81" s="186"/>
      <c r="K81" s="18"/>
      <c r="Q81"/>
    </row>
    <row r="82" spans="1:17">
      <c r="A82" s="678"/>
      <c r="B82" s="207">
        <v>1</v>
      </c>
      <c r="C82" s="207"/>
      <c r="D82" s="207">
        <f t="shared" si="2"/>
        <v>-1</v>
      </c>
      <c r="E82" s="156">
        <f>SUM($D$2:D82)/SUM($B$2:B82)</f>
        <v>0.15367901234567896</v>
      </c>
      <c r="F82" s="151">
        <f>F81+D82</f>
        <v>12.447999999999997</v>
      </c>
      <c r="G82" s="203" t="s">
        <v>1097</v>
      </c>
      <c r="H82" s="185"/>
      <c r="I82" s="186"/>
      <c r="J82" s="186"/>
      <c r="K82" s="18"/>
      <c r="Q82"/>
    </row>
    <row r="83" spans="1:17">
      <c r="A83" s="678"/>
      <c r="B83" s="207">
        <v>1</v>
      </c>
      <c r="C83" s="207"/>
      <c r="D83" s="207">
        <f t="shared" si="2"/>
        <v>-1</v>
      </c>
      <c r="E83" s="156">
        <f>SUM($D$2:D83)/SUM($B$2:B83)</f>
        <v>0.13960975609756093</v>
      </c>
      <c r="F83" s="151">
        <f t="shared" si="3"/>
        <v>11.447999999999997</v>
      </c>
      <c r="G83" s="203" t="s">
        <v>1088</v>
      </c>
      <c r="H83" s="185"/>
      <c r="I83" s="186"/>
      <c r="J83" s="186"/>
      <c r="K83" s="18"/>
      <c r="Q83"/>
    </row>
    <row r="84" spans="1:17">
      <c r="A84" s="678"/>
      <c r="B84" s="207">
        <v>1</v>
      </c>
      <c r="C84" s="207"/>
      <c r="D84" s="207">
        <f t="shared" si="2"/>
        <v>-1</v>
      </c>
      <c r="E84" s="156">
        <f>SUM($D$2:D84)/SUM($B$2:B84)</f>
        <v>0.12587951807228911</v>
      </c>
      <c r="F84" s="151">
        <f t="shared" si="3"/>
        <v>10.447999999999997</v>
      </c>
      <c r="G84" s="203" t="s">
        <v>1093</v>
      </c>
      <c r="H84" s="185"/>
      <c r="I84" s="186"/>
      <c r="J84" s="186"/>
      <c r="K84" s="18"/>
      <c r="Q84"/>
    </row>
    <row r="85" spans="1:17" ht="15.75" thickBot="1">
      <c r="A85" s="685"/>
      <c r="B85" s="208">
        <v>1</v>
      </c>
      <c r="C85" s="208">
        <v>2</v>
      </c>
      <c r="D85" s="208">
        <f t="shared" si="2"/>
        <v>1</v>
      </c>
      <c r="E85" s="195">
        <f>SUM($D$2:D85)/SUM($B$2:B85)</f>
        <v>0.13628571428571426</v>
      </c>
      <c r="F85" s="165">
        <f t="shared" si="3"/>
        <v>11.447999999999997</v>
      </c>
      <c r="G85" s="204" t="s">
        <v>1095</v>
      </c>
      <c r="H85" s="185"/>
      <c r="I85" s="186"/>
      <c r="J85" s="186"/>
      <c r="K85" s="18"/>
      <c r="Q85"/>
    </row>
    <row r="86" spans="1:17">
      <c r="A86" s="677">
        <v>45921</v>
      </c>
      <c r="B86" s="167">
        <v>1</v>
      </c>
      <c r="C86" s="206"/>
      <c r="D86" s="206">
        <f t="shared" si="2"/>
        <v>-1</v>
      </c>
      <c r="E86" s="193">
        <f>SUM($D$2:D86)/SUM($B$2:B86)</f>
        <v>0.12291764705882349</v>
      </c>
      <c r="F86" s="163">
        <f t="shared" si="3"/>
        <v>10.447999999999997</v>
      </c>
      <c r="G86" s="202" t="s">
        <v>1086</v>
      </c>
      <c r="H86" s="185"/>
      <c r="I86" s="186"/>
      <c r="J86" s="186"/>
      <c r="K86" s="18"/>
      <c r="Q86"/>
    </row>
    <row r="87" spans="1:17">
      <c r="A87" s="678"/>
      <c r="B87" s="169">
        <v>1</v>
      </c>
      <c r="C87" s="207"/>
      <c r="D87" s="207">
        <f t="shared" si="2"/>
        <v>-1</v>
      </c>
      <c r="E87" s="156">
        <f>SUM($D$2:D87)/SUM($B$2:B87)</f>
        <v>0.10986046511627903</v>
      </c>
      <c r="F87" s="151">
        <f t="shared" si="3"/>
        <v>9.4479999999999968</v>
      </c>
      <c r="G87" s="203" t="s">
        <v>1100</v>
      </c>
      <c r="H87" s="185"/>
      <c r="I87" s="186"/>
      <c r="J87" s="186"/>
      <c r="K87" s="18"/>
      <c r="Q87"/>
    </row>
    <row r="88" spans="1:17">
      <c r="A88" s="678"/>
      <c r="B88" s="169">
        <v>1</v>
      </c>
      <c r="C88" s="207"/>
      <c r="D88" s="207">
        <f t="shared" si="2"/>
        <v>-1</v>
      </c>
      <c r="E88" s="156">
        <f>SUM($D$2:D88)/SUM($B$2:B88)</f>
        <v>9.7103448275862037E-2</v>
      </c>
      <c r="F88" s="151">
        <f t="shared" si="3"/>
        <v>8.4479999999999968</v>
      </c>
      <c r="G88" s="203" t="s">
        <v>1094</v>
      </c>
      <c r="H88" s="185"/>
      <c r="I88" s="186"/>
      <c r="J88" s="186"/>
      <c r="K88" s="18"/>
      <c r="Q88"/>
    </row>
    <row r="89" spans="1:17">
      <c r="A89" s="678"/>
      <c r="B89" s="169">
        <v>1</v>
      </c>
      <c r="C89" s="207">
        <v>1.87</v>
      </c>
      <c r="D89" s="207">
        <f t="shared" si="2"/>
        <v>0.87000000000000011</v>
      </c>
      <c r="E89" s="156">
        <f>SUM($D$2:D89)/SUM($B$2:B89)</f>
        <v>0.10588636363636361</v>
      </c>
      <c r="F89" s="151">
        <f t="shared" si="3"/>
        <v>9.3179999999999978</v>
      </c>
      <c r="G89" s="203" t="s">
        <v>1092</v>
      </c>
      <c r="H89" s="185"/>
      <c r="I89" s="186"/>
      <c r="J89" s="186"/>
      <c r="K89" s="18"/>
      <c r="Q89"/>
    </row>
    <row r="90" spans="1:17" ht="15.75" thickBot="1">
      <c r="A90" s="685"/>
      <c r="B90" s="172">
        <v>1</v>
      </c>
      <c r="C90" s="208">
        <v>1.64</v>
      </c>
      <c r="D90" s="208">
        <f t="shared" si="2"/>
        <v>0.6399999999999999</v>
      </c>
      <c r="E90" s="195">
        <f>SUM($D$2:D90)/SUM($B$2:B90)</f>
        <v>0.11188764044943818</v>
      </c>
      <c r="F90" s="165">
        <f t="shared" si="3"/>
        <v>9.9579999999999984</v>
      </c>
      <c r="G90" s="204" t="s">
        <v>1091</v>
      </c>
      <c r="H90" s="185"/>
      <c r="I90" s="186"/>
      <c r="J90" s="186"/>
      <c r="K90" s="18"/>
      <c r="Q90"/>
    </row>
    <row r="91" spans="1:17" ht="15.75" thickBot="1">
      <c r="A91" s="630">
        <v>45922</v>
      </c>
      <c r="B91" s="225">
        <v>1</v>
      </c>
      <c r="C91" s="226">
        <v>1.98</v>
      </c>
      <c r="D91" s="226">
        <f t="shared" si="2"/>
        <v>0.98</v>
      </c>
      <c r="E91" s="227">
        <f>SUM($D$2:D91)/SUM($B$2:B91)</f>
        <v>0.12153333333333333</v>
      </c>
      <c r="F91" s="228">
        <f t="shared" si="3"/>
        <v>10.937999999999999</v>
      </c>
      <c r="G91" s="280" t="s">
        <v>1101</v>
      </c>
      <c r="H91" s="185"/>
      <c r="I91" s="186"/>
      <c r="J91" s="186"/>
      <c r="K91" s="18"/>
      <c r="Q91"/>
    </row>
    <row r="92" spans="1:17">
      <c r="A92" s="677">
        <v>45923</v>
      </c>
      <c r="B92" s="169">
        <v>1</v>
      </c>
      <c r="C92" s="207">
        <v>1.75</v>
      </c>
      <c r="D92" s="207">
        <f t="shared" si="2"/>
        <v>0.75</v>
      </c>
      <c r="E92" s="156">
        <f>SUM($D$2:D92)/SUM($B$2:B92)</f>
        <v>0.12843956043956042</v>
      </c>
      <c r="F92" s="151">
        <f t="shared" si="3"/>
        <v>11.687999999999999</v>
      </c>
      <c r="G92" s="203" t="s">
        <v>1103</v>
      </c>
      <c r="H92" s="185"/>
      <c r="I92" s="186"/>
      <c r="J92" s="186"/>
      <c r="K92" s="18"/>
      <c r="Q92"/>
    </row>
    <row r="93" spans="1:17">
      <c r="A93" s="678"/>
      <c r="B93" s="169">
        <v>1</v>
      </c>
      <c r="C93" s="207"/>
      <c r="D93" s="207">
        <f t="shared" si="2"/>
        <v>-1</v>
      </c>
      <c r="E93" s="156">
        <f>SUM($D$2:D93)/SUM($B$2:B93)</f>
        <v>0.11617391304347825</v>
      </c>
      <c r="F93" s="151">
        <f t="shared" si="3"/>
        <v>10.687999999999999</v>
      </c>
      <c r="G93" s="203" t="s">
        <v>1104</v>
      </c>
      <c r="H93" s="185"/>
      <c r="I93" s="186"/>
      <c r="J93" s="186"/>
      <c r="K93" s="18"/>
      <c r="Q93"/>
    </row>
    <row r="94" spans="1:17">
      <c r="A94" s="678"/>
      <c r="B94" s="169">
        <v>1</v>
      </c>
      <c r="C94" s="207">
        <v>1.95</v>
      </c>
      <c r="D94" s="207">
        <f t="shared" si="2"/>
        <v>0.95</v>
      </c>
      <c r="E94" s="156">
        <f>SUM($D$2:D94)/SUM($B$2:B94)</f>
        <v>0.12513978494623654</v>
      </c>
      <c r="F94" s="151">
        <f t="shared" si="3"/>
        <v>11.637999999999998</v>
      </c>
      <c r="G94" s="203" t="s">
        <v>1105</v>
      </c>
      <c r="H94" s="185"/>
      <c r="I94" s="186"/>
      <c r="J94" s="186"/>
      <c r="K94" s="18"/>
      <c r="Q94"/>
    </row>
    <row r="95" spans="1:17">
      <c r="A95" s="678"/>
      <c r="B95" s="169">
        <v>1</v>
      </c>
      <c r="C95" s="207"/>
      <c r="D95" s="207">
        <f t="shared" si="2"/>
        <v>-1</v>
      </c>
      <c r="E95" s="156">
        <f>SUM($D$2:D95)/SUM($B$2:B95)</f>
        <v>0.11317021276595743</v>
      </c>
      <c r="F95" s="151">
        <f t="shared" si="3"/>
        <v>10.637999999999998</v>
      </c>
      <c r="G95" s="276" t="s">
        <v>1106</v>
      </c>
      <c r="H95" s="185"/>
      <c r="I95" s="186"/>
      <c r="J95" s="186"/>
      <c r="K95" s="18"/>
      <c r="Q95"/>
    </row>
    <row r="96" spans="1:17">
      <c r="A96" s="678"/>
      <c r="B96" s="169">
        <v>1</v>
      </c>
      <c r="C96" s="207"/>
      <c r="D96" s="207">
        <f t="shared" si="2"/>
        <v>-1</v>
      </c>
      <c r="E96" s="156">
        <f>SUM($D$2:D96)/SUM($B$2:B96)</f>
        <v>0.10145263157894735</v>
      </c>
      <c r="F96" s="151">
        <f t="shared" si="3"/>
        <v>9.6379999999999981</v>
      </c>
      <c r="G96" s="203" t="s">
        <v>1107</v>
      </c>
      <c r="H96" s="185"/>
      <c r="I96" s="186"/>
      <c r="J96" s="186"/>
      <c r="K96" s="18"/>
      <c r="Q96"/>
    </row>
    <row r="97" spans="1:17" ht="15.75" thickBot="1">
      <c r="A97" s="685"/>
      <c r="B97" s="172">
        <v>1</v>
      </c>
      <c r="C97" s="208"/>
      <c r="D97" s="208">
        <f t="shared" si="2"/>
        <v>-1</v>
      </c>
      <c r="E97" s="195">
        <f>SUM($D$2:D97)/SUM($B$2:B97)</f>
        <v>8.9979166666666652E-2</v>
      </c>
      <c r="F97" s="165">
        <f t="shared" si="3"/>
        <v>8.6379999999999981</v>
      </c>
      <c r="G97" s="204" t="s">
        <v>1108</v>
      </c>
      <c r="H97" s="185"/>
      <c r="I97" s="186"/>
      <c r="J97" s="186"/>
      <c r="K97" s="18"/>
      <c r="Q97"/>
    </row>
    <row r="98" spans="1:17">
      <c r="A98" s="683">
        <v>45924</v>
      </c>
      <c r="B98" s="167">
        <v>1</v>
      </c>
      <c r="C98" s="206"/>
      <c r="D98" s="206">
        <f t="shared" si="2"/>
        <v>-1</v>
      </c>
      <c r="E98" s="193">
        <f>SUM($D$2:D98)/SUM($B$2:B98)</f>
        <v>7.8742268041237087E-2</v>
      </c>
      <c r="F98" s="163">
        <f t="shared" si="3"/>
        <v>7.6379999999999981</v>
      </c>
      <c r="G98" s="202" t="s">
        <v>1104</v>
      </c>
      <c r="H98" s="185"/>
      <c r="I98" s="186"/>
      <c r="J98" s="186"/>
      <c r="K98" s="18"/>
      <c r="Q98"/>
    </row>
    <row r="99" spans="1:17">
      <c r="A99" s="684"/>
      <c r="B99" s="169">
        <v>1</v>
      </c>
      <c r="C99" s="207">
        <v>1.833</v>
      </c>
      <c r="D99" s="207">
        <f t="shared" si="2"/>
        <v>0.83299999999999996</v>
      </c>
      <c r="E99" s="156">
        <f>SUM($D$2:D99)/SUM($B$2:B99)</f>
        <v>8.6438775510204069E-2</v>
      </c>
      <c r="F99" s="151">
        <f t="shared" si="3"/>
        <v>8.4709999999999983</v>
      </c>
      <c r="G99" s="203" t="s">
        <v>1109</v>
      </c>
      <c r="H99" s="185"/>
      <c r="I99" s="186"/>
      <c r="J99" s="186"/>
      <c r="K99" s="18"/>
      <c r="Q99"/>
    </row>
    <row r="100" spans="1:17">
      <c r="A100" s="684"/>
      <c r="B100" s="169">
        <v>1</v>
      </c>
      <c r="C100" s="207">
        <v>2</v>
      </c>
      <c r="D100" s="207">
        <f t="shared" si="2"/>
        <v>1</v>
      </c>
      <c r="E100" s="156">
        <f>SUM($D$2:D100)/SUM($B$2:B100)</f>
        <v>9.566666666666665E-2</v>
      </c>
      <c r="F100" s="151">
        <f t="shared" si="3"/>
        <v>9.4709999999999983</v>
      </c>
      <c r="G100" s="203" t="s">
        <v>1106</v>
      </c>
      <c r="H100" s="185"/>
      <c r="I100" s="186"/>
      <c r="J100" s="186"/>
      <c r="K100" s="18"/>
      <c r="Q100"/>
    </row>
    <row r="101" spans="1:17">
      <c r="A101" s="684"/>
      <c r="B101" s="169">
        <v>1</v>
      </c>
      <c r="C101" s="207">
        <v>2.06</v>
      </c>
      <c r="D101" s="207">
        <f t="shared" si="2"/>
        <v>1.06</v>
      </c>
      <c r="E101" s="156">
        <f>SUM($D$2:D101)/SUM($B$2:B101)</f>
        <v>0.10530999999999999</v>
      </c>
      <c r="F101" s="151">
        <f t="shared" si="3"/>
        <v>10.530999999999999</v>
      </c>
      <c r="G101" s="203" t="s">
        <v>1110</v>
      </c>
      <c r="H101" s="185"/>
      <c r="I101" s="186"/>
      <c r="J101" s="186"/>
      <c r="K101" s="18"/>
      <c r="Q101"/>
    </row>
    <row r="102" spans="1:17" ht="15.75" thickBot="1">
      <c r="A102" s="696"/>
      <c r="B102" s="172">
        <v>1</v>
      </c>
      <c r="C102" s="208"/>
      <c r="D102" s="208">
        <f t="shared" si="2"/>
        <v>-1</v>
      </c>
      <c r="E102" s="195">
        <f>SUM($D$2:D102)/SUM($B$2:B102)</f>
        <v>9.4366336633663353E-2</v>
      </c>
      <c r="F102" s="165">
        <f t="shared" si="3"/>
        <v>9.5309999999999988</v>
      </c>
      <c r="G102" s="204" t="s">
        <v>1101</v>
      </c>
      <c r="H102" s="185"/>
      <c r="I102" s="186"/>
      <c r="J102" s="186"/>
      <c r="K102" s="18"/>
      <c r="Q102"/>
    </row>
    <row r="103" spans="1:17">
      <c r="A103" s="683">
        <v>45925</v>
      </c>
      <c r="B103" s="167">
        <v>1</v>
      </c>
      <c r="C103" s="206">
        <v>1.88</v>
      </c>
      <c r="D103" s="206">
        <f t="shared" si="2"/>
        <v>0.87999999999999989</v>
      </c>
      <c r="E103" s="193">
        <f>SUM($D$2:D103)/SUM($B$2:B103)</f>
        <v>0.10206862745098037</v>
      </c>
      <c r="F103" s="163">
        <f t="shared" si="3"/>
        <v>10.410999999999998</v>
      </c>
      <c r="G103" s="202" t="s">
        <v>1104</v>
      </c>
      <c r="H103" s="185"/>
      <c r="I103" s="186"/>
      <c r="J103" s="186"/>
      <c r="K103" s="18"/>
      <c r="Q103"/>
    </row>
    <row r="104" spans="1:17">
      <c r="A104" s="684"/>
      <c r="B104" s="169">
        <v>1</v>
      </c>
      <c r="C104" s="207">
        <v>1.8</v>
      </c>
      <c r="D104" s="207">
        <f t="shared" si="2"/>
        <v>0.8</v>
      </c>
      <c r="E104" s="156">
        <f>SUM($D$2:D104)/SUM($B$2:B104)</f>
        <v>0.10884466019417474</v>
      </c>
      <c r="F104" s="151">
        <f t="shared" si="3"/>
        <v>11.210999999999999</v>
      </c>
      <c r="G104" s="203" t="s">
        <v>1103</v>
      </c>
      <c r="H104" s="185"/>
      <c r="I104" s="186"/>
      <c r="J104" s="186"/>
      <c r="K104" s="18"/>
      <c r="Q104"/>
    </row>
    <row r="105" spans="1:17">
      <c r="A105" s="684"/>
      <c r="B105" s="169">
        <v>1</v>
      </c>
      <c r="C105" s="207"/>
      <c r="D105" s="207">
        <f t="shared" si="2"/>
        <v>-1</v>
      </c>
      <c r="E105" s="156">
        <f>SUM($D$2:D105)/SUM($B$2:B105)</f>
        <v>9.818269230769229E-2</v>
      </c>
      <c r="F105" s="151">
        <f t="shared" si="3"/>
        <v>10.210999999999999</v>
      </c>
      <c r="G105" s="203" t="s">
        <v>1106</v>
      </c>
      <c r="H105" s="185"/>
      <c r="I105" s="186"/>
      <c r="J105" s="186"/>
      <c r="K105" s="18"/>
      <c r="Q105"/>
    </row>
    <row r="106" spans="1:17">
      <c r="A106" s="684"/>
      <c r="B106" s="169">
        <v>1</v>
      </c>
      <c r="C106" s="207">
        <v>1.98</v>
      </c>
      <c r="D106" s="207">
        <f t="shared" si="2"/>
        <v>0.98</v>
      </c>
      <c r="E106" s="156">
        <f>SUM($D$2:D106)/SUM($B$2:B106)</f>
        <v>0.10658095238095237</v>
      </c>
      <c r="F106" s="151">
        <f t="shared" si="3"/>
        <v>11.190999999999999</v>
      </c>
      <c r="G106" s="203" t="s">
        <v>1111</v>
      </c>
      <c r="H106" s="185"/>
      <c r="I106" s="186"/>
      <c r="J106" s="186"/>
      <c r="K106" s="18"/>
      <c r="Q106"/>
    </row>
    <row r="107" spans="1:17">
      <c r="A107" s="684"/>
      <c r="B107" s="169">
        <v>1</v>
      </c>
      <c r="C107" s="207"/>
      <c r="D107" s="207">
        <f t="shared" si="2"/>
        <v>-1</v>
      </c>
      <c r="E107" s="156">
        <f>SUM($D$2:D107)/SUM($B$2:B107)</f>
        <v>9.6141509433962255E-2</v>
      </c>
      <c r="F107" s="151">
        <f t="shared" si="3"/>
        <v>10.190999999999999</v>
      </c>
      <c r="G107" s="203" t="s">
        <v>1112</v>
      </c>
      <c r="H107" s="185"/>
      <c r="I107" s="186"/>
      <c r="J107" s="186"/>
      <c r="K107" s="18"/>
      <c r="Q107"/>
    </row>
    <row r="108" spans="1:17" ht="15.75" thickBot="1">
      <c r="A108" s="684"/>
      <c r="B108" s="172">
        <v>1</v>
      </c>
      <c r="C108" s="208">
        <v>2.0299999999999998</v>
      </c>
      <c r="D108" s="208">
        <f t="shared" si="2"/>
        <v>1.0299999999999998</v>
      </c>
      <c r="E108" s="195">
        <f>SUM($D$2:D108)/SUM($B$2:B108)</f>
        <v>0.10486915887850466</v>
      </c>
      <c r="F108" s="165">
        <f t="shared" si="3"/>
        <v>11.220999999999998</v>
      </c>
      <c r="G108" s="204" t="s">
        <v>1113</v>
      </c>
      <c r="H108" s="185"/>
      <c r="I108" s="186"/>
      <c r="J108" s="186"/>
      <c r="K108" s="18"/>
      <c r="Q108"/>
    </row>
    <row r="109" spans="1:17">
      <c r="A109" s="677">
        <v>45926</v>
      </c>
      <c r="B109" s="218">
        <v>1</v>
      </c>
      <c r="C109" s="218"/>
      <c r="D109" s="218">
        <f>(B109*C109)-B109</f>
        <v>-1</v>
      </c>
      <c r="E109" s="96">
        <f>SUM($D$2:D109)/SUM($B$2:B109)</f>
        <v>9.463888888888887E-2</v>
      </c>
      <c r="F109" s="97">
        <f>F108+D109</f>
        <v>10.220999999999998</v>
      </c>
      <c r="G109" s="219" t="s">
        <v>1114</v>
      </c>
      <c r="H109" s="185"/>
      <c r="I109" s="186"/>
      <c r="J109" s="186"/>
      <c r="K109" s="18"/>
      <c r="Q109"/>
    </row>
    <row r="110" spans="1:17">
      <c r="A110" s="678"/>
      <c r="B110" s="41">
        <v>1</v>
      </c>
      <c r="C110" s="41"/>
      <c r="D110" s="41">
        <f>(B110*C110)-B110</f>
        <v>-1</v>
      </c>
      <c r="E110" s="47">
        <f>SUM($D$2:D110)/SUM($B$2:B110)</f>
        <v>8.4596330275229337E-2</v>
      </c>
      <c r="F110" s="37">
        <f>F109+D110</f>
        <v>9.2209999999999983</v>
      </c>
      <c r="G110" s="129" t="s">
        <v>1115</v>
      </c>
      <c r="H110" s="185"/>
      <c r="I110" s="186"/>
      <c r="J110" s="186"/>
      <c r="K110" s="18"/>
      <c r="Q110"/>
    </row>
    <row r="111" spans="1:17">
      <c r="A111" s="678"/>
      <c r="B111" s="41">
        <v>1</v>
      </c>
      <c r="C111" s="41">
        <v>1.93</v>
      </c>
      <c r="D111" s="41">
        <f>(B111*C111)-B111</f>
        <v>0.92999999999999994</v>
      </c>
      <c r="E111" s="47">
        <f>SUM($D$2:D111)/SUM($B$2:B111)</f>
        <v>9.2281818181818159E-2</v>
      </c>
      <c r="F111" s="37">
        <f>F110+D111</f>
        <v>10.150999999999998</v>
      </c>
      <c r="G111" s="129" t="s">
        <v>1116</v>
      </c>
      <c r="H111" s="185"/>
      <c r="I111" s="186"/>
      <c r="J111" s="186"/>
      <c r="K111" s="18"/>
      <c r="Q111"/>
    </row>
    <row r="112" spans="1:17">
      <c r="A112" s="678"/>
      <c r="B112" s="41">
        <v>1</v>
      </c>
      <c r="C112" s="41">
        <v>2.06</v>
      </c>
      <c r="D112" s="41">
        <f>(B112*C112)-B112</f>
        <v>1.06</v>
      </c>
      <c r="E112" s="47">
        <f>SUM($D$2:D112)/SUM($B$2:B112)</f>
        <v>0.10099999999999999</v>
      </c>
      <c r="F112" s="37">
        <f>F111+D112</f>
        <v>11.210999999999999</v>
      </c>
      <c r="G112" s="129" t="s">
        <v>1117</v>
      </c>
      <c r="H112" s="185"/>
      <c r="I112" s="186"/>
      <c r="J112" s="186"/>
      <c r="K112" s="18"/>
      <c r="Q112"/>
    </row>
    <row r="113" spans="1:17">
      <c r="A113" s="678"/>
      <c r="B113" s="41">
        <v>1</v>
      </c>
      <c r="C113" s="41">
        <v>1.87</v>
      </c>
      <c r="D113" s="41">
        <f>(B113*C113)-B113</f>
        <v>0.87000000000000011</v>
      </c>
      <c r="E113" s="47">
        <f>SUM($D$2:D113)/SUM($B$2:B113)</f>
        <v>0.10786607142857142</v>
      </c>
      <c r="F113" s="37">
        <f>F112+D113</f>
        <v>12.081</v>
      </c>
      <c r="G113" s="129" t="s">
        <v>1118</v>
      </c>
      <c r="H113" s="185"/>
      <c r="I113" s="186"/>
      <c r="J113" s="186"/>
      <c r="K113" s="18"/>
      <c r="Q113"/>
    </row>
    <row r="114" spans="1:17">
      <c r="A114" s="678"/>
      <c r="B114" s="41">
        <v>1</v>
      </c>
      <c r="C114" s="41">
        <v>2.0099999999999998</v>
      </c>
      <c r="D114" s="41">
        <f>(B114*C114)-B114</f>
        <v>1.0099999999999998</v>
      </c>
      <c r="E114" s="47">
        <f>SUM($D$2:D114)/SUM($B$2:B114)</f>
        <v>0.11584955752212389</v>
      </c>
      <c r="F114" s="37">
        <f>F113+D114</f>
        <v>13.090999999999999</v>
      </c>
      <c r="G114" s="129" t="s">
        <v>1119</v>
      </c>
      <c r="H114" s="185"/>
      <c r="I114" s="186"/>
      <c r="J114" s="186"/>
      <c r="K114" s="18"/>
      <c r="Q114"/>
    </row>
    <row r="115" spans="1:17" ht="15.75" thickBot="1">
      <c r="A115" s="685"/>
      <c r="B115" s="220">
        <v>1</v>
      </c>
      <c r="C115" s="208">
        <v>1.97</v>
      </c>
      <c r="D115" s="208">
        <f>(B115*C115)-B115</f>
        <v>0.97</v>
      </c>
      <c r="E115" s="195">
        <f>SUM($D$2:D115)/SUM($B$2:B115)</f>
        <v>0.12334210526315789</v>
      </c>
      <c r="F115" s="151">
        <f>F114+D115</f>
        <v>14.061</v>
      </c>
      <c r="G115" s="204" t="s">
        <v>1120</v>
      </c>
      <c r="H115" s="185"/>
      <c r="I115" s="186"/>
      <c r="J115" s="186"/>
      <c r="K115" s="18"/>
      <c r="Q115"/>
    </row>
    <row r="116" spans="1:17">
      <c r="A116" s="677">
        <v>45927</v>
      </c>
      <c r="B116" s="167">
        <v>1</v>
      </c>
      <c r="C116" s="206"/>
      <c r="D116" s="206">
        <f>(B116*C116)-B116</f>
        <v>-1</v>
      </c>
      <c r="E116" s="193">
        <f>SUM($D$2:D116)/SUM($B$2:B116)</f>
        <v>0.11357391304347826</v>
      </c>
      <c r="F116" s="163">
        <f>F115+D116</f>
        <v>13.061</v>
      </c>
      <c r="G116" s="168" t="s">
        <v>1121</v>
      </c>
      <c r="H116" s="185"/>
      <c r="I116" s="186"/>
      <c r="J116" s="186"/>
      <c r="K116" s="18"/>
      <c r="Q116"/>
    </row>
    <row r="117" spans="1:17">
      <c r="A117" s="678"/>
      <c r="B117" s="169">
        <v>1</v>
      </c>
      <c r="C117" s="207">
        <v>1.88</v>
      </c>
      <c r="D117" s="207">
        <f>(B117*C117)-B117</f>
        <v>0.87999999999999989</v>
      </c>
      <c r="E117" s="156">
        <f>SUM($D$2:D117)/SUM($B$2:B117)</f>
        <v>0.12018103448275862</v>
      </c>
      <c r="F117" s="151">
        <f>F116+D117</f>
        <v>13.940999999999999</v>
      </c>
      <c r="G117" s="191" t="s">
        <v>1122</v>
      </c>
      <c r="H117" s="185"/>
      <c r="I117" s="186"/>
      <c r="J117" s="186"/>
      <c r="K117" s="18"/>
      <c r="Q117"/>
    </row>
    <row r="118" spans="1:17">
      <c r="A118" s="678"/>
      <c r="B118" s="169">
        <v>1</v>
      </c>
      <c r="C118" s="207">
        <v>1.77</v>
      </c>
      <c r="D118" s="207">
        <f>(B118*C118)-B118</f>
        <v>0.77</v>
      </c>
      <c r="E118" s="156">
        <f>SUM($D$2:D118)/SUM($B$2:B118)</f>
        <v>0.12573504273504271</v>
      </c>
      <c r="F118" s="151">
        <f>F117+D118</f>
        <v>14.710999999999999</v>
      </c>
      <c r="G118" s="191" t="s">
        <v>1115</v>
      </c>
      <c r="H118" s="185"/>
      <c r="I118" s="186"/>
      <c r="J118" s="186"/>
      <c r="K118" s="18"/>
      <c r="Q118"/>
    </row>
    <row r="119" spans="1:17">
      <c r="A119" s="678"/>
      <c r="B119" s="169">
        <v>1</v>
      </c>
      <c r="C119" s="207">
        <v>2</v>
      </c>
      <c r="D119" s="207">
        <f>(B119*C119)-B119</f>
        <v>1</v>
      </c>
      <c r="E119" s="156">
        <f>SUM($D$2:D119)/SUM($B$2:B119)</f>
        <v>0.13314406779661014</v>
      </c>
      <c r="F119" s="151">
        <f>F118+D119</f>
        <v>15.710999999999999</v>
      </c>
      <c r="G119" s="191" t="s">
        <v>1119</v>
      </c>
      <c r="H119" s="185"/>
      <c r="I119" s="186"/>
      <c r="J119" s="186"/>
      <c r="K119" s="18"/>
      <c r="Q119"/>
    </row>
    <row r="120" spans="1:17">
      <c r="A120" s="678"/>
      <c r="B120" s="169">
        <v>1</v>
      </c>
      <c r="C120" s="207"/>
      <c r="D120" s="207">
        <f>(B120*C120)-B120</f>
        <v>-1</v>
      </c>
      <c r="E120" s="156">
        <f>SUM($D$2:D120)/SUM($B$2:B120)</f>
        <v>0.12362184873949579</v>
      </c>
      <c r="F120" s="151">
        <f>F119+D120</f>
        <v>14.710999999999999</v>
      </c>
      <c r="G120" s="191" t="s">
        <v>1120</v>
      </c>
      <c r="H120" s="185"/>
      <c r="I120" s="186"/>
      <c r="J120" s="186"/>
      <c r="K120" s="18"/>
      <c r="Q120"/>
    </row>
    <row r="121" spans="1:17">
      <c r="A121" s="678"/>
      <c r="B121" s="169">
        <v>1</v>
      </c>
      <c r="C121" s="207">
        <v>1.83</v>
      </c>
      <c r="D121" s="207">
        <f>(B121*C121)-B121</f>
        <v>0.83000000000000007</v>
      </c>
      <c r="E121" s="156">
        <f>SUM($D$2:D121)/SUM($B$2:B121)</f>
        <v>0.12950833333333331</v>
      </c>
      <c r="F121" s="151">
        <f>F120+D121</f>
        <v>15.540999999999999</v>
      </c>
      <c r="G121" s="191" t="s">
        <v>1118</v>
      </c>
      <c r="H121" s="185"/>
      <c r="I121" s="186"/>
      <c r="J121" s="186"/>
      <c r="K121" s="18"/>
      <c r="Q121"/>
    </row>
    <row r="122" spans="1:17">
      <c r="A122" s="678"/>
      <c r="B122" s="169">
        <v>1</v>
      </c>
      <c r="C122" s="207">
        <v>1.96</v>
      </c>
      <c r="D122" s="207">
        <f>(B122*C122)-B122</f>
        <v>0.96</v>
      </c>
      <c r="E122" s="156">
        <f>SUM($D$2:D122)/SUM($B$2:B122)</f>
        <v>0.13637190082644626</v>
      </c>
      <c r="F122" s="151">
        <f>F121+D122</f>
        <v>16.500999999999998</v>
      </c>
      <c r="G122" s="191" t="s">
        <v>1123</v>
      </c>
      <c r="H122" s="185"/>
      <c r="I122" s="186"/>
      <c r="J122" s="186"/>
      <c r="K122" s="18"/>
      <c r="Q122"/>
    </row>
    <row r="123" spans="1:17" ht="15.75" thickBot="1">
      <c r="A123" s="685"/>
      <c r="B123" s="172">
        <v>1</v>
      </c>
      <c r="C123" s="208">
        <v>2.06</v>
      </c>
      <c r="D123" s="208">
        <f>(B123*C123)-B123</f>
        <v>1.06</v>
      </c>
      <c r="E123" s="195">
        <f>SUM($D$2:D123)/SUM($B$2:B123)</f>
        <v>0.14394262295081964</v>
      </c>
      <c r="F123" s="165">
        <f>F122+D123</f>
        <v>17.560999999999996</v>
      </c>
      <c r="G123" s="196" t="s">
        <v>1124</v>
      </c>
      <c r="H123" s="185"/>
      <c r="I123" s="186"/>
      <c r="J123" s="186"/>
      <c r="K123" s="18"/>
      <c r="Q123"/>
    </row>
    <row r="124" spans="1:17">
      <c r="A124" s="697">
        <v>45928</v>
      </c>
      <c r="B124" s="181">
        <v>1</v>
      </c>
      <c r="C124" s="209">
        <v>1.87</v>
      </c>
      <c r="D124" s="209">
        <f>(B124*C124)-B124</f>
        <v>0.87000000000000011</v>
      </c>
      <c r="E124" s="197">
        <f>SUM($D$2:D124)/SUM($B$2:B124)</f>
        <v>0.14984552845528454</v>
      </c>
      <c r="F124" s="164">
        <f>F123+D124</f>
        <v>18.430999999999997</v>
      </c>
      <c r="G124" s="216" t="s">
        <v>1122</v>
      </c>
      <c r="H124" s="185"/>
      <c r="I124" s="186"/>
      <c r="J124" s="186"/>
      <c r="K124" s="18"/>
      <c r="Q124"/>
    </row>
    <row r="125" spans="1:17">
      <c r="A125" s="698"/>
      <c r="B125" s="169">
        <v>1</v>
      </c>
      <c r="C125" s="207"/>
      <c r="D125" s="207">
        <f>(B125*C125)-B125</f>
        <v>-1</v>
      </c>
      <c r="E125" s="156">
        <f>SUM($D$2:D125)/SUM($B$2:B125)</f>
        <v>0.14057258064516126</v>
      </c>
      <c r="F125" s="151">
        <f>F124+D125</f>
        <v>17.430999999999997</v>
      </c>
      <c r="G125" s="191" t="s">
        <v>1126</v>
      </c>
      <c r="H125" s="185"/>
      <c r="I125" s="186"/>
      <c r="J125" s="186"/>
      <c r="K125" s="18"/>
      <c r="Q125"/>
    </row>
    <row r="126" spans="1:17">
      <c r="A126" s="698"/>
      <c r="B126" s="169">
        <v>1</v>
      </c>
      <c r="C126" s="207">
        <v>1.81</v>
      </c>
      <c r="D126" s="207">
        <f>(B126*C126)-B126</f>
        <v>0.81</v>
      </c>
      <c r="E126" s="156">
        <f>SUM($D$2:D126)/SUM($B$2:B126)</f>
        <v>0.14592799999999997</v>
      </c>
      <c r="F126" s="151">
        <f>F125+D126</f>
        <v>18.240999999999996</v>
      </c>
      <c r="G126" s="191" t="s">
        <v>1127</v>
      </c>
      <c r="H126" s="185"/>
      <c r="I126" s="186"/>
      <c r="J126" s="186"/>
      <c r="K126" s="18"/>
      <c r="Q126"/>
    </row>
    <row r="127" spans="1:17">
      <c r="A127" s="698"/>
      <c r="B127" s="169">
        <v>1</v>
      </c>
      <c r="C127" s="207">
        <v>1.87</v>
      </c>
      <c r="D127" s="207">
        <f>(B127*C127)-B127</f>
        <v>0.87000000000000011</v>
      </c>
      <c r="E127" s="156">
        <f>SUM($D$2:D127)/SUM($B$2:B127)</f>
        <v>0.15167460317460316</v>
      </c>
      <c r="F127" s="151">
        <f>F126+D127</f>
        <v>19.110999999999997</v>
      </c>
      <c r="G127" s="191" t="s">
        <v>1114</v>
      </c>
      <c r="H127" s="185"/>
      <c r="I127" s="186"/>
      <c r="J127" s="186"/>
      <c r="K127" s="18"/>
      <c r="Q127"/>
    </row>
    <row r="128" spans="1:17">
      <c r="A128" s="698"/>
      <c r="B128" s="169">
        <v>1</v>
      </c>
      <c r="C128" s="207">
        <v>1.98</v>
      </c>
      <c r="D128" s="207">
        <f>(B128*C128)-B128</f>
        <v>0.98</v>
      </c>
      <c r="E128" s="156">
        <f>SUM($D$2:D128)/SUM($B$2:B128)</f>
        <v>0.15819685039370077</v>
      </c>
      <c r="F128" s="151">
        <f>F127+D128</f>
        <v>20.090999999999998</v>
      </c>
      <c r="G128" s="191" t="s">
        <v>1119</v>
      </c>
      <c r="H128" s="185"/>
      <c r="I128" s="186"/>
      <c r="J128" s="186"/>
      <c r="K128" s="18"/>
      <c r="Q128"/>
    </row>
    <row r="129" spans="1:17">
      <c r="A129" s="698"/>
      <c r="B129" s="169">
        <v>1</v>
      </c>
      <c r="C129" s="207">
        <v>2.02</v>
      </c>
      <c r="D129" s="207">
        <f>(B129*C129)-B129</f>
        <v>1.02</v>
      </c>
      <c r="E129" s="156">
        <f>SUM($D$2:D129)/SUM($B$2:B129)</f>
        <v>0.16492968749999998</v>
      </c>
      <c r="F129" s="151">
        <f>F128+D129</f>
        <v>21.110999999999997</v>
      </c>
      <c r="G129" s="191" t="s">
        <v>1124</v>
      </c>
      <c r="H129" s="185"/>
      <c r="I129" s="186"/>
      <c r="J129" s="186"/>
      <c r="K129" s="18"/>
      <c r="Q129"/>
    </row>
    <row r="130" spans="1:17" ht="15.75" thickBot="1">
      <c r="A130" s="699"/>
      <c r="B130" s="172">
        <v>1</v>
      </c>
      <c r="C130" s="208">
        <v>2</v>
      </c>
      <c r="D130" s="208">
        <f>(B130*C130)-B130</f>
        <v>1</v>
      </c>
      <c r="E130" s="195">
        <f>SUM($D$2:D130)/SUM($B$2:B130)</f>
        <v>0.17140310077519377</v>
      </c>
      <c r="F130" s="214">
        <f>F129+D130</f>
        <v>22.110999999999997</v>
      </c>
      <c r="G130" s="196" t="s">
        <v>1120</v>
      </c>
      <c r="H130" s="185"/>
      <c r="I130" s="186"/>
      <c r="J130" s="186"/>
      <c r="K130" s="18"/>
      <c r="Q130"/>
    </row>
    <row r="131" spans="1:17">
      <c r="A131" s="677">
        <v>45930</v>
      </c>
      <c r="B131" s="103">
        <v>1</v>
      </c>
      <c r="C131" s="41"/>
      <c r="D131" s="41">
        <f>(B131*C131)-B131</f>
        <v>-1</v>
      </c>
      <c r="E131" s="47">
        <f>SUM($D$2:D131)/SUM($B$2:B131)</f>
        <v>0.16239230769230767</v>
      </c>
      <c r="F131" s="37">
        <f>F130+D131</f>
        <v>21.110999999999997</v>
      </c>
      <c r="G131" s="129" t="s">
        <v>1128</v>
      </c>
      <c r="H131" s="2"/>
      <c r="K131" s="18"/>
      <c r="Q131"/>
    </row>
    <row r="132" spans="1:17" ht="15.75" thickBot="1">
      <c r="A132" s="685"/>
      <c r="B132" s="105">
        <v>1</v>
      </c>
      <c r="C132" s="220"/>
      <c r="D132" s="220">
        <f>(B132*C132)-B132</f>
        <v>-1</v>
      </c>
      <c r="E132" s="59">
        <f>SUM($D$2:D132)/SUM($B$2:B132)</f>
        <v>0.15351908396946562</v>
      </c>
      <c r="F132" s="38">
        <f>F131+D132</f>
        <v>20.110999999999997</v>
      </c>
      <c r="G132" s="141" t="s">
        <v>1129</v>
      </c>
      <c r="H132" s="2"/>
      <c r="K132" s="18"/>
      <c r="Q132"/>
    </row>
    <row r="133" spans="1:17">
      <c r="A133" s="677">
        <v>45931</v>
      </c>
      <c r="B133" s="41">
        <v>1</v>
      </c>
      <c r="C133" s="41">
        <v>2.0699999999999998</v>
      </c>
      <c r="D133" s="41">
        <f>(B133*C133)-B133</f>
        <v>1.0699999999999998</v>
      </c>
      <c r="E133" s="47">
        <f>SUM($D$2:D133)/SUM($B$2:B133)</f>
        <v>0.16046212121212119</v>
      </c>
      <c r="F133" s="37">
        <f>F132+D133</f>
        <v>21.180999999999997</v>
      </c>
      <c r="G133" s="129" t="s">
        <v>1128</v>
      </c>
      <c r="H133" s="2"/>
      <c r="K133" s="18"/>
      <c r="Q133"/>
    </row>
    <row r="134" spans="1:17" ht="15.75" thickBot="1">
      <c r="A134" s="685"/>
      <c r="B134" s="220">
        <v>1</v>
      </c>
      <c r="C134" s="220">
        <v>2.2200000000000002</v>
      </c>
      <c r="D134" s="220">
        <f>(B134*C134)-B134</f>
        <v>1.2200000000000002</v>
      </c>
      <c r="E134" s="59">
        <f>SUM($D$2:D134)/SUM($B$2:B134)</f>
        <v>0.1684285714285714</v>
      </c>
      <c r="F134" s="38">
        <f>F133+D134</f>
        <v>22.400999999999996</v>
      </c>
      <c r="G134" s="141" t="s">
        <v>1129</v>
      </c>
      <c r="H134" s="2"/>
      <c r="K134" s="18"/>
      <c r="Q134"/>
    </row>
    <row r="135" spans="1:17">
      <c r="A135" s="677">
        <v>45932</v>
      </c>
      <c r="B135" s="41">
        <v>1</v>
      </c>
      <c r="C135" s="41"/>
      <c r="D135" s="41">
        <f>(B135*C135)-B135</f>
        <v>-1</v>
      </c>
      <c r="E135" s="47">
        <f>SUM($D$2:D135)/SUM($B$2:B135)</f>
        <v>0.15970895522388057</v>
      </c>
      <c r="F135" s="37">
        <f>F134+D135</f>
        <v>21.400999999999996</v>
      </c>
      <c r="G135" s="129" t="s">
        <v>1128</v>
      </c>
      <c r="H135" s="2"/>
      <c r="K135" s="18"/>
      <c r="Q135"/>
    </row>
    <row r="136" spans="1:17">
      <c r="A136" s="685"/>
      <c r="B136" s="220">
        <v>1</v>
      </c>
      <c r="C136" s="220"/>
      <c r="D136" s="220">
        <f>(B136*C136)-B136</f>
        <v>-1</v>
      </c>
      <c r="E136" s="59">
        <f>SUM($D$2:D136)/SUM($B$2:B136)</f>
        <v>0.15111851851851849</v>
      </c>
      <c r="F136" s="38">
        <f>F135+D136</f>
        <v>20.400999999999996</v>
      </c>
      <c r="G136" s="141" t="s">
        <v>1129</v>
      </c>
      <c r="H136" s="2"/>
      <c r="K136" s="18"/>
      <c r="Q136"/>
    </row>
    <row r="137" spans="1:17" s="186" customFormat="1">
      <c r="A137" s="630">
        <v>45934</v>
      </c>
      <c r="B137" s="225">
        <v>1</v>
      </c>
      <c r="C137" s="226">
        <v>1.97</v>
      </c>
      <c r="D137" s="226">
        <f>(B137*C137)-B137</f>
        <v>0.97</v>
      </c>
      <c r="E137" s="227">
        <f>SUM($D$2:D137)/SUM($B$2:B137)</f>
        <v>0.1571397058823529</v>
      </c>
      <c r="F137" s="228">
        <f>F136+D137</f>
        <v>21.370999999999995</v>
      </c>
      <c r="G137" s="278" t="s">
        <v>1130</v>
      </c>
      <c r="H137" s="185"/>
      <c r="K137" s="238"/>
    </row>
    <row r="138" spans="1:17" s="186" customFormat="1">
      <c r="A138" s="630">
        <v>45936</v>
      </c>
      <c r="B138" s="225">
        <v>1</v>
      </c>
      <c r="C138" s="226"/>
      <c r="D138" s="226">
        <f>(B138*C138)-B138</f>
        <v>-1</v>
      </c>
      <c r="E138" s="227">
        <f>SUM($D$2:D138)/SUM($B$2:B138)</f>
        <v>0.14869343065693427</v>
      </c>
      <c r="F138" s="228">
        <f t="shared" ref="F138:F144" si="4">F137+D138</f>
        <v>20.370999999999995</v>
      </c>
      <c r="G138" s="229" t="s">
        <v>1131</v>
      </c>
      <c r="H138" s="185"/>
      <c r="K138" s="238"/>
    </row>
    <row r="139" spans="1:17" s="186" customFormat="1">
      <c r="A139" s="630">
        <v>45937</v>
      </c>
      <c r="B139" s="225">
        <v>1</v>
      </c>
      <c r="C139" s="226"/>
      <c r="D139" s="226">
        <f>(B139*C139)-B139</f>
        <v>-1</v>
      </c>
      <c r="E139" s="227">
        <f>SUM($D$2:D139)/SUM($B$2:B139)</f>
        <v>0.14036956521739127</v>
      </c>
      <c r="F139" s="228">
        <f t="shared" si="4"/>
        <v>19.370999999999995</v>
      </c>
      <c r="G139" s="229" t="s">
        <v>1132</v>
      </c>
      <c r="H139" s="185"/>
      <c r="K139" s="238"/>
    </row>
    <row r="140" spans="1:17" s="186" customFormat="1">
      <c r="A140" s="677">
        <v>45938</v>
      </c>
      <c r="B140" s="167">
        <v>1</v>
      </c>
      <c r="C140" s="206"/>
      <c r="D140" s="206">
        <f>(B140*C140)-B140</f>
        <v>-1</v>
      </c>
      <c r="E140" s="193">
        <f>SUM($D$2:D140)/SUM($B$2:B140)</f>
        <v>0.13216546762589926</v>
      </c>
      <c r="F140" s="163">
        <f t="shared" si="4"/>
        <v>18.370999999999995</v>
      </c>
      <c r="G140" s="171" t="s">
        <v>1078</v>
      </c>
      <c r="H140" s="185"/>
      <c r="K140" s="238"/>
    </row>
    <row r="141" spans="1:17" s="186" customFormat="1">
      <c r="A141" s="678"/>
      <c r="B141" s="169">
        <v>1</v>
      </c>
      <c r="C141" s="207">
        <v>1.92</v>
      </c>
      <c r="D141" s="207">
        <f>(B141*C141)-B141</f>
        <v>0.91999999999999993</v>
      </c>
      <c r="E141" s="156">
        <f>SUM($D$2:D141)/SUM($B$2:B141)</f>
        <v>0.13779285714285713</v>
      </c>
      <c r="F141" s="151">
        <f t="shared" si="4"/>
        <v>19.290999999999997</v>
      </c>
      <c r="G141" s="157" t="s">
        <v>1041</v>
      </c>
      <c r="H141" s="185"/>
      <c r="K141" s="238"/>
    </row>
    <row r="142" spans="1:17" s="186" customFormat="1">
      <c r="A142" s="685"/>
      <c r="B142" s="172">
        <v>1</v>
      </c>
      <c r="C142" s="208"/>
      <c r="D142" s="208">
        <f>(B142*C142)-B142</f>
        <v>-1</v>
      </c>
      <c r="E142" s="195">
        <f>SUM($D$2:D142)/SUM($B$2:B142)</f>
        <v>0.12972340425531911</v>
      </c>
      <c r="F142" s="165">
        <f t="shared" si="4"/>
        <v>18.290999999999997</v>
      </c>
      <c r="G142" s="196" t="s">
        <v>1132</v>
      </c>
      <c r="H142" s="185"/>
      <c r="K142" s="238"/>
    </row>
    <row r="143" spans="1:17" s="186" customFormat="1">
      <c r="A143" s="630">
        <v>45942</v>
      </c>
      <c r="B143" s="225">
        <v>1</v>
      </c>
      <c r="C143" s="228">
        <v>1.97</v>
      </c>
      <c r="D143" s="228">
        <f t="shared" ref="D143" si="5">(B143*C143)-B143</f>
        <v>0.97</v>
      </c>
      <c r="E143" s="227">
        <f>SUM($D$2:D143)/SUM($B$2:B143)</f>
        <v>0.13564084507042251</v>
      </c>
      <c r="F143" s="228">
        <f t="shared" si="4"/>
        <v>19.260999999999996</v>
      </c>
      <c r="G143" s="229" t="s">
        <v>1133</v>
      </c>
      <c r="H143" s="185"/>
      <c r="K143" s="238"/>
    </row>
    <row r="144" spans="1:17" s="186" customFormat="1">
      <c r="A144" s="630">
        <v>45946</v>
      </c>
      <c r="B144" s="255">
        <v>1</v>
      </c>
      <c r="C144" s="255"/>
      <c r="D144" s="255">
        <f>(B144*C144)-B144</f>
        <v>-1</v>
      </c>
      <c r="E144" s="256">
        <f>SUM($D$2:D144)/SUM($B$2:B144)</f>
        <v>0.12769930069930066</v>
      </c>
      <c r="F144" s="257">
        <f t="shared" si="4"/>
        <v>18.260999999999996</v>
      </c>
      <c r="G144" s="283" t="s">
        <v>1134</v>
      </c>
      <c r="H144" s="185"/>
      <c r="K144" s="238"/>
    </row>
    <row r="145" spans="1:18">
      <c r="A145" s="626"/>
      <c r="B145" s="208"/>
      <c r="C145" s="208"/>
      <c r="D145" s="208"/>
      <c r="E145" s="195"/>
      <c r="F145" s="165"/>
      <c r="G145" s="205"/>
      <c r="H145" s="185"/>
      <c r="I145" s="186"/>
      <c r="J145" s="186"/>
      <c r="K145" s="18"/>
      <c r="Q145"/>
    </row>
    <row r="146" spans="1:18" ht="15.75" thickBot="1">
      <c r="B146" s="130">
        <f>SUM(B2:B145)</f>
        <v>143</v>
      </c>
      <c r="D146" s="13">
        <f>SUM(D2:D145)</f>
        <v>18.260999999999996</v>
      </c>
      <c r="E146" s="14"/>
      <c r="F146" s="43">
        <f>D146-MAX(F2:F145)</f>
        <v>-4.1400000000000006</v>
      </c>
      <c r="H146" s="11">
        <f>D146-SUM(H2:H145)</f>
        <v>18.260999999999996</v>
      </c>
      <c r="I146" s="11">
        <f>D146-SUM(I2:I145)</f>
        <v>18.260999999999996</v>
      </c>
      <c r="J146" s="12">
        <f>D146-SUM(J2:J145)</f>
        <v>18.260999999999996</v>
      </c>
      <c r="O146" s="58"/>
      <c r="R146" s="18"/>
    </row>
    <row r="147" spans="1:18">
      <c r="D147" s="2"/>
      <c r="E147" s="2"/>
      <c r="O147" s="58"/>
      <c r="P147" s="58"/>
    </row>
    <row r="148" spans="1:18" ht="15.75" customHeight="1">
      <c r="A148" t="s">
        <v>601</v>
      </c>
      <c r="C148" s="679" t="s">
        <v>602</v>
      </c>
      <c r="D148" s="680"/>
      <c r="E148" s="681"/>
      <c r="H148" s="671">
        <f>100</f>
        <v>100</v>
      </c>
      <c r="I148" s="682"/>
      <c r="J148" s="16" t="s">
        <v>1135</v>
      </c>
      <c r="K148" s="671">
        <v>80.89</v>
      </c>
      <c r="L148" s="682"/>
      <c r="M148" s="16" t="s">
        <v>1135</v>
      </c>
      <c r="N148" s="19"/>
      <c r="O148" s="138"/>
      <c r="P148" s="58"/>
    </row>
    <row r="149" spans="1:18" ht="15" customHeight="1">
      <c r="A149">
        <f>COUNT(B2:B145)</f>
        <v>143</v>
      </c>
      <c r="B149" s="1"/>
      <c r="C149" s="158">
        <f>I149</f>
        <v>5</v>
      </c>
      <c r="D149" s="694">
        <v>1.32</v>
      </c>
      <c r="E149" s="159">
        <f>C149*D149-C149</f>
        <v>1.6000000000000005</v>
      </c>
      <c r="F149" s="15"/>
      <c r="G149" s="148" t="s">
        <v>604</v>
      </c>
      <c r="H149" s="75">
        <f>H152/100</f>
        <v>1</v>
      </c>
      <c r="I149" s="150">
        <f>H149*5</f>
        <v>5</v>
      </c>
      <c r="J149" s="3" t="s">
        <v>605</v>
      </c>
      <c r="K149" s="75">
        <f>K152/100</f>
        <v>0.99151</v>
      </c>
      <c r="L149" s="150">
        <f>K149*5</f>
        <v>4.9575500000000003</v>
      </c>
      <c r="M149" s="3" t="s">
        <v>605</v>
      </c>
    </row>
    <row r="150" spans="1:18" ht="15" customHeight="1">
      <c r="A150" t="s">
        <v>606</v>
      </c>
      <c r="B150" s="99"/>
      <c r="C150" s="135">
        <f>E150/(D149-1)</f>
        <v>9.3749999999999982</v>
      </c>
      <c r="D150" s="695"/>
      <c r="E150" s="136">
        <v>3</v>
      </c>
      <c r="F150" s="15"/>
      <c r="G150" s="148" t="s">
        <v>607</v>
      </c>
      <c r="H150" s="127">
        <f>SUM(H2:H145)</f>
        <v>0</v>
      </c>
      <c r="I150" s="149"/>
      <c r="J150" s="3" t="s">
        <v>608</v>
      </c>
      <c r="K150" s="127">
        <f>D146</f>
        <v>18.260999999999996</v>
      </c>
      <c r="L150" s="149"/>
      <c r="M150" s="3" t="s">
        <v>608</v>
      </c>
    </row>
    <row r="151" spans="1:18">
      <c r="A151" s="18">
        <f>COUNT(C2:C145)/A149</f>
        <v>0.58741258741258739</v>
      </c>
      <c r="B151" s="18"/>
      <c r="D151" s="15">
        <f>1/A151</f>
        <v>1.7023809523809523</v>
      </c>
      <c r="E151" s="15"/>
      <c r="F151" s="15"/>
      <c r="G151" s="148" t="s">
        <v>609</v>
      </c>
      <c r="H151" s="690">
        <f>(H150-I150)</f>
        <v>0</v>
      </c>
      <c r="I151" s="691"/>
      <c r="J151" s="128"/>
      <c r="K151" s="690">
        <f>(K150-L150)</f>
        <v>18.260999999999996</v>
      </c>
      <c r="L151" s="691"/>
      <c r="M151" s="128"/>
    </row>
    <row r="152" spans="1:18">
      <c r="A152" t="s">
        <v>4</v>
      </c>
      <c r="G152" s="148" t="s">
        <v>610</v>
      </c>
      <c r="H152" s="692">
        <f>H148+H151</f>
        <v>100</v>
      </c>
      <c r="I152" s="693"/>
      <c r="J152" s="128">
        <f>130-H152</f>
        <v>30</v>
      </c>
      <c r="K152" s="692">
        <f>K148+K151</f>
        <v>99.150999999999996</v>
      </c>
      <c r="L152" s="693"/>
      <c r="M152" s="128"/>
      <c r="O152" s="239">
        <v>74.147999999999996</v>
      </c>
      <c r="P152" s="18"/>
    </row>
    <row r="153" spans="1:18">
      <c r="A153" s="18">
        <f>D146/B146</f>
        <v>0.12769930069930066</v>
      </c>
      <c r="F153" s="160"/>
      <c r="G153" s="148" t="s">
        <v>611</v>
      </c>
      <c r="H153" s="45">
        <f>(H152-H148)/H148</f>
        <v>0</v>
      </c>
      <c r="I153" s="46">
        <f>B146/H148</f>
        <v>1.43</v>
      </c>
      <c r="J153" t="s">
        <v>612</v>
      </c>
      <c r="K153" s="45">
        <f>(K152-K148)/K148</f>
        <v>0.22575101990357269</v>
      </c>
      <c r="L153" s="46">
        <f>B146/K148</f>
        <v>1.767832859438744</v>
      </c>
      <c r="M153" t="s">
        <v>612</v>
      </c>
    </row>
    <row r="154" spans="1:18">
      <c r="A154" s="18"/>
      <c r="G154" s="148"/>
      <c r="H154" s="18"/>
      <c r="I154" s="2"/>
      <c r="K154" s="3"/>
      <c r="L154" s="3"/>
      <c r="N154" s="19"/>
      <c r="O154" s="58"/>
      <c r="P154" s="58"/>
    </row>
    <row r="155" spans="1:18">
      <c r="K155" s="3"/>
      <c r="L155" s="3"/>
      <c r="N155" s="19"/>
      <c r="O155" s="58"/>
      <c r="P155" s="58"/>
    </row>
    <row r="156" spans="1:18">
      <c r="N156" s="19"/>
      <c r="O156" s="58"/>
      <c r="P156" s="58"/>
    </row>
    <row r="157" spans="1:18">
      <c r="H157" s="20"/>
      <c r="K157" s="3"/>
      <c r="L157" s="3"/>
      <c r="N157" s="19"/>
      <c r="O157" s="58"/>
      <c r="P157" s="58"/>
    </row>
    <row r="158" spans="1:18">
      <c r="K158" s="2"/>
      <c r="L158" s="2"/>
      <c r="N158" s="19"/>
      <c r="O158" s="58"/>
      <c r="P158" s="58"/>
    </row>
    <row r="159" spans="1:18">
      <c r="K159" s="18"/>
      <c r="L159" s="18"/>
      <c r="N159" s="19"/>
      <c r="O159" s="58"/>
      <c r="P159" s="58"/>
    </row>
    <row r="160" spans="1:18">
      <c r="N160" s="19"/>
      <c r="O160" s="58"/>
      <c r="P160" s="58"/>
    </row>
    <row r="161" spans="1:37">
      <c r="P161" s="58"/>
    </row>
    <row r="162" spans="1:37">
      <c r="P162" s="58"/>
    </row>
    <row r="163" spans="1:37">
      <c r="P163" s="58"/>
    </row>
    <row r="164" spans="1:37">
      <c r="P164" s="58"/>
    </row>
    <row r="170" spans="1:37">
      <c r="D170" s="114" t="s">
        <v>3</v>
      </c>
    </row>
    <row r="171" spans="1:37">
      <c r="A171" s="631" t="s">
        <v>615</v>
      </c>
      <c r="B171" s="132" t="s">
        <v>1</v>
      </c>
      <c r="C171" s="632"/>
      <c r="E171" s="134" t="s">
        <v>4</v>
      </c>
    </row>
    <row r="173" spans="1:37">
      <c r="D173" s="7" t="s">
        <v>3</v>
      </c>
    </row>
    <row r="174" spans="1:37">
      <c r="B174" s="21" t="s">
        <v>1138</v>
      </c>
      <c r="C174" s="8"/>
      <c r="D174" s="24" t="e">
        <f>SUM(#REF!)</f>
        <v>#REF!</v>
      </c>
      <c r="E174" s="22" t="s">
        <v>4</v>
      </c>
    </row>
    <row r="175" spans="1:37">
      <c r="B175" s="24" t="e">
        <f>SUM(#REF!)</f>
        <v>#REF!</v>
      </c>
      <c r="C175" s="24"/>
      <c r="D175" s="23" t="e">
        <f>SUM(#REF!)</f>
        <v>#REF!</v>
      </c>
      <c r="E175" s="9" t="e">
        <f t="shared" ref="E175:E188" si="6">D174/B175</f>
        <v>#REF!</v>
      </c>
      <c r="G175" s="223"/>
      <c r="AK175">
        <v>47</v>
      </c>
    </row>
    <row r="176" spans="1:37">
      <c r="B176" s="23" t="e">
        <f>SUM(#REF!)</f>
        <v>#REF!</v>
      </c>
      <c r="C176" s="23"/>
      <c r="D176" s="23" t="e">
        <f>SUM(#REF!)</f>
        <v>#REF!</v>
      </c>
      <c r="E176" s="10" t="e">
        <f t="shared" si="6"/>
        <v>#REF!</v>
      </c>
      <c r="G176" s="223"/>
    </row>
    <row r="177" spans="2:16">
      <c r="B177" s="23" t="e">
        <f>SUM(#REF!)</f>
        <v>#REF!</v>
      </c>
      <c r="C177" s="23"/>
      <c r="D177" s="23" t="e">
        <f>SUM(#REF!)</f>
        <v>#REF!</v>
      </c>
      <c r="E177" s="10" t="e">
        <f t="shared" si="6"/>
        <v>#REF!</v>
      </c>
      <c r="G177" s="223"/>
    </row>
    <row r="178" spans="2:16">
      <c r="B178" s="23" t="e">
        <f>SUM(#REF!)</f>
        <v>#REF!</v>
      </c>
      <c r="C178" s="23"/>
      <c r="D178" s="23" t="e">
        <f>SUM(#REF!)</f>
        <v>#REF!</v>
      </c>
      <c r="E178" s="10" t="e">
        <f t="shared" si="6"/>
        <v>#REF!</v>
      </c>
      <c r="G178" s="223"/>
    </row>
    <row r="179" spans="2:16">
      <c r="B179" s="23" t="e">
        <f>SUM(#REF!)</f>
        <v>#REF!</v>
      </c>
      <c r="C179" s="23"/>
      <c r="D179" s="23" t="e">
        <f>SUM(#REF!)</f>
        <v>#REF!</v>
      </c>
      <c r="E179" s="10" t="e">
        <f t="shared" si="6"/>
        <v>#REF!</v>
      </c>
      <c r="G179" s="223"/>
    </row>
    <row r="180" spans="2:16">
      <c r="B180" s="23" t="e">
        <f>SUM(#REF!)</f>
        <v>#REF!</v>
      </c>
      <c r="C180" s="23"/>
      <c r="D180" s="23" t="e">
        <f>SUM(#REF!)</f>
        <v>#REF!</v>
      </c>
      <c r="E180" s="10" t="e">
        <f t="shared" si="6"/>
        <v>#REF!</v>
      </c>
      <c r="G180" s="223"/>
    </row>
    <row r="181" spans="2:16">
      <c r="B181" s="23" t="e">
        <f>SUM(#REF!)</f>
        <v>#REF!</v>
      </c>
      <c r="C181" s="23"/>
      <c r="D181" s="23" t="e">
        <f>SUM(#REF!)</f>
        <v>#REF!</v>
      </c>
      <c r="E181" s="10" t="e">
        <f t="shared" si="6"/>
        <v>#REF!</v>
      </c>
      <c r="G181" s="223"/>
    </row>
    <row r="182" spans="2:16">
      <c r="B182" s="23" t="e">
        <f>SUM(#REF!)</f>
        <v>#REF!</v>
      </c>
      <c r="C182" s="23"/>
      <c r="D182" s="23" t="e">
        <f>SUM(#REF!)</f>
        <v>#REF!</v>
      </c>
      <c r="E182" s="10" t="e">
        <f t="shared" si="6"/>
        <v>#REF!</v>
      </c>
      <c r="G182" s="223"/>
    </row>
    <row r="183" spans="2:16">
      <c r="B183" s="23" t="e">
        <f>SUM(#REF!)</f>
        <v>#REF!</v>
      </c>
      <c r="C183" s="23"/>
      <c r="D183" s="23" t="e">
        <f>SUM(#REF!)</f>
        <v>#REF!</v>
      </c>
      <c r="E183" s="10" t="e">
        <f t="shared" si="6"/>
        <v>#REF!</v>
      </c>
      <c r="G183" s="223"/>
    </row>
    <row r="184" spans="2:16">
      <c r="B184" s="23" t="e">
        <f>SUM(#REF!)</f>
        <v>#REF!</v>
      </c>
      <c r="C184" s="23"/>
      <c r="D184" s="23" t="e">
        <f>SUM(#REF!)</f>
        <v>#REF!</v>
      </c>
      <c r="E184" s="10" t="e">
        <f t="shared" si="6"/>
        <v>#REF!</v>
      </c>
      <c r="G184" s="223"/>
    </row>
    <row r="185" spans="2:16">
      <c r="B185" s="23" t="e">
        <f>SUM(#REF!)</f>
        <v>#REF!</v>
      </c>
      <c r="C185" s="23"/>
      <c r="D185" s="23" t="e">
        <f>SUM(#REF!)</f>
        <v>#REF!</v>
      </c>
      <c r="E185" s="10" t="e">
        <f t="shared" si="6"/>
        <v>#REF!</v>
      </c>
      <c r="G185" s="223"/>
    </row>
    <row r="186" spans="2:16">
      <c r="B186" s="23" t="e">
        <f>SUM(#REF!)</f>
        <v>#REF!</v>
      </c>
      <c r="C186" s="23"/>
      <c r="D186" s="23" t="e">
        <f>SUM(#REF!)</f>
        <v>#REF!</v>
      </c>
      <c r="E186" s="10" t="e">
        <f t="shared" si="6"/>
        <v>#REF!</v>
      </c>
      <c r="G186" s="223"/>
    </row>
    <row r="187" spans="2:16">
      <c r="B187" s="23" t="e">
        <f>SUM(#REF!)</f>
        <v>#REF!</v>
      </c>
      <c r="C187" s="23"/>
      <c r="D187" s="23" t="e">
        <f>SUM(#REF!)</f>
        <v>#REF!</v>
      </c>
      <c r="E187" s="10" t="e">
        <f t="shared" si="6"/>
        <v>#REF!</v>
      </c>
      <c r="G187" s="223"/>
      <c r="N187" s="19"/>
      <c r="O187" s="58"/>
    </row>
    <row r="188" spans="2:16">
      <c r="B188" s="23" t="e">
        <f>SUM(#REF!)</f>
        <v>#REF!</v>
      </c>
      <c r="C188" s="23"/>
      <c r="D188" s="23" t="e">
        <f>SUM(#REF!)</f>
        <v>#REF!</v>
      </c>
      <c r="E188" s="10" t="e">
        <f t="shared" si="6"/>
        <v>#REF!</v>
      </c>
      <c r="G188" s="223"/>
    </row>
    <row r="189" spans="2:16">
      <c r="C189" s="57"/>
    </row>
    <row r="190" spans="2:16">
      <c r="C190" s="57"/>
    </row>
    <row r="191" spans="2:16">
      <c r="C191" s="57"/>
      <c r="P191" s="58"/>
    </row>
    <row r="192" spans="2:16">
      <c r="C192" s="57"/>
    </row>
    <row r="193" spans="1:7">
      <c r="C193" s="57"/>
    </row>
    <row r="194" spans="1:7">
      <c r="C194" s="57"/>
    </row>
    <row r="195" spans="1:7">
      <c r="C195" s="57"/>
    </row>
    <row r="196" spans="1:7">
      <c r="C196" s="57"/>
    </row>
    <row r="197" spans="1:7">
      <c r="A197" s="139" t="s">
        <v>617</v>
      </c>
      <c r="B197" s="140">
        <f>SUM(B2:B16)</f>
        <v>15</v>
      </c>
      <c r="C197" s="140"/>
      <c r="D197" s="140">
        <f>SUM(D2:D16)</f>
        <v>-3.4500000000000006</v>
      </c>
      <c r="E197" s="144">
        <f t="shared" ref="E197:E198" si="7">D197/B197</f>
        <v>-0.23000000000000004</v>
      </c>
      <c r="F197" s="18"/>
      <c r="G197" s="224" t="s">
        <v>616</v>
      </c>
    </row>
    <row r="198" spans="1:7">
      <c r="A198" s="139" t="s">
        <v>618</v>
      </c>
      <c r="B198" s="140">
        <f>SUM(B17:B46)</f>
        <v>30</v>
      </c>
      <c r="C198" s="140"/>
      <c r="D198" s="140">
        <f>SUM(D17:D46)</f>
        <v>2.145999999999999</v>
      </c>
      <c r="E198" s="144">
        <f t="shared" si="7"/>
        <v>7.1533333333333296E-2</v>
      </c>
      <c r="G198" s="223"/>
    </row>
    <row r="199" spans="1:7">
      <c r="A199" s="139" t="s">
        <v>619</v>
      </c>
      <c r="B199" s="140">
        <f>SUM(B47:B90)</f>
        <v>44</v>
      </c>
      <c r="C199" s="140"/>
      <c r="D199" s="140">
        <f>SUM(D47:D90)</f>
        <v>11.262000000000004</v>
      </c>
      <c r="E199" s="144">
        <f t="shared" ref="E199" si="8">D199/B199</f>
        <v>0.25595454545454555</v>
      </c>
      <c r="G199" s="223"/>
    </row>
    <row r="200" spans="1:7">
      <c r="A200" s="139" t="s">
        <v>621</v>
      </c>
      <c r="B200" s="140">
        <f>SUM(B91:B145)</f>
        <v>54</v>
      </c>
      <c r="C200" s="140"/>
      <c r="D200" s="140">
        <f>SUM(D91:D145)</f>
        <v>8.3030000000000008</v>
      </c>
      <c r="E200" s="144">
        <f t="shared" ref="E200" si="9">D200/B200</f>
        <v>0.15375925925925926</v>
      </c>
      <c r="G200" s="223"/>
    </row>
    <row r="201" spans="1:7">
      <c r="A201" s="139" t="s">
        <v>622</v>
      </c>
      <c r="B201" s="140"/>
      <c r="C201" s="140"/>
      <c r="D201" s="140"/>
      <c r="E201" s="144"/>
      <c r="G201" s="223"/>
    </row>
    <row r="202" spans="1:7">
      <c r="A202" s="142"/>
      <c r="B202" s="143"/>
      <c r="C202" s="143"/>
      <c r="D202" s="143"/>
      <c r="E202" s="144"/>
      <c r="G202" s="185"/>
    </row>
    <row r="203" spans="1:7">
      <c r="D203" s="137"/>
    </row>
    <row r="204" spans="1:7">
      <c r="B204" s="43">
        <f>SUM(B197:B203)</f>
        <v>143</v>
      </c>
      <c r="C204" s="42"/>
      <c r="D204" s="43">
        <f>SUM(D197:D203)</f>
        <v>18.261000000000003</v>
      </c>
      <c r="E204" s="44">
        <f>D204/B204</f>
        <v>0.12769930069930072</v>
      </c>
      <c r="F204" t="s">
        <v>647</v>
      </c>
      <c r="G204" s="223"/>
    </row>
    <row r="213" spans="2:3">
      <c r="B213">
        <v>29.37</v>
      </c>
      <c r="C213" s="186">
        <v>1200</v>
      </c>
    </row>
    <row r="214" spans="2:3">
      <c r="B214">
        <f>C214*B213/C213</f>
        <v>300.97519374999996</v>
      </c>
      <c r="C214" s="240">
        <v>12297.25</v>
      </c>
    </row>
  </sheetData>
  <mergeCells count="36">
    <mergeCell ref="M1:P1"/>
    <mergeCell ref="A17:A20"/>
    <mergeCell ref="A21:A23"/>
    <mergeCell ref="A131:A132"/>
    <mergeCell ref="A133:A134"/>
    <mergeCell ref="A2:A5"/>
    <mergeCell ref="A34:A40"/>
    <mergeCell ref="A47:A49"/>
    <mergeCell ref="A56:A61"/>
    <mergeCell ref="A78:A85"/>
    <mergeCell ref="A86:A90"/>
    <mergeCell ref="A92:A97"/>
    <mergeCell ref="A103:A108"/>
    <mergeCell ref="A6:A11"/>
    <mergeCell ref="A12:A16"/>
    <mergeCell ref="A24:A26"/>
    <mergeCell ref="H152:I152"/>
    <mergeCell ref="K152:L152"/>
    <mergeCell ref="H148:I148"/>
    <mergeCell ref="K148:L148"/>
    <mergeCell ref="D149:D150"/>
    <mergeCell ref="H151:I151"/>
    <mergeCell ref="K151:L151"/>
    <mergeCell ref="A27:A28"/>
    <mergeCell ref="C148:E148"/>
    <mergeCell ref="A29:A33"/>
    <mergeCell ref="A41:A46"/>
    <mergeCell ref="A50:A55"/>
    <mergeCell ref="A62:A67"/>
    <mergeCell ref="A109:A115"/>
    <mergeCell ref="A116:A123"/>
    <mergeCell ref="A124:A130"/>
    <mergeCell ref="A135:A136"/>
    <mergeCell ref="A68:A77"/>
    <mergeCell ref="A98:A102"/>
    <mergeCell ref="A140:A142"/>
  </mergeCells>
  <conditionalFormatting sqref="A153">
    <cfRule type="cellIs" dxfId="43" priority="29" operator="lessThanOrEqual">
      <formula>0</formula>
    </cfRule>
    <cfRule type="cellIs" dxfId="42" priority="30" operator="between">
      <formula>0.05</formula>
      <formula>0</formula>
    </cfRule>
    <cfRule type="cellIs" dxfId="41" priority="31" operator="greaterThan">
      <formula>0.05</formula>
    </cfRule>
  </conditionalFormatting>
  <conditionalFormatting sqref="D151">
    <cfRule type="cellIs" dxfId="40" priority="35" operator="greaterThan">
      <formula>$D$149</formula>
    </cfRule>
    <cfRule type="cellIs" dxfId="39" priority="36" operator="lessThan">
      <formula>$D$149</formula>
    </cfRule>
  </conditionalFormatting>
  <conditionalFormatting sqref="E2:E146">
    <cfRule type="cellIs" dxfId="38" priority="1" stopIfTrue="1" operator="greaterThan">
      <formula>5</formula>
    </cfRule>
  </conditionalFormatting>
  <conditionalFormatting sqref="E175:E202">
    <cfRule type="cellIs" dxfId="37" priority="41" stopIfTrue="1" operator="greaterThan">
      <formula>5</formula>
    </cfRule>
  </conditionalFormatting>
  <conditionalFormatting sqref="E204">
    <cfRule type="cellIs" dxfId="36" priority="37" operator="equal">
      <formula>$A$153</formula>
    </cfRule>
  </conditionalFormatting>
  <conditionalFormatting sqref="F153">
    <cfRule type="cellIs" dxfId="35" priority="34" stopIfTrue="1" operator="greaterThan">
      <formula>5</formula>
    </cfRule>
  </conditionalFormatting>
  <conditionalFormatting sqref="H151:I151">
    <cfRule type="cellIs" dxfId="34" priority="40" stopIfTrue="1" operator="greaterThan">
      <formula>50</formula>
    </cfRule>
  </conditionalFormatting>
  <conditionalFormatting sqref="H152:I152">
    <cfRule type="cellIs" dxfId="33" priority="39" stopIfTrue="1" operator="greaterThan">
      <formula>221</formula>
    </cfRule>
  </conditionalFormatting>
  <conditionalFormatting sqref="K151:L151">
    <cfRule type="cellIs" dxfId="32" priority="33" stopIfTrue="1" operator="greaterThan">
      <formula>50</formula>
    </cfRule>
  </conditionalFormatting>
  <conditionalFormatting sqref="K152:L152">
    <cfRule type="cellIs" dxfId="31" priority="32" stopIfTrue="1" operator="greaterThan">
      <formula>221</formula>
    </cfRule>
  </conditionalFormatting>
  <conditionalFormatting sqref="N148:N160">
    <cfRule type="cellIs" dxfId="30" priority="38" operator="greaterThan">
      <formula>0.5</formula>
    </cfRule>
  </conditionalFormatting>
  <pageMargins left="0.7" right="0.7" top="0.75" bottom="0.75" header="0.3" footer="0.3"/>
  <pageSetup fitToWidth="0"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1844-2BF1-4966-82BC-42264FC5A4C4}">
  <dimension ref="A1:V42"/>
  <sheetViews>
    <sheetView workbookViewId="0">
      <selection activeCell="I827" sqref="I827"/>
    </sheetView>
  </sheetViews>
  <sheetFormatPr defaultRowHeight="15"/>
  <cols>
    <col min="1" max="1" width="38.85546875" bestFit="1" customWidth="1"/>
    <col min="2" max="3" width="9.28515625" customWidth="1"/>
    <col min="4" max="4" width="16.42578125" bestFit="1" customWidth="1"/>
    <col min="5" max="5" width="10.7109375" bestFit="1" customWidth="1"/>
    <col min="6" max="6" width="6.85546875" customWidth="1"/>
    <col min="7" max="7" width="19.85546875" customWidth="1"/>
    <col min="8" max="8" width="10.7109375" bestFit="1" customWidth="1"/>
    <col min="9" max="9" width="6.85546875" customWidth="1"/>
    <col min="10" max="10" width="7.28515625" bestFit="1" customWidth="1"/>
    <col min="13" max="13" width="23" bestFit="1" customWidth="1"/>
    <col min="14" max="14" width="23.42578125" customWidth="1"/>
    <col min="19" max="19" width="36.5703125" bestFit="1" customWidth="1"/>
    <col min="20" max="20" width="10.85546875" customWidth="1"/>
    <col min="21" max="21" width="11.140625" bestFit="1" customWidth="1"/>
    <col min="22" max="22" width="9.5703125" bestFit="1" customWidth="1"/>
  </cols>
  <sheetData>
    <row r="1" spans="1:22">
      <c r="B1" t="s">
        <v>1139</v>
      </c>
      <c r="D1" t="s">
        <v>1140</v>
      </c>
      <c r="E1" s="177" t="s">
        <v>1141</v>
      </c>
      <c r="G1" s="237" t="s">
        <v>1142</v>
      </c>
      <c r="H1" s="177" t="s">
        <v>1141</v>
      </c>
      <c r="M1" t="s">
        <v>1143</v>
      </c>
      <c r="N1" s="705" t="s">
        <v>1144</v>
      </c>
      <c r="O1" s="705"/>
      <c r="P1" s="705"/>
      <c r="Q1" s="705"/>
      <c r="R1" s="705"/>
      <c r="S1" s="705"/>
      <c r="T1" s="88" t="s">
        <v>1145</v>
      </c>
      <c r="U1" s="244" t="s">
        <v>5</v>
      </c>
      <c r="V1" s="219" t="s">
        <v>1146</v>
      </c>
    </row>
    <row r="2" spans="1:22">
      <c r="A2" s="537" t="s">
        <v>1147</v>
      </c>
      <c r="B2" s="173">
        <v>0.6</v>
      </c>
      <c r="C2" s="173"/>
      <c r="D2" s="182">
        <f>26/61</f>
        <v>0.42622950819672129</v>
      </c>
      <c r="E2" s="178">
        <f>B2*D2</f>
        <v>0.25573770491803277</v>
      </c>
      <c r="F2" s="18"/>
      <c r="G2" s="182">
        <f>15/62</f>
        <v>0.24193548387096775</v>
      </c>
      <c r="H2" s="178">
        <f>B2*G2</f>
        <v>0.14516129032258066</v>
      </c>
      <c r="M2" t="s">
        <v>1148</v>
      </c>
      <c r="N2" s="58">
        <v>2</v>
      </c>
      <c r="T2" s="245">
        <v>100</v>
      </c>
      <c r="U2" s="243">
        <v>2.5099999999999998</v>
      </c>
      <c r="V2" s="246"/>
    </row>
    <row r="3" spans="1:22">
      <c r="A3" s="537" t="s">
        <v>1149</v>
      </c>
      <c r="B3" s="173">
        <v>0.4</v>
      </c>
      <c r="C3" s="173"/>
      <c r="D3" s="182">
        <f>9/15</f>
        <v>0.6</v>
      </c>
      <c r="E3" s="179">
        <f t="shared" ref="E3" si="0">B3*D3</f>
        <v>0.24</v>
      </c>
      <c r="F3" s="18"/>
      <c r="G3" s="182">
        <f>6/15</f>
        <v>0.4</v>
      </c>
      <c r="H3" s="179">
        <f>B3*G3</f>
        <v>0.16000000000000003</v>
      </c>
      <c r="M3" t="s">
        <v>1150</v>
      </c>
      <c r="N3" s="19">
        <v>0.6</v>
      </c>
      <c r="T3" s="247">
        <v>12297.25</v>
      </c>
      <c r="U3" s="248">
        <f>T3*U2/T2</f>
        <v>308.66097499999995</v>
      </c>
      <c r="V3" s="249">
        <v>25504.7</v>
      </c>
    </row>
    <row r="4" spans="1:22">
      <c r="A4" s="3"/>
      <c r="B4" s="18">
        <f>SUM(B2:B3)</f>
        <v>1</v>
      </c>
      <c r="C4" s="173"/>
      <c r="E4" s="174">
        <f>SUM(E2:E3)</f>
        <v>0.49573770491803276</v>
      </c>
      <c r="F4" s="18"/>
      <c r="H4" s="174">
        <f>SUM(H2:H3)</f>
        <v>0.30516129032258066</v>
      </c>
      <c r="J4" s="18">
        <f xml:space="preserve"> (1 - E8) * (1 - H8)</f>
        <v>0.37045736486112169</v>
      </c>
      <c r="K4" s="175" t="s">
        <v>1151</v>
      </c>
      <c r="M4" t="s">
        <v>1152</v>
      </c>
      <c r="N4" s="19">
        <f>1-N3</f>
        <v>0.4</v>
      </c>
      <c r="T4" s="240"/>
      <c r="U4" s="240"/>
      <c r="V4" s="240"/>
    </row>
    <row r="5" spans="1:22">
      <c r="C5" s="166"/>
      <c r="F5" s="18"/>
      <c r="J5" s="174">
        <f>1 - J4</f>
        <v>0.62954263513887831</v>
      </c>
      <c r="K5" s="176" t="s">
        <v>1153</v>
      </c>
      <c r="M5" t="s">
        <v>1137</v>
      </c>
      <c r="N5" s="19">
        <f>(N2*N3-N4)/N2</f>
        <v>0.39999999999999997</v>
      </c>
      <c r="T5" s="240"/>
      <c r="U5" s="240"/>
      <c r="V5" s="240"/>
    </row>
    <row r="6" spans="1:22">
      <c r="A6" s="537" t="s">
        <v>1154</v>
      </c>
      <c r="B6" s="173">
        <v>0.7</v>
      </c>
      <c r="D6" s="178">
        <f>E4</f>
        <v>0.49573770491803276</v>
      </c>
      <c r="E6" s="180">
        <f>B6*D6</f>
        <v>0.34701639344262292</v>
      </c>
      <c r="G6" s="178">
        <f>H4</f>
        <v>0.30516129032258066</v>
      </c>
      <c r="H6" s="180">
        <f>B6*G6</f>
        <v>0.21361290322580645</v>
      </c>
      <c r="M6" t="s">
        <v>1155</v>
      </c>
      <c r="N6" s="19">
        <f>N5/10</f>
        <v>3.9999999999999994E-2</v>
      </c>
      <c r="T6" s="240"/>
      <c r="U6" s="240"/>
      <c r="V6" s="240"/>
    </row>
    <row r="7" spans="1:22">
      <c r="A7" s="537" t="s">
        <v>1156</v>
      </c>
      <c r="B7" s="173">
        <v>0.3</v>
      </c>
      <c r="D7" s="183">
        <f>4/14</f>
        <v>0.2857142857142857</v>
      </c>
      <c r="E7" s="179">
        <f>B7*D7</f>
        <v>8.5714285714285701E-2</v>
      </c>
      <c r="G7" s="183">
        <f>4/9</f>
        <v>0.44444444444444442</v>
      </c>
      <c r="H7" s="179">
        <f>B7*G7</f>
        <v>0.13333333333333333</v>
      </c>
      <c r="T7" s="240"/>
      <c r="U7" s="240"/>
      <c r="V7" s="240"/>
    </row>
    <row r="8" spans="1:22">
      <c r="B8" s="174">
        <f>SUM(B6:B7)</f>
        <v>1</v>
      </c>
      <c r="D8" s="18"/>
      <c r="E8" s="44">
        <f>SUM(E6:E7)</f>
        <v>0.4327306791569086</v>
      </c>
      <c r="G8" s="18"/>
      <c r="H8" s="44">
        <f>SUM(H6:H7)</f>
        <v>0.34694623655913981</v>
      </c>
      <c r="T8" s="240"/>
      <c r="U8" s="240"/>
      <c r="V8" s="240"/>
    </row>
    <row r="9" spans="1:22">
      <c r="B9" s="166"/>
      <c r="D9" s="18"/>
      <c r="E9" s="166"/>
      <c r="G9" s="18"/>
      <c r="H9" s="166"/>
      <c r="T9" s="240"/>
      <c r="U9" s="240"/>
      <c r="V9" s="240"/>
    </row>
    <row r="10" spans="1:22">
      <c r="B10" s="166"/>
      <c r="D10" t="str">
        <f>D1</f>
        <v>Arizona</v>
      </c>
      <c r="E10" s="177" t="s">
        <v>1141</v>
      </c>
      <c r="G10" t="str">
        <f>G1</f>
        <v>Cleveland</v>
      </c>
      <c r="H10" s="177" t="s">
        <v>1141</v>
      </c>
      <c r="J10" s="18">
        <f xml:space="preserve"> (1 - E11) * (1 - H11)</f>
        <v>0.760876</v>
      </c>
      <c r="K10" s="175" t="s">
        <v>1151</v>
      </c>
      <c r="T10" s="240"/>
      <c r="U10" s="240"/>
      <c r="V10" s="240"/>
    </row>
    <row r="11" spans="1:22">
      <c r="D11" s="18"/>
      <c r="E11" s="44">
        <v>0.14699999999999999</v>
      </c>
      <c r="G11" s="18"/>
      <c r="H11" s="44">
        <v>0.108</v>
      </c>
      <c r="J11" s="174">
        <f>1 - J10</f>
        <v>0.239124</v>
      </c>
      <c r="K11" s="176" t="s">
        <v>1153</v>
      </c>
    </row>
    <row r="12" spans="1:22">
      <c r="D12" s="18"/>
      <c r="E12" s="166"/>
      <c r="G12" s="18"/>
      <c r="H12" s="166"/>
    </row>
    <row r="13" spans="1:22">
      <c r="B13" s="173"/>
      <c r="D13">
        <v>0.14699999999999999</v>
      </c>
    </row>
    <row r="14" spans="1:22">
      <c r="B14" s="173"/>
      <c r="D14">
        <v>0.108</v>
      </c>
    </row>
    <row r="15" spans="1:22">
      <c r="B15" s="18"/>
      <c r="C15" s="173"/>
      <c r="D15">
        <v>0.239124</v>
      </c>
    </row>
    <row r="16" spans="1:22">
      <c r="C16" s="173"/>
      <c r="D16">
        <v>0.760876</v>
      </c>
    </row>
    <row r="17" spans="2:3">
      <c r="B17" s="173"/>
      <c r="C17" s="18"/>
    </row>
    <row r="18" spans="2:3">
      <c r="B18" s="173"/>
    </row>
    <row r="19" spans="2:3">
      <c r="C19" s="173"/>
    </row>
    <row r="20" spans="2:3">
      <c r="C20" s="173"/>
    </row>
    <row r="41" spans="20:20">
      <c r="T41" s="242"/>
    </row>
    <row r="42" spans="20:20" ht="59.25">
      <c r="T42" s="241" t="s">
        <v>1157</v>
      </c>
    </row>
  </sheetData>
  <mergeCells count="1">
    <mergeCell ref="N1:S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7"/>
  <sheetViews>
    <sheetView workbookViewId="0">
      <pane ySplit="1" topLeftCell="A12" activePane="bottomLeft" state="frozen"/>
      <selection pane="bottomLeft" activeCell="O2" sqref="O2"/>
    </sheetView>
  </sheetViews>
  <sheetFormatPr defaultColWidth="9.140625" defaultRowHeight="15"/>
  <cols>
    <col min="1" max="1" width="6.28515625" bestFit="1" customWidth="1"/>
    <col min="2" max="2" width="7.42578125" bestFit="1" customWidth="1"/>
    <col min="3" max="3" width="10.5703125" hidden="1" customWidth="1"/>
    <col min="4" max="4" width="15" style="35" bestFit="1" customWidth="1"/>
    <col min="5" max="5" width="11.140625" style="35" bestFit="1" customWidth="1"/>
    <col min="6" max="7" width="12.7109375" style="35" bestFit="1" customWidth="1"/>
    <col min="8" max="8" width="9.28515625" hidden="1" customWidth="1"/>
    <col min="9" max="9" width="9" style="36" bestFit="1" customWidth="1"/>
    <col min="10" max="10" width="13.28515625" style="35" bestFit="1" customWidth="1"/>
    <col min="11" max="11" width="11" hidden="1" customWidth="1"/>
    <col min="12" max="12" width="12.7109375" style="35" customWidth="1"/>
    <col min="13" max="13" width="11.28515625" style="35" hidden="1" customWidth="1"/>
    <col min="14" max="14" width="14.5703125" style="35" hidden="1" customWidth="1"/>
    <col min="15" max="15" width="38.7109375" style="25" bestFit="1" customWidth="1"/>
    <col min="16" max="16" width="9.28515625" style="25" customWidth="1"/>
    <col min="17" max="17" width="9.140625" style="25" customWidth="1"/>
    <col min="18" max="18" width="17.7109375" style="25" bestFit="1" customWidth="1"/>
    <col min="19" max="19" width="11.42578125" style="25" customWidth="1"/>
    <col min="20" max="20" width="6.7109375" style="25" bestFit="1" customWidth="1"/>
    <col min="21" max="21" width="15.42578125" style="25" bestFit="1" customWidth="1"/>
    <col min="22" max="255" width="11.42578125" style="25" customWidth="1"/>
    <col min="256" max="16384" width="9.140625" style="25"/>
  </cols>
  <sheetData>
    <row r="1" spans="1:21" s="86" customFormat="1" ht="39" customHeight="1">
      <c r="A1" s="79" t="s">
        <v>1158</v>
      </c>
      <c r="B1" s="80" t="s">
        <v>1159</v>
      </c>
      <c r="C1" s="80" t="s">
        <v>1160</v>
      </c>
      <c r="D1" s="81" t="s">
        <v>1161</v>
      </c>
      <c r="E1" s="81" t="s">
        <v>1162</v>
      </c>
      <c r="F1" s="82" t="s">
        <v>1163</v>
      </c>
      <c r="G1" s="82" t="s">
        <v>1164</v>
      </c>
      <c r="H1" s="82" t="s">
        <v>1165</v>
      </c>
      <c r="I1" s="83" t="s">
        <v>1166</v>
      </c>
      <c r="J1" s="81" t="s">
        <v>1167</v>
      </c>
      <c r="K1" s="80" t="s">
        <v>1168</v>
      </c>
      <c r="L1" s="84" t="s">
        <v>1169</v>
      </c>
      <c r="M1" s="85" t="s">
        <v>1170</v>
      </c>
      <c r="N1" s="85" t="s">
        <v>1171</v>
      </c>
    </row>
    <row r="2" spans="1:21">
      <c r="A2" s="66">
        <v>1</v>
      </c>
      <c r="B2" s="26">
        <f>P7</f>
        <v>45951</v>
      </c>
      <c r="C2" s="26">
        <f t="shared" ref="C2:C37" si="0">DATE(YEAR(B2),MONTH(B2)+$P$8-1,DAY(B2))</f>
        <v>45951</v>
      </c>
      <c r="D2" s="125"/>
      <c r="E2" s="27">
        <v>0</v>
      </c>
      <c r="F2" s="126">
        <f>P6</f>
        <v>700</v>
      </c>
      <c r="G2" s="27">
        <f t="shared" ref="G2:G37" si="1">+F2*$P$9</f>
        <v>210</v>
      </c>
      <c r="H2" s="67">
        <f t="shared" ref="H2:H36" si="2">+B3-B2</f>
        <v>31</v>
      </c>
      <c r="I2" s="18">
        <f>+(G2/F2)/H2</f>
        <v>9.6774193548387101E-3</v>
      </c>
      <c r="J2" s="27">
        <f>+F2*I2</f>
        <v>6.774193548387097</v>
      </c>
      <c r="K2" s="58">
        <f t="shared" ref="K2:K37" si="3">+J2/L2</f>
        <v>0.967741935483871</v>
      </c>
      <c r="L2" s="68">
        <f t="shared" ref="L2:L37" si="4">+F2*$P$11</f>
        <v>7</v>
      </c>
      <c r="M2" s="27">
        <f t="shared" ref="M2:M37" si="5">+F2*$P$14</f>
        <v>7</v>
      </c>
      <c r="N2" s="27">
        <f t="shared" ref="N2:N37" si="6">+M2*$P$15</f>
        <v>52.5</v>
      </c>
      <c r="O2" s="54">
        <f>SUM(E2:E3)+F3</f>
        <v>910</v>
      </c>
      <c r="P2" s="78">
        <f>SUM(E2:E13)</f>
        <v>2556.6739772448673</v>
      </c>
    </row>
    <row r="3" spans="1:21">
      <c r="A3" s="66">
        <v>2</v>
      </c>
      <c r="B3" s="26">
        <f t="shared" ref="B3:B37" si="7">DATE(YEAR(B2),MONTH(B2)+$P$8,DAY(B2))</f>
        <v>45982</v>
      </c>
      <c r="C3" s="26">
        <f t="shared" si="0"/>
        <v>45982</v>
      </c>
      <c r="D3" s="27">
        <f>+F2+G2</f>
        <v>910</v>
      </c>
      <c r="E3" s="27">
        <f t="shared" ref="E3:E37" si="8">+G2*$P$10</f>
        <v>105</v>
      </c>
      <c r="F3" s="27">
        <f>+F2+G2-E3</f>
        <v>805</v>
      </c>
      <c r="G3" s="27">
        <f t="shared" si="1"/>
        <v>241.5</v>
      </c>
      <c r="H3" s="67">
        <f t="shared" si="2"/>
        <v>30</v>
      </c>
      <c r="I3" s="18">
        <f t="shared" ref="I3:I36" si="9">+(G3/F3)/H3</f>
        <v>0.01</v>
      </c>
      <c r="J3" s="27">
        <f t="shared" ref="J3:J37" si="10">+F3*I3</f>
        <v>8.0500000000000007</v>
      </c>
      <c r="K3" s="58">
        <f t="shared" si="3"/>
        <v>1</v>
      </c>
      <c r="L3" s="68">
        <f t="shared" si="4"/>
        <v>8.0500000000000007</v>
      </c>
      <c r="M3" s="27">
        <f t="shared" si="5"/>
        <v>8.0500000000000007</v>
      </c>
      <c r="N3" s="27">
        <f t="shared" si="6"/>
        <v>60.375000000000007</v>
      </c>
    </row>
    <row r="4" spans="1:21">
      <c r="A4" s="66">
        <v>3</v>
      </c>
      <c r="B4" s="26">
        <f t="shared" si="7"/>
        <v>46012</v>
      </c>
      <c r="C4" s="26">
        <f t="shared" si="0"/>
        <v>46012</v>
      </c>
      <c r="D4" s="27">
        <f t="shared" ref="D4:D37" si="11">+F3+G3</f>
        <v>1046.5</v>
      </c>
      <c r="E4" s="27">
        <f t="shared" si="8"/>
        <v>120.75</v>
      </c>
      <c r="F4" s="27">
        <f t="shared" ref="F4:F37" si="12">+F3+G3-E4</f>
        <v>925.75</v>
      </c>
      <c r="G4" s="27">
        <f t="shared" si="1"/>
        <v>277.72499999999997</v>
      </c>
      <c r="H4" s="67">
        <f t="shared" si="2"/>
        <v>31</v>
      </c>
      <c r="I4" s="18">
        <f t="shared" si="9"/>
        <v>9.6774193548387101E-3</v>
      </c>
      <c r="J4" s="27">
        <f t="shared" si="10"/>
        <v>8.9588709677419356</v>
      </c>
      <c r="K4" s="58">
        <f t="shared" si="3"/>
        <v>0.967741935483871</v>
      </c>
      <c r="L4" s="68">
        <f t="shared" si="4"/>
        <v>9.2575000000000003</v>
      </c>
      <c r="M4" s="27">
        <f t="shared" si="5"/>
        <v>9.2575000000000003</v>
      </c>
      <c r="N4" s="27">
        <f t="shared" si="6"/>
        <v>69.431250000000006</v>
      </c>
      <c r="R4"/>
      <c r="S4" s="671">
        <f>P6</f>
        <v>700</v>
      </c>
      <c r="T4" s="682"/>
      <c r="U4" s="16" t="s">
        <v>1172</v>
      </c>
    </row>
    <row r="5" spans="1:21">
      <c r="A5" s="66">
        <v>4</v>
      </c>
      <c r="B5" s="26">
        <f t="shared" si="7"/>
        <v>46043</v>
      </c>
      <c r="C5" s="26">
        <f t="shared" si="0"/>
        <v>46043</v>
      </c>
      <c r="D5" s="27">
        <f t="shared" si="11"/>
        <v>1203.4749999999999</v>
      </c>
      <c r="E5" s="27">
        <f t="shared" si="8"/>
        <v>138.86249999999998</v>
      </c>
      <c r="F5" s="27">
        <f t="shared" si="12"/>
        <v>1064.6125</v>
      </c>
      <c r="G5" s="27">
        <f t="shared" si="1"/>
        <v>319.38374999999996</v>
      </c>
      <c r="H5" s="67">
        <f t="shared" si="2"/>
        <v>31</v>
      </c>
      <c r="I5" s="18">
        <f t="shared" si="9"/>
        <v>9.6774193548387101E-3</v>
      </c>
      <c r="J5" s="27">
        <f t="shared" si="10"/>
        <v>10.302701612903226</v>
      </c>
      <c r="K5" s="58">
        <f t="shared" si="3"/>
        <v>0.967741935483871</v>
      </c>
      <c r="L5" s="68">
        <f t="shared" si="4"/>
        <v>10.646125</v>
      </c>
      <c r="M5" s="27">
        <f t="shared" si="5"/>
        <v>10.646125</v>
      </c>
      <c r="N5" s="27">
        <f t="shared" si="6"/>
        <v>79.845937499999991</v>
      </c>
      <c r="O5" s="706" t="s">
        <v>1173</v>
      </c>
      <c r="P5" s="706"/>
      <c r="R5" s="17" t="s">
        <v>604</v>
      </c>
      <c r="S5" s="75">
        <f>L2</f>
        <v>7</v>
      </c>
      <c r="T5" s="76">
        <f>S5*10</f>
        <v>70</v>
      </c>
      <c r="U5" s="3" t="s">
        <v>605</v>
      </c>
    </row>
    <row r="6" spans="1:21">
      <c r="A6" s="66">
        <v>5</v>
      </c>
      <c r="B6" s="26">
        <f t="shared" si="7"/>
        <v>46074</v>
      </c>
      <c r="C6" s="26">
        <f t="shared" si="0"/>
        <v>46074</v>
      </c>
      <c r="D6" s="27">
        <f t="shared" si="11"/>
        <v>1383.9962499999999</v>
      </c>
      <c r="E6" s="27">
        <f t="shared" si="8"/>
        <v>159.69187499999998</v>
      </c>
      <c r="F6" s="27">
        <f t="shared" si="12"/>
        <v>1224.3043749999999</v>
      </c>
      <c r="G6" s="27">
        <f t="shared" si="1"/>
        <v>367.29131249999995</v>
      </c>
      <c r="H6" s="67">
        <f t="shared" si="2"/>
        <v>28</v>
      </c>
      <c r="I6" s="18">
        <f t="shared" si="9"/>
        <v>1.0714285714285714E-2</v>
      </c>
      <c r="J6" s="27">
        <f t="shared" si="10"/>
        <v>13.117546874999999</v>
      </c>
      <c r="K6" s="58">
        <f t="shared" si="3"/>
        <v>1.0714285714285714</v>
      </c>
      <c r="L6" s="68">
        <f t="shared" si="4"/>
        <v>12.24304375</v>
      </c>
      <c r="M6" s="27">
        <f t="shared" si="5"/>
        <v>12.24304375</v>
      </c>
      <c r="N6" s="27">
        <f t="shared" si="6"/>
        <v>91.822828125000001</v>
      </c>
      <c r="O6" s="28" t="s">
        <v>1174</v>
      </c>
      <c r="P6" s="29">
        <v>700</v>
      </c>
      <c r="R6" s="17" t="s">
        <v>607</v>
      </c>
      <c r="S6" s="46">
        <v>0</v>
      </c>
      <c r="T6" s="60"/>
      <c r="U6" s="3" t="s">
        <v>608</v>
      </c>
    </row>
    <row r="7" spans="1:21">
      <c r="A7" s="66">
        <v>6</v>
      </c>
      <c r="B7" s="26">
        <f t="shared" si="7"/>
        <v>46102</v>
      </c>
      <c r="C7" s="26">
        <f t="shared" si="0"/>
        <v>46102</v>
      </c>
      <c r="D7" s="27">
        <f t="shared" si="11"/>
        <v>1591.5956874999999</v>
      </c>
      <c r="E7" s="251">
        <f t="shared" si="8"/>
        <v>183.64565624999997</v>
      </c>
      <c r="F7" s="27">
        <f t="shared" si="12"/>
        <v>1407.9500312499999</v>
      </c>
      <c r="G7" s="27">
        <f t="shared" si="1"/>
        <v>422.38500937499998</v>
      </c>
      <c r="H7" s="67">
        <f t="shared" si="2"/>
        <v>31</v>
      </c>
      <c r="I7" s="18">
        <f t="shared" si="9"/>
        <v>9.6774193548387101E-3</v>
      </c>
      <c r="J7" s="27">
        <f t="shared" si="10"/>
        <v>13.625322883064516</v>
      </c>
      <c r="K7" s="58">
        <f t="shared" si="3"/>
        <v>0.967741935483871</v>
      </c>
      <c r="L7" s="68">
        <f t="shared" si="4"/>
        <v>14.0795003125</v>
      </c>
      <c r="M7" s="27">
        <f t="shared" si="5"/>
        <v>14.0795003125</v>
      </c>
      <c r="N7" s="27">
        <f t="shared" si="6"/>
        <v>105.59625234375001</v>
      </c>
      <c r="O7" s="28" t="s">
        <v>1175</v>
      </c>
      <c r="P7" s="30">
        <v>45951</v>
      </c>
      <c r="R7" s="17" t="s">
        <v>609</v>
      </c>
      <c r="S7" s="671">
        <f>(S6-T6)</f>
        <v>0</v>
      </c>
      <c r="T7" s="672"/>
      <c r="U7" s="16"/>
    </row>
    <row r="8" spans="1:21">
      <c r="A8" s="66">
        <v>7</v>
      </c>
      <c r="B8" s="26">
        <f t="shared" si="7"/>
        <v>46133</v>
      </c>
      <c r="C8" s="26">
        <f t="shared" si="0"/>
        <v>46133</v>
      </c>
      <c r="D8" s="27">
        <f t="shared" si="11"/>
        <v>1830.3350406249999</v>
      </c>
      <c r="E8" s="27">
        <f t="shared" si="8"/>
        <v>211.19250468749999</v>
      </c>
      <c r="F8" s="27">
        <f t="shared" si="12"/>
        <v>1619.1425359374998</v>
      </c>
      <c r="G8" s="27">
        <f t="shared" si="1"/>
        <v>485.7427607812499</v>
      </c>
      <c r="H8" s="67">
        <f t="shared" si="2"/>
        <v>30</v>
      </c>
      <c r="I8" s="18">
        <f t="shared" si="9"/>
        <v>0.01</v>
      </c>
      <c r="J8" s="27">
        <f t="shared" si="10"/>
        <v>16.191425359375</v>
      </c>
      <c r="K8" s="58">
        <f t="shared" si="3"/>
        <v>1</v>
      </c>
      <c r="L8" s="68">
        <f t="shared" si="4"/>
        <v>16.191425359375</v>
      </c>
      <c r="M8" s="27">
        <f t="shared" si="5"/>
        <v>16.191425359375</v>
      </c>
      <c r="N8" s="27">
        <f t="shared" si="6"/>
        <v>121.4356901953125</v>
      </c>
      <c r="O8" s="28" t="s">
        <v>1176</v>
      </c>
      <c r="P8" s="31">
        <v>1</v>
      </c>
      <c r="R8" s="17" t="s">
        <v>610</v>
      </c>
      <c r="S8" s="708">
        <f>S4+S7</f>
        <v>700</v>
      </c>
      <c r="T8" s="709"/>
      <c r="U8" s="77"/>
    </row>
    <row r="9" spans="1:21" ht="14.25" customHeight="1">
      <c r="A9" s="66">
        <v>8</v>
      </c>
      <c r="B9" s="26">
        <f t="shared" si="7"/>
        <v>46163</v>
      </c>
      <c r="C9" s="26">
        <f t="shared" si="0"/>
        <v>46163</v>
      </c>
      <c r="D9" s="27">
        <f t="shared" si="11"/>
        <v>2104.8852967187495</v>
      </c>
      <c r="E9" s="27">
        <f t="shared" si="8"/>
        <v>242.87138039062495</v>
      </c>
      <c r="F9" s="27">
        <f t="shared" si="12"/>
        <v>1862.0139163281247</v>
      </c>
      <c r="G9" s="27">
        <f t="shared" si="1"/>
        <v>558.60417489843735</v>
      </c>
      <c r="H9" s="67">
        <f t="shared" si="2"/>
        <v>31</v>
      </c>
      <c r="I9" s="18">
        <f t="shared" si="9"/>
        <v>9.6774193548387101E-3</v>
      </c>
      <c r="J9" s="27">
        <f t="shared" si="10"/>
        <v>18.019489512852822</v>
      </c>
      <c r="K9" s="58">
        <f t="shared" si="3"/>
        <v>0.967741935483871</v>
      </c>
      <c r="L9" s="68">
        <f t="shared" si="4"/>
        <v>18.620139163281248</v>
      </c>
      <c r="M9" s="27">
        <f t="shared" si="5"/>
        <v>18.620139163281248</v>
      </c>
      <c r="N9" s="27">
        <f t="shared" si="6"/>
        <v>139.65104372460937</v>
      </c>
      <c r="O9" s="32" t="s">
        <v>1177</v>
      </c>
      <c r="P9" s="33">
        <v>0.3</v>
      </c>
    </row>
    <row r="10" spans="1:21">
      <c r="A10" s="66">
        <v>9</v>
      </c>
      <c r="B10" s="26">
        <f t="shared" si="7"/>
        <v>46194</v>
      </c>
      <c r="C10" s="26">
        <f t="shared" si="0"/>
        <v>46194</v>
      </c>
      <c r="D10" s="27">
        <f t="shared" si="11"/>
        <v>2420.6180912265618</v>
      </c>
      <c r="E10" s="27">
        <f t="shared" si="8"/>
        <v>279.30208744921867</v>
      </c>
      <c r="F10" s="27">
        <f t="shared" si="12"/>
        <v>2141.3160037773432</v>
      </c>
      <c r="G10" s="27">
        <f t="shared" si="1"/>
        <v>642.39480113320292</v>
      </c>
      <c r="H10" s="67">
        <f t="shared" si="2"/>
        <v>30</v>
      </c>
      <c r="I10" s="18">
        <f t="shared" si="9"/>
        <v>0.01</v>
      </c>
      <c r="J10" s="27">
        <f t="shared" si="10"/>
        <v>21.413160037773434</v>
      </c>
      <c r="K10" s="58">
        <f t="shared" si="3"/>
        <v>1</v>
      </c>
      <c r="L10" s="68">
        <f t="shared" si="4"/>
        <v>21.413160037773434</v>
      </c>
      <c r="M10" s="27">
        <f t="shared" si="5"/>
        <v>21.413160037773434</v>
      </c>
      <c r="N10" s="27">
        <f t="shared" si="6"/>
        <v>160.59870028330076</v>
      </c>
      <c r="O10" s="28" t="s">
        <v>1178</v>
      </c>
      <c r="P10" s="33">
        <v>0.5</v>
      </c>
    </row>
    <row r="11" spans="1:21">
      <c r="A11" s="66">
        <v>10</v>
      </c>
      <c r="B11" s="26">
        <f t="shared" si="7"/>
        <v>46224</v>
      </c>
      <c r="C11" s="26">
        <f t="shared" si="0"/>
        <v>46224</v>
      </c>
      <c r="D11" s="27">
        <f t="shared" si="11"/>
        <v>2783.7108049105464</v>
      </c>
      <c r="E11" s="27">
        <f t="shared" si="8"/>
        <v>321.19740056660146</v>
      </c>
      <c r="F11" s="27">
        <f t="shared" si="12"/>
        <v>2462.5134043439448</v>
      </c>
      <c r="G11" s="27">
        <f t="shared" si="1"/>
        <v>738.75402130318344</v>
      </c>
      <c r="H11" s="67">
        <f t="shared" si="2"/>
        <v>31</v>
      </c>
      <c r="I11" s="18">
        <f t="shared" si="9"/>
        <v>9.6774193548387101E-3</v>
      </c>
      <c r="J11" s="27">
        <f t="shared" si="10"/>
        <v>23.830774880747853</v>
      </c>
      <c r="K11" s="58">
        <f t="shared" si="3"/>
        <v>0.967741935483871</v>
      </c>
      <c r="L11" s="68">
        <f t="shared" si="4"/>
        <v>24.625134043439449</v>
      </c>
      <c r="M11" s="27">
        <f t="shared" si="5"/>
        <v>24.625134043439449</v>
      </c>
      <c r="N11" s="27">
        <f t="shared" si="6"/>
        <v>184.68850532579586</v>
      </c>
      <c r="O11" s="28" t="s">
        <v>1179</v>
      </c>
      <c r="P11" s="33">
        <v>0.01</v>
      </c>
    </row>
    <row r="12" spans="1:21">
      <c r="A12" s="66">
        <v>11</v>
      </c>
      <c r="B12" s="26">
        <f t="shared" si="7"/>
        <v>46255</v>
      </c>
      <c r="C12" s="26">
        <f t="shared" si="0"/>
        <v>46255</v>
      </c>
      <c r="D12" s="27">
        <f t="shared" si="11"/>
        <v>3201.2674256471282</v>
      </c>
      <c r="E12" s="27">
        <f t="shared" si="8"/>
        <v>369.37701065159172</v>
      </c>
      <c r="F12" s="27">
        <f t="shared" si="12"/>
        <v>2831.8904149955365</v>
      </c>
      <c r="G12" s="27">
        <f t="shared" si="1"/>
        <v>849.56712449866097</v>
      </c>
      <c r="H12" s="67">
        <f t="shared" si="2"/>
        <v>31</v>
      </c>
      <c r="I12" s="18">
        <f t="shared" si="9"/>
        <v>9.6774193548387101E-3</v>
      </c>
      <c r="J12" s="27">
        <f t="shared" si="10"/>
        <v>27.40539111286003</v>
      </c>
      <c r="K12" s="58">
        <f t="shared" si="3"/>
        <v>0.967741935483871</v>
      </c>
      <c r="L12" s="68">
        <f t="shared" si="4"/>
        <v>28.318904149955365</v>
      </c>
      <c r="M12" s="27">
        <f t="shared" si="5"/>
        <v>28.318904149955365</v>
      </c>
      <c r="N12" s="27">
        <f t="shared" si="6"/>
        <v>212.39178112466524</v>
      </c>
      <c r="O12" t="s">
        <v>1180</v>
      </c>
      <c r="P12" s="29">
        <v>400</v>
      </c>
    </row>
    <row r="13" spans="1:21">
      <c r="A13" s="66">
        <v>12</v>
      </c>
      <c r="B13" s="26">
        <f t="shared" si="7"/>
        <v>46286</v>
      </c>
      <c r="C13" s="26">
        <f t="shared" si="0"/>
        <v>46286</v>
      </c>
      <c r="D13" s="27">
        <f t="shared" si="11"/>
        <v>3681.4575394941976</v>
      </c>
      <c r="E13" s="27">
        <f t="shared" si="8"/>
        <v>424.78356224933049</v>
      </c>
      <c r="F13" s="27">
        <f t="shared" si="12"/>
        <v>3256.6739772448673</v>
      </c>
      <c r="G13" s="27">
        <f t="shared" si="1"/>
        <v>977.00219317346011</v>
      </c>
      <c r="H13" s="67">
        <f t="shared" si="2"/>
        <v>30</v>
      </c>
      <c r="I13" s="18">
        <f t="shared" si="9"/>
        <v>0.01</v>
      </c>
      <c r="J13" s="27">
        <f t="shared" si="10"/>
        <v>32.56673977244867</v>
      </c>
      <c r="K13" s="58">
        <f t="shared" si="3"/>
        <v>1</v>
      </c>
      <c r="L13" s="68">
        <f t="shared" si="4"/>
        <v>32.56673977244867</v>
      </c>
      <c r="M13" s="27">
        <f t="shared" si="5"/>
        <v>32.56673977244867</v>
      </c>
      <c r="N13" s="27">
        <f t="shared" si="6"/>
        <v>244.25054829336503</v>
      </c>
      <c r="O13" s="706" t="s">
        <v>1181</v>
      </c>
      <c r="P13" s="706"/>
    </row>
    <row r="14" spans="1:21">
      <c r="A14" s="64">
        <v>13</v>
      </c>
      <c r="B14" s="65">
        <f t="shared" si="7"/>
        <v>46316</v>
      </c>
      <c r="C14" s="65">
        <f t="shared" si="0"/>
        <v>46316</v>
      </c>
      <c r="D14" s="70">
        <f t="shared" si="11"/>
        <v>4233.6761704183273</v>
      </c>
      <c r="E14" s="70">
        <f t="shared" si="8"/>
        <v>488.50109658673006</v>
      </c>
      <c r="F14" s="70">
        <f t="shared" si="12"/>
        <v>3745.1750738315973</v>
      </c>
      <c r="G14" s="70">
        <f t="shared" si="1"/>
        <v>1123.552522149479</v>
      </c>
      <c r="H14" s="71">
        <f t="shared" si="2"/>
        <v>31</v>
      </c>
      <c r="I14" s="72">
        <f t="shared" si="9"/>
        <v>9.6774193548387101E-3</v>
      </c>
      <c r="J14" s="70">
        <f t="shared" si="10"/>
        <v>36.243629746757392</v>
      </c>
      <c r="K14" s="73">
        <f t="shared" si="3"/>
        <v>0.967741935483871</v>
      </c>
      <c r="L14" s="74">
        <f t="shared" si="4"/>
        <v>37.451750738315972</v>
      </c>
      <c r="M14" s="27">
        <f t="shared" si="5"/>
        <v>37.451750738315972</v>
      </c>
      <c r="N14" s="27">
        <f t="shared" si="6"/>
        <v>280.88813053736982</v>
      </c>
      <c r="O14" s="28" t="s">
        <v>1182</v>
      </c>
      <c r="P14" s="33">
        <v>0.01</v>
      </c>
    </row>
    <row r="15" spans="1:21">
      <c r="A15" s="66">
        <v>14</v>
      </c>
      <c r="B15" s="26">
        <f t="shared" si="7"/>
        <v>46347</v>
      </c>
      <c r="C15" s="26">
        <f t="shared" si="0"/>
        <v>46347</v>
      </c>
      <c r="D15" s="27">
        <f t="shared" si="11"/>
        <v>4868.7275959810759</v>
      </c>
      <c r="E15" s="27">
        <f t="shared" si="8"/>
        <v>561.77626107473952</v>
      </c>
      <c r="F15" s="27">
        <f t="shared" si="12"/>
        <v>4306.9513349063363</v>
      </c>
      <c r="G15" s="27">
        <f t="shared" si="1"/>
        <v>1292.0854004719008</v>
      </c>
      <c r="H15" s="67">
        <f t="shared" si="2"/>
        <v>30</v>
      </c>
      <c r="I15" s="18">
        <f t="shared" si="9"/>
        <v>0.01</v>
      </c>
      <c r="J15" s="27">
        <f t="shared" si="10"/>
        <v>43.069513349063364</v>
      </c>
      <c r="K15" s="58">
        <f t="shared" si="3"/>
        <v>1</v>
      </c>
      <c r="L15" s="68">
        <f t="shared" si="4"/>
        <v>43.069513349063364</v>
      </c>
      <c r="M15" s="27">
        <f t="shared" si="5"/>
        <v>43.069513349063364</v>
      </c>
      <c r="N15" s="27">
        <f t="shared" si="6"/>
        <v>323.0213501179752</v>
      </c>
      <c r="O15" s="28" t="s">
        <v>1183</v>
      </c>
      <c r="P15" s="31">
        <v>7.5</v>
      </c>
    </row>
    <row r="16" spans="1:21">
      <c r="A16" s="66">
        <v>15</v>
      </c>
      <c r="B16" s="26">
        <f t="shared" si="7"/>
        <v>46377</v>
      </c>
      <c r="C16" s="26">
        <f t="shared" si="0"/>
        <v>46377</v>
      </c>
      <c r="D16" s="27">
        <f t="shared" si="11"/>
        <v>5599.0367353782367</v>
      </c>
      <c r="E16" s="27">
        <f t="shared" si="8"/>
        <v>646.04270023595041</v>
      </c>
      <c r="F16" s="27">
        <f t="shared" si="12"/>
        <v>4952.9940351422865</v>
      </c>
      <c r="G16" s="27">
        <f t="shared" si="1"/>
        <v>1485.898210542686</v>
      </c>
      <c r="H16" s="67">
        <f t="shared" si="2"/>
        <v>31</v>
      </c>
      <c r="I16" s="18">
        <f t="shared" si="9"/>
        <v>9.6774193548387101E-3</v>
      </c>
      <c r="J16" s="27">
        <f t="shared" si="10"/>
        <v>47.932200340086645</v>
      </c>
      <c r="K16" s="58">
        <f t="shared" si="3"/>
        <v>0.967741935483871</v>
      </c>
      <c r="L16" s="68">
        <f t="shared" si="4"/>
        <v>49.529940351422866</v>
      </c>
      <c r="M16" s="27">
        <f t="shared" si="5"/>
        <v>49.529940351422866</v>
      </c>
      <c r="N16" s="27">
        <f t="shared" si="6"/>
        <v>371.4745526356715</v>
      </c>
    </row>
    <row r="17" spans="1:16">
      <c r="A17" s="66">
        <v>16</v>
      </c>
      <c r="B17" s="26">
        <f t="shared" si="7"/>
        <v>46408</v>
      </c>
      <c r="C17" s="26">
        <f t="shared" si="0"/>
        <v>46408</v>
      </c>
      <c r="D17" s="27">
        <f t="shared" si="11"/>
        <v>6438.8922456849723</v>
      </c>
      <c r="E17" s="69">
        <f t="shared" si="8"/>
        <v>742.949105271343</v>
      </c>
      <c r="F17" s="27">
        <f t="shared" si="12"/>
        <v>5695.9431404136294</v>
      </c>
      <c r="G17" s="27">
        <f t="shared" si="1"/>
        <v>1708.7829421240888</v>
      </c>
      <c r="H17" s="67">
        <f t="shared" si="2"/>
        <v>31</v>
      </c>
      <c r="I17" s="18">
        <f t="shared" si="9"/>
        <v>9.6774193548387101E-3</v>
      </c>
      <c r="J17" s="27">
        <f t="shared" si="10"/>
        <v>55.122030391099642</v>
      </c>
      <c r="K17" s="58">
        <f t="shared" si="3"/>
        <v>0.967741935483871</v>
      </c>
      <c r="L17" s="68">
        <f t="shared" si="4"/>
        <v>56.959431404136296</v>
      </c>
      <c r="M17" s="27">
        <f t="shared" si="5"/>
        <v>56.959431404136296</v>
      </c>
      <c r="N17" s="27">
        <f t="shared" si="6"/>
        <v>427.19573553102225</v>
      </c>
      <c r="O17" s="707" t="s">
        <v>1184</v>
      </c>
      <c r="P17" s="707"/>
    </row>
    <row r="18" spans="1:16">
      <c r="A18" s="66">
        <v>17</v>
      </c>
      <c r="B18" s="26">
        <f t="shared" si="7"/>
        <v>46439</v>
      </c>
      <c r="C18" s="26">
        <f t="shared" si="0"/>
        <v>46439</v>
      </c>
      <c r="D18" s="27">
        <f t="shared" si="11"/>
        <v>7404.726082537718</v>
      </c>
      <c r="E18" s="27">
        <f t="shared" si="8"/>
        <v>854.39147106204439</v>
      </c>
      <c r="F18" s="27">
        <f t="shared" si="12"/>
        <v>6550.3346114756732</v>
      </c>
      <c r="G18" s="27">
        <f t="shared" si="1"/>
        <v>1965.100383442702</v>
      </c>
      <c r="H18" s="67">
        <f t="shared" si="2"/>
        <v>28</v>
      </c>
      <c r="I18" s="18">
        <f t="shared" si="9"/>
        <v>1.0714285714285714E-2</v>
      </c>
      <c r="J18" s="27">
        <f t="shared" si="10"/>
        <v>70.182156551525068</v>
      </c>
      <c r="K18" s="58">
        <f t="shared" si="3"/>
        <v>1.0714285714285714</v>
      </c>
      <c r="L18" s="68">
        <f t="shared" si="4"/>
        <v>65.503346114756738</v>
      </c>
      <c r="M18" s="27">
        <f t="shared" si="5"/>
        <v>65.503346114756738</v>
      </c>
      <c r="N18" s="27">
        <f t="shared" si="6"/>
        <v>491.27509586067555</v>
      </c>
      <c r="O18" s="34" t="s">
        <v>1185</v>
      </c>
      <c r="P18" s="26">
        <f>INDEX(A2:N37,COUNTIF(E2:E37,"&lt;="&amp;P12)+1,2)</f>
        <v>46286</v>
      </c>
    </row>
    <row r="19" spans="1:16">
      <c r="A19" s="66">
        <v>18</v>
      </c>
      <c r="B19" s="26">
        <f t="shared" si="7"/>
        <v>46467</v>
      </c>
      <c r="C19" s="26">
        <f t="shared" si="0"/>
        <v>46467</v>
      </c>
      <c r="D19" s="27">
        <f t="shared" si="11"/>
        <v>8515.4349949183743</v>
      </c>
      <c r="E19" s="27">
        <f t="shared" si="8"/>
        <v>982.55019172135098</v>
      </c>
      <c r="F19" s="27">
        <f t="shared" si="12"/>
        <v>7532.8848031970228</v>
      </c>
      <c r="G19" s="27">
        <f t="shared" si="1"/>
        <v>2259.8654409591068</v>
      </c>
      <c r="H19" s="67">
        <f t="shared" si="2"/>
        <v>31</v>
      </c>
      <c r="I19" s="18">
        <f t="shared" si="9"/>
        <v>9.6774193548387101E-3</v>
      </c>
      <c r="J19" s="27">
        <f t="shared" si="10"/>
        <v>72.898885192229258</v>
      </c>
      <c r="K19" s="58">
        <f t="shared" si="3"/>
        <v>0.96774193548387111</v>
      </c>
      <c r="L19" s="68">
        <f t="shared" si="4"/>
        <v>75.328848031970224</v>
      </c>
      <c r="M19" s="27">
        <f t="shared" si="5"/>
        <v>75.328848031970224</v>
      </c>
      <c r="N19" s="27">
        <f t="shared" si="6"/>
        <v>564.96636023977669</v>
      </c>
    </row>
    <row r="20" spans="1:16">
      <c r="A20" s="66">
        <v>19</v>
      </c>
      <c r="B20" s="26">
        <f t="shared" si="7"/>
        <v>46498</v>
      </c>
      <c r="C20" s="26">
        <f t="shared" si="0"/>
        <v>46498</v>
      </c>
      <c r="D20" s="27">
        <f t="shared" si="11"/>
        <v>9792.7502441561301</v>
      </c>
      <c r="E20" s="27">
        <f t="shared" si="8"/>
        <v>1129.9327204795534</v>
      </c>
      <c r="F20" s="27">
        <f t="shared" si="12"/>
        <v>8662.8175236765765</v>
      </c>
      <c r="G20" s="27">
        <f t="shared" si="1"/>
        <v>2598.8452571029729</v>
      </c>
      <c r="H20" s="67">
        <f t="shared" si="2"/>
        <v>30</v>
      </c>
      <c r="I20" s="18">
        <f t="shared" si="9"/>
        <v>0.01</v>
      </c>
      <c r="J20" s="27">
        <f t="shared" si="10"/>
        <v>86.62817523676577</v>
      </c>
      <c r="K20" s="58">
        <f t="shared" si="3"/>
        <v>1</v>
      </c>
      <c r="L20" s="68">
        <f t="shared" si="4"/>
        <v>86.62817523676577</v>
      </c>
      <c r="M20" s="27">
        <f t="shared" si="5"/>
        <v>86.62817523676577</v>
      </c>
      <c r="N20" s="27">
        <f t="shared" si="6"/>
        <v>649.71131427574323</v>
      </c>
    </row>
    <row r="21" spans="1:16">
      <c r="A21" s="66">
        <v>20</v>
      </c>
      <c r="B21" s="26">
        <f t="shared" si="7"/>
        <v>46528</v>
      </c>
      <c r="C21" s="26">
        <f t="shared" si="0"/>
        <v>46528</v>
      </c>
      <c r="D21" s="27">
        <f t="shared" si="11"/>
        <v>11261.662780779548</v>
      </c>
      <c r="E21" s="27">
        <f t="shared" si="8"/>
        <v>1299.4226285514865</v>
      </c>
      <c r="F21" s="27">
        <f t="shared" si="12"/>
        <v>9962.2401522280616</v>
      </c>
      <c r="G21" s="27">
        <f t="shared" si="1"/>
        <v>2988.6720456684184</v>
      </c>
      <c r="H21" s="67">
        <f t="shared" si="2"/>
        <v>31</v>
      </c>
      <c r="I21" s="18">
        <f t="shared" si="9"/>
        <v>9.6774193548387101E-3</v>
      </c>
      <c r="J21" s="27">
        <f t="shared" si="10"/>
        <v>96.408775666723187</v>
      </c>
      <c r="K21" s="58">
        <f t="shared" si="3"/>
        <v>0.96774193548387111</v>
      </c>
      <c r="L21" s="68">
        <f t="shared" si="4"/>
        <v>99.622401522280612</v>
      </c>
      <c r="M21" s="27">
        <f t="shared" si="5"/>
        <v>99.622401522280612</v>
      </c>
      <c r="N21" s="27">
        <f t="shared" si="6"/>
        <v>747.16801141710459</v>
      </c>
    </row>
    <row r="22" spans="1:16">
      <c r="A22" s="66">
        <v>21</v>
      </c>
      <c r="B22" s="26">
        <f t="shared" si="7"/>
        <v>46559</v>
      </c>
      <c r="C22" s="26">
        <f t="shared" si="0"/>
        <v>46559</v>
      </c>
      <c r="D22" s="27">
        <f t="shared" si="11"/>
        <v>12950.912197896479</v>
      </c>
      <c r="E22" s="27">
        <f t="shared" si="8"/>
        <v>1494.3360228342092</v>
      </c>
      <c r="F22" s="27">
        <f t="shared" si="12"/>
        <v>11456.57617506227</v>
      </c>
      <c r="G22" s="27">
        <f t="shared" si="1"/>
        <v>3436.9728525186806</v>
      </c>
      <c r="H22" s="67">
        <f t="shared" si="2"/>
        <v>30</v>
      </c>
      <c r="I22" s="18">
        <f t="shared" si="9"/>
        <v>0.01</v>
      </c>
      <c r="J22" s="27">
        <f t="shared" si="10"/>
        <v>114.5657617506227</v>
      </c>
      <c r="K22" s="58">
        <f t="shared" si="3"/>
        <v>1</v>
      </c>
      <c r="L22" s="68">
        <f t="shared" si="4"/>
        <v>114.5657617506227</v>
      </c>
      <c r="M22" s="27">
        <f t="shared" si="5"/>
        <v>114.5657617506227</v>
      </c>
      <c r="N22" s="27">
        <f t="shared" si="6"/>
        <v>859.24321312967027</v>
      </c>
    </row>
    <row r="23" spans="1:16">
      <c r="A23" s="66">
        <v>22</v>
      </c>
      <c r="B23" s="26">
        <f t="shared" si="7"/>
        <v>46589</v>
      </c>
      <c r="C23" s="26">
        <f t="shared" si="0"/>
        <v>46589</v>
      </c>
      <c r="D23" s="27">
        <f t="shared" si="11"/>
        <v>14893.54902758095</v>
      </c>
      <c r="E23" s="27">
        <f t="shared" si="8"/>
        <v>1718.4864262593403</v>
      </c>
      <c r="F23" s="27">
        <f t="shared" si="12"/>
        <v>13175.06260132161</v>
      </c>
      <c r="G23" s="27">
        <f t="shared" si="1"/>
        <v>3952.5187803964827</v>
      </c>
      <c r="H23" s="67">
        <f t="shared" si="2"/>
        <v>31</v>
      </c>
      <c r="I23" s="18">
        <f t="shared" si="9"/>
        <v>9.6774193548387101E-3</v>
      </c>
      <c r="J23" s="27">
        <f t="shared" si="10"/>
        <v>127.50060581924139</v>
      </c>
      <c r="K23" s="58">
        <f t="shared" si="3"/>
        <v>0.96774193548387089</v>
      </c>
      <c r="L23" s="68">
        <f t="shared" si="4"/>
        <v>131.75062601321611</v>
      </c>
      <c r="M23" s="27">
        <f t="shared" si="5"/>
        <v>131.75062601321611</v>
      </c>
      <c r="N23" s="27">
        <f t="shared" si="6"/>
        <v>988.1296950991208</v>
      </c>
    </row>
    <row r="24" spans="1:16">
      <c r="A24" s="66">
        <v>23</v>
      </c>
      <c r="B24" s="26">
        <f t="shared" si="7"/>
        <v>46620</v>
      </c>
      <c r="C24" s="26">
        <f t="shared" si="0"/>
        <v>46620</v>
      </c>
      <c r="D24" s="27">
        <f t="shared" si="11"/>
        <v>17127.581381718093</v>
      </c>
      <c r="E24" s="27">
        <f t="shared" si="8"/>
        <v>1976.2593901982414</v>
      </c>
      <c r="F24" s="27">
        <f t="shared" si="12"/>
        <v>15151.321991519852</v>
      </c>
      <c r="G24" s="27">
        <f t="shared" si="1"/>
        <v>4545.3965974559551</v>
      </c>
      <c r="H24" s="67">
        <f t="shared" si="2"/>
        <v>31</v>
      </c>
      <c r="I24" s="18">
        <f t="shared" si="9"/>
        <v>9.6774193548387101E-3</v>
      </c>
      <c r="J24" s="27">
        <f t="shared" si="10"/>
        <v>146.6256966921276</v>
      </c>
      <c r="K24" s="58">
        <f t="shared" si="3"/>
        <v>0.96774193548387111</v>
      </c>
      <c r="L24" s="68">
        <f t="shared" si="4"/>
        <v>151.5132199151985</v>
      </c>
      <c r="M24" s="27">
        <f t="shared" si="5"/>
        <v>151.5132199151985</v>
      </c>
      <c r="N24" s="27">
        <f t="shared" si="6"/>
        <v>1136.3491493639888</v>
      </c>
    </row>
    <row r="25" spans="1:16">
      <c r="A25" s="66">
        <v>24</v>
      </c>
      <c r="B25" s="26">
        <f t="shared" si="7"/>
        <v>46651</v>
      </c>
      <c r="C25" s="26">
        <f t="shared" si="0"/>
        <v>46651</v>
      </c>
      <c r="D25" s="27">
        <f t="shared" si="11"/>
        <v>19696.718588975808</v>
      </c>
      <c r="E25" s="27">
        <f t="shared" si="8"/>
        <v>2272.6982987279775</v>
      </c>
      <c r="F25" s="27">
        <f t="shared" si="12"/>
        <v>17424.02029024783</v>
      </c>
      <c r="G25" s="27">
        <f t="shared" si="1"/>
        <v>5227.2060870743489</v>
      </c>
      <c r="H25" s="67">
        <f t="shared" si="2"/>
        <v>30</v>
      </c>
      <c r="I25" s="18">
        <f t="shared" si="9"/>
        <v>0.01</v>
      </c>
      <c r="J25" s="27">
        <f t="shared" si="10"/>
        <v>174.2402029024783</v>
      </c>
      <c r="K25" s="58">
        <f t="shared" si="3"/>
        <v>1</v>
      </c>
      <c r="L25" s="68">
        <f t="shared" si="4"/>
        <v>174.2402029024783</v>
      </c>
      <c r="M25" s="27">
        <f t="shared" si="5"/>
        <v>174.2402029024783</v>
      </c>
      <c r="N25" s="27">
        <f t="shared" si="6"/>
        <v>1306.8015217685872</v>
      </c>
    </row>
    <row r="26" spans="1:16">
      <c r="A26" s="64">
        <v>25</v>
      </c>
      <c r="B26" s="65">
        <f t="shared" si="7"/>
        <v>46681</v>
      </c>
      <c r="C26" s="65">
        <f t="shared" si="0"/>
        <v>46681</v>
      </c>
      <c r="D26" s="70">
        <f t="shared" si="11"/>
        <v>22651.226377322178</v>
      </c>
      <c r="E26" s="70">
        <f t="shared" si="8"/>
        <v>2613.6030435371745</v>
      </c>
      <c r="F26" s="70">
        <f t="shared" si="12"/>
        <v>20037.623333785003</v>
      </c>
      <c r="G26" s="70">
        <f t="shared" si="1"/>
        <v>6011.2870001355004</v>
      </c>
      <c r="H26" s="71">
        <f t="shared" si="2"/>
        <v>31</v>
      </c>
      <c r="I26" s="72">
        <f t="shared" si="9"/>
        <v>9.6774193548387101E-3</v>
      </c>
      <c r="J26" s="70">
        <f t="shared" si="10"/>
        <v>193.91248387533875</v>
      </c>
      <c r="K26" s="73">
        <f t="shared" si="3"/>
        <v>0.967741935483871</v>
      </c>
      <c r="L26" s="74">
        <f t="shared" si="4"/>
        <v>200.37623333785004</v>
      </c>
      <c r="M26" s="27">
        <f t="shared" si="5"/>
        <v>200.37623333785004</v>
      </c>
      <c r="N26" s="27">
        <f t="shared" si="6"/>
        <v>1502.8217500338753</v>
      </c>
    </row>
    <row r="27" spans="1:16">
      <c r="A27" s="66">
        <v>26</v>
      </c>
      <c r="B27" s="26">
        <f t="shared" si="7"/>
        <v>46712</v>
      </c>
      <c r="C27" s="26">
        <f t="shared" si="0"/>
        <v>46712</v>
      </c>
      <c r="D27" s="27">
        <f t="shared" si="11"/>
        <v>26048.910333920503</v>
      </c>
      <c r="E27" s="69">
        <f t="shared" si="8"/>
        <v>3005.6435000677502</v>
      </c>
      <c r="F27" s="27">
        <f t="shared" si="12"/>
        <v>23043.266833852751</v>
      </c>
      <c r="G27" s="27">
        <f t="shared" si="1"/>
        <v>6912.9800501558248</v>
      </c>
      <c r="H27" s="67">
        <f t="shared" si="2"/>
        <v>30</v>
      </c>
      <c r="I27" s="18">
        <f t="shared" si="9"/>
        <v>0.01</v>
      </c>
      <c r="J27" s="27">
        <f t="shared" si="10"/>
        <v>230.43266833852752</v>
      </c>
      <c r="K27" s="58">
        <f t="shared" si="3"/>
        <v>1</v>
      </c>
      <c r="L27" s="68">
        <f t="shared" si="4"/>
        <v>230.43266833852752</v>
      </c>
      <c r="M27" s="27">
        <f t="shared" si="5"/>
        <v>230.43266833852752</v>
      </c>
      <c r="N27" s="27">
        <f t="shared" si="6"/>
        <v>1728.2450125389564</v>
      </c>
    </row>
    <row r="28" spans="1:16">
      <c r="A28" s="66">
        <v>27</v>
      </c>
      <c r="B28" s="26">
        <f t="shared" si="7"/>
        <v>46742</v>
      </c>
      <c r="C28" s="26">
        <f t="shared" si="0"/>
        <v>46742</v>
      </c>
      <c r="D28" s="27">
        <f t="shared" si="11"/>
        <v>29956.246884008575</v>
      </c>
      <c r="E28" s="27">
        <f t="shared" si="8"/>
        <v>3456.4900250779124</v>
      </c>
      <c r="F28" s="27">
        <f t="shared" si="12"/>
        <v>26499.756858930661</v>
      </c>
      <c r="G28" s="27">
        <f t="shared" si="1"/>
        <v>7949.9270576791978</v>
      </c>
      <c r="H28" s="67">
        <f t="shared" si="2"/>
        <v>31</v>
      </c>
      <c r="I28" s="18">
        <f t="shared" si="9"/>
        <v>9.6774193548387101E-3</v>
      </c>
      <c r="J28" s="27">
        <f t="shared" si="10"/>
        <v>256.44925992513544</v>
      </c>
      <c r="K28" s="58">
        <f t="shared" si="3"/>
        <v>0.96774193548387089</v>
      </c>
      <c r="L28" s="68">
        <f t="shared" si="4"/>
        <v>264.99756858930664</v>
      </c>
      <c r="M28" s="27">
        <f t="shared" si="5"/>
        <v>264.99756858930664</v>
      </c>
      <c r="N28" s="27">
        <f t="shared" si="6"/>
        <v>1987.4817644197997</v>
      </c>
    </row>
    <row r="29" spans="1:16">
      <c r="A29" s="66">
        <v>28</v>
      </c>
      <c r="B29" s="26">
        <f t="shared" si="7"/>
        <v>46773</v>
      </c>
      <c r="C29" s="26">
        <f t="shared" si="0"/>
        <v>46773</v>
      </c>
      <c r="D29" s="27">
        <f t="shared" si="11"/>
        <v>34449.683916609858</v>
      </c>
      <c r="E29" s="27">
        <f t="shared" si="8"/>
        <v>3974.9635288395989</v>
      </c>
      <c r="F29" s="27">
        <f t="shared" si="12"/>
        <v>30474.72038777026</v>
      </c>
      <c r="G29" s="27">
        <f t="shared" si="1"/>
        <v>9142.4161163310782</v>
      </c>
      <c r="H29" s="67">
        <f t="shared" si="2"/>
        <v>31</v>
      </c>
      <c r="I29" s="18">
        <f t="shared" si="9"/>
        <v>9.6774193548387101E-3</v>
      </c>
      <c r="J29" s="27">
        <f t="shared" si="10"/>
        <v>294.91664891390576</v>
      </c>
      <c r="K29" s="58">
        <f t="shared" si="3"/>
        <v>0.96774193548387111</v>
      </c>
      <c r="L29" s="68">
        <f t="shared" si="4"/>
        <v>304.74720387770259</v>
      </c>
      <c r="M29" s="27">
        <f t="shared" si="5"/>
        <v>304.74720387770259</v>
      </c>
      <c r="N29" s="27">
        <f t="shared" si="6"/>
        <v>2285.6040290827696</v>
      </c>
    </row>
    <row r="30" spans="1:16">
      <c r="A30" s="66">
        <v>29</v>
      </c>
      <c r="B30" s="26">
        <f t="shared" si="7"/>
        <v>46804</v>
      </c>
      <c r="C30" s="26">
        <f t="shared" si="0"/>
        <v>46804</v>
      </c>
      <c r="D30" s="27">
        <f t="shared" si="11"/>
        <v>39617.136504101334</v>
      </c>
      <c r="E30" s="27">
        <f t="shared" si="8"/>
        <v>4571.2080581655391</v>
      </c>
      <c r="F30" s="27">
        <f t="shared" si="12"/>
        <v>35045.928445935795</v>
      </c>
      <c r="G30" s="27">
        <f t="shared" si="1"/>
        <v>10513.778533780738</v>
      </c>
      <c r="H30" s="67">
        <f t="shared" si="2"/>
        <v>29</v>
      </c>
      <c r="I30" s="18">
        <f t="shared" si="9"/>
        <v>1.0344827586206896E-2</v>
      </c>
      <c r="J30" s="27">
        <f t="shared" si="10"/>
        <v>362.54408737174958</v>
      </c>
      <c r="K30" s="58">
        <f t="shared" si="3"/>
        <v>1.0344827586206895</v>
      </c>
      <c r="L30" s="68">
        <f t="shared" si="4"/>
        <v>350.45928445935795</v>
      </c>
      <c r="M30" s="27">
        <f t="shared" si="5"/>
        <v>350.45928445935795</v>
      </c>
      <c r="N30" s="27">
        <f t="shared" si="6"/>
        <v>2628.4446334451845</v>
      </c>
    </row>
    <row r="31" spans="1:16">
      <c r="A31" s="66">
        <v>30</v>
      </c>
      <c r="B31" s="26">
        <f t="shared" si="7"/>
        <v>46833</v>
      </c>
      <c r="C31" s="26">
        <f t="shared" si="0"/>
        <v>46833</v>
      </c>
      <c r="D31" s="27">
        <f t="shared" si="11"/>
        <v>45559.706979716531</v>
      </c>
      <c r="E31" s="27">
        <f t="shared" si="8"/>
        <v>5256.8892668903691</v>
      </c>
      <c r="F31" s="27">
        <f t="shared" si="12"/>
        <v>40302.81771282616</v>
      </c>
      <c r="G31" s="27">
        <f t="shared" si="1"/>
        <v>12090.845313847847</v>
      </c>
      <c r="H31" s="67">
        <f t="shared" si="2"/>
        <v>31</v>
      </c>
      <c r="I31" s="18">
        <f t="shared" si="9"/>
        <v>9.6774193548387101E-3</v>
      </c>
      <c r="J31" s="27">
        <f t="shared" si="10"/>
        <v>390.02726818864028</v>
      </c>
      <c r="K31" s="58">
        <f t="shared" si="3"/>
        <v>0.96774193548387089</v>
      </c>
      <c r="L31" s="68">
        <f t="shared" si="4"/>
        <v>403.02817712826163</v>
      </c>
      <c r="M31" s="27">
        <f t="shared" si="5"/>
        <v>403.02817712826163</v>
      </c>
      <c r="N31" s="27">
        <f t="shared" si="6"/>
        <v>3022.7113284619622</v>
      </c>
    </row>
    <row r="32" spans="1:16">
      <c r="A32" s="66">
        <v>31</v>
      </c>
      <c r="B32" s="26">
        <f t="shared" si="7"/>
        <v>46864</v>
      </c>
      <c r="C32" s="26">
        <f t="shared" si="0"/>
        <v>46864</v>
      </c>
      <c r="D32" s="27">
        <f t="shared" si="11"/>
        <v>52393.66302667401</v>
      </c>
      <c r="E32" s="27">
        <f t="shared" si="8"/>
        <v>6045.4226569239236</v>
      </c>
      <c r="F32" s="27">
        <f t="shared" si="12"/>
        <v>46348.240369750085</v>
      </c>
      <c r="G32" s="27">
        <f t="shared" si="1"/>
        <v>13904.472110925026</v>
      </c>
      <c r="H32" s="67">
        <f t="shared" si="2"/>
        <v>30</v>
      </c>
      <c r="I32" s="18">
        <f t="shared" si="9"/>
        <v>0.01</v>
      </c>
      <c r="J32" s="27">
        <f t="shared" si="10"/>
        <v>463.48240369750084</v>
      </c>
      <c r="K32" s="58">
        <f t="shared" si="3"/>
        <v>1</v>
      </c>
      <c r="L32" s="68">
        <f t="shared" si="4"/>
        <v>463.48240369750084</v>
      </c>
      <c r="M32" s="27">
        <f t="shared" si="5"/>
        <v>463.48240369750084</v>
      </c>
      <c r="N32" s="27">
        <f t="shared" si="6"/>
        <v>3476.1180277312565</v>
      </c>
    </row>
    <row r="33" spans="1:14">
      <c r="A33" s="66">
        <v>32</v>
      </c>
      <c r="B33" s="26">
        <f t="shared" si="7"/>
        <v>46894</v>
      </c>
      <c r="C33" s="26">
        <f t="shared" si="0"/>
        <v>46894</v>
      </c>
      <c r="D33" s="27">
        <f t="shared" si="11"/>
        <v>60252.712480675109</v>
      </c>
      <c r="E33" s="27">
        <f t="shared" si="8"/>
        <v>6952.2360554625129</v>
      </c>
      <c r="F33" s="27">
        <f t="shared" si="12"/>
        <v>53300.476425212597</v>
      </c>
      <c r="G33" s="27">
        <f t="shared" si="1"/>
        <v>15990.142927563778</v>
      </c>
      <c r="H33" s="67">
        <f t="shared" si="2"/>
        <v>31</v>
      </c>
      <c r="I33" s="18">
        <f t="shared" si="9"/>
        <v>9.6774193548387101E-3</v>
      </c>
      <c r="J33" s="27">
        <f t="shared" si="10"/>
        <v>515.81106217947672</v>
      </c>
      <c r="K33" s="58">
        <f t="shared" si="3"/>
        <v>0.967741935483871</v>
      </c>
      <c r="L33" s="68">
        <f t="shared" si="4"/>
        <v>533.00476425212594</v>
      </c>
      <c r="M33" s="27">
        <f t="shared" si="5"/>
        <v>533.00476425212594</v>
      </c>
      <c r="N33" s="27">
        <f t="shared" si="6"/>
        <v>3997.5357318909446</v>
      </c>
    </row>
    <row r="34" spans="1:14">
      <c r="A34" s="66">
        <v>33</v>
      </c>
      <c r="B34" s="26">
        <f t="shared" si="7"/>
        <v>46925</v>
      </c>
      <c r="C34" s="26">
        <f t="shared" si="0"/>
        <v>46925</v>
      </c>
      <c r="D34" s="27">
        <f t="shared" si="11"/>
        <v>69290.619352776383</v>
      </c>
      <c r="E34" s="27">
        <f t="shared" si="8"/>
        <v>7995.0714637818892</v>
      </c>
      <c r="F34" s="27">
        <f t="shared" si="12"/>
        <v>61295.547888994493</v>
      </c>
      <c r="G34" s="27">
        <f t="shared" si="1"/>
        <v>18388.664366698347</v>
      </c>
      <c r="H34" s="67">
        <f t="shared" si="2"/>
        <v>30</v>
      </c>
      <c r="I34" s="18">
        <f t="shared" si="9"/>
        <v>0.01</v>
      </c>
      <c r="J34" s="27">
        <f t="shared" si="10"/>
        <v>612.95547888994497</v>
      </c>
      <c r="K34" s="58">
        <f t="shared" si="3"/>
        <v>1</v>
      </c>
      <c r="L34" s="68">
        <f t="shared" si="4"/>
        <v>612.95547888994497</v>
      </c>
      <c r="M34" s="27">
        <f t="shared" si="5"/>
        <v>612.95547888994497</v>
      </c>
      <c r="N34" s="27">
        <f t="shared" si="6"/>
        <v>4597.1660916745877</v>
      </c>
    </row>
    <row r="35" spans="1:14">
      <c r="A35" s="66">
        <v>34</v>
      </c>
      <c r="B35" s="26">
        <f t="shared" si="7"/>
        <v>46955</v>
      </c>
      <c r="C35" s="26">
        <f t="shared" si="0"/>
        <v>46955</v>
      </c>
      <c r="D35" s="27">
        <f t="shared" si="11"/>
        <v>79684.212255692837</v>
      </c>
      <c r="E35" s="27">
        <f t="shared" si="8"/>
        <v>9194.3321833491736</v>
      </c>
      <c r="F35" s="27">
        <f t="shared" si="12"/>
        <v>70489.880072343658</v>
      </c>
      <c r="G35" s="27">
        <f t="shared" si="1"/>
        <v>21146.964021703097</v>
      </c>
      <c r="H35" s="67">
        <f t="shared" si="2"/>
        <v>31</v>
      </c>
      <c r="I35" s="18">
        <f t="shared" si="9"/>
        <v>9.6774193548387101E-3</v>
      </c>
      <c r="J35" s="27">
        <f t="shared" si="10"/>
        <v>682.16012973235797</v>
      </c>
      <c r="K35" s="58">
        <f t="shared" si="3"/>
        <v>0.967741935483871</v>
      </c>
      <c r="L35" s="68">
        <f t="shared" si="4"/>
        <v>704.89880072343658</v>
      </c>
      <c r="M35" s="27">
        <f t="shared" si="5"/>
        <v>704.89880072343658</v>
      </c>
      <c r="N35" s="27">
        <f t="shared" si="6"/>
        <v>5286.7410054257743</v>
      </c>
    </row>
    <row r="36" spans="1:14">
      <c r="A36" s="66">
        <v>35</v>
      </c>
      <c r="B36" s="26">
        <f t="shared" si="7"/>
        <v>46986</v>
      </c>
      <c r="C36" s="26">
        <f t="shared" si="0"/>
        <v>46986</v>
      </c>
      <c r="D36" s="27">
        <f t="shared" si="11"/>
        <v>91636.844094046755</v>
      </c>
      <c r="E36" s="27">
        <f t="shared" si="8"/>
        <v>10573.482010851549</v>
      </c>
      <c r="F36" s="27">
        <f t="shared" si="12"/>
        <v>81063.362083195214</v>
      </c>
      <c r="G36" s="27">
        <f t="shared" si="1"/>
        <v>24319.008624958562</v>
      </c>
      <c r="H36" s="67">
        <f t="shared" si="2"/>
        <v>31</v>
      </c>
      <c r="I36" s="18">
        <f t="shared" si="9"/>
        <v>9.6774193548387101E-3</v>
      </c>
      <c r="J36" s="27">
        <f t="shared" si="10"/>
        <v>784.48414919221182</v>
      </c>
      <c r="K36" s="58">
        <f t="shared" si="3"/>
        <v>0.967741935483871</v>
      </c>
      <c r="L36" s="68">
        <f t="shared" si="4"/>
        <v>810.63362083195216</v>
      </c>
      <c r="M36" s="27">
        <f t="shared" si="5"/>
        <v>810.63362083195216</v>
      </c>
      <c r="N36" s="27">
        <f t="shared" si="6"/>
        <v>6079.7521562396414</v>
      </c>
    </row>
    <row r="37" spans="1:14">
      <c r="A37" s="66">
        <v>36</v>
      </c>
      <c r="B37" s="26">
        <f t="shared" si="7"/>
        <v>47017</v>
      </c>
      <c r="C37" s="26">
        <f t="shared" si="0"/>
        <v>47017</v>
      </c>
      <c r="D37" s="27">
        <f t="shared" si="11"/>
        <v>105382.37070815377</v>
      </c>
      <c r="E37" s="27">
        <f t="shared" si="8"/>
        <v>12159.504312479281</v>
      </c>
      <c r="F37" s="27">
        <f t="shared" si="12"/>
        <v>93222.866395674486</v>
      </c>
      <c r="G37" s="27">
        <f t="shared" si="1"/>
        <v>27966.859918702346</v>
      </c>
      <c r="H37" s="67"/>
      <c r="I37" s="18"/>
      <c r="J37" s="27">
        <f t="shared" si="10"/>
        <v>0</v>
      </c>
      <c r="K37" s="58">
        <f t="shared" si="3"/>
        <v>0</v>
      </c>
      <c r="L37" s="68">
        <f t="shared" si="4"/>
        <v>932.22866395674487</v>
      </c>
      <c r="M37" s="27">
        <f t="shared" si="5"/>
        <v>932.22866395674487</v>
      </c>
      <c r="N37" s="27">
        <f t="shared" si="6"/>
        <v>6991.7149796755866</v>
      </c>
    </row>
  </sheetData>
  <mergeCells count="6">
    <mergeCell ref="O5:P5"/>
    <mergeCell ref="O13:P13"/>
    <mergeCell ref="O17:P17"/>
    <mergeCell ref="S4:T4"/>
    <mergeCell ref="S7:T7"/>
    <mergeCell ref="S8:T8"/>
  </mergeCells>
  <conditionalFormatting sqref="A14:B14 D14:I14 K14">
    <cfRule type="expression" dxfId="29" priority="3" stopIfTrue="1">
      <formula>($B$14=$P$18)</formula>
    </cfRule>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
  <sheetViews>
    <sheetView workbookViewId="0">
      <selection activeCell="D2" sqref="D2"/>
    </sheetView>
  </sheetViews>
  <sheetFormatPr defaultColWidth="11.42578125" defaultRowHeight="15"/>
  <cols>
    <col min="1" max="1" width="16.85546875" bestFit="1" customWidth="1"/>
    <col min="2" max="2" width="12.85546875" customWidth="1"/>
    <col min="3" max="3" width="9" customWidth="1"/>
    <col min="4" max="4" width="11.85546875" customWidth="1"/>
    <col min="5" max="5" width="8.42578125" bestFit="1" customWidth="1"/>
    <col min="6" max="6" width="7.7109375" bestFit="1" customWidth="1"/>
    <col min="7" max="7" width="12.85546875" bestFit="1" customWidth="1"/>
  </cols>
  <sheetData>
    <row r="1" spans="1:7">
      <c r="A1" s="55" t="s">
        <v>1186</v>
      </c>
      <c r="B1" s="56" t="s">
        <v>1187</v>
      </c>
      <c r="C1" s="56" t="s">
        <v>1188</v>
      </c>
      <c r="D1" s="56" t="s">
        <v>1189</v>
      </c>
      <c r="E1" s="56" t="s">
        <v>1188</v>
      </c>
    </row>
    <row r="2" spans="1:7">
      <c r="A2" s="49" t="s">
        <v>647</v>
      </c>
      <c r="B2" s="61">
        <f>SUM(B4:B8)</f>
        <v>297.69890755043576</v>
      </c>
      <c r="C2" s="63">
        <f>SUM(C4:C8)</f>
        <v>0.99999999999999989</v>
      </c>
      <c r="D2" s="62" t="e">
        <f>#REF!+0</f>
        <v>#REF!</v>
      </c>
      <c r="E2" s="63" t="e">
        <f>(D2-B2)/B2</f>
        <v>#REF!</v>
      </c>
      <c r="F2" s="50"/>
    </row>
    <row r="3" spans="1:7">
      <c r="B3" s="50"/>
      <c r="D3" s="50"/>
    </row>
    <row r="4" spans="1:7">
      <c r="A4" t="s">
        <v>1190</v>
      </c>
      <c r="B4" s="50">
        <v>5.4938695562496047</v>
      </c>
      <c r="C4" s="18">
        <f t="shared" ref="C4:C7" si="0">B4/$B$2</f>
        <v>1.8454449838109805E-2</v>
      </c>
      <c r="D4" s="50" t="e">
        <f t="shared" ref="D4:D7" si="1">$D$2*C4</f>
        <v>#REF!</v>
      </c>
      <c r="E4" s="98"/>
      <c r="F4" s="50"/>
    </row>
    <row r="5" spans="1:7">
      <c r="A5" t="s">
        <v>1191</v>
      </c>
      <c r="B5" s="50">
        <v>5.7229409898235017</v>
      </c>
      <c r="C5" s="18">
        <f t="shared" si="0"/>
        <v>1.9223923382567093E-2</v>
      </c>
      <c r="D5" s="50" t="e">
        <f t="shared" si="1"/>
        <v>#REF!</v>
      </c>
      <c r="E5" s="98"/>
      <c r="F5" s="50"/>
    </row>
    <row r="6" spans="1:7">
      <c r="A6" t="s">
        <v>1192</v>
      </c>
      <c r="B6" s="50">
        <v>29.972097004362656</v>
      </c>
      <c r="C6" s="18">
        <f t="shared" si="0"/>
        <v>0.10067923074015588</v>
      </c>
      <c r="D6" s="50" t="e">
        <f t="shared" si="1"/>
        <v>#REF!</v>
      </c>
      <c r="E6" s="98"/>
      <c r="F6" s="50"/>
    </row>
    <row r="7" spans="1:7">
      <c r="A7" t="s">
        <v>1193</v>
      </c>
      <c r="B7" s="50">
        <v>256.51</v>
      </c>
      <c r="C7" s="18">
        <f t="shared" si="0"/>
        <v>0.86164239603916715</v>
      </c>
      <c r="D7" s="50" t="e">
        <f t="shared" si="1"/>
        <v>#REF!</v>
      </c>
      <c r="E7" s="18"/>
      <c r="F7" s="50"/>
    </row>
    <row r="8" spans="1:7">
      <c r="B8" s="50"/>
      <c r="D8" s="50"/>
    </row>
    <row r="9" spans="1:7">
      <c r="A9" t="s">
        <v>1194</v>
      </c>
      <c r="B9" s="51">
        <f>B2-SUM(B4:B8)</f>
        <v>0</v>
      </c>
      <c r="C9" s="52"/>
      <c r="D9" s="51" t="e">
        <f>D2-SUM(D4:D8)</f>
        <v>#REF!</v>
      </c>
    </row>
    <row r="10" spans="1:7">
      <c r="B10" s="50"/>
      <c r="D10" s="50"/>
      <c r="E10" s="18">
        <v>0.8</v>
      </c>
      <c r="F10" s="53" t="s">
        <v>1195</v>
      </c>
    </row>
    <row r="11" spans="1:7">
      <c r="A11" t="str">
        <f t="shared" ref="A11:B14" si="2">A4</f>
        <v>Ysi</v>
      </c>
      <c r="B11" s="50">
        <f t="shared" si="2"/>
        <v>5.4938695562496047</v>
      </c>
      <c r="C11" s="54" t="e">
        <f t="shared" ref="C11:C13" si="3">D11-B11</f>
        <v>#REF!</v>
      </c>
      <c r="D11" s="50" t="e">
        <f>D4</f>
        <v>#REF!</v>
      </c>
      <c r="E11" s="50" t="e">
        <f>C11*1</f>
        <v>#REF!</v>
      </c>
      <c r="F11" s="50" t="e">
        <f t="shared" ref="F11:F13" si="4">B11+E11</f>
        <v>#REF!</v>
      </c>
    </row>
    <row r="12" spans="1:7">
      <c r="A12" t="str">
        <f t="shared" si="2"/>
        <v>Roso</v>
      </c>
      <c r="B12" s="50">
        <f t="shared" si="2"/>
        <v>5.7229409898235017</v>
      </c>
      <c r="C12" s="54" t="e">
        <f t="shared" si="3"/>
        <v>#REF!</v>
      </c>
      <c r="D12" s="50" t="e">
        <f>D5</f>
        <v>#REF!</v>
      </c>
      <c r="E12" s="50" t="e">
        <f>C12*1</f>
        <v>#REF!</v>
      </c>
      <c r="F12" s="50" t="e">
        <f t="shared" si="4"/>
        <v>#REF!</v>
      </c>
    </row>
    <row r="13" spans="1:7">
      <c r="A13" t="str">
        <f t="shared" si="2"/>
        <v>Sarahi</v>
      </c>
      <c r="B13" s="50">
        <f t="shared" si="2"/>
        <v>29.972097004362656</v>
      </c>
      <c r="C13" s="54" t="e">
        <f t="shared" si="3"/>
        <v>#REF!</v>
      </c>
      <c r="D13" s="50" t="e">
        <f>D6</f>
        <v>#REF!</v>
      </c>
      <c r="E13" s="50" t="e">
        <f t="shared" ref="E13" si="5">C13*0.8</f>
        <v>#REF!</v>
      </c>
      <c r="F13" s="50" t="e">
        <f t="shared" si="4"/>
        <v>#REF!</v>
      </c>
    </row>
    <row r="14" spans="1:7">
      <c r="A14" t="str">
        <f t="shared" si="2"/>
        <v>Franklin</v>
      </c>
      <c r="B14" s="50">
        <f t="shared" si="2"/>
        <v>256.51</v>
      </c>
      <c r="C14" s="54" t="e">
        <f t="shared" ref="C14" si="6">D14-B14</f>
        <v>#REF!</v>
      </c>
      <c r="D14" s="50" t="e">
        <f>D7</f>
        <v>#REF!</v>
      </c>
      <c r="E14" s="50" t="e">
        <f>C14*1</f>
        <v>#REF!</v>
      </c>
      <c r="F14" s="50" t="e">
        <f t="shared" ref="F14" si="7">B14+E14</f>
        <v>#REF!</v>
      </c>
      <c r="G14" s="2"/>
    </row>
    <row r="15" spans="1:7">
      <c r="D15" s="50"/>
      <c r="E15" s="50"/>
    </row>
    <row r="16" spans="1:7">
      <c r="D16" s="50"/>
      <c r="E16" s="50"/>
      <c r="F16" s="50"/>
    </row>
    <row r="17" spans="3:7">
      <c r="D17" s="50"/>
      <c r="E17" s="50"/>
      <c r="F17" s="50"/>
    </row>
    <row r="18" spans="3:7">
      <c r="D18" s="50"/>
      <c r="E18" s="50"/>
      <c r="F18" s="50"/>
    </row>
    <row r="19" spans="3:7">
      <c r="D19" s="50"/>
      <c r="E19" s="50"/>
      <c r="F19" s="50"/>
    </row>
    <row r="20" spans="3:7">
      <c r="D20" s="50"/>
      <c r="E20" s="50"/>
      <c r="F20" s="50"/>
      <c r="G20" s="50"/>
    </row>
    <row r="21" spans="3:7">
      <c r="D21" s="50"/>
      <c r="E21" s="50"/>
      <c r="F21" s="50"/>
    </row>
    <row r="22" spans="3:7">
      <c r="F22" s="50"/>
    </row>
    <row r="28" spans="3:7">
      <c r="C28" s="88"/>
      <c r="D28" s="89">
        <v>26.382633317159424</v>
      </c>
      <c r="E28" s="90">
        <v>20</v>
      </c>
    </row>
    <row r="29" spans="3:7">
      <c r="C29" s="91">
        <v>0.54514024243546766</v>
      </c>
      <c r="D29" s="87">
        <v>14.382235122602335</v>
      </c>
      <c r="E29" s="92">
        <f>$E$28*C29</f>
        <v>10.902804848709353</v>
      </c>
    </row>
    <row r="30" spans="3:7">
      <c r="C30" s="93">
        <v>0.4548597575645324</v>
      </c>
      <c r="D30" s="94">
        <v>12.000398194557091</v>
      </c>
      <c r="E30" s="95">
        <f>$E$28*C30</f>
        <v>9.0971951512906486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5"/>
  <sheetViews>
    <sheetView workbookViewId="0">
      <selection activeCell="H3" sqref="H3"/>
    </sheetView>
  </sheetViews>
  <sheetFormatPr defaultColWidth="9.140625" defaultRowHeight="15"/>
  <cols>
    <col min="1" max="1" width="8.42578125" bestFit="1" customWidth="1"/>
    <col min="2" max="2" width="6.28515625" customWidth="1"/>
    <col min="3" max="3" width="14.5703125" customWidth="1"/>
    <col min="4" max="4" width="8" bestFit="1" customWidth="1"/>
    <col min="5" max="5" width="5.7109375" bestFit="1" customWidth="1"/>
    <col min="6" max="6" width="9.5703125" style="101" bestFit="1" customWidth="1"/>
    <col min="7" max="7" width="8.42578125" bestFit="1" customWidth="1"/>
    <col min="8" max="8" width="6.28515625" bestFit="1" customWidth="1"/>
    <col min="9" max="9" width="14.5703125" bestFit="1" customWidth="1"/>
    <col min="10" max="10" width="7.28515625" bestFit="1" customWidth="1"/>
    <col min="11" max="11" width="5.7109375" bestFit="1" customWidth="1"/>
    <col min="12" max="12" width="3.140625" bestFit="1" customWidth="1"/>
  </cols>
  <sheetData>
    <row r="1" spans="1:13">
      <c r="A1" s="5" t="s">
        <v>1138</v>
      </c>
      <c r="B1" s="4" t="s">
        <v>2</v>
      </c>
      <c r="C1" s="5" t="s">
        <v>3</v>
      </c>
      <c r="D1" s="6" t="s">
        <v>4</v>
      </c>
      <c r="E1" s="6" t="s">
        <v>5</v>
      </c>
      <c r="F1" s="100"/>
      <c r="G1" s="112" t="s">
        <v>1138</v>
      </c>
      <c r="H1" s="113" t="s">
        <v>2</v>
      </c>
      <c r="I1" s="114" t="s">
        <v>3</v>
      </c>
      <c r="J1" s="115" t="s">
        <v>4</v>
      </c>
      <c r="K1" s="115" t="s">
        <v>5</v>
      </c>
      <c r="L1" s="116"/>
    </row>
    <row r="2" spans="1:13">
      <c r="A2" s="118">
        <v>2.98</v>
      </c>
      <c r="B2" s="118">
        <v>1.36</v>
      </c>
      <c r="C2" s="118">
        <f>(A2*B2)-A2</f>
        <v>1.0728000000000004</v>
      </c>
      <c r="D2" s="119">
        <f>SUM(C$2:$C2)/SUM(A$2:$A2)</f>
        <v>0.36000000000000015</v>
      </c>
      <c r="E2" s="118">
        <f>C2</f>
        <v>1.0728000000000004</v>
      </c>
      <c r="F2" s="120">
        <v>44192</v>
      </c>
      <c r="G2" s="121">
        <v>3</v>
      </c>
      <c r="H2" s="122">
        <v>1.21</v>
      </c>
      <c r="I2" s="122">
        <f>(G2*H2)-G2</f>
        <v>0.62999999999999989</v>
      </c>
      <c r="J2" s="123">
        <f>SUM($I$2:I2)/SUM($G$2:G2)</f>
        <v>0.20999999999999996</v>
      </c>
      <c r="K2" s="122">
        <f>I2</f>
        <v>0.62999999999999989</v>
      </c>
      <c r="L2" s="104">
        <v>1</v>
      </c>
    </row>
    <row r="3" spans="1:13">
      <c r="A3" s="37">
        <f>A2+C2</f>
        <v>4.0528000000000004</v>
      </c>
      <c r="B3" s="37">
        <v>1</v>
      </c>
      <c r="C3" s="37">
        <f t="shared" ref="C3:C4" si="0">(A3*B3)-A3</f>
        <v>0</v>
      </c>
      <c r="D3" s="48">
        <f>SUM(C$2:$C3)/SUM(A$2:$A3)</f>
        <v>0.152542372881356</v>
      </c>
      <c r="E3" s="37">
        <f t="shared" ref="E3:E4" si="1">E2+C3</f>
        <v>1.0728000000000004</v>
      </c>
      <c r="F3" s="102"/>
      <c r="G3" s="103">
        <f>G2+I2</f>
        <v>3.63</v>
      </c>
      <c r="H3" s="37">
        <v>1</v>
      </c>
      <c r="I3" s="37">
        <f t="shared" ref="I3:I11" si="2">(G3*H3)-G3</f>
        <v>0</v>
      </c>
      <c r="J3" s="47">
        <f>SUM($I$2:I3)/SUM($G$2:G3)</f>
        <v>9.5022624434389122E-2</v>
      </c>
      <c r="K3" s="37">
        <f t="shared" ref="K3:K11" si="3">K2+I3</f>
        <v>0.62999999999999989</v>
      </c>
      <c r="L3" s="104">
        <v>2</v>
      </c>
      <c r="M3" t="s">
        <v>1196</v>
      </c>
    </row>
    <row r="4" spans="1:13">
      <c r="A4" s="37">
        <f t="shared" ref="A4:A11" si="4">A3+C3</f>
        <v>4.0528000000000004</v>
      </c>
      <c r="B4" s="37">
        <v>1</v>
      </c>
      <c r="C4" s="37">
        <f t="shared" si="0"/>
        <v>0</v>
      </c>
      <c r="D4" s="48">
        <f>SUM(C$2:$C4)/SUM(A$2:$A4)</f>
        <v>9.6774193548387136E-2</v>
      </c>
      <c r="E4" s="37">
        <f t="shared" si="1"/>
        <v>1.0728000000000004</v>
      </c>
      <c r="F4" s="102"/>
      <c r="G4" s="103">
        <f t="shared" ref="G4:G11" si="5">G3+I3</f>
        <v>3.63</v>
      </c>
      <c r="H4" s="37">
        <v>1</v>
      </c>
      <c r="I4" s="37">
        <f t="shared" si="2"/>
        <v>0</v>
      </c>
      <c r="J4" s="47">
        <f>SUM($I$2:I4)/SUM($G$2:G4)</f>
        <v>6.1403508771929814E-2</v>
      </c>
      <c r="K4" s="37">
        <f t="shared" si="3"/>
        <v>0.62999999999999989</v>
      </c>
      <c r="L4" s="104">
        <v>3</v>
      </c>
    </row>
    <row r="5" spans="1:13">
      <c r="A5" s="37">
        <f t="shared" si="4"/>
        <v>4.0528000000000004</v>
      </c>
      <c r="B5" s="37">
        <v>1</v>
      </c>
      <c r="C5" s="37">
        <f t="shared" ref="C5:C11" si="6">(A5*B5)-A5</f>
        <v>0</v>
      </c>
      <c r="D5" s="48">
        <f>SUM(C$2:$C5)/SUM(A$2:$A5)</f>
        <v>7.0866141732283491E-2</v>
      </c>
      <c r="E5" s="37">
        <f t="shared" ref="E5:E11" si="7">E4+C5</f>
        <v>1.0728000000000004</v>
      </c>
      <c r="F5" s="102"/>
      <c r="G5" s="108">
        <f t="shared" si="5"/>
        <v>3.63</v>
      </c>
      <c r="H5" s="40">
        <v>1</v>
      </c>
      <c r="I5" s="40">
        <f t="shared" si="2"/>
        <v>0</v>
      </c>
      <c r="J5" s="48">
        <f>SUM($I$2:I5)/SUM($G$2:G5)</f>
        <v>4.5356371490280767E-2</v>
      </c>
      <c r="K5" s="40">
        <f t="shared" si="3"/>
        <v>0.62999999999999989</v>
      </c>
      <c r="L5" s="104">
        <v>4</v>
      </c>
    </row>
    <row r="6" spans="1:13">
      <c r="A6" s="37">
        <f t="shared" si="4"/>
        <v>4.0528000000000004</v>
      </c>
      <c r="B6" s="37">
        <v>1</v>
      </c>
      <c r="C6" s="37">
        <f t="shared" si="6"/>
        <v>0</v>
      </c>
      <c r="D6" s="48">
        <f>SUM(C$2:$C6)/SUM(A$2:$A6)</f>
        <v>5.5900621118012438E-2</v>
      </c>
      <c r="E6" s="37">
        <f t="shared" si="7"/>
        <v>1.0728000000000004</v>
      </c>
      <c r="F6" s="102"/>
      <c r="G6" s="117">
        <f>G2*1/2</f>
        <v>1.5</v>
      </c>
      <c r="H6" s="97">
        <v>1</v>
      </c>
      <c r="I6" s="97">
        <f t="shared" si="2"/>
        <v>0</v>
      </c>
      <c r="J6" s="96">
        <f>SUM($I$2:I6)/SUM($G$2:G6)</f>
        <v>4.0935672514619874E-2</v>
      </c>
      <c r="K6" s="97">
        <f t="shared" si="3"/>
        <v>0.62999999999999989</v>
      </c>
      <c r="L6" s="106">
        <v>5</v>
      </c>
    </row>
    <row r="7" spans="1:13">
      <c r="A7" s="37">
        <f t="shared" si="4"/>
        <v>4.0528000000000004</v>
      </c>
      <c r="B7" s="37">
        <v>1</v>
      </c>
      <c r="C7" s="37">
        <f t="shared" si="6"/>
        <v>0</v>
      </c>
      <c r="D7" s="48">
        <f>SUM(C$2:$C7)/SUM(A$2:$A7)</f>
        <v>4.6153846153846163E-2</v>
      </c>
      <c r="E7" s="37">
        <f t="shared" si="7"/>
        <v>1.0728000000000004</v>
      </c>
      <c r="F7" s="102"/>
      <c r="G7" s="103">
        <f t="shared" si="5"/>
        <v>1.5</v>
      </c>
      <c r="H7" s="37">
        <v>1</v>
      </c>
      <c r="I7" s="37">
        <f t="shared" si="2"/>
        <v>0</v>
      </c>
      <c r="J7" s="47">
        <f>SUM($I$2:I7)/SUM($G$2:G7)</f>
        <v>3.7300177619893418E-2</v>
      </c>
      <c r="K7" s="37">
        <f t="shared" si="3"/>
        <v>0.62999999999999989</v>
      </c>
      <c r="L7" s="107">
        <v>6</v>
      </c>
    </row>
    <row r="8" spans="1:13">
      <c r="A8" s="37">
        <f t="shared" si="4"/>
        <v>4.0528000000000004</v>
      </c>
      <c r="B8" s="37">
        <v>1</v>
      </c>
      <c r="C8" s="37">
        <f t="shared" si="6"/>
        <v>0</v>
      </c>
      <c r="D8" s="48">
        <f>SUM(C$2:$C8)/SUM(A$2:$A8)</f>
        <v>3.9301310043668131E-2</v>
      </c>
      <c r="E8" s="37">
        <f t="shared" si="7"/>
        <v>1.0728000000000004</v>
      </c>
      <c r="F8" s="102"/>
      <c r="G8" s="108">
        <f t="shared" si="5"/>
        <v>1.5</v>
      </c>
      <c r="H8" s="40">
        <v>1</v>
      </c>
      <c r="I8" s="40">
        <f t="shared" si="2"/>
        <v>0</v>
      </c>
      <c r="J8" s="48">
        <f>SUM($I$2:I8)/SUM($G$2:G8)</f>
        <v>3.4257748776508966E-2</v>
      </c>
      <c r="K8" s="40">
        <f t="shared" si="3"/>
        <v>0.62999999999999989</v>
      </c>
      <c r="L8" s="107">
        <v>7</v>
      </c>
    </row>
    <row r="9" spans="1:13">
      <c r="A9" s="37">
        <f t="shared" si="4"/>
        <v>4.0528000000000004</v>
      </c>
      <c r="B9" s="37">
        <v>1</v>
      </c>
      <c r="C9" s="37">
        <f t="shared" si="6"/>
        <v>0</v>
      </c>
      <c r="D9" s="48">
        <f>SUM(C$2:$C9)/SUM(A$2:$A9)</f>
        <v>3.4220532319391643E-2</v>
      </c>
      <c r="E9" s="37">
        <f t="shared" si="7"/>
        <v>1.0728000000000004</v>
      </c>
      <c r="F9" s="102"/>
      <c r="G9" s="117">
        <f>G6*2</f>
        <v>3</v>
      </c>
      <c r="H9" s="97">
        <v>1</v>
      </c>
      <c r="I9" s="97">
        <f t="shared" si="2"/>
        <v>0</v>
      </c>
      <c r="J9" s="96">
        <f>SUM($I$2:I9)/SUM($G$2:G9)</f>
        <v>2.9453015427769982E-2</v>
      </c>
      <c r="K9" s="97">
        <f t="shared" si="3"/>
        <v>0.62999999999999989</v>
      </c>
      <c r="L9" s="109">
        <v>8</v>
      </c>
    </row>
    <row r="10" spans="1:13">
      <c r="A10" s="37">
        <f t="shared" si="4"/>
        <v>4.0528000000000004</v>
      </c>
      <c r="B10" s="37">
        <v>1</v>
      </c>
      <c r="C10" s="37">
        <f t="shared" si="6"/>
        <v>0</v>
      </c>
      <c r="D10" s="48">
        <f>SUM(C$2:$C10)/SUM(A$2:$A10)</f>
        <v>3.0303030303030307E-2</v>
      </c>
      <c r="E10" s="37">
        <f t="shared" si="7"/>
        <v>1.0728000000000004</v>
      </c>
      <c r="F10" s="102"/>
      <c r="G10" s="103">
        <f t="shared" si="5"/>
        <v>3</v>
      </c>
      <c r="H10" s="37">
        <v>1</v>
      </c>
      <c r="I10" s="37">
        <f t="shared" si="2"/>
        <v>0</v>
      </c>
      <c r="J10" s="47">
        <f>SUM($I$2:I10)/SUM($G$2:G10)</f>
        <v>2.5830258302583019E-2</v>
      </c>
      <c r="K10" s="37">
        <f t="shared" si="3"/>
        <v>0.62999999999999989</v>
      </c>
      <c r="L10" s="110">
        <v>9</v>
      </c>
    </row>
    <row r="11" spans="1:13">
      <c r="A11" s="37">
        <f t="shared" si="4"/>
        <v>4.0528000000000004</v>
      </c>
      <c r="B11" s="37">
        <v>1</v>
      </c>
      <c r="C11" s="39">
        <f t="shared" si="6"/>
        <v>0</v>
      </c>
      <c r="D11" s="47">
        <f>SUM(C$2:$C11)/SUM(A$2:$A11)</f>
        <v>2.7190332326283994E-2</v>
      </c>
      <c r="E11" s="41">
        <f t="shared" si="7"/>
        <v>1.0728000000000004</v>
      </c>
      <c r="F11" s="102"/>
      <c r="G11" s="105">
        <f t="shared" si="5"/>
        <v>3</v>
      </c>
      <c r="H11" s="38">
        <v>1</v>
      </c>
      <c r="I11" s="38">
        <f t="shared" si="2"/>
        <v>0</v>
      </c>
      <c r="J11" s="59">
        <f>SUM($I$2:I11)/SUM($G$2:G11)</f>
        <v>2.3001095290251912E-2</v>
      </c>
      <c r="K11" s="38">
        <f t="shared" si="3"/>
        <v>0.62999999999999989</v>
      </c>
      <c r="L11" s="111">
        <v>10</v>
      </c>
    </row>
    <row r="15" spans="1:13">
      <c r="F15"/>
    </row>
    <row r="16" spans="1:13">
      <c r="F16"/>
    </row>
    <row r="17" spans="6:6">
      <c r="F17"/>
    </row>
    <row r="18" spans="6:6">
      <c r="F18"/>
    </row>
    <row r="19" spans="6:6">
      <c r="F19"/>
    </row>
    <row r="20" spans="6:6">
      <c r="F20"/>
    </row>
    <row r="21" spans="6:6">
      <c r="F21"/>
    </row>
    <row r="22" spans="6:6">
      <c r="F22"/>
    </row>
    <row r="23" spans="6:6">
      <c r="F23"/>
    </row>
    <row r="24" spans="6:6">
      <c r="F24"/>
    </row>
    <row r="25" spans="6:6">
      <c r="F25"/>
    </row>
  </sheetData>
  <conditionalFormatting sqref="D2:D11">
    <cfRule type="cellIs" dxfId="12" priority="1" stopIfTrue="1" operator="greaterThan">
      <formula>5</formula>
    </cfRule>
  </conditionalFormatting>
  <conditionalFormatting sqref="J2:J11">
    <cfRule type="cellIs" dxfId="11" priority="8" stopIfTrue="1" operator="greaterThan">
      <formula>5</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273-1A22-4F54-8592-B4B4919F87B9}">
  <dimension ref="A1:P82"/>
  <sheetViews>
    <sheetView topLeftCell="A8" workbookViewId="0">
      <selection activeCell="D8" sqref="D8"/>
    </sheetView>
  </sheetViews>
  <sheetFormatPr defaultRowHeight="15"/>
  <cols>
    <col min="1" max="1" width="3.85546875" bestFit="1" customWidth="1"/>
    <col min="2" max="2" width="32.5703125" bestFit="1" customWidth="1"/>
    <col min="3" max="3" width="8" bestFit="1" customWidth="1"/>
    <col min="4" max="4" width="6" bestFit="1" customWidth="1"/>
    <col min="5" max="5" width="14.140625" bestFit="1" customWidth="1"/>
    <col min="6" max="6" width="9" bestFit="1" customWidth="1"/>
    <col min="7" max="7" width="7.42578125" bestFit="1" customWidth="1"/>
    <col min="8" max="8" width="46.28515625" bestFit="1" customWidth="1"/>
    <col min="9" max="9" width="7.42578125" bestFit="1" customWidth="1"/>
    <col min="10" max="10" width="9" bestFit="1" customWidth="1"/>
    <col min="11" max="11" width="14" bestFit="1" customWidth="1"/>
    <col min="12" max="12" width="9" bestFit="1" customWidth="1"/>
    <col min="13" max="13" width="14" bestFit="1" customWidth="1"/>
  </cols>
  <sheetData>
    <row r="1" spans="1:16">
      <c r="A1" s="186"/>
      <c r="B1" s="210" t="s">
        <v>0</v>
      </c>
      <c r="C1" s="366" t="s">
        <v>1</v>
      </c>
      <c r="D1" s="497" t="s">
        <v>2</v>
      </c>
      <c r="E1" s="498" t="s">
        <v>3</v>
      </c>
      <c r="F1" s="499" t="s">
        <v>4</v>
      </c>
      <c r="G1" s="500" t="s">
        <v>5</v>
      </c>
      <c r="H1" s="367" t="s">
        <v>1</v>
      </c>
      <c r="I1" s="250" t="s">
        <v>6</v>
      </c>
      <c r="J1" s="250" t="s">
        <v>7</v>
      </c>
      <c r="K1" s="250" t="s">
        <v>8</v>
      </c>
      <c r="L1" t="s">
        <v>9</v>
      </c>
    </row>
    <row r="2" spans="1:16">
      <c r="A2" s="186"/>
      <c r="B2" s="628">
        <v>45971</v>
      </c>
      <c r="C2" s="265">
        <v>25</v>
      </c>
      <c r="D2" s="262"/>
      <c r="E2" s="163">
        <f>(C2*D2)-C2</f>
        <v>-25</v>
      </c>
      <c r="F2" s="193">
        <f>SUM($E$2:E2)/SUM($C$2:C2)</f>
        <v>-1</v>
      </c>
      <c r="G2" s="163">
        <f>E2</f>
        <v>-25</v>
      </c>
      <c r="H2" s="304" t="s">
        <v>10</v>
      </c>
      <c r="I2" s="2"/>
      <c r="J2" s="2"/>
      <c r="K2" s="154"/>
      <c r="O2" s="58"/>
      <c r="P2" s="58"/>
    </row>
    <row r="3" spans="1:16">
      <c r="A3" s="186"/>
      <c r="B3" s="628">
        <v>45972</v>
      </c>
      <c r="C3" s="265">
        <v>25</v>
      </c>
      <c r="D3" s="152"/>
      <c r="E3" s="151">
        <f>(C3*D3)-C3</f>
        <v>-25</v>
      </c>
      <c r="F3" s="156">
        <f>SUM($E$2:E3)/SUM($C$2:C3)</f>
        <v>-1</v>
      </c>
      <c r="G3" s="151">
        <f>G2+E3</f>
        <v>-50</v>
      </c>
      <c r="H3" s="147" t="s">
        <v>11</v>
      </c>
      <c r="I3" s="2"/>
      <c r="O3" s="58"/>
      <c r="P3" s="58"/>
    </row>
    <row r="4" spans="1:16">
      <c r="A4" s="186"/>
      <c r="B4" s="628">
        <v>45973</v>
      </c>
      <c r="C4" s="265">
        <v>25</v>
      </c>
      <c r="D4" s="152">
        <v>1.9</v>
      </c>
      <c r="E4" s="151">
        <f>(C4*D4)-C4</f>
        <v>22.5</v>
      </c>
      <c r="F4" s="156">
        <f>SUM($E$2:E4)/SUM($C$2:C4)</f>
        <v>-0.36666666666666664</v>
      </c>
      <c r="G4" s="151">
        <f>G3+E4</f>
        <v>-27.5</v>
      </c>
      <c r="H4" s="147" t="s">
        <v>12</v>
      </c>
      <c r="I4" s="2"/>
      <c r="J4" s="2"/>
      <c r="O4" s="58"/>
      <c r="P4" s="58"/>
    </row>
    <row r="5" spans="1:16">
      <c r="A5" s="186"/>
      <c r="B5" s="628">
        <v>45974</v>
      </c>
      <c r="C5" s="265">
        <v>25</v>
      </c>
      <c r="D5" s="152"/>
      <c r="E5" s="151">
        <f>(C5*D5)-C5</f>
        <v>-25</v>
      </c>
      <c r="F5" s="156">
        <f>SUM($E$2:E5)/SUM($C$2:C5)</f>
        <v>-0.52500000000000002</v>
      </c>
      <c r="G5" s="151">
        <f>G4+E5</f>
        <v>-52.5</v>
      </c>
      <c r="H5" s="147" t="s">
        <v>13</v>
      </c>
      <c r="I5" s="2"/>
      <c r="J5" s="2"/>
      <c r="O5" s="58"/>
      <c r="P5" s="58"/>
    </row>
    <row r="6" spans="1:16">
      <c r="A6" s="186"/>
      <c r="B6" s="628">
        <v>45975</v>
      </c>
      <c r="C6" s="265">
        <v>25</v>
      </c>
      <c r="D6" s="152">
        <v>1.87</v>
      </c>
      <c r="E6" s="152">
        <f>(C6*D6)-C6</f>
        <v>21.75</v>
      </c>
      <c r="F6" s="192">
        <f>SUM($E$2:E6)/SUM($C$2:C6)</f>
        <v>-0.246</v>
      </c>
      <c r="G6" s="165">
        <f>G5+E6</f>
        <v>-30.75</v>
      </c>
      <c r="H6" s="147" t="s">
        <v>14</v>
      </c>
      <c r="I6" s="2"/>
      <c r="J6" s="2"/>
      <c r="O6" s="58"/>
      <c r="P6" s="58"/>
    </row>
    <row r="7" spans="1:16">
      <c r="A7" s="186"/>
      <c r="B7" s="628">
        <v>45976</v>
      </c>
      <c r="C7" s="265">
        <v>25</v>
      </c>
      <c r="D7" s="262">
        <v>1.87</v>
      </c>
      <c r="E7" s="163">
        <f>(C7*D7)-C7</f>
        <v>21.75</v>
      </c>
      <c r="F7" s="193">
        <f>SUM($E$2:E7)/SUM($C$2:C7)</f>
        <v>-0.06</v>
      </c>
      <c r="G7" s="164">
        <f>G6+E7</f>
        <v>-9</v>
      </c>
      <c r="H7" s="304" t="s">
        <v>15</v>
      </c>
      <c r="I7" s="2"/>
      <c r="J7" s="2"/>
      <c r="O7" s="58"/>
      <c r="P7" s="58"/>
    </row>
    <row r="8" spans="1:16">
      <c r="A8" s="186"/>
      <c r="B8" s="628">
        <v>45977</v>
      </c>
      <c r="C8" s="265">
        <v>25</v>
      </c>
      <c r="D8" s="152">
        <v>1.784</v>
      </c>
      <c r="E8" s="151">
        <f>(C8*D8)-C8</f>
        <v>19.600000000000001</v>
      </c>
      <c r="F8" s="193">
        <f>SUM($E$2:E8)/SUM($C$2:C8)</f>
        <v>6.0571428571428582E-2</v>
      </c>
      <c r="G8" s="164">
        <f>G7+E8</f>
        <v>10.600000000000001</v>
      </c>
      <c r="H8" s="147"/>
      <c r="I8" s="2"/>
      <c r="J8" s="2"/>
      <c r="O8" s="58"/>
      <c r="P8" s="58"/>
    </row>
    <row r="9" spans="1:16">
      <c r="A9" s="186"/>
      <c r="B9" s="625"/>
      <c r="C9" s="545"/>
      <c r="D9" s="541"/>
      <c r="E9" s="541"/>
      <c r="F9" s="546"/>
      <c r="G9" s="536"/>
      <c r="H9" s="547"/>
      <c r="I9" s="2"/>
      <c r="J9" s="2"/>
      <c r="K9" s="2"/>
      <c r="L9" s="2"/>
      <c r="O9" s="58"/>
      <c r="P9" s="58"/>
    </row>
    <row r="10" spans="1:16">
      <c r="A10" s="186"/>
      <c r="B10" s="626"/>
      <c r="C10" s="548"/>
      <c r="D10" s="542"/>
      <c r="E10" s="542"/>
      <c r="F10" s="549"/>
      <c r="G10" s="535"/>
      <c r="H10" s="550"/>
      <c r="I10" s="2">
        <f>SUM(E9:E10)</f>
        <v>0</v>
      </c>
      <c r="J10" s="2">
        <f>SUM(E9:E11)</f>
        <v>0</v>
      </c>
      <c r="K10" s="2">
        <f>SUM(E9:E11)</f>
        <v>0</v>
      </c>
      <c r="L10" s="2" t="e">
        <f>I10/C10</f>
        <v>#DIV/0!</v>
      </c>
      <c r="O10" s="58"/>
      <c r="P10" s="58"/>
    </row>
    <row r="11" spans="1:16">
      <c r="A11" s="186"/>
      <c r="B11" s="371"/>
      <c r="C11" s="369"/>
      <c r="D11" s="257"/>
      <c r="E11" s="257"/>
      <c r="F11" s="256"/>
      <c r="G11" s="257"/>
      <c r="H11" s="554"/>
      <c r="O11" s="58"/>
      <c r="P11" s="58"/>
    </row>
    <row r="12" spans="1:16">
      <c r="A12" s="186"/>
      <c r="C12" s="130">
        <f>SUM(C2:C11)</f>
        <v>175</v>
      </c>
      <c r="D12" s="186"/>
      <c r="E12" s="501">
        <f>SUM(E2:E11)</f>
        <v>10.600000000000001</v>
      </c>
      <c r="F12" s="502"/>
      <c r="G12" s="503">
        <f>E12-MAX(G2:G11)</f>
        <v>0</v>
      </c>
      <c r="I12" s="11">
        <f>E12-SUM(I2:I11)</f>
        <v>10.600000000000001</v>
      </c>
      <c r="J12" s="11">
        <f>E12-SUM(J2:J11)</f>
        <v>10.600000000000001</v>
      </c>
      <c r="K12" s="12">
        <f>E12-SUM(K2:K11)</f>
        <v>10.600000000000001</v>
      </c>
      <c r="O12" s="58"/>
      <c r="P12" s="58"/>
    </row>
    <row r="13" spans="1:16">
      <c r="A13" s="186"/>
      <c r="D13" s="186"/>
      <c r="E13" s="185"/>
      <c r="F13" s="185"/>
      <c r="G13" s="186"/>
      <c r="N13" s="19"/>
      <c r="O13" s="58"/>
      <c r="P13" s="58"/>
    </row>
    <row r="14" spans="1:16">
      <c r="A14" s="186"/>
      <c r="B14" t="s">
        <v>601</v>
      </c>
      <c r="D14" s="673" t="s">
        <v>602</v>
      </c>
      <c r="E14" s="674"/>
      <c r="F14" s="675"/>
      <c r="G14" s="185"/>
      <c r="I14" s="671">
        <v>700</v>
      </c>
      <c r="J14" s="672"/>
      <c r="K14" s="16" t="s">
        <v>603</v>
      </c>
      <c r="N14" s="19"/>
      <c r="O14" s="58"/>
      <c r="P14" s="58"/>
    </row>
    <row r="15" spans="1:16">
      <c r="A15" s="186"/>
      <c r="B15" s="569">
        <f>COUNT(C2:C11)</f>
        <v>7</v>
      </c>
      <c r="C15" s="1"/>
      <c r="D15" s="504">
        <v>1</v>
      </c>
      <c r="E15" s="669">
        <v>15</v>
      </c>
      <c r="F15" s="505">
        <f>D15*E15-D15</f>
        <v>14</v>
      </c>
      <c r="G15" s="506"/>
      <c r="H15" s="17" t="s">
        <v>604</v>
      </c>
      <c r="I15" s="75">
        <f>(J15/(6*3))</f>
        <v>3.8891111111111107</v>
      </c>
      <c r="J15" s="150">
        <f>I18/10</f>
        <v>70.003999999999991</v>
      </c>
      <c r="K15" s="3" t="s">
        <v>605</v>
      </c>
      <c r="N15" s="19"/>
      <c r="O15" s="58"/>
      <c r="P15" s="58"/>
    </row>
    <row r="16" spans="1:16">
      <c r="A16" s="186"/>
      <c r="B16" t="s">
        <v>606</v>
      </c>
      <c r="C16" s="99"/>
      <c r="D16" s="507">
        <f>F16/(E15-1)</f>
        <v>7.1428571428571432</v>
      </c>
      <c r="E16" s="670"/>
      <c r="F16" s="508">
        <v>100</v>
      </c>
      <c r="G16" s="506"/>
      <c r="H16" s="17" t="s">
        <v>607</v>
      </c>
      <c r="I16" s="127">
        <f>SUM(I2:I11)+0.04</f>
        <v>0.04</v>
      </c>
      <c r="J16" s="149"/>
      <c r="K16" s="3" t="s">
        <v>608</v>
      </c>
      <c r="L16" s="138"/>
      <c r="N16" s="19"/>
      <c r="O16" s="18"/>
      <c r="P16" s="58"/>
    </row>
    <row r="17" spans="1:16">
      <c r="A17" s="186"/>
      <c r="B17" s="18">
        <f>COUNT(D2:D11)/B15</f>
        <v>0.5714285714285714</v>
      </c>
      <c r="C17" s="18"/>
      <c r="D17" s="186"/>
      <c r="E17" s="506">
        <f>1/B17</f>
        <v>1.75</v>
      </c>
      <c r="F17" s="506"/>
      <c r="G17" s="506"/>
      <c r="H17" s="17" t="s">
        <v>609</v>
      </c>
      <c r="I17" s="665">
        <f>(I16-J16)</f>
        <v>0.04</v>
      </c>
      <c r="J17" s="666"/>
      <c r="K17" s="128"/>
      <c r="N17" s="19"/>
      <c r="O17" s="58"/>
      <c r="P17" s="58"/>
    </row>
    <row r="18" spans="1:16">
      <c r="A18" s="186"/>
      <c r="B18" t="s">
        <v>4</v>
      </c>
      <c r="D18" s="186"/>
      <c r="E18" s="186"/>
      <c r="F18" s="186"/>
      <c r="G18" s="186"/>
      <c r="H18" s="17" t="s">
        <v>610</v>
      </c>
      <c r="I18" s="667">
        <f>I14+I17</f>
        <v>700.04</v>
      </c>
      <c r="J18" s="668"/>
      <c r="K18" s="128"/>
      <c r="L18" s="138"/>
      <c r="M18" s="138"/>
      <c r="N18" s="19"/>
      <c r="O18" s="58"/>
      <c r="P18" s="58"/>
    </row>
    <row r="19" spans="1:16">
      <c r="A19" s="186"/>
      <c r="B19" s="18">
        <f>E12/C12</f>
        <v>6.0571428571428582E-2</v>
      </c>
      <c r="D19" s="186"/>
      <c r="E19" s="528"/>
      <c r="F19" s="186"/>
      <c r="G19" s="186"/>
      <c r="H19" s="17" t="s">
        <v>611</v>
      </c>
      <c r="I19" s="221">
        <f>(I18-I14)/I14</f>
        <v>5.7142857142805175E-5</v>
      </c>
      <c r="J19" s="232">
        <f>C12/I14</f>
        <v>0.25</v>
      </c>
      <c r="K19" t="s">
        <v>612</v>
      </c>
      <c r="L19" s="18"/>
      <c r="M19" s="138"/>
      <c r="N19" s="19"/>
      <c r="O19" s="58"/>
      <c r="P19" s="58"/>
    </row>
    <row r="20" spans="1:16">
      <c r="A20" s="186"/>
      <c r="B20" s="18"/>
      <c r="D20" s="186"/>
      <c r="E20" s="186"/>
      <c r="F20" s="186"/>
      <c r="G20" s="186"/>
      <c r="H20" s="17" t="s">
        <v>613</v>
      </c>
      <c r="I20" s="127">
        <f>-$I$18*15/100</f>
        <v>-105.00599999999999</v>
      </c>
      <c r="J20" s="149">
        <f>$I$18*20/100</f>
        <v>140.00799999999998</v>
      </c>
      <c r="K20" t="s">
        <v>614</v>
      </c>
      <c r="L20" s="18"/>
      <c r="M20" s="138"/>
      <c r="N20" s="19"/>
      <c r="O20" s="58"/>
      <c r="P20" s="58"/>
    </row>
    <row r="21" spans="1:16">
      <c r="A21" s="186"/>
      <c r="B21" s="18"/>
      <c r="D21" s="186"/>
      <c r="E21" s="186"/>
      <c r="F21" s="186"/>
      <c r="G21" s="186"/>
      <c r="H21" s="17"/>
      <c r="I21" s="18"/>
      <c r="J21" s="2"/>
      <c r="L21" s="3"/>
      <c r="N21" s="19"/>
      <c r="O21" s="58"/>
      <c r="P21" s="58"/>
    </row>
    <row r="22" spans="1:16">
      <c r="A22" s="186"/>
      <c r="D22" s="186"/>
      <c r="E22" s="186"/>
      <c r="F22" s="186"/>
      <c r="G22" s="186"/>
      <c r="L22" s="3"/>
      <c r="N22" s="19"/>
      <c r="O22" s="58"/>
      <c r="P22" s="58"/>
    </row>
    <row r="23" spans="1:16">
      <c r="A23" s="186"/>
      <c r="D23" s="186"/>
      <c r="E23" s="186"/>
      <c r="F23" s="186"/>
      <c r="G23" s="186"/>
      <c r="N23" s="19"/>
      <c r="O23" s="58"/>
      <c r="P23" s="58"/>
    </row>
    <row r="24" spans="1:16">
      <c r="A24" s="186"/>
      <c r="D24" s="186"/>
      <c r="E24" s="186"/>
      <c r="F24" s="186"/>
      <c r="G24" s="186"/>
      <c r="I24" s="20"/>
      <c r="L24" s="3"/>
      <c r="N24" s="19"/>
      <c r="O24" s="58"/>
      <c r="P24" s="58"/>
    </row>
    <row r="25" spans="1:16">
      <c r="A25" s="186"/>
      <c r="D25" s="186"/>
      <c r="E25" s="186"/>
      <c r="F25" s="186"/>
      <c r="G25" s="186"/>
      <c r="L25" s="2"/>
      <c r="N25" s="19"/>
      <c r="O25" s="58"/>
      <c r="P25" s="58"/>
    </row>
    <row r="26" spans="1:16">
      <c r="A26" s="186"/>
      <c r="D26" s="186"/>
      <c r="E26" s="186"/>
      <c r="F26" s="186"/>
      <c r="G26" s="186"/>
      <c r="L26" s="18"/>
      <c r="N26" s="19"/>
      <c r="O26" s="58"/>
      <c r="P26" s="58"/>
    </row>
    <row r="27" spans="1:16">
      <c r="A27" s="186"/>
      <c r="D27" s="186"/>
      <c r="E27" s="186"/>
      <c r="F27" s="186"/>
      <c r="G27" s="186"/>
      <c r="O27" s="58"/>
      <c r="P27" s="58"/>
    </row>
    <row r="28" spans="1:16">
      <c r="A28" s="186"/>
      <c r="D28" s="186"/>
      <c r="E28" s="186"/>
      <c r="F28" s="186"/>
      <c r="G28" s="186"/>
      <c r="P28" s="58"/>
    </row>
    <row r="29" spans="1:16">
      <c r="A29" s="186"/>
      <c r="D29" s="186"/>
      <c r="E29" s="186"/>
      <c r="F29" s="186"/>
      <c r="G29" s="186"/>
      <c r="P29" s="58"/>
    </row>
    <row r="30" spans="1:16">
      <c r="A30" s="186"/>
      <c r="D30" s="186"/>
      <c r="E30" s="186"/>
      <c r="F30" s="186"/>
      <c r="G30" s="186"/>
      <c r="P30" s="58"/>
    </row>
    <row r="31" spans="1:16">
      <c r="A31" s="186"/>
      <c r="D31" s="186"/>
      <c r="E31" s="186"/>
      <c r="F31" s="186"/>
      <c r="G31" s="186"/>
      <c r="P31" s="58"/>
    </row>
    <row r="32" spans="1:16">
      <c r="A32" s="186"/>
      <c r="D32" s="186"/>
      <c r="E32" s="186"/>
      <c r="F32" s="186"/>
      <c r="G32" s="186"/>
    </row>
    <row r="33" spans="1:14">
      <c r="A33" s="186"/>
      <c r="D33" s="186"/>
      <c r="E33" s="186"/>
      <c r="F33" s="186"/>
      <c r="G33" s="186"/>
    </row>
    <row r="34" spans="1:14">
      <c r="A34" s="186"/>
      <c r="D34" s="186"/>
      <c r="E34" s="186"/>
      <c r="F34" s="186"/>
      <c r="G34" s="186"/>
    </row>
    <row r="35" spans="1:14">
      <c r="A35" s="186"/>
      <c r="D35" s="186"/>
      <c r="E35" s="186"/>
      <c r="F35" s="186"/>
      <c r="G35" s="186"/>
    </row>
    <row r="36" spans="1:14">
      <c r="A36" s="186"/>
      <c r="D36" s="186"/>
      <c r="E36" s="186"/>
      <c r="F36" s="186"/>
      <c r="G36" s="186"/>
    </row>
    <row r="37" spans="1:14">
      <c r="A37" s="186"/>
      <c r="D37" s="186"/>
      <c r="E37" s="186"/>
      <c r="F37" s="186"/>
      <c r="G37" s="186"/>
    </row>
    <row r="38" spans="1:14">
      <c r="A38" s="186"/>
      <c r="B38" s="556" t="s">
        <v>615</v>
      </c>
      <c r="C38" s="557" t="s">
        <v>1</v>
      </c>
      <c r="D38" s="558"/>
      <c r="E38" s="559" t="s">
        <v>3</v>
      </c>
      <c r="F38" s="560" t="s">
        <v>4</v>
      </c>
      <c r="G38" s="186"/>
      <c r="H38" s="664" t="s">
        <v>616</v>
      </c>
      <c r="I38" s="664"/>
    </row>
    <row r="39" spans="1:14">
      <c r="A39" s="186"/>
      <c r="B39" s="145" t="s">
        <v>617</v>
      </c>
      <c r="C39" s="146">
        <f>SUM(C2:C8)</f>
        <v>175</v>
      </c>
      <c r="D39" s="509"/>
      <c r="E39" s="509">
        <f>SUM(E2:E8)</f>
        <v>10.600000000000001</v>
      </c>
      <c r="F39" s="510">
        <f>E39/C39</f>
        <v>6.0571428571428582E-2</v>
      </c>
      <c r="G39" s="511"/>
      <c r="H39" s="375"/>
    </row>
    <row r="40" spans="1:14">
      <c r="A40" s="186"/>
      <c r="B40" s="145" t="s">
        <v>618</v>
      </c>
      <c r="C40" s="146" t="e">
        <f>SUM(#REF!)</f>
        <v>#REF!</v>
      </c>
      <c r="D40" s="509"/>
      <c r="E40" s="509" t="e">
        <f>SUM(#REF!)</f>
        <v>#REF!</v>
      </c>
      <c r="F40" s="510" t="e">
        <f>E40/C40</f>
        <v>#REF!</v>
      </c>
      <c r="G40" s="512"/>
      <c r="H40" s="382"/>
      <c r="I40" s="627"/>
    </row>
    <row r="41" spans="1:14">
      <c r="A41" s="186"/>
      <c r="B41" s="145" t="s">
        <v>619</v>
      </c>
      <c r="C41" s="146" t="e">
        <f>SUM(#REF!)</f>
        <v>#REF!</v>
      </c>
      <c r="D41" s="509"/>
      <c r="E41" s="538" t="e">
        <f>SUM(#REF!)</f>
        <v>#REF!</v>
      </c>
      <c r="F41" s="510" t="e">
        <f>E41/C41</f>
        <v>#REF!</v>
      </c>
      <c r="G41" s="662" t="s">
        <v>620</v>
      </c>
      <c r="H41" s="663"/>
    </row>
    <row r="42" spans="1:14">
      <c r="A42" s="186"/>
      <c r="B42" s="145" t="s">
        <v>621</v>
      </c>
      <c r="C42" s="146" t="e">
        <f>SUM(#REF!)</f>
        <v>#REF!</v>
      </c>
      <c r="D42" s="509"/>
      <c r="E42" s="509" t="e">
        <f>SUM(#REF!)</f>
        <v>#REF!</v>
      </c>
      <c r="F42" s="510" t="e">
        <f>E42/C42</f>
        <v>#REF!</v>
      </c>
      <c r="G42" s="186"/>
    </row>
    <row r="43" spans="1:14">
      <c r="A43" s="186"/>
      <c r="B43" s="145" t="s">
        <v>622</v>
      </c>
      <c r="C43" s="146" t="e">
        <f>SUM(#REF!)</f>
        <v>#REF!</v>
      </c>
      <c r="D43" s="509"/>
      <c r="E43" s="509" t="e">
        <f>SUM(#REF!)</f>
        <v>#REF!</v>
      </c>
      <c r="F43" s="510" t="e">
        <f>E43/C43</f>
        <v>#REF!</v>
      </c>
      <c r="G43" s="186"/>
    </row>
    <row r="44" spans="1:14">
      <c r="A44" s="186"/>
      <c r="B44" s="145" t="s">
        <v>623</v>
      </c>
      <c r="C44" s="146" t="e">
        <f>SUM(#REF!)</f>
        <v>#REF!</v>
      </c>
      <c r="D44" s="509"/>
      <c r="E44" s="509" t="e">
        <f>SUM(#REF!)</f>
        <v>#REF!</v>
      </c>
      <c r="F44" s="510" t="e">
        <f>E44/C44</f>
        <v>#REF!</v>
      </c>
      <c r="G44" s="186"/>
    </row>
    <row r="45" spans="1:14">
      <c r="A45" s="186"/>
      <c r="B45" s="145" t="s">
        <v>624</v>
      </c>
      <c r="C45" s="146" t="e">
        <f>SUM(#REF!)</f>
        <v>#REF!</v>
      </c>
      <c r="D45" s="509"/>
      <c r="E45" s="509" t="e">
        <f>SUM(#REF!)</f>
        <v>#REF!</v>
      </c>
      <c r="F45" s="510" t="e">
        <f>E45/C45</f>
        <v>#REF!</v>
      </c>
      <c r="G45" s="186"/>
      <c r="M45" s="544"/>
    </row>
    <row r="46" spans="1:14">
      <c r="A46" s="186"/>
      <c r="B46" s="145" t="s">
        <v>625</v>
      </c>
      <c r="C46" s="146" t="e">
        <f>SUM(#REF!)</f>
        <v>#REF!</v>
      </c>
      <c r="D46" s="509"/>
      <c r="E46" s="509" t="e">
        <f>SUM(#REF!)</f>
        <v>#REF!</v>
      </c>
      <c r="F46" s="510" t="e">
        <f>E46/C46</f>
        <v>#REF!</v>
      </c>
      <c r="G46" s="186"/>
      <c r="I46" s="543">
        <v>-50.734390000000062</v>
      </c>
      <c r="J46" s="544">
        <v>46.224360000000004</v>
      </c>
      <c r="K46" s="544">
        <f>I46+J46</f>
        <v>-4.5100300000000573</v>
      </c>
      <c r="L46" s="543"/>
      <c r="M46" s="544"/>
    </row>
    <row r="47" spans="1:14">
      <c r="A47" s="186"/>
      <c r="B47" s="145" t="s">
        <v>626</v>
      </c>
      <c r="C47" s="146" t="e">
        <f>SUM(#REF!)</f>
        <v>#REF!</v>
      </c>
      <c r="D47" s="509"/>
      <c r="E47" s="509" t="e">
        <f>SUM(#REF!)</f>
        <v>#REF!</v>
      </c>
      <c r="F47" s="510" t="e">
        <f>E47/C47</f>
        <v>#REF!</v>
      </c>
      <c r="G47" s="186"/>
      <c r="I47" s="543">
        <v>-49.565500000000021</v>
      </c>
      <c r="J47" s="552">
        <v>45.426540000000003</v>
      </c>
      <c r="K47" s="544">
        <f t="shared" ref="K47:K51" si="0">I47+J47</f>
        <v>-4.1389600000000186</v>
      </c>
      <c r="L47" s="543"/>
      <c r="M47" s="544"/>
    </row>
    <row r="48" spans="1:14">
      <c r="A48" s="186"/>
      <c r="B48" s="145" t="s">
        <v>627</v>
      </c>
      <c r="C48" s="146" t="e">
        <f>SUM(#REF!)</f>
        <v>#REF!</v>
      </c>
      <c r="D48" s="509"/>
      <c r="E48" s="509" t="e">
        <f>SUM(#REF!)</f>
        <v>#REF!</v>
      </c>
      <c r="F48" s="153" t="e">
        <f>E48/C48</f>
        <v>#REF!</v>
      </c>
      <c r="G48" s="186"/>
      <c r="I48" s="543">
        <v>-31.943870000000008</v>
      </c>
      <c r="J48" s="544">
        <v>38.596669999999996</v>
      </c>
      <c r="K48" s="544">
        <f t="shared" si="0"/>
        <v>6.6527999999999885</v>
      </c>
      <c r="L48" s="543"/>
      <c r="M48" s="544"/>
      <c r="N48" s="544"/>
    </row>
    <row r="49" spans="1:13">
      <c r="A49" s="186"/>
      <c r="B49" s="145" t="s">
        <v>628</v>
      </c>
      <c r="C49" s="146" t="e">
        <f>SUM(#REF!)</f>
        <v>#REF!</v>
      </c>
      <c r="D49" s="509"/>
      <c r="E49" s="538" t="e">
        <f>SUM(#REF!)</f>
        <v>#REF!</v>
      </c>
      <c r="F49" s="510" t="e">
        <f>E49/C49</f>
        <v>#REF!</v>
      </c>
      <c r="G49" s="186"/>
      <c r="I49" s="543">
        <v>-27.048020000000008</v>
      </c>
      <c r="J49" s="544">
        <v>24.18810999999998</v>
      </c>
      <c r="K49" s="544">
        <f t="shared" si="0"/>
        <v>-2.8599100000000277</v>
      </c>
      <c r="L49" s="543"/>
      <c r="M49" s="544"/>
    </row>
    <row r="50" spans="1:13">
      <c r="A50" s="186"/>
      <c r="B50" s="145" t="s">
        <v>629</v>
      </c>
      <c r="C50" s="146" t="e">
        <f>SUM(#REF!)</f>
        <v>#REF!</v>
      </c>
      <c r="D50" s="509"/>
      <c r="E50" s="509" t="e">
        <f>SUM(#REF!)</f>
        <v>#REF!</v>
      </c>
      <c r="F50" s="510" t="e">
        <f>E50/C50</f>
        <v>#REF!</v>
      </c>
      <c r="G50" s="186"/>
      <c r="I50" s="543">
        <v>-9.4171099999999885</v>
      </c>
      <c r="J50" s="544">
        <v>19.997230000000002</v>
      </c>
      <c r="K50" s="544">
        <f t="shared" si="0"/>
        <v>10.580120000000013</v>
      </c>
      <c r="L50" s="543"/>
      <c r="M50" s="544"/>
    </row>
    <row r="51" spans="1:13">
      <c r="A51" s="186"/>
      <c r="B51" s="145" t="s">
        <v>630</v>
      </c>
      <c r="C51" s="146" t="e">
        <f>SUM(#REF!)</f>
        <v>#REF!</v>
      </c>
      <c r="D51" s="509"/>
      <c r="E51" s="509" t="e">
        <f>SUM(#REF!)</f>
        <v>#REF!</v>
      </c>
      <c r="F51" s="510" t="e">
        <f>E51/C51</f>
        <v>#REF!</v>
      </c>
      <c r="G51" s="186"/>
      <c r="I51" s="543">
        <v>-5.0383799999999859</v>
      </c>
      <c r="J51" s="544">
        <v>18.901421776061795</v>
      </c>
      <c r="K51" s="544">
        <f t="shared" si="0"/>
        <v>13.863041776061809</v>
      </c>
      <c r="M51" s="544"/>
    </row>
    <row r="52" spans="1:13">
      <c r="A52" s="186"/>
      <c r="B52" s="145" t="s">
        <v>631</v>
      </c>
      <c r="C52" s="146" t="e">
        <f>SUM(#REF!)</f>
        <v>#REF!</v>
      </c>
      <c r="D52" s="509"/>
      <c r="E52" s="509" t="e">
        <f>SUM(#REF!)</f>
        <v>#REF!</v>
      </c>
      <c r="F52" s="153" t="e">
        <f>E52/C52</f>
        <v>#REF!</v>
      </c>
      <c r="G52" s="186"/>
      <c r="I52" s="570">
        <f>SUM(I46:I51)</f>
        <v>-173.74727000000007</v>
      </c>
      <c r="J52" s="570">
        <f>SUM(J46:J51)</f>
        <v>193.33433177606179</v>
      </c>
      <c r="K52" s="571">
        <f>SUM(K46:K51)</f>
        <v>19.587061776061709</v>
      </c>
      <c r="M52" s="544"/>
    </row>
    <row r="53" spans="1:13">
      <c r="A53" s="186"/>
      <c r="B53" s="145" t="s">
        <v>632</v>
      </c>
      <c r="C53" s="146" t="e">
        <f>SUM(#REF!)</f>
        <v>#REF!</v>
      </c>
      <c r="D53" s="509"/>
      <c r="E53" s="509" t="e">
        <f>SUM(#REF!)</f>
        <v>#REF!</v>
      </c>
      <c r="F53" s="510" t="e">
        <f>E53/C53</f>
        <v>#REF!</v>
      </c>
      <c r="G53" s="186"/>
      <c r="I53" s="543"/>
      <c r="J53" s="543"/>
      <c r="K53" s="544"/>
      <c r="M53" s="544"/>
    </row>
    <row r="54" spans="1:13">
      <c r="A54" s="186"/>
      <c r="B54" s="145" t="s">
        <v>633</v>
      </c>
      <c r="C54" s="146" t="e">
        <f>SUM(#REF!)</f>
        <v>#REF!</v>
      </c>
      <c r="D54" s="509"/>
      <c r="E54" s="509" t="e">
        <f>SUM(#REF!)</f>
        <v>#REF!</v>
      </c>
      <c r="F54" s="510" t="e">
        <f>E54/C54</f>
        <v>#REF!</v>
      </c>
      <c r="G54" s="186"/>
      <c r="I54" s="543"/>
      <c r="J54" s="543"/>
      <c r="K54" s="544"/>
      <c r="M54" s="544"/>
    </row>
    <row r="55" spans="1:13">
      <c r="A55" s="186"/>
      <c r="B55" s="145" t="s">
        <v>634</v>
      </c>
      <c r="C55" s="146">
        <f>SUM(C9:C11)</f>
        <v>0</v>
      </c>
      <c r="D55" s="509"/>
      <c r="E55" s="509">
        <f>SUM(E9:E11)</f>
        <v>0</v>
      </c>
      <c r="F55" s="510" t="e">
        <f>E55/C55</f>
        <v>#DIV/0!</v>
      </c>
      <c r="G55" s="512">
        <v>-110.28054926640927</v>
      </c>
      <c r="H55" s="382">
        <v>147.04073235521236</v>
      </c>
      <c r="I55" s="543"/>
      <c r="J55" s="543"/>
      <c r="K55" s="544"/>
      <c r="M55" s="544"/>
    </row>
    <row r="56" spans="1:13">
      <c r="A56" s="186"/>
      <c r="B56" s="142"/>
      <c r="C56" s="143"/>
      <c r="D56" s="514"/>
      <c r="E56" s="514"/>
      <c r="F56" s="515"/>
      <c r="G56" s="513"/>
      <c r="H56" s="233"/>
      <c r="I56" s="543"/>
      <c r="J56" s="543"/>
      <c r="K56" s="544"/>
    </row>
    <row r="57" spans="1:13">
      <c r="A57" s="186"/>
      <c r="D57" s="186"/>
      <c r="E57" s="516"/>
      <c r="F57" s="186"/>
      <c r="G57" s="517"/>
      <c r="H57" s="230"/>
      <c r="I57" s="240">
        <v>40</v>
      </c>
      <c r="J57" s="240">
        <v>21062</v>
      </c>
      <c r="K57" s="544"/>
    </row>
    <row r="58" spans="1:13">
      <c r="A58" s="186"/>
      <c r="C58" s="43" t="e">
        <f>SUM(C39:C57)</f>
        <v>#REF!</v>
      </c>
      <c r="D58" s="494"/>
      <c r="E58" s="518" t="e">
        <f>SUM(E39:E57)</f>
        <v>#REF!</v>
      </c>
      <c r="F58" s="519" t="e">
        <f>E58/C58</f>
        <v>#REF!</v>
      </c>
      <c r="G58" s="494" t="s">
        <v>647</v>
      </c>
      <c r="H58" s="231"/>
      <c r="I58" s="553">
        <f>J58*I57/J57</f>
        <v>40.831829835723106</v>
      </c>
      <c r="J58" s="240">
        <v>21500</v>
      </c>
    </row>
    <row r="59" spans="1:13">
      <c r="A59" s="186"/>
      <c r="C59" s="43" t="e">
        <f>SUM(C42:C56)</f>
        <v>#REF!</v>
      </c>
      <c r="D59" s="494"/>
      <c r="E59" s="518" t="e">
        <f>SUM(E42:E56)</f>
        <v>#REF!</v>
      </c>
      <c r="F59" s="519" t="e">
        <f>E59/C59</f>
        <v>#REF!</v>
      </c>
      <c r="G59" s="494" t="s">
        <v>648</v>
      </c>
      <c r="H59" s="57"/>
    </row>
    <row r="60" spans="1:13">
      <c r="A60" s="186"/>
      <c r="C60" s="43" t="e">
        <f>SUM(#REF!)</f>
        <v>#REF!</v>
      </c>
      <c r="D60" s="494"/>
      <c r="E60" s="518" t="e">
        <f>SUM(#REF!)</f>
        <v>#REF!</v>
      </c>
      <c r="F60" s="519" t="e">
        <f>E60/C60</f>
        <v>#REF!</v>
      </c>
      <c r="G60" s="551">
        <v>100</v>
      </c>
    </row>
    <row r="61" spans="1:13">
      <c r="A61" s="186"/>
      <c r="D61" s="186"/>
      <c r="E61" s="186"/>
      <c r="F61" s="186"/>
      <c r="G61" s="186"/>
    </row>
    <row r="62" spans="1:13">
      <c r="A62" s="186"/>
      <c r="D62" s="186"/>
      <c r="E62" s="186"/>
      <c r="F62" s="186"/>
      <c r="G62" s="186"/>
    </row>
    <row r="63" spans="1:13">
      <c r="A63" s="186"/>
      <c r="D63" s="186"/>
      <c r="E63" s="186"/>
      <c r="F63" s="186"/>
      <c r="G63" s="186"/>
      <c r="H63" s="57"/>
    </row>
    <row r="64" spans="1:13">
      <c r="A64" s="186"/>
      <c r="D64" s="186"/>
      <c r="E64" s="186"/>
      <c r="F64" s="186"/>
      <c r="G64" s="186"/>
      <c r="H64" s="57"/>
    </row>
    <row r="65" spans="1:8">
      <c r="A65" s="186"/>
      <c r="D65" s="186"/>
      <c r="E65" s="186"/>
      <c r="F65" s="186"/>
      <c r="G65" s="186"/>
      <c r="H65" s="57"/>
    </row>
    <row r="66" spans="1:8">
      <c r="A66" s="186"/>
      <c r="D66" s="186"/>
      <c r="E66" s="186"/>
      <c r="F66" s="186"/>
      <c r="G66" s="186"/>
      <c r="H66" s="57"/>
    </row>
    <row r="67" spans="1:8">
      <c r="A67" s="186"/>
      <c r="D67" s="186"/>
      <c r="E67" s="186"/>
      <c r="F67" s="186"/>
      <c r="G67" s="186"/>
      <c r="H67" s="57"/>
    </row>
    <row r="68" spans="1:8">
      <c r="A68" s="186"/>
      <c r="D68" s="186"/>
      <c r="E68" s="186"/>
      <c r="F68" s="186"/>
      <c r="G68" s="186"/>
      <c r="H68" s="57"/>
    </row>
    <row r="69" spans="1:8">
      <c r="A69" s="186"/>
      <c r="D69" s="186"/>
      <c r="E69" s="186"/>
      <c r="F69" s="186"/>
      <c r="G69" s="186"/>
      <c r="H69" s="57"/>
    </row>
    <row r="70" spans="1:8">
      <c r="A70" s="186"/>
      <c r="D70" s="186"/>
      <c r="E70" s="186"/>
      <c r="F70" s="186"/>
      <c r="G70" s="186"/>
      <c r="H70" s="57"/>
    </row>
    <row r="71" spans="1:8">
      <c r="A71" s="186"/>
      <c r="D71" s="186"/>
      <c r="E71" s="186"/>
      <c r="F71" s="186"/>
      <c r="G71" s="186"/>
      <c r="H71" s="57"/>
    </row>
    <row r="72" spans="1:8">
      <c r="A72" s="186"/>
      <c r="D72" s="186"/>
      <c r="E72" s="186"/>
      <c r="F72" s="186"/>
      <c r="G72" s="186"/>
      <c r="H72" s="57"/>
    </row>
    <row r="73" spans="1:8">
      <c r="A73" s="186"/>
      <c r="D73" s="186"/>
      <c r="E73" s="186"/>
      <c r="F73" s="186"/>
      <c r="G73" s="186"/>
      <c r="H73" s="57"/>
    </row>
    <row r="74" spans="1:8">
      <c r="A74" s="186"/>
      <c r="D74" s="186"/>
      <c r="E74" s="186"/>
      <c r="F74" s="186"/>
      <c r="G74" s="186"/>
    </row>
    <row r="75" spans="1:8">
      <c r="A75" s="186"/>
      <c r="D75" s="186"/>
      <c r="E75" s="186"/>
      <c r="F75" s="186"/>
      <c r="G75" s="186"/>
    </row>
    <row r="76" spans="1:8">
      <c r="A76" s="186"/>
      <c r="D76" s="186"/>
      <c r="E76" s="186"/>
      <c r="F76" s="186"/>
      <c r="G76" s="186"/>
    </row>
    <row r="77" spans="1:8">
      <c r="A77" s="186"/>
      <c r="D77" s="186"/>
      <c r="E77" s="186"/>
      <c r="F77" s="186"/>
      <c r="G77" s="186"/>
    </row>
    <row r="78" spans="1:8">
      <c r="A78" s="186"/>
      <c r="D78" s="186"/>
      <c r="E78" s="186"/>
      <c r="F78" s="186"/>
      <c r="G78" s="186"/>
    </row>
    <row r="79" spans="1:8">
      <c r="A79" s="186"/>
      <c r="D79" s="186"/>
      <c r="E79" s="186"/>
      <c r="F79" s="186"/>
      <c r="G79" s="186"/>
    </row>
    <row r="80" spans="1:8">
      <c r="A80" s="186"/>
      <c r="D80" s="186"/>
      <c r="E80" s="186"/>
      <c r="F80" s="186"/>
      <c r="G80" s="186"/>
    </row>
    <row r="81" spans="1:7">
      <c r="A81" s="186"/>
      <c r="D81" s="186"/>
      <c r="E81" s="186"/>
      <c r="F81" s="186"/>
      <c r="G81" s="186"/>
    </row>
    <row r="82" spans="1:7">
      <c r="A82" s="186"/>
      <c r="D82" s="186"/>
      <c r="E82" s="186"/>
      <c r="F82" s="186"/>
      <c r="G82" s="186"/>
    </row>
  </sheetData>
  <mergeCells count="7">
    <mergeCell ref="H38:I38"/>
    <mergeCell ref="G41:H41"/>
    <mergeCell ref="D14:F14"/>
    <mergeCell ref="I14:J14"/>
    <mergeCell ref="E15:E16"/>
    <mergeCell ref="I17:J17"/>
    <mergeCell ref="I18:J18"/>
  </mergeCells>
  <conditionalFormatting sqref="B19">
    <cfRule type="cellIs" dxfId="10" priority="2" operator="lessThanOrEqual">
      <formula>0</formula>
    </cfRule>
    <cfRule type="cellIs" dxfId="9" priority="3" operator="between">
      <formula>0.05</formula>
      <formula>0</formula>
    </cfRule>
    <cfRule type="cellIs" dxfId="8" priority="4" operator="greaterThan">
      <formula>0.05</formula>
    </cfRule>
  </conditionalFormatting>
  <conditionalFormatting sqref="E17">
    <cfRule type="cellIs" dxfId="7" priority="6" operator="greaterThan">
      <formula>$E$15</formula>
    </cfRule>
    <cfRule type="cellIs" dxfId="6" priority="7" operator="lessThan">
      <formula>$E$15</formula>
    </cfRule>
  </conditionalFormatting>
  <conditionalFormatting sqref="F2:F12 F39:F56">
    <cfRule type="cellIs" dxfId="5" priority="11" stopIfTrue="1" operator="greaterThan">
      <formula>5</formula>
    </cfRule>
  </conditionalFormatting>
  <conditionalFormatting sqref="F58:F60">
    <cfRule type="cellIs" dxfId="4" priority="1" operator="equal">
      <formula>$B$19</formula>
    </cfRule>
  </conditionalFormatting>
  <conditionalFormatting sqref="I16">
    <cfRule type="cellIs" dxfId="3" priority="5" operator="greaterThan">
      <formula>210</formula>
    </cfRule>
  </conditionalFormatting>
  <conditionalFormatting sqref="I17:J17">
    <cfRule type="cellIs" dxfId="2" priority="10" stopIfTrue="1" operator="greaterThan">
      <formula>210</formula>
    </cfRule>
  </conditionalFormatting>
  <conditionalFormatting sqref="I18:J18">
    <cfRule type="cellIs" dxfId="1" priority="9" stopIfTrue="1" operator="greaterThan">
      <formula>910</formula>
    </cfRule>
  </conditionalFormatting>
  <conditionalFormatting sqref="N13:N26">
    <cfRule type="cellIs" dxfId="0" priority="8" operator="greaterThan">
      <formula>0.5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Franklin</dc:creator>
  <cp:keywords/>
  <dc:description/>
  <cp:lastModifiedBy/>
  <cp:revision/>
  <dcterms:created xsi:type="dcterms:W3CDTF">2017-07-09T17:05:11Z</dcterms:created>
  <dcterms:modified xsi:type="dcterms:W3CDTF">2026-05-31T16:56:49Z</dcterms:modified>
  <cp:category/>
  <cp:contentStatus/>
</cp:coreProperties>
</file>