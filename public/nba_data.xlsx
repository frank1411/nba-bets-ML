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9B0E5AE2-5EA2-41DA-944F-58FC520838F1}"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885"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90" i="17" l="1"/>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39"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33" i="17"/>
  <c r="C1033" i="17"/>
  <c r="C1028" i="17"/>
  <c r="C1027" i="17"/>
  <c r="J1026" i="17"/>
  <c r="I1026" i="17"/>
  <c r="C1026" i="17"/>
  <c r="K1025" i="17"/>
  <c r="C1025" i="17"/>
  <c r="K1024" i="17"/>
  <c r="C1024" i="17"/>
  <c r="K1023" i="17"/>
  <c r="C1023" i="17"/>
  <c r="K1022" i="17"/>
  <c r="K1026" i="17" s="1"/>
  <c r="C1020" i="17"/>
  <c r="C1019" i="17"/>
  <c r="C1018" i="17"/>
  <c r="C1017" i="17"/>
  <c r="C1016" i="17"/>
  <c r="C1015"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33" i="17" s="1"/>
  <c r="F103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90" i="17" l="1"/>
  <c r="L990" i="17" s="1"/>
  <c r="F990" i="17"/>
  <c r="F989" i="17"/>
  <c r="F988" i="17"/>
  <c r="F987" i="17"/>
  <c r="F986" i="17"/>
  <c r="F985" i="17"/>
  <c r="F984" i="17"/>
  <c r="F983" i="17"/>
  <c r="F982" i="17"/>
  <c r="F981" i="17"/>
  <c r="F980" i="17"/>
  <c r="F979" i="17"/>
  <c r="F978" i="17"/>
  <c r="F977" i="17"/>
  <c r="F976" i="17"/>
  <c r="G975" i="17"/>
  <c r="G976" i="17" s="1"/>
  <c r="G977" i="17" s="1"/>
  <c r="G978" i="17" s="1"/>
  <c r="G979" i="17" s="1"/>
  <c r="G980" i="17" s="1"/>
  <c r="G981" i="17" s="1"/>
  <c r="G982" i="17" s="1"/>
  <c r="G983" i="17" s="1"/>
  <c r="G984" i="17" s="1"/>
  <c r="G985" i="17" s="1"/>
  <c r="G986" i="17" s="1"/>
  <c r="G987" i="17" s="1"/>
  <c r="G988" i="17" s="1"/>
  <c r="G989" i="17" s="1"/>
  <c r="G990" i="17" s="1"/>
  <c r="F975" i="17"/>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15"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1016" i="17"/>
  <c r="F1016" i="17" s="1"/>
  <c r="E1017" i="17"/>
  <c r="F1017" i="17" s="1"/>
  <c r="E1018" i="17"/>
  <c r="J125" i="17"/>
  <c r="I21" i="17"/>
  <c r="L21" i="17" s="1"/>
  <c r="E1019" i="17"/>
  <c r="F1019" i="17" s="1"/>
  <c r="J180" i="17"/>
  <c r="I134" i="17"/>
  <c r="L134" i="17" s="1"/>
  <c r="E1020" i="17"/>
  <c r="F1020" i="17" s="1"/>
  <c r="J263" i="17"/>
  <c r="I190" i="17"/>
  <c r="L190" i="17" s="1"/>
  <c r="C1021" i="17"/>
  <c r="E264" i="17"/>
  <c r="I378" i="17"/>
  <c r="L378" i="17" s="1"/>
  <c r="C1022" i="17"/>
  <c r="E403" i="17"/>
  <c r="E1023" i="17"/>
  <c r="F1023" i="17" s="1"/>
  <c r="J519" i="17"/>
  <c r="I464" i="17"/>
  <c r="L464" i="17" s="1"/>
  <c r="E1024" i="17"/>
  <c r="F1024" i="17" s="1"/>
  <c r="J556" i="17"/>
  <c r="I526" i="17"/>
  <c r="L526" i="17" s="1"/>
  <c r="E1025" i="17"/>
  <c r="F1025" i="17" s="1"/>
  <c r="J613" i="17"/>
  <c r="I565" i="17"/>
  <c r="L565" i="17" s="1"/>
  <c r="E1026" i="17"/>
  <c r="F1026" i="17" s="1"/>
  <c r="J692" i="17"/>
  <c r="I623" i="17"/>
  <c r="L623" i="17" s="1"/>
  <c r="I692" i="17"/>
  <c r="L692" i="17" s="1"/>
  <c r="E1027" i="17"/>
  <c r="F1027" i="17" s="1"/>
  <c r="J756" i="17"/>
  <c r="I695" i="17"/>
  <c r="L695" i="17" s="1"/>
  <c r="E1028" i="17"/>
  <c r="F1028" i="17" s="1"/>
  <c r="C1031" i="17"/>
  <c r="C1032" i="17"/>
  <c r="F974" i="17" l="1"/>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1022" i="17"/>
  <c r="F1022" i="17" s="1"/>
  <c r="J454" i="17"/>
  <c r="E1021" i="17"/>
  <c r="F1021"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32" i="17"/>
  <c r="F1032" i="17" s="1"/>
  <c r="F101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E1031" i="17"/>
  <c r="F1031" i="17" s="1"/>
  <c r="F101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<sst xmlns="http://schemas.openxmlformats.org/spreadsheetml/2006/main" count="2462" uniqueCount="1021">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</sst>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20" fillId="0" borderId="0"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20" fillId="0" borderId="95" xfId="0" applyNumberFormat="1" applyFont="1" applyBorder="1" applyAlignment="1">
      <alignment horizontal="right" vertical="center"/>
    </xf>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165" fontId="15" fillId="0" borderId="102" xfId="0" applyNumberFormat="1" applyFont="1" applyBorder="1" applyAlignment="1">
      <alignment horizontal="right" vertical="center"/>
    </xf>
  </cellXfs>
  <cellStyles count="3">
    <cellStyle name="Euro" xfId="1" xr:uid="{00000000-0005-0000-0000-000000000000}"/>
    <cellStyle name="Normal" xfId="0" builtinId="0"/>
    <cellStyle name="Percent 2" xfId="2" xr:uid="{00000000-0005-0000-0000-000002000000}"/>
  </cellStyles>
  <dxfs count="123">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NBA!$G$2:$G$991</c:f>
              <c:numCache>
                <c:formatCode>#,##0.00;[Red]#,##0.00</c:formatCode>
                <c:ptCount val="990"/>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pt idx="945">
                  <c:v>87.503811776062051</c:v>
                </c:pt>
                <c:pt idx="946">
                  <c:v>81.373811776062055</c:v>
                </c:pt>
                <c:pt idx="947">
                  <c:v>75.24381177606206</c:v>
                </c:pt>
                <c:pt idx="948">
                  <c:v>69.113811776062064</c:v>
                </c:pt>
                <c:pt idx="949">
                  <c:v>71.080911776062067</c:v>
                </c:pt>
                <c:pt idx="950">
                  <c:v>68.710911776062062</c:v>
                </c:pt>
                <c:pt idx="951">
                  <c:v>66.340911776062057</c:v>
                </c:pt>
                <c:pt idx="952">
                  <c:v>68.473911776062053</c:v>
                </c:pt>
                <c:pt idx="953">
                  <c:v>70.535811776062047</c:v>
                </c:pt>
                <c:pt idx="954">
                  <c:v>72.526611776062055</c:v>
                </c:pt>
                <c:pt idx="955">
                  <c:v>74.541111776062053</c:v>
                </c:pt>
                <c:pt idx="956">
                  <c:v>76.543761776062055</c:v>
                </c:pt>
                <c:pt idx="957">
                  <c:v>78.676761776062051</c:v>
                </c:pt>
                <c:pt idx="958">
                  <c:v>80.809761776062047</c:v>
                </c:pt>
                <c:pt idx="959">
                  <c:v>82.84796177606205</c:v>
                </c:pt>
                <c:pt idx="960">
                  <c:v>84.850611776062053</c:v>
                </c:pt>
                <c:pt idx="961">
                  <c:v>86.82956177606205</c:v>
                </c:pt>
                <c:pt idx="962">
                  <c:v>89.697261776062049</c:v>
                </c:pt>
                <c:pt idx="963">
                  <c:v>87.327261776062045</c:v>
                </c:pt>
                <c:pt idx="964">
                  <c:v>90.56726177606204</c:v>
                </c:pt>
                <c:pt idx="965">
                  <c:v>93.742461776062044</c:v>
                </c:pt>
                <c:pt idx="966">
                  <c:v>89.692461776062046</c:v>
                </c:pt>
                <c:pt idx="967">
                  <c:v>93.013461776062044</c:v>
                </c:pt>
                <c:pt idx="968">
                  <c:v>96.415461776062045</c:v>
                </c:pt>
                <c:pt idx="969">
                  <c:v>92.365461776062048</c:v>
                </c:pt>
                <c:pt idx="970">
                  <c:v>88.315461776062051</c:v>
                </c:pt>
                <c:pt idx="971">
                  <c:v>84.265461776062054</c:v>
                </c:pt>
                <c:pt idx="972">
                  <c:v>80.215461776062057</c:v>
                </c:pt>
                <c:pt idx="973">
                  <c:v>82.394181776062055</c:v>
                </c:pt>
                <c:pt idx="974">
                  <c:v>84.610281776062052</c:v>
                </c:pt>
                <c:pt idx="975">
                  <c:v>81.940281776062051</c:v>
                </c:pt>
                <c:pt idx="976">
                  <c:v>79.270281776062049</c:v>
                </c:pt>
                <c:pt idx="977">
                  <c:v>81.400941776062055</c:v>
                </c:pt>
                <c:pt idx="978">
                  <c:v>83.494221776062062</c:v>
                </c:pt>
                <c:pt idx="979">
                  <c:v>85.750371776062067</c:v>
                </c:pt>
                <c:pt idx="980">
                  <c:v>87.966471776062065</c:v>
                </c:pt>
                <c:pt idx="981">
                  <c:v>85.296471776062063</c:v>
                </c:pt>
                <c:pt idx="982">
                  <c:v>87.913071776062068</c:v>
                </c:pt>
                <c:pt idx="983">
                  <c:v>90.115821776062063</c:v>
                </c:pt>
                <c:pt idx="984">
                  <c:v>92.345271776062063</c:v>
                </c:pt>
                <c:pt idx="985">
                  <c:v>89.675271776062061</c:v>
                </c:pt>
                <c:pt idx="986">
                  <c:v>93.573471776062064</c:v>
                </c:pt>
                <c:pt idx="987">
                  <c:v>95.97647177606207</c:v>
                </c:pt>
                <c:pt idx="988">
                  <c:v>93.306471776062068</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992</xdr:row>
      <xdr:rowOff>0</xdr:rowOff>
    </xdr:from>
    <xdr:to>
      <xdr:col>10</xdr:col>
      <xdr:colOff>0</xdr:colOff>
      <xdr:row>1012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7.76223113425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88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6">
      <pivotArea outline="0" fieldPosition="0">
        <references count="1">
          <reference field="4294967294" count="1" selected="0">
            <x v="1"/>
          </reference>
        </references>
      </pivotArea>
    </format>
    <format dxfId="117">
      <pivotArea outline="0" fieldPosition="0">
        <references count="1">
          <reference field="4294967294" count="1" selected="0">
            <x v="3"/>
          </reference>
        </references>
      </pivotArea>
    </format>
    <format dxfId="118">
      <pivotArea dataOnly="0" labelOnly="1" outline="0" fieldPosition="0">
        <references count="1">
          <reference field="4294967294" count="1">
            <x v="3"/>
          </reference>
        </references>
      </pivotArea>
    </format>
    <format dxfId="119">
      <pivotArea outline="0" fieldPosition="0">
        <references count="1">
          <reference field="4294967294" count="1" selected="0">
            <x v="5"/>
          </reference>
        </references>
      </pivotArea>
    </format>
    <format dxfId="120">
      <pivotArea dataOnly="0" labelOnly="1" outline="0" fieldPosition="0">
        <references count="1">
          <reference field="4294967294" count="1">
            <x v="5"/>
          </reference>
        </references>
      </pivotArea>
    </format>
    <format dxfId="121">
      <pivotArea outline="0" fieldPosition="0">
        <references count="1">
          <reference field="4294967294" count="1" selected="0">
            <x v="7"/>
          </reference>
        </references>
      </pivotArea>
    </format>
    <format dxfId="122">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47"/>
  <sheetViews>
    <sheetView tabSelected="1" topLeftCell="A968" workbookViewId="0">
      <selection activeCell="A975" sqref="A975:XFD975"/>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31">
        <v>45992</v>
      </c>
      <c r="C2" s="473">
        <v>2.38</v>
      </c>
      <c r="D2" s="465"/>
      <c r="E2" s="465">
        <f t="shared" ref="E2:E65" si="0">(C2*D2)-C2</f>
        <v>-2.38</v>
      </c>
      <c r="F2" s="466">
        <f>SUM($E$2:E2)/SUM($C$2:C2)</f>
        <v>-1</v>
      </c>
      <c r="G2" s="465">
        <f>E2</f>
        <v>-2.38</v>
      </c>
      <c r="H2" s="481" t="s">
        <v>10</v>
      </c>
      <c r="I2" s="2"/>
      <c r="J2" s="2"/>
      <c r="K2" s="2"/>
      <c r="O2" s="58"/>
      <c r="P2" s="58"/>
    </row>
    <row r="3" spans="1:16">
      <c r="A3"/>
      <c r="B3" s="531"/>
      <c r="C3" s="469">
        <v>2.38</v>
      </c>
      <c r="D3" s="37">
        <v>2</v>
      </c>
      <c r="E3" s="37">
        <f t="shared" si="0"/>
        <v>2.38</v>
      </c>
      <c r="F3" s="47">
        <f>SUM($E$2:E3)/SUM($C$2:C3)</f>
        <v>0</v>
      </c>
      <c r="G3" s="37">
        <f t="shared" ref="G3:G10" si="1">G2+E3</f>
        <v>0</v>
      </c>
      <c r="H3" s="477" t="s">
        <v>11</v>
      </c>
      <c r="I3" s="2"/>
      <c r="J3" s="2"/>
      <c r="K3" s="2"/>
      <c r="O3" s="58"/>
      <c r="P3" s="58"/>
    </row>
    <row r="4" spans="1:16">
      <c r="A4"/>
      <c r="B4" s="531"/>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31"/>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31"/>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31"/>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31"/>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31"/>
      <c r="C9" s="473">
        <v>2.38</v>
      </c>
      <c r="D9" s="465"/>
      <c r="E9" s="465">
        <f t="shared" si="0"/>
        <v>-2.38</v>
      </c>
      <c r="F9" s="466">
        <f>SUM($E$2:E9)/SUM($C$2:C9)</f>
        <v>0.42625000000000013</v>
      </c>
      <c r="G9" s="465">
        <f t="shared" si="1"/>
        <v>8.1158000000000001</v>
      </c>
      <c r="H9" s="481" t="s">
        <v>17</v>
      </c>
      <c r="I9" s="2"/>
      <c r="J9" s="2"/>
      <c r="K9" s="2"/>
      <c r="O9" s="58"/>
      <c r="P9" s="58"/>
    </row>
    <row r="10" spans="1:16">
      <c r="A10"/>
      <c r="B10" s="531"/>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31"/>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31"/>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31"/>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31"/>
      <c r="C14" s="470">
        <v>2.38</v>
      </c>
      <c r="D14" s="38"/>
      <c r="E14" s="38">
        <f t="shared" si="0"/>
        <v>-2.38</v>
      </c>
      <c r="F14" s="59">
        <f>SUM($E$2:E14)/SUM($C$2:C14)</f>
        <v>0.45184615384615395</v>
      </c>
      <c r="G14" s="38">
        <f t="shared" si="2"/>
        <v>13.980119999999999</v>
      </c>
      <c r="H14" s="471" t="s">
        <v>22</v>
      </c>
      <c r="I14" s="2"/>
      <c r="J14" s="2"/>
      <c r="K14" s="2"/>
      <c r="O14" s="58"/>
      <c r="P14" s="58"/>
    </row>
    <row r="15" spans="1:16">
      <c r="A15"/>
      <c r="B15" s="531"/>
      <c r="C15" s="473">
        <v>2.38</v>
      </c>
      <c r="D15" s="465"/>
      <c r="E15" s="465">
        <f t="shared" si="0"/>
        <v>-2.38</v>
      </c>
      <c r="F15" s="466">
        <f>SUM($E$2:E15)/SUM($C$2:C15)</f>
        <v>0.34814285714285725</v>
      </c>
      <c r="G15" s="465">
        <f t="shared" si="2"/>
        <v>11.60012</v>
      </c>
      <c r="H15" s="481" t="s">
        <v>23</v>
      </c>
      <c r="I15" s="2"/>
      <c r="J15" s="2"/>
      <c r="K15" s="2"/>
      <c r="O15" s="58"/>
      <c r="P15" s="58"/>
    </row>
    <row r="16" spans="1:16">
      <c r="A16"/>
      <c r="B16" s="531"/>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31"/>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31"/>
      <c r="C18" s="469">
        <v>2.38</v>
      </c>
      <c r="D18" s="37"/>
      <c r="E18" s="37">
        <f t="shared" si="0"/>
        <v>-2.38</v>
      </c>
      <c r="F18" s="47">
        <f>SUM($E$2:E18)/SUM($C$2:C18)</f>
        <v>0.31282352941176478</v>
      </c>
      <c r="G18" s="37">
        <f t="shared" si="2"/>
        <v>12.656840000000003</v>
      </c>
      <c r="H18" s="477" t="s">
        <v>26</v>
      </c>
      <c r="I18" s="2"/>
      <c r="J18" s="2"/>
      <c r="K18" s="2"/>
      <c r="O18" s="58"/>
      <c r="P18" s="58"/>
    </row>
    <row r="19" spans="1:16">
      <c r="A19"/>
      <c r="B19" s="531"/>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31"/>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31"/>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30">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31"/>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31"/>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31"/>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31"/>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31"/>
      <c r="C27" s="473">
        <v>3.66</v>
      </c>
      <c r="D27" s="465"/>
      <c r="E27" s="465">
        <f t="shared" si="0"/>
        <v>-3.66</v>
      </c>
      <c r="F27" s="466">
        <f>SUM($E$2:E27)/SUM($C$2:C27)</f>
        <v>0.3295810810810812</v>
      </c>
      <c r="G27" s="465">
        <f t="shared" si="2"/>
        <v>22.925660000000004</v>
      </c>
      <c r="H27" s="481" t="s">
        <v>34</v>
      </c>
      <c r="I27" s="2"/>
      <c r="J27" s="2"/>
      <c r="K27" s="2"/>
      <c r="O27" s="58"/>
      <c r="P27" s="58"/>
    </row>
    <row r="28" spans="1:16">
      <c r="A28"/>
      <c r="B28" s="531"/>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31"/>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31"/>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31"/>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31"/>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31"/>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31"/>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31"/>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31"/>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31"/>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31"/>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30">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31"/>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31"/>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31"/>
      <c r="C42" s="469">
        <v>2.56</v>
      </c>
      <c r="D42" s="37"/>
      <c r="E42" s="37">
        <f t="shared" si="0"/>
        <v>-2.56</v>
      </c>
      <c r="F42" s="47">
        <f>SUM($E$2:E42)/SUM($C$2:C42)</f>
        <v>0.44006480093286687</v>
      </c>
      <c r="G42" s="37">
        <f t="shared" si="2"/>
        <v>52.834179999999982</v>
      </c>
      <c r="H42" s="477" t="s">
        <v>46</v>
      </c>
      <c r="I42" s="2"/>
      <c r="J42" s="2"/>
      <c r="K42" s="2"/>
      <c r="O42" s="58"/>
      <c r="P42" s="58"/>
    </row>
    <row r="43" spans="1:16">
      <c r="A43"/>
      <c r="B43" s="531"/>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31"/>
      <c r="C44" s="469">
        <v>2.56</v>
      </c>
      <c r="D44" s="37"/>
      <c r="E44" s="37">
        <f t="shared" si="0"/>
        <v>-2.56</v>
      </c>
      <c r="F44" s="47">
        <f>SUM($E$2:E44)/SUM($C$2:C44)</f>
        <v>0.41924348937529948</v>
      </c>
      <c r="G44" s="37">
        <f t="shared" si="2"/>
        <v>52.480899999999977</v>
      </c>
      <c r="H44" s="477" t="s">
        <v>47</v>
      </c>
      <c r="I44" s="2"/>
      <c r="J44" s="2"/>
      <c r="K44" s="2"/>
      <c r="O44" s="58"/>
      <c r="P44" s="58"/>
    </row>
    <row r="45" spans="1:16">
      <c r="A45"/>
      <c r="B45" s="531"/>
      <c r="C45" s="467">
        <v>2.56</v>
      </c>
      <c r="D45" s="40"/>
      <c r="E45" s="40">
        <f t="shared" si="0"/>
        <v>-2.56</v>
      </c>
      <c r="F45" s="48">
        <f>SUM($E$2:E45)/SUM($C$2:C45)</f>
        <v>0.3908008454673555</v>
      </c>
      <c r="G45" s="40">
        <f t="shared" si="2"/>
        <v>49.920899999999975</v>
      </c>
      <c r="H45" s="468" t="s">
        <v>48</v>
      </c>
      <c r="I45" s="2"/>
      <c r="J45" s="2"/>
      <c r="K45" s="2"/>
      <c r="O45" s="58"/>
      <c r="P45" s="58"/>
    </row>
    <row r="46" spans="1:16">
      <c r="A46"/>
      <c r="B46" s="532"/>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32"/>
      <c r="C47" s="476">
        <v>2.56</v>
      </c>
      <c r="D47" s="37"/>
      <c r="E47" s="37">
        <f t="shared" si="0"/>
        <v>-2.56</v>
      </c>
      <c r="F47" s="47">
        <f>SUM($E$2:E47)/SUM($C$2:C47)</f>
        <v>0.37308158964323335</v>
      </c>
      <c r="G47" s="37">
        <f t="shared" si="2"/>
        <v>49.56761999999997</v>
      </c>
      <c r="H47" s="477" t="s">
        <v>10</v>
      </c>
      <c r="I47" s="2"/>
      <c r="J47" s="2"/>
      <c r="K47" s="2"/>
      <c r="O47" s="58"/>
      <c r="P47" s="58"/>
    </row>
    <row r="48" spans="1:16">
      <c r="A48"/>
      <c r="B48" s="532"/>
      <c r="C48" s="476">
        <v>2.56</v>
      </c>
      <c r="D48" s="37"/>
      <c r="E48" s="37">
        <f t="shared" si="0"/>
        <v>-2.56</v>
      </c>
      <c r="F48" s="47">
        <f>SUM($E$2:E48)/SUM($C$2:C48)</f>
        <v>0.34712464923940323</v>
      </c>
      <c r="G48" s="37">
        <f>G47+E48</f>
        <v>47.007619999999967</v>
      </c>
      <c r="H48" s="477" t="s">
        <v>49</v>
      </c>
      <c r="I48" s="2"/>
      <c r="J48" s="2"/>
      <c r="K48" s="2"/>
      <c r="O48" s="58"/>
      <c r="P48" s="58"/>
    </row>
    <row r="49" spans="1:16">
      <c r="A49"/>
      <c r="B49" s="532"/>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31"/>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31"/>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31"/>
      <c r="C52" s="469">
        <v>2.56</v>
      </c>
      <c r="D52" s="37"/>
      <c r="E52" s="37">
        <f t="shared" si="0"/>
        <v>-2.56</v>
      </c>
      <c r="F52" s="47">
        <f>SUM($E$2:E52)/SUM($C$2:C52)</f>
        <v>0.28250954277083595</v>
      </c>
      <c r="G52" s="37">
        <f t="shared" si="3"/>
        <v>41.150339999999957</v>
      </c>
      <c r="H52" s="477" t="s">
        <v>53</v>
      </c>
      <c r="I52" s="2"/>
      <c r="J52" s="2"/>
      <c r="K52" s="2"/>
      <c r="O52" s="58"/>
      <c r="P52" s="58"/>
    </row>
    <row r="53" spans="1:16">
      <c r="A53"/>
      <c r="B53" s="531"/>
      <c r="C53" s="469">
        <v>2.56</v>
      </c>
      <c r="D53" s="37"/>
      <c r="E53" s="37">
        <f t="shared" si="0"/>
        <v>-2.56</v>
      </c>
      <c r="F53" s="47">
        <f>SUM($E$2:E53)/SUM($C$2:C53)</f>
        <v>0.26035852111725788</v>
      </c>
      <c r="G53" s="37">
        <f t="shared" si="3"/>
        <v>38.590339999999955</v>
      </c>
      <c r="H53" s="477" t="s">
        <v>54</v>
      </c>
      <c r="I53" s="2"/>
      <c r="J53" s="2"/>
      <c r="K53" s="2"/>
      <c r="O53" s="58"/>
      <c r="P53" s="58"/>
    </row>
    <row r="54" spans="1:16">
      <c r="A54"/>
      <c r="B54" s="531"/>
      <c r="C54" s="469">
        <v>2.56</v>
      </c>
      <c r="D54" s="37"/>
      <c r="E54" s="37">
        <f t="shared" si="0"/>
        <v>-2.56</v>
      </c>
      <c r="F54" s="47">
        <f>SUM($E$2:E54)/SUM($C$2:C54)</f>
        <v>0.23895967634964824</v>
      </c>
      <c r="G54" s="37">
        <f t="shared" si="3"/>
        <v>36.030339999999953</v>
      </c>
      <c r="H54" s="477" t="s">
        <v>55</v>
      </c>
      <c r="I54" s="2"/>
      <c r="J54" s="2"/>
      <c r="K54" s="2"/>
      <c r="O54" s="58"/>
      <c r="P54" s="58"/>
    </row>
    <row r="55" spans="1:16">
      <c r="A55"/>
      <c r="B55" s="531"/>
      <c r="C55" s="469">
        <v>2.56</v>
      </c>
      <c r="D55" s="37"/>
      <c r="E55" s="37">
        <f t="shared" si="0"/>
        <v>-2.56</v>
      </c>
      <c r="F55" s="47">
        <f>SUM($E$2:E55)/SUM($C$2:C55)</f>
        <v>0.21827533585496253</v>
      </c>
      <c r="G55" s="37">
        <f t="shared" si="3"/>
        <v>33.47033999999995</v>
      </c>
      <c r="H55" s="477" t="s">
        <v>56</v>
      </c>
      <c r="I55" s="2"/>
      <c r="J55" s="2"/>
      <c r="K55" s="2"/>
      <c r="O55" s="58"/>
      <c r="P55" s="58"/>
    </row>
    <row r="56" spans="1:16">
      <c r="A56"/>
      <c r="B56" s="531"/>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30">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31"/>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31"/>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31"/>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31"/>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31"/>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31"/>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31"/>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31"/>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31"/>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31"/>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31"/>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31"/>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30">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31"/>
      <c r="C71" s="469">
        <v>1.89</v>
      </c>
      <c r="D71" s="37"/>
      <c r="E71" s="37">
        <f t="shared" si="4"/>
        <v>-1.89</v>
      </c>
      <c r="F71" s="47">
        <f>SUM($E$2:E71)/SUM($C$2:C71)</f>
        <v>0.15426477606461078</v>
      </c>
      <c r="G71" s="37">
        <f t="shared" si="3"/>
        <v>33.617379999999955</v>
      </c>
      <c r="H71" s="477" t="s">
        <v>38</v>
      </c>
      <c r="I71" s="2"/>
      <c r="J71" s="2"/>
      <c r="K71" s="2"/>
      <c r="O71" s="58"/>
      <c r="P71" s="58"/>
    </row>
    <row r="72" spans="1:16">
      <c r="A72"/>
      <c r="B72" s="531"/>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31"/>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31"/>
      <c r="C74" s="469">
        <v>1.89</v>
      </c>
      <c r="D74" s="37"/>
      <c r="E74" s="37">
        <f t="shared" si="4"/>
        <v>-1.89</v>
      </c>
      <c r="F74" s="47">
        <f>SUM($E$2:E74)/SUM($C$2:C74)</f>
        <v>0.15594865602218341</v>
      </c>
      <c r="G74" s="37">
        <f t="shared" si="3"/>
        <v>34.868559999999952</v>
      </c>
      <c r="H74" s="477" t="s">
        <v>46</v>
      </c>
      <c r="I74" s="2"/>
      <c r="J74" s="2"/>
      <c r="K74" s="2"/>
      <c r="O74" s="58"/>
      <c r="P74" s="58"/>
    </row>
    <row r="75" spans="1:16">
      <c r="A75"/>
      <c r="B75" s="531"/>
      <c r="C75" s="469">
        <v>1.89</v>
      </c>
      <c r="D75" s="37"/>
      <c r="E75" s="37">
        <f t="shared" si="4"/>
        <v>-1.89</v>
      </c>
      <c r="F75" s="47">
        <f>SUM($E$2:E75)/SUM($C$2:C75)</f>
        <v>0.14625935781444024</v>
      </c>
      <c r="G75" s="37">
        <f t="shared" si="3"/>
        <v>32.978559999999952</v>
      </c>
      <c r="H75" s="477" t="s">
        <v>16</v>
      </c>
      <c r="I75" s="2"/>
      <c r="J75" s="2"/>
      <c r="K75" s="2"/>
      <c r="O75" s="58"/>
      <c r="P75" s="58"/>
    </row>
    <row r="76" spans="1:16">
      <c r="A76"/>
      <c r="B76" s="531"/>
      <c r="C76" s="469">
        <v>1.89</v>
      </c>
      <c r="D76" s="37"/>
      <c r="E76" s="37">
        <f t="shared" si="4"/>
        <v>-1.89</v>
      </c>
      <c r="F76" s="47">
        <f>SUM($E$2:E76)/SUM($C$2:C76)</f>
        <v>0.13673114307076564</v>
      </c>
      <c r="G76" s="37">
        <f t="shared" si="3"/>
        <v>31.088559999999951</v>
      </c>
      <c r="H76" s="477" t="s">
        <v>12</v>
      </c>
      <c r="I76" s="2"/>
      <c r="J76" s="2"/>
      <c r="K76" s="2"/>
      <c r="O76" s="58"/>
      <c r="P76" s="58"/>
    </row>
    <row r="77" spans="1:16">
      <c r="A77"/>
      <c r="B77" s="531"/>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31"/>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31"/>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31"/>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31"/>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31"/>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31"/>
      <c r="C83" s="469">
        <v>1.89</v>
      </c>
      <c r="D83" s="37"/>
      <c r="E83" s="37">
        <f t="shared" si="4"/>
        <v>-1.89</v>
      </c>
      <c r="F83" s="47">
        <f>SUM($E$2:E83)/SUM($C$2:C83)</f>
        <v>0.16297497921862017</v>
      </c>
      <c r="G83" s="37">
        <f t="shared" si="3"/>
        <v>39.211779999999955</v>
      </c>
      <c r="H83" s="477" t="s">
        <v>32</v>
      </c>
      <c r="I83" s="2"/>
      <c r="J83" s="2"/>
      <c r="K83" s="2"/>
      <c r="O83" s="58"/>
      <c r="P83" s="58"/>
    </row>
    <row r="84" spans="1:16">
      <c r="A84"/>
      <c r="B84" s="531"/>
      <c r="C84" s="470">
        <v>1.89</v>
      </c>
      <c r="D84" s="38"/>
      <c r="E84" s="38">
        <f t="shared" si="4"/>
        <v>-1.89</v>
      </c>
      <c r="F84" s="59">
        <f>SUM($E$2:E84)/SUM($C$2:C84)</f>
        <v>0.15391059425130937</v>
      </c>
      <c r="G84" s="38">
        <f t="shared" si="3"/>
        <v>37.321779999999954</v>
      </c>
      <c r="H84" s="471" t="s">
        <v>50</v>
      </c>
      <c r="I84" s="2"/>
      <c r="J84" s="2"/>
      <c r="K84" s="2"/>
      <c r="O84" s="58"/>
      <c r="P84" s="58"/>
    </row>
    <row r="85" spans="1:16">
      <c r="A85"/>
      <c r="B85" s="531"/>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31"/>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31"/>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31"/>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31"/>
      <c r="C89" s="469">
        <v>1.89</v>
      </c>
      <c r="D89" s="37"/>
      <c r="E89" s="37">
        <f t="shared" si="4"/>
        <v>-1.89</v>
      </c>
      <c r="F89" s="47">
        <f>SUM($E$2:E89)/SUM($C$2:C89)</f>
        <v>0.16314114471699617</v>
      </c>
      <c r="G89" s="37">
        <f t="shared" si="3"/>
        <v>41.101779999999948</v>
      </c>
      <c r="H89" s="477" t="s">
        <v>66</v>
      </c>
      <c r="I89" s="2"/>
      <c r="J89" s="2"/>
      <c r="K89" s="2"/>
      <c r="O89" s="58"/>
      <c r="P89" s="58"/>
    </row>
    <row r="90" spans="1:16">
      <c r="A90"/>
      <c r="B90" s="531"/>
      <c r="C90" s="469">
        <v>1.89</v>
      </c>
      <c r="D90" s="37"/>
      <c r="E90" s="37">
        <f t="shared" si="4"/>
        <v>-1.89</v>
      </c>
      <c r="F90" s="47">
        <f>SUM($E$2:E90)/SUM($C$2:C90)</f>
        <v>0.15448047906078877</v>
      </c>
      <c r="G90" s="37">
        <f t="shared" si="3"/>
        <v>39.211779999999948</v>
      </c>
      <c r="H90" s="477" t="s">
        <v>67</v>
      </c>
      <c r="I90" s="2"/>
      <c r="J90" s="2"/>
      <c r="K90" s="2"/>
      <c r="O90" s="58"/>
      <c r="P90" s="58"/>
    </row>
    <row r="91" spans="1:16">
      <c r="A91"/>
      <c r="B91" s="531"/>
      <c r="C91" s="469">
        <v>1.89</v>
      </c>
      <c r="D91" s="37"/>
      <c r="E91" s="37">
        <f t="shared" si="4"/>
        <v>-1.89</v>
      </c>
      <c r="F91" s="47">
        <f>SUM($E$2:E91)/SUM($C$2:C91)</f>
        <v>0.14594783356796501</v>
      </c>
      <c r="G91" s="37">
        <f t="shared" si="3"/>
        <v>37.321779999999947</v>
      </c>
      <c r="H91" s="477" t="s">
        <v>68</v>
      </c>
      <c r="I91" s="2"/>
      <c r="J91" s="2"/>
      <c r="K91" s="2"/>
      <c r="O91" s="58"/>
      <c r="P91" s="58"/>
    </row>
    <row r="92" spans="1:16">
      <c r="A92"/>
      <c r="B92" s="531"/>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30">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31"/>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31"/>
      <c r="C95" s="469">
        <v>3.22</v>
      </c>
      <c r="D95" s="37"/>
      <c r="E95" s="37">
        <f t="shared" si="4"/>
        <v>-3.22</v>
      </c>
      <c r="F95" s="47">
        <f>SUM($E$2:E95)/SUM($C$2:C95)</f>
        <v>0.11931672091892093</v>
      </c>
      <c r="G95" s="37">
        <f t="shared" si="3"/>
        <v>31.889779999999952</v>
      </c>
      <c r="H95" s="477" t="s">
        <v>39</v>
      </c>
      <c r="I95" s="2"/>
      <c r="J95" s="2"/>
      <c r="K95" s="2"/>
      <c r="O95" s="58"/>
      <c r="P95" s="58"/>
    </row>
    <row r="96" spans="1:16">
      <c r="A96"/>
      <c r="B96" s="531"/>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31"/>
      <c r="C97" s="470">
        <v>3.22</v>
      </c>
      <c r="D97" s="38"/>
      <c r="E97" s="38">
        <f t="shared" si="4"/>
        <v>-3.22</v>
      </c>
      <c r="F97" s="59">
        <f>SUM($E$2:E97)/SUM($C$2:C97)</f>
        <v>0.11488590113623905</v>
      </c>
      <c r="G97" s="38">
        <f t="shared" si="3"/>
        <v>31.445419999999956</v>
      </c>
      <c r="H97" s="471" t="s">
        <v>12</v>
      </c>
      <c r="I97" s="2"/>
      <c r="J97" s="2"/>
      <c r="K97" s="2"/>
      <c r="O97" s="58"/>
      <c r="P97" s="58"/>
    </row>
    <row r="98" spans="1:16">
      <c r="A98"/>
      <c r="B98" s="531"/>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31"/>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31"/>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31"/>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31"/>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31"/>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31"/>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31"/>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31"/>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31"/>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31"/>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31"/>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31"/>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30">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31"/>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31"/>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31"/>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31"/>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31"/>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31"/>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31"/>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31"/>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31"/>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31"/>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31"/>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31"/>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31"/>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31"/>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30">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31"/>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31"/>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31"/>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31"/>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31"/>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31"/>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31"/>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31"/>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30">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31"/>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31"/>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31"/>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31"/>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30">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31"/>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31"/>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31"/>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31"/>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31"/>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31"/>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31"/>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31"/>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31"/>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30">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31"/>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31"/>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31"/>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31"/>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31"/>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31"/>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31"/>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31"/>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31"/>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31"/>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31"/>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31"/>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31"/>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31"/>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30">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31"/>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31"/>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31"/>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31"/>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31"/>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31"/>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31"/>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31"/>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31"/>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31"/>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31"/>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31"/>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31"/>
      <c r="C178" s="473">
        <v>2.69</v>
      </c>
      <c r="D178" s="465"/>
      <c r="E178" s="465">
        <f t="shared" si="7"/>
        <v>-2.69</v>
      </c>
      <c r="F178" s="466">
        <f>SUM($E$2:E178)/SUM($C$2:C178)</f>
        <v>-5.8508133736614324E-3</v>
      </c>
      <c r="G178" s="465">
        <f t="shared" si="6"/>
        <v>-3.5786500000000152</v>
      </c>
      <c r="H178" s="481" t="s">
        <v>98</v>
      </c>
      <c r="O178" s="58"/>
      <c r="P178" s="58"/>
    </row>
    <row r="179" spans="1:16">
      <c r="A179"/>
      <c r="B179" s="531"/>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31"/>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30">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31"/>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31"/>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31"/>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31"/>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31"/>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31"/>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31"/>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31"/>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31"/>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30">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31"/>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31"/>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31"/>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31"/>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31"/>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30">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31"/>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31"/>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31"/>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31"/>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31"/>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31"/>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31"/>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31"/>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31"/>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31"/>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31"/>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31"/>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31"/>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31"/>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31"/>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31"/>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31"/>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31"/>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31"/>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31"/>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31"/>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31"/>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31"/>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30">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31"/>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31"/>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31"/>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31"/>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31"/>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31"/>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31"/>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31"/>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31"/>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30">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31"/>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31"/>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31"/>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31"/>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31"/>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31"/>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31"/>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31"/>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31"/>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31"/>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31"/>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31"/>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31"/>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31"/>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31"/>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31"/>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31"/>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31"/>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30">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31"/>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31"/>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31"/>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31"/>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31"/>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31"/>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31"/>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31"/>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31"/>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31"/>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31"/>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31"/>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31"/>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30">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31"/>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31"/>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31"/>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31"/>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31"/>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31"/>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31"/>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31"/>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31"/>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31"/>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31"/>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31"/>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30">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31"/>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31"/>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31"/>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31"/>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31"/>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31"/>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31"/>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31"/>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31"/>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31"/>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31"/>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31"/>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31"/>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31"/>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31"/>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31"/>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31"/>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31"/>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31"/>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31"/>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31"/>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31"/>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31"/>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31"/>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31"/>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30">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31"/>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31"/>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31"/>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31"/>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31"/>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31"/>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31"/>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31"/>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31"/>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31"/>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31"/>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30">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31"/>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31"/>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31"/>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31"/>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31"/>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31"/>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31"/>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31"/>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31"/>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31"/>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31"/>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31"/>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31"/>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31"/>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31"/>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31"/>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30">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31"/>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31"/>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31"/>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31"/>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31"/>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31"/>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31"/>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31"/>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31"/>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31"/>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31"/>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30">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31"/>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31"/>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31"/>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31"/>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31"/>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31"/>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31"/>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31"/>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31"/>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31"/>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31"/>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31"/>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31"/>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30">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31"/>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31"/>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31"/>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31"/>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31"/>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31"/>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31"/>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31"/>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31"/>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31"/>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31"/>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31"/>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31"/>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31"/>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31"/>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31"/>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31"/>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31"/>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31"/>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31"/>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30">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31"/>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31"/>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31"/>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31"/>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31"/>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31"/>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31"/>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31"/>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30">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31"/>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31"/>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31"/>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31"/>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31"/>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31"/>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31"/>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31"/>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31"/>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31"/>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31"/>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31"/>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31"/>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31"/>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30">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31"/>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31"/>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31"/>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31"/>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31"/>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30">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31"/>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31"/>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31"/>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31"/>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31"/>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31"/>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31"/>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31"/>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31"/>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31"/>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31"/>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31"/>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31"/>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31"/>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31"/>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31"/>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31"/>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30">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31"/>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31"/>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31"/>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31"/>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31"/>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31"/>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31"/>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31"/>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31"/>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31"/>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31"/>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31"/>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31"/>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30">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31"/>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31"/>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31"/>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31"/>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31"/>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31"/>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31"/>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31"/>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31"/>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31"/>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31"/>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31"/>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31"/>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30">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31"/>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31"/>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31"/>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31"/>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31"/>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31"/>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31"/>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31"/>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31"/>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30">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31"/>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31"/>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31"/>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31"/>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31"/>
      <c r="C470" s="473">
        <v>3.6</v>
      </c>
      <c r="D470" s="465"/>
      <c r="E470" s="465">
        <f t="shared" si="17"/>
        <v>-3.6</v>
      </c>
      <c r="F470" s="466">
        <f>SUM($E$2:E470)/SUM($C$2:C470)</f>
        <v>4.8497088571479354E-3</v>
      </c>
      <c r="G470" s="465">
        <f t="shared" si="16"/>
        <v>7.1581217760618028</v>
      </c>
      <c r="H470" s="481" t="s">
        <v>24</v>
      </c>
      <c r="O470" s="58"/>
      <c r="P470" s="58"/>
    </row>
    <row r="471" spans="1:16">
      <c r="A471"/>
      <c r="B471" s="531"/>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30">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31"/>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31"/>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31"/>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31"/>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31"/>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31"/>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31"/>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31"/>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31"/>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31"/>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33"/>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30">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31"/>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31"/>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31"/>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30">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31"/>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31"/>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31"/>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31"/>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31"/>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31"/>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31"/>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31"/>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31"/>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31"/>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31"/>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30">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31"/>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31"/>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31"/>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31"/>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31"/>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31"/>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31"/>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30">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31"/>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31"/>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31"/>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31"/>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31"/>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31"/>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31"/>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31"/>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31"/>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31"/>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33"/>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31">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31"/>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31"/>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31"/>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31"/>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31"/>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31"/>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30">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31"/>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30">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31"/>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31"/>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31"/>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31"/>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31"/>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31"/>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31"/>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31"/>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30">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31"/>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31"/>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31"/>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31"/>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31"/>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31"/>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31"/>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31"/>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33"/>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31">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31"/>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31"/>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31"/>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31"/>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30">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31"/>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31"/>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33"/>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31">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31"/>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31"/>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31"/>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31"/>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31"/>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31"/>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31"/>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33"/>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31">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31"/>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31"/>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31"/>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31"/>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30">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31"/>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31"/>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31"/>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33"/>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31">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31"/>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31"/>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31"/>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31"/>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31"/>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31"/>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31"/>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33"/>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31">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31"/>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31"/>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31"/>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31"/>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31"/>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31"/>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30">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31"/>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31"/>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31"/>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31"/>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31"/>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31"/>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31"/>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31"/>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31"/>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31"/>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31"/>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31"/>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31"/>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30">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31"/>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31"/>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31"/>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31"/>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31"/>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31"/>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31"/>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30">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31"/>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31"/>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31"/>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31"/>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31"/>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31"/>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31"/>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31"/>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31"/>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30">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31"/>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31"/>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31"/>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31"/>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31"/>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31"/>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31"/>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31"/>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31"/>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30">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31"/>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31"/>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31"/>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31"/>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31"/>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31"/>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31"/>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31"/>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31"/>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31"/>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31"/>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31"/>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31"/>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31"/>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30">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31"/>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31"/>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31"/>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31"/>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31"/>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31"/>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31"/>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31"/>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30">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31"/>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31"/>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31"/>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31"/>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31"/>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31"/>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31"/>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31"/>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31"/>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31"/>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33"/>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31">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31"/>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31"/>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31"/>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31"/>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31"/>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30">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31"/>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31"/>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31"/>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31"/>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31"/>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31"/>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31"/>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31"/>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31"/>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31"/>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31"/>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31"/>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31"/>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31"/>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31"/>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31"/>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30">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31"/>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31"/>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30">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31"/>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31"/>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31"/>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31"/>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31"/>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31"/>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31"/>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31"/>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31"/>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31"/>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31"/>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30">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31"/>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31"/>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31"/>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31"/>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31"/>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31"/>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31"/>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31"/>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31"/>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30">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31"/>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31"/>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31"/>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31"/>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31"/>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31"/>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31"/>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31"/>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31"/>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31"/>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31"/>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30">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31"/>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31"/>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31"/>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31"/>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31"/>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31"/>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31"/>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33"/>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31">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31"/>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31"/>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31"/>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31"/>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31"/>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31"/>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31"/>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31"/>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31"/>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31"/>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31"/>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31"/>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31"/>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31"/>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30">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31"/>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33"/>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30">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31"/>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31"/>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31"/>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31"/>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31"/>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31"/>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31"/>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31"/>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31"/>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31"/>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31"/>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31"/>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30">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31"/>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31"/>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31"/>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31"/>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30">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31"/>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31"/>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31"/>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31"/>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31"/>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31"/>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31"/>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31"/>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31"/>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31"/>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31"/>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31"/>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31"/>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31"/>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31"/>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31"/>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31"/>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31"/>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31"/>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31"/>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31"/>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31"/>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33"/>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30">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31"/>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31"/>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31"/>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31"/>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30">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31"/>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31"/>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31"/>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31"/>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31"/>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31"/>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31"/>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31"/>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31"/>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31"/>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31"/>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31"/>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31"/>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31"/>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31"/>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31"/>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31"/>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31"/>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33"/>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30">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31"/>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31"/>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31"/>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31"/>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31"/>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31"/>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31"/>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31"/>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31"/>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31"/>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31"/>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31"/>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31"/>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31"/>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30">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31"/>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31"/>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31"/>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31"/>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31"/>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31"/>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31"/>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31"/>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33"/>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30">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31"/>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31"/>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31"/>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31"/>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31"/>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31"/>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31"/>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31"/>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31"/>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31"/>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31"/>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31"/>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31"/>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31"/>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31"/>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31"/>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31"/>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30">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31"/>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31"/>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31"/>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33"/>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31">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31"/>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31"/>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31"/>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31"/>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31"/>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31"/>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31"/>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31"/>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31"/>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31"/>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31"/>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31"/>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31"/>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30">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31"/>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31"/>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31"/>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31"/>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31"/>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31"/>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31"/>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31"/>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31"/>
      <c r="C895" s="490">
        <v>4.07</v>
      </c>
      <c r="D895" s="488"/>
      <c r="E895" s="485">
        <f t="shared" si="29"/>
        <v>-4.07</v>
      </c>
      <c r="F895" s="491">
        <f>SUM($E$2:E895)/SUM($C$2:C895)</f>
        <v>3.1961646300722776E-2</v>
      </c>
      <c r="G895" s="485">
        <f t="shared" ref="G895:G958" si="30">G894+E895</f>
        <v>89.099161776061919</v>
      </c>
      <c r="H895" s="492" t="s">
        <v>33</v>
      </c>
      <c r="I895" s="2"/>
      <c r="J895" s="2"/>
      <c r="K895" s="2"/>
      <c r="L895" s="2"/>
      <c r="O895" s="58"/>
      <c r="P895" s="58"/>
    </row>
    <row r="896" spans="1:16">
      <c r="A896"/>
      <c r="B896" s="531"/>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33"/>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31">
        <v>46079</v>
      </c>
      <c r="C898" s="490">
        <v>2.46</v>
      </c>
      <c r="D898" s="488"/>
      <c r="E898" s="488">
        <f t="shared" ref="E898:E961" si="31">(C898*D898)-C898</f>
        <v>-2.46</v>
      </c>
      <c r="F898" s="491">
        <f>SUM($E$2:E898)/SUM($C$2:C898)</f>
        <v>3.328860188760345E-2</v>
      </c>
      <c r="G898" s="485">
        <f t="shared" si="30"/>
        <v>93.151161776061926</v>
      </c>
      <c r="H898" s="492" t="s">
        <v>34</v>
      </c>
      <c r="I898" s="2"/>
      <c r="J898" s="2"/>
      <c r="K898" s="2"/>
      <c r="L898" s="2"/>
      <c r="O898" s="58"/>
      <c r="P898" s="58"/>
    </row>
    <row r="899" spans="1:16">
      <c r="A899"/>
      <c r="B899" s="531"/>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31"/>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31"/>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31"/>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31"/>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31"/>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31"/>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31"/>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31"/>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31"/>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31"/>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31"/>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31"/>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30">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31"/>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31"/>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31"/>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31"/>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31"/>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31"/>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31"/>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31"/>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31"/>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33"/>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30">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31"/>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31"/>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31"/>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31"/>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31"/>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31"/>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31"/>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31"/>
      <c r="C931" s="508">
        <v>4.71</v>
      </c>
      <c r="D931" s="509"/>
      <c r="E931" s="509">
        <f t="shared" si="31"/>
        <v>-4.71</v>
      </c>
      <c r="F931" s="510">
        <f>SUM($E$2:E931)/SUM($C$2:C931)</f>
        <v>2.6484957925621066E-2</v>
      </c>
      <c r="G931" s="511">
        <f t="shared" si="30"/>
        <v>77.503991776062051</v>
      </c>
      <c r="H931" s="512" t="s">
        <v>21</v>
      </c>
      <c r="I931" s="2">
        <f>SUM(E923:E931)</f>
        <v>12.542729999999999</v>
      </c>
      <c r="K931" s="2">
        <f>SUM(E676:E931)</f>
        <v>-37.54132000000002</v>
      </c>
      <c r="L931" s="2">
        <f>I931/C931</f>
        <v>2.6629999999999998</v>
      </c>
      <c r="O931" s="58"/>
      <c r="P931" s="58"/>
    </row>
    <row r="932" spans="1:16">
      <c r="A932"/>
      <c r="B932" s="530">
        <v>46082</v>
      </c>
      <c r="C932" s="513">
        <v>2.1800000000000002</v>
      </c>
      <c r="D932" s="514">
        <v>1.784</v>
      </c>
      <c r="E932" s="514">
        <f t="shared" si="31"/>
        <v>1.70912</v>
      </c>
      <c r="F932" s="515">
        <f>SUM($E$2:E932)/SUM($C$2:C932)</f>
        <v>2.7048854635126941E-2</v>
      </c>
      <c r="G932" s="516">
        <f t="shared" si="30"/>
        <v>79.21311177606205</v>
      </c>
      <c r="H932" s="517" t="s">
        <v>77</v>
      </c>
      <c r="I932" s="2"/>
      <c r="J932" s="2"/>
      <c r="K932" s="2"/>
      <c r="L932" s="2"/>
      <c r="O932" s="58"/>
      <c r="P932" s="58"/>
    </row>
    <row r="933" spans="1:16">
      <c r="A933"/>
      <c r="B933" s="531"/>
      <c r="C933" s="490">
        <v>2.1800000000000002</v>
      </c>
      <c r="D933" s="488">
        <v>1.784</v>
      </c>
      <c r="E933" s="488">
        <f t="shared" si="31"/>
        <v>1.70912</v>
      </c>
      <c r="F933" s="491">
        <f>SUM($E$2:E933)/SUM($C$2:C933)</f>
        <v>2.7611912435957946E-2</v>
      </c>
      <c r="G933" s="485">
        <f t="shared" si="30"/>
        <v>80.922231776062048</v>
      </c>
      <c r="H933" s="492" t="s">
        <v>18</v>
      </c>
      <c r="I933" s="2"/>
      <c r="J933" s="2"/>
      <c r="K933" s="2"/>
      <c r="L933" s="2"/>
      <c r="O933" s="58"/>
      <c r="P933" s="58"/>
    </row>
    <row r="934" spans="1:16">
      <c r="A934"/>
      <c r="B934" s="531"/>
      <c r="C934" s="490">
        <v>2.1800000000000002</v>
      </c>
      <c r="D934" s="488"/>
      <c r="E934" s="488">
        <f t="shared" si="31"/>
        <v>-2.1800000000000002</v>
      </c>
      <c r="F934" s="491">
        <f>SUM($E$2:E934)/SUM($C$2:C934)</f>
        <v>2.6848091901496805E-2</v>
      </c>
      <c r="G934" s="485">
        <f t="shared" si="30"/>
        <v>78.742231776062042</v>
      </c>
      <c r="H934" s="492" t="s">
        <v>10</v>
      </c>
      <c r="I934" s="2"/>
      <c r="J934" s="2"/>
      <c r="K934" s="2"/>
      <c r="L934" s="2"/>
      <c r="O934" s="58"/>
      <c r="P934" s="58"/>
    </row>
    <row r="935" spans="1:16">
      <c r="A935"/>
      <c r="B935" s="531"/>
      <c r="C935" s="490">
        <v>2.1800000000000002</v>
      </c>
      <c r="D935" s="488">
        <v>1.9</v>
      </c>
      <c r="E935" s="488">
        <f t="shared" si="31"/>
        <v>1.9620000000000002</v>
      </c>
      <c r="F935" s="491">
        <f>SUM($E$2:E935)/SUM($C$2:C935)</f>
        <v>2.7496620776427724E-2</v>
      </c>
      <c r="G935" s="485">
        <f t="shared" si="30"/>
        <v>80.704231776062045</v>
      </c>
      <c r="H935" s="492" t="s">
        <v>36</v>
      </c>
      <c r="I935" s="2"/>
      <c r="J935" s="2"/>
      <c r="K935" s="2"/>
      <c r="L935" s="2"/>
      <c r="O935" s="58"/>
      <c r="P935" s="58"/>
    </row>
    <row r="936" spans="1:16">
      <c r="A936"/>
      <c r="B936" s="531"/>
      <c r="C936" s="490">
        <v>2.1800000000000002</v>
      </c>
      <c r="D936" s="488"/>
      <c r="E936" s="488">
        <f t="shared" si="31"/>
        <v>-2.1800000000000002</v>
      </c>
      <c r="F936" s="491">
        <f>SUM($E$2:E936)/SUM($C$2:C936)</f>
        <v>2.6734019615714737E-2</v>
      </c>
      <c r="G936" s="485">
        <f t="shared" si="30"/>
        <v>78.524231776062038</v>
      </c>
      <c r="H936" s="492" t="s">
        <v>12</v>
      </c>
      <c r="I936" s="2"/>
      <c r="J936" s="2"/>
      <c r="K936" s="2"/>
      <c r="L936" s="2"/>
      <c r="O936" s="58"/>
      <c r="P936" s="58"/>
    </row>
    <row r="937" spans="1:16">
      <c r="A937"/>
      <c r="B937" s="531"/>
      <c r="C937" s="493">
        <v>2.1800000000000002</v>
      </c>
      <c r="D937" s="489"/>
      <c r="E937" s="489">
        <f t="shared" si="31"/>
        <v>-2.1800000000000002</v>
      </c>
      <c r="F937" s="494">
        <f>SUM($E$2:E937)/SUM($C$2:C937)</f>
        <v>2.5972549610488449E-2</v>
      </c>
      <c r="G937" s="484">
        <f t="shared" si="30"/>
        <v>76.344231776062031</v>
      </c>
      <c r="H937" s="495" t="s">
        <v>22</v>
      </c>
      <c r="I937" s="2"/>
      <c r="J937" s="2"/>
      <c r="K937" s="2"/>
      <c r="L937" s="2"/>
      <c r="O937" s="58"/>
      <c r="P937" s="58"/>
    </row>
    <row r="938" spans="1:16">
      <c r="A938"/>
      <c r="B938" s="531"/>
      <c r="C938" s="490">
        <v>2.1800000000000002</v>
      </c>
      <c r="D938" s="488">
        <v>1.9</v>
      </c>
      <c r="E938" s="488">
        <f t="shared" si="31"/>
        <v>1.9620000000000002</v>
      </c>
      <c r="F938" s="491">
        <f>SUM($E$2:E938)/SUM($C$2:C938)</f>
        <v>2.6620285482751551E-2</v>
      </c>
      <c r="G938" s="485">
        <f t="shared" si="30"/>
        <v>78.306231776062035</v>
      </c>
      <c r="H938" s="492" t="s">
        <v>344</v>
      </c>
      <c r="I938" s="2"/>
      <c r="J938" s="2"/>
      <c r="K938" s="2"/>
      <c r="L938" s="2"/>
      <c r="O938" s="58"/>
      <c r="P938" s="58"/>
    </row>
    <row r="939" spans="1:16">
      <c r="A939"/>
      <c r="B939" s="531"/>
      <c r="C939" s="490">
        <v>2.1800000000000002</v>
      </c>
      <c r="D939" s="488">
        <v>1.84</v>
      </c>
      <c r="E939" s="488">
        <f t="shared" si="31"/>
        <v>1.8312000000000004</v>
      </c>
      <c r="F939" s="491">
        <f>SUM($E$2:E939)/SUM($C$2:C939)</f>
        <v>2.7222629332376048E-2</v>
      </c>
      <c r="G939" s="485">
        <f t="shared" si="30"/>
        <v>80.13743177606203</v>
      </c>
      <c r="H939" s="492" t="s">
        <v>345</v>
      </c>
      <c r="I939" s="2"/>
      <c r="J939" s="2"/>
      <c r="K939" s="2"/>
      <c r="L939" s="2"/>
      <c r="O939" s="58"/>
      <c r="P939" s="58"/>
    </row>
    <row r="940" spans="1:16">
      <c r="A940"/>
      <c r="B940" s="531"/>
      <c r="C940" s="490">
        <v>2.1800000000000002</v>
      </c>
      <c r="D940" s="488">
        <v>1.8560000000000001</v>
      </c>
      <c r="E940" s="488">
        <f t="shared" si="31"/>
        <v>1.8660800000000006</v>
      </c>
      <c r="F940" s="491">
        <f>SUM($E$2:E940)/SUM($C$2:C940)</f>
        <v>2.7835921660871826E-2</v>
      </c>
      <c r="G940" s="485">
        <f t="shared" si="30"/>
        <v>82.003511776062027</v>
      </c>
      <c r="H940" s="492" t="s">
        <v>346</v>
      </c>
      <c r="I940" s="2"/>
      <c r="J940" s="2"/>
      <c r="K940" s="2"/>
      <c r="L940" s="2"/>
      <c r="O940" s="58"/>
      <c r="P940" s="58"/>
    </row>
    <row r="941" spans="1:16">
      <c r="A941"/>
      <c r="B941" s="531"/>
      <c r="C941" s="490">
        <v>2.1800000000000002</v>
      </c>
      <c r="D941" s="488">
        <v>1.8560000000000001</v>
      </c>
      <c r="E941" s="488">
        <f t="shared" si="31"/>
        <v>1.8660800000000006</v>
      </c>
      <c r="F941" s="491">
        <f>SUM($E$2:E941)/SUM($C$2:C941)</f>
        <v>2.8448306992226273E-2</v>
      </c>
      <c r="G941" s="485">
        <f t="shared" si="30"/>
        <v>83.869591776062023</v>
      </c>
      <c r="H941" s="492" t="s">
        <v>347</v>
      </c>
      <c r="I941" s="2"/>
      <c r="J941" s="2"/>
      <c r="K941" s="2"/>
      <c r="L941" s="2"/>
      <c r="O941" s="58"/>
      <c r="P941" s="58"/>
    </row>
    <row r="942" spans="1:16">
      <c r="A942"/>
      <c r="B942" s="531"/>
      <c r="C942" s="490">
        <v>2.1800000000000002</v>
      </c>
      <c r="D942" s="488">
        <v>1.87</v>
      </c>
      <c r="E942" s="488">
        <f t="shared" si="31"/>
        <v>1.8966000000000007</v>
      </c>
      <c r="F942" s="491">
        <f>SUM($E$2:E942)/SUM($C$2:C942)</f>
        <v>2.9070131977569202E-2</v>
      </c>
      <c r="G942" s="485">
        <f t="shared" si="30"/>
        <v>85.76619177606203</v>
      </c>
      <c r="H942" s="492" t="s">
        <v>348</v>
      </c>
      <c r="I942" s="2"/>
      <c r="J942" s="2"/>
      <c r="K942" s="2"/>
      <c r="L942" s="2"/>
      <c r="O942" s="58"/>
      <c r="P942" s="58"/>
    </row>
    <row r="943" spans="1:16">
      <c r="A943"/>
      <c r="B943" s="531"/>
      <c r="C943" s="490">
        <v>2.1800000000000002</v>
      </c>
      <c r="D943" s="488">
        <v>1.825</v>
      </c>
      <c r="E943" s="488">
        <f t="shared" si="31"/>
        <v>1.7985000000000002</v>
      </c>
      <c r="F943" s="491">
        <f>SUM($E$2:E943)/SUM($C$2:C943)</f>
        <v>2.9657812625253847E-2</v>
      </c>
      <c r="G943" s="485">
        <f t="shared" si="30"/>
        <v>87.564691776062034</v>
      </c>
      <c r="H943" s="492" t="s">
        <v>349</v>
      </c>
      <c r="I943" s="2"/>
      <c r="J943" s="2"/>
      <c r="K943" s="2"/>
      <c r="L943" s="2"/>
      <c r="O943" s="58"/>
      <c r="P943" s="58"/>
    </row>
    <row r="944" spans="1:16">
      <c r="A944"/>
      <c r="B944" s="531"/>
      <c r="C944" s="490">
        <v>2.1800000000000002</v>
      </c>
      <c r="D944" s="488">
        <v>1.9</v>
      </c>
      <c r="E944" s="488">
        <f t="shared" si="31"/>
        <v>1.9620000000000002</v>
      </c>
      <c r="F944" s="491">
        <f>SUM($E$2:E944)/SUM($C$2:C944)</f>
        <v>3.0299962018242917E-2</v>
      </c>
      <c r="G944" s="485">
        <f t="shared" si="30"/>
        <v>89.526691776062037</v>
      </c>
      <c r="H944" s="492" t="s">
        <v>350</v>
      </c>
      <c r="I944" s="2"/>
      <c r="J944" s="2"/>
      <c r="K944" s="2"/>
      <c r="L944" s="2"/>
      <c r="O944" s="58"/>
      <c r="P944" s="58"/>
    </row>
    <row r="945" spans="1:16">
      <c r="A945"/>
      <c r="B945" s="531"/>
      <c r="C945" s="493">
        <v>2.1800000000000002</v>
      </c>
      <c r="D945" s="489">
        <v>1.9</v>
      </c>
      <c r="E945" s="489">
        <f t="shared" si="31"/>
        <v>1.9620000000000002</v>
      </c>
      <c r="F945" s="494">
        <f>SUM($E$2:E945)/SUM($C$2:C945)</f>
        <v>3.0941164538078231E-2</v>
      </c>
      <c r="G945" s="484">
        <f t="shared" si="30"/>
        <v>91.488691776062041</v>
      </c>
      <c r="H945" s="495" t="s">
        <v>164</v>
      </c>
      <c r="I945" s="2"/>
      <c r="J945" s="2"/>
      <c r="K945" s="2"/>
      <c r="L945" s="2"/>
      <c r="O945" s="58"/>
      <c r="P945" s="58"/>
    </row>
    <row r="946" spans="1:16">
      <c r="A946"/>
      <c r="B946" s="531"/>
      <c r="C946" s="493">
        <v>2.1800000000000002</v>
      </c>
      <c r="D946" s="489">
        <v>1.984</v>
      </c>
      <c r="E946" s="489">
        <f t="shared" si="31"/>
        <v>2.1451199999999999</v>
      </c>
      <c r="F946" s="494">
        <f>SUM($E$2:E946)/SUM($C$2:C946)</f>
        <v>3.1643307213171164E-2</v>
      </c>
      <c r="G946" s="484">
        <f t="shared" si="30"/>
        <v>93.633811776062046</v>
      </c>
      <c r="H946" s="495" t="s">
        <v>49</v>
      </c>
      <c r="I946" s="440">
        <f>SUM(E932:E946)</f>
        <v>16.129820000000002</v>
      </c>
      <c r="J946" s="440">
        <f>SUM(E867:E946)</f>
        <v>8.2861900000000031</v>
      </c>
      <c r="L946" s="2">
        <f>I946/C946</f>
        <v>7.3990000000000009</v>
      </c>
      <c r="O946" s="58"/>
      <c r="P946" s="58"/>
    </row>
    <row r="947" spans="1:16">
      <c r="A947"/>
      <c r="B947" s="530">
        <v>46083</v>
      </c>
      <c r="C947" s="490">
        <v>6.13</v>
      </c>
      <c r="D947" s="518"/>
      <c r="E947" s="519">
        <f t="shared" si="31"/>
        <v>-6.13</v>
      </c>
      <c r="F947" s="520">
        <f>SUM($E$2:E947)/SUM($C$2:C947)</f>
        <v>2.9510554799914341E-2</v>
      </c>
      <c r="G947" s="521">
        <f t="shared" si="30"/>
        <v>87.503811776062051</v>
      </c>
      <c r="H947" s="522" t="s">
        <v>21</v>
      </c>
      <c r="I947" s="2"/>
      <c r="J947" s="2"/>
      <c r="K947" s="2"/>
      <c r="L947" s="2"/>
      <c r="O947" s="58"/>
      <c r="P947" s="58"/>
    </row>
    <row r="948" spans="1:16">
      <c r="A948"/>
      <c r="B948" s="531"/>
      <c r="C948" s="490">
        <v>6.13</v>
      </c>
      <c r="D948" s="488"/>
      <c r="E948" s="488">
        <f t="shared" si="31"/>
        <v>-6.13</v>
      </c>
      <c r="F948" s="491">
        <f>SUM($E$2:E948)/SUM($C$2:C948)</f>
        <v>2.7386602421856431E-2</v>
      </c>
      <c r="G948" s="485">
        <f t="shared" si="30"/>
        <v>81.373811776062055</v>
      </c>
      <c r="H948" s="492" t="s">
        <v>351</v>
      </c>
      <c r="I948" s="2"/>
      <c r="J948" s="2"/>
      <c r="K948" s="2"/>
      <c r="L948" s="2"/>
      <c r="O948" s="58"/>
      <c r="P948" s="58"/>
    </row>
    <row r="949" spans="1:16">
      <c r="A949"/>
      <c r="B949" s="531"/>
      <c r="C949" s="493">
        <v>6.13</v>
      </c>
      <c r="D949" s="489"/>
      <c r="E949" s="489">
        <f t="shared" si="31"/>
        <v>-6.13</v>
      </c>
      <c r="F949" s="494">
        <f>SUM($E$2:E949)/SUM($C$2:C949)</f>
        <v>2.5271395725864929E-2</v>
      </c>
      <c r="G949" s="484">
        <f t="shared" si="30"/>
        <v>75.24381177606206</v>
      </c>
      <c r="H949" s="495" t="s">
        <v>352</v>
      </c>
      <c r="I949" s="2"/>
      <c r="J949" s="2"/>
      <c r="K949" s="2"/>
      <c r="L949" s="2"/>
      <c r="O949" s="58"/>
      <c r="P949" s="58"/>
    </row>
    <row r="950" spans="1:16">
      <c r="A950"/>
      <c r="B950" s="533"/>
      <c r="C950" s="493">
        <v>6.13</v>
      </c>
      <c r="D950" s="489"/>
      <c r="E950" s="489">
        <f t="shared" si="31"/>
        <v>-6.13</v>
      </c>
      <c r="F950" s="494">
        <f>SUM($E$2:E950)/SUM($C$2:C950)</f>
        <v>2.3164880805501491E-2</v>
      </c>
      <c r="G950" s="484">
        <f t="shared" si="30"/>
        <v>69.113811776062064</v>
      </c>
      <c r="H950" s="495" t="s">
        <v>39</v>
      </c>
      <c r="I950" s="2">
        <f>SUM(E947:E950)</f>
        <v>-24.52</v>
      </c>
      <c r="L950" s="2">
        <f>I950/C950</f>
        <v>-4</v>
      </c>
      <c r="O950" s="58"/>
      <c r="P950" s="58"/>
    </row>
    <row r="951" spans="1:16">
      <c r="A951">
        <v>114</v>
      </c>
      <c r="B951" s="530">
        <v>46084</v>
      </c>
      <c r="C951" s="490">
        <v>2.37</v>
      </c>
      <c r="D951" s="488">
        <v>1.83</v>
      </c>
      <c r="E951" s="488">
        <f t="shared" si="31"/>
        <v>1.9671000000000003</v>
      </c>
      <c r="F951" s="491">
        <f>SUM($E$2:E951)/SUM($C$2:C951)</f>
        <v>2.3805284040838877E-2</v>
      </c>
      <c r="G951" s="485">
        <f t="shared" si="30"/>
        <v>71.080911776062067</v>
      </c>
      <c r="H951" s="492" t="s">
        <v>46</v>
      </c>
      <c r="I951" s="2"/>
      <c r="J951" s="2"/>
      <c r="K951" s="2"/>
      <c r="L951" s="2"/>
      <c r="O951" s="58"/>
      <c r="P951" s="58"/>
    </row>
    <row r="952" spans="1:16">
      <c r="A952">
        <v>120</v>
      </c>
      <c r="B952" s="531"/>
      <c r="C952" s="490">
        <v>2.37</v>
      </c>
      <c r="D952" s="488"/>
      <c r="E952" s="488">
        <f t="shared" si="31"/>
        <v>-2.37</v>
      </c>
      <c r="F952" s="491">
        <f>SUM($E$2:E952)/SUM($C$2:C952)</f>
        <v>2.2993311172259154E-2</v>
      </c>
      <c r="G952" s="485">
        <f t="shared" si="30"/>
        <v>68.710911776062062</v>
      </c>
      <c r="H952" s="492" t="s">
        <v>76</v>
      </c>
      <c r="I952" s="2"/>
      <c r="J952" s="2"/>
      <c r="K952" s="2"/>
      <c r="L952" s="2"/>
      <c r="O952" s="58"/>
      <c r="P952" s="58"/>
    </row>
    <row r="953" spans="1:16">
      <c r="A953">
        <v>111</v>
      </c>
      <c r="B953" s="531"/>
      <c r="C953" s="490">
        <v>2.37</v>
      </c>
      <c r="D953" s="488"/>
      <c r="E953" s="488">
        <f t="shared" si="31"/>
        <v>-2.37</v>
      </c>
      <c r="F953" s="491">
        <f>SUM($E$2:E953)/SUM($C$2:C953)</f>
        <v>2.2182625223131282E-2</v>
      </c>
      <c r="G953" s="485">
        <f t="shared" si="30"/>
        <v>66.340911776062057</v>
      </c>
      <c r="H953" s="492" t="s">
        <v>48</v>
      </c>
      <c r="I953" s="2"/>
      <c r="J953" s="2"/>
      <c r="K953" s="2"/>
      <c r="L953" s="2"/>
      <c r="O953" s="58"/>
      <c r="P953" s="58"/>
    </row>
    <row r="954" spans="1:16">
      <c r="A954">
        <v>110</v>
      </c>
      <c r="B954" s="531"/>
      <c r="C954" s="490">
        <v>2.37</v>
      </c>
      <c r="D954" s="488">
        <v>1.9</v>
      </c>
      <c r="E954" s="488">
        <f t="shared" si="31"/>
        <v>2.133</v>
      </c>
      <c r="F954" s="491">
        <f>SUM($E$2:E954)/SUM($C$2:C954)</f>
        <v>2.2877713554132928E-2</v>
      </c>
      <c r="G954" s="485">
        <f t="shared" si="30"/>
        <v>68.473911776062053</v>
      </c>
      <c r="H954" s="492" t="s">
        <v>35</v>
      </c>
      <c r="I954" s="2"/>
      <c r="J954" s="2"/>
      <c r="K954" s="2"/>
      <c r="L954" s="2"/>
      <c r="O954" s="58"/>
      <c r="P954" s="58"/>
    </row>
    <row r="955" spans="1:16">
      <c r="A955">
        <v>112</v>
      </c>
      <c r="B955" s="531"/>
      <c r="C955" s="490">
        <v>2.37</v>
      </c>
      <c r="D955" s="488">
        <v>1.87</v>
      </c>
      <c r="E955" s="488">
        <f t="shared" si="31"/>
        <v>2.0619000000000005</v>
      </c>
      <c r="F955" s="491">
        <f>SUM($E$2:E955)/SUM($C$2:C955)</f>
        <v>2.3547965646125914E-2</v>
      </c>
      <c r="G955" s="485">
        <f t="shared" si="30"/>
        <v>70.535811776062047</v>
      </c>
      <c r="H955" s="492" t="s">
        <v>34</v>
      </c>
      <c r="I955" s="2"/>
      <c r="J955" s="2"/>
      <c r="K955" s="2"/>
      <c r="L955" s="2"/>
      <c r="O955" s="58"/>
      <c r="P955" s="58"/>
    </row>
    <row r="956" spans="1:16">
      <c r="A956">
        <v>119</v>
      </c>
      <c r="B956" s="531"/>
      <c r="C956" s="490">
        <v>2.37</v>
      </c>
      <c r="D956" s="488">
        <v>1.84</v>
      </c>
      <c r="E956" s="488">
        <f t="shared" si="31"/>
        <v>1.9908000000000001</v>
      </c>
      <c r="F956" s="491">
        <f>SUM($E$2:E956)/SUM($C$2:C956)</f>
        <v>2.4193440404586736E-2</v>
      </c>
      <c r="G956" s="485">
        <f t="shared" si="30"/>
        <v>72.526611776062055</v>
      </c>
      <c r="H956" s="492" t="s">
        <v>31</v>
      </c>
      <c r="I956" s="2"/>
      <c r="J956" s="2"/>
      <c r="K956" s="2"/>
      <c r="L956" s="2"/>
      <c r="O956" s="58"/>
      <c r="P956" s="58"/>
    </row>
    <row r="957" spans="1:16">
      <c r="A957">
        <v>122</v>
      </c>
      <c r="B957" s="531"/>
      <c r="C957" s="493">
        <v>2.37</v>
      </c>
      <c r="D957" s="489">
        <v>1.85</v>
      </c>
      <c r="E957" s="489">
        <f t="shared" si="31"/>
        <v>2.0145</v>
      </c>
      <c r="F957" s="494">
        <f>SUM($E$2:E957)/SUM($C$2:C957)</f>
        <v>2.4845794968938895E-2</v>
      </c>
      <c r="G957" s="484">
        <f t="shared" si="30"/>
        <v>74.541111776062053</v>
      </c>
      <c r="H957" s="495" t="s">
        <v>22</v>
      </c>
      <c r="I957" s="2"/>
      <c r="J957" s="2"/>
      <c r="K957" s="2"/>
      <c r="L957" s="2"/>
      <c r="O957" s="58"/>
      <c r="P957" s="58"/>
    </row>
    <row r="958" spans="1:16">
      <c r="A958">
        <v>225</v>
      </c>
      <c r="B958" s="531"/>
      <c r="C958" s="490">
        <v>2.37</v>
      </c>
      <c r="D958" s="488">
        <v>1.845</v>
      </c>
      <c r="E958" s="488">
        <f t="shared" si="31"/>
        <v>2.00265</v>
      </c>
      <c r="F958" s="491">
        <f>SUM($E$2:E958)/SUM($C$2:C958)</f>
        <v>2.549317299337291E-2</v>
      </c>
      <c r="G958" s="485">
        <f t="shared" si="30"/>
        <v>76.543761776062055</v>
      </c>
      <c r="H958" s="492" t="s">
        <v>353</v>
      </c>
      <c r="I958" s="2"/>
      <c r="J958" s="2"/>
      <c r="K958" s="2"/>
      <c r="L958" s="2"/>
      <c r="O958" s="58"/>
      <c r="P958" s="58"/>
    </row>
    <row r="959" spans="1:16">
      <c r="A959">
        <v>220</v>
      </c>
      <c r="B959" s="531"/>
      <c r="C959" s="490">
        <v>2.37</v>
      </c>
      <c r="D959" s="488">
        <v>1.9</v>
      </c>
      <c r="E959" s="488">
        <f t="shared" si="31"/>
        <v>2.133</v>
      </c>
      <c r="F959" s="491">
        <f>SUM($E$2:E959)/SUM($C$2:C959)</f>
        <v>2.6182909116826917E-2</v>
      </c>
      <c r="G959" s="485">
        <f t="shared" ref="G959:G990" si="32">G958+E959</f>
        <v>78.676761776062051</v>
      </c>
      <c r="H959" s="492" t="s">
        <v>354</v>
      </c>
      <c r="I959" s="2"/>
      <c r="J959" s="2"/>
      <c r="K959" s="2"/>
      <c r="L959" s="2"/>
      <c r="O959" s="58"/>
      <c r="P959" s="58"/>
    </row>
    <row r="960" spans="1:16">
      <c r="A960">
        <v>219</v>
      </c>
      <c r="B960" s="531"/>
      <c r="C960" s="490">
        <v>2.37</v>
      </c>
      <c r="D960" s="488">
        <v>1.9</v>
      </c>
      <c r="E960" s="488">
        <f t="shared" si="31"/>
        <v>2.133</v>
      </c>
      <c r="F960" s="491">
        <f>SUM($E$2:E960)/SUM($C$2:C960)</f>
        <v>2.6871558088114107E-2</v>
      </c>
      <c r="G960" s="485">
        <f t="shared" si="32"/>
        <v>80.809761776062047</v>
      </c>
      <c r="H960" s="492" t="s">
        <v>87</v>
      </c>
      <c r="I960" s="2"/>
      <c r="J960" s="2"/>
      <c r="K960" s="2"/>
      <c r="L960" s="2"/>
      <c r="O960" s="58"/>
      <c r="P960" s="58"/>
    </row>
    <row r="961" spans="1:16">
      <c r="A961">
        <v>225</v>
      </c>
      <c r="B961" s="531"/>
      <c r="C961" s="490">
        <v>2.37</v>
      </c>
      <c r="D961" s="488">
        <v>1.86</v>
      </c>
      <c r="E961" s="488">
        <f t="shared" si="31"/>
        <v>2.0382000000000007</v>
      </c>
      <c r="F961" s="491">
        <f>SUM($E$2:E961)/SUM($C$2:C961)</f>
        <v>2.7527623586973162E-2</v>
      </c>
      <c r="G961" s="485">
        <f t="shared" si="32"/>
        <v>82.84796177606205</v>
      </c>
      <c r="H961" s="492" t="s">
        <v>355</v>
      </c>
      <c r="I961" s="2"/>
      <c r="J961" s="2"/>
      <c r="K961" s="2"/>
      <c r="L961" s="2"/>
      <c r="O961" s="58"/>
      <c r="P961" s="58"/>
    </row>
    <row r="962" spans="1:16">
      <c r="A962">
        <v>232</v>
      </c>
      <c r="B962" s="531"/>
      <c r="C962" s="490">
        <v>2.37</v>
      </c>
      <c r="D962" s="488">
        <v>1.845</v>
      </c>
      <c r="E962" s="488">
        <f t="shared" ref="E962:E990" si="33">(C962*D962)-C962</f>
        <v>2.00265</v>
      </c>
      <c r="F962" s="491">
        <f>SUM($E$2:E962)/SUM($C$2:C962)</f>
        <v>2.8170853843314091E-2</v>
      </c>
      <c r="G962" s="485">
        <f t="shared" si="32"/>
        <v>84.850611776062053</v>
      </c>
      <c r="H962" s="492" t="s">
        <v>106</v>
      </c>
      <c r="I962" s="2"/>
      <c r="J962" s="2"/>
      <c r="K962" s="2"/>
      <c r="L962" s="2"/>
      <c r="O962" s="58"/>
      <c r="P962" s="58"/>
    </row>
    <row r="963" spans="1:16">
      <c r="A963">
        <v>235</v>
      </c>
      <c r="B963" s="531"/>
      <c r="C963" s="493">
        <v>2.37</v>
      </c>
      <c r="D963" s="489">
        <v>1.835</v>
      </c>
      <c r="E963" s="489">
        <f t="shared" si="33"/>
        <v>1.9789500000000002</v>
      </c>
      <c r="F963" s="494">
        <f>SUM($E$2:E963)/SUM($C$2:C963)</f>
        <v>2.8805210301343909E-2</v>
      </c>
      <c r="G963" s="484">
        <f t="shared" si="32"/>
        <v>86.82956177606205</v>
      </c>
      <c r="H963" s="495" t="s">
        <v>356</v>
      </c>
      <c r="I963" s="2"/>
      <c r="J963" s="2"/>
      <c r="K963" s="2"/>
      <c r="L963" s="2"/>
      <c r="O963" s="58"/>
      <c r="P963" s="58"/>
    </row>
    <row r="964" spans="1:16">
      <c r="A964"/>
      <c r="B964" s="531"/>
      <c r="C964" s="490">
        <v>2.37</v>
      </c>
      <c r="D964" s="488">
        <v>2.21</v>
      </c>
      <c r="E964" s="488">
        <f t="shared" si="33"/>
        <v>2.8677000000000001</v>
      </c>
      <c r="F964" s="491">
        <f>SUM($E$2:E964)/SUM($C$2:C964)</f>
        <v>2.9733176135849308E-2</v>
      </c>
      <c r="G964" s="485">
        <f t="shared" si="32"/>
        <v>89.697261776062049</v>
      </c>
      <c r="H964" s="492" t="s">
        <v>11</v>
      </c>
      <c r="I964" s="2"/>
      <c r="J964" s="2"/>
      <c r="K964" s="2"/>
      <c r="L964" s="2"/>
      <c r="O964" s="58"/>
      <c r="P964" s="58"/>
    </row>
    <row r="965" spans="1:16">
      <c r="A965"/>
      <c r="B965" s="531"/>
      <c r="C965" s="493">
        <v>2.37</v>
      </c>
      <c r="D965" s="489"/>
      <c r="E965" s="489">
        <f t="shared" si="33"/>
        <v>-2.37</v>
      </c>
      <c r="F965" s="494">
        <f>SUM($E$2:E965)/SUM($C$2:C965)</f>
        <v>2.8924836053029548E-2</v>
      </c>
      <c r="G965" s="484">
        <f t="shared" si="32"/>
        <v>87.327261776062045</v>
      </c>
      <c r="H965" s="495" t="s">
        <v>35</v>
      </c>
      <c r="I965" s="2">
        <f>SUM(E951:E965)</f>
        <v>18.213449999999998</v>
      </c>
      <c r="L965" s="2">
        <f>I965/C965</f>
        <v>7.6849999999999987</v>
      </c>
      <c r="O965" s="58"/>
      <c r="P965" s="58"/>
    </row>
    <row r="966" spans="1:16">
      <c r="A966"/>
      <c r="B966" s="530">
        <v>46085</v>
      </c>
      <c r="C966" s="490">
        <v>4.05</v>
      </c>
      <c r="D966" s="488">
        <v>1.8</v>
      </c>
      <c r="E966" s="488">
        <f t="shared" si="33"/>
        <v>3.24</v>
      </c>
      <c r="F966" s="491">
        <f>SUM($E$2:E966)/SUM($C$2:C966)</f>
        <v>2.9957812942769165E-2</v>
      </c>
      <c r="G966" s="485">
        <f t="shared" si="32"/>
        <v>90.56726177606204</v>
      </c>
      <c r="H966" s="492" t="s">
        <v>34</v>
      </c>
      <c r="I966" s="2"/>
      <c r="J966" s="2"/>
      <c r="K966" s="2"/>
      <c r="L966" s="2"/>
      <c r="O966" s="58"/>
      <c r="P966" s="58"/>
    </row>
    <row r="967" spans="1:16">
      <c r="A967"/>
      <c r="B967" s="531"/>
      <c r="C967" s="490">
        <v>4.05</v>
      </c>
      <c r="D967" s="488">
        <v>1.784</v>
      </c>
      <c r="E967" s="488">
        <f t="shared" si="33"/>
        <v>3.1752000000000002</v>
      </c>
      <c r="F967" s="491">
        <f>SUM($E$2:E967)/SUM($C$2:C967)</f>
        <v>3.0966620015149934E-2</v>
      </c>
      <c r="G967" s="485">
        <f t="shared" si="32"/>
        <v>93.742461776062044</v>
      </c>
      <c r="H967" s="492" t="s">
        <v>32</v>
      </c>
      <c r="I967" s="2"/>
      <c r="J967" s="2"/>
      <c r="K967" s="2"/>
      <c r="L967" s="2"/>
      <c r="O967" s="58"/>
      <c r="P967" s="58"/>
    </row>
    <row r="968" spans="1:16">
      <c r="A968"/>
      <c r="B968" s="531"/>
      <c r="C968" s="493">
        <v>4.05</v>
      </c>
      <c r="D968" s="489"/>
      <c r="E968" s="489">
        <f t="shared" si="33"/>
        <v>-4.05</v>
      </c>
      <c r="F968" s="494">
        <f>SUM($E$2:E968)/SUM($C$2:C968)</f>
        <v>2.9589168126806023E-2</v>
      </c>
      <c r="G968" s="484">
        <f t="shared" si="32"/>
        <v>89.692461776062046</v>
      </c>
      <c r="H968" s="495" t="s">
        <v>12</v>
      </c>
      <c r="I968" s="2"/>
      <c r="J968" s="2"/>
      <c r="K968" s="2"/>
      <c r="L968" s="2"/>
      <c r="O968" s="58"/>
      <c r="P968" s="58"/>
    </row>
    <row r="969" spans="1:16">
      <c r="A969"/>
      <c r="B969" s="531"/>
      <c r="C969" s="490">
        <v>4.05</v>
      </c>
      <c r="D969" s="488">
        <v>1.82</v>
      </c>
      <c r="E969" s="488">
        <f t="shared" si="33"/>
        <v>3.3209999999999997</v>
      </c>
      <c r="F969" s="491">
        <f>SUM($E$2:E969)/SUM($C$2:C969)</f>
        <v>3.0643809619466222E-2</v>
      </c>
      <c r="G969" s="485">
        <f t="shared" si="32"/>
        <v>93.013461776062044</v>
      </c>
      <c r="H969" s="492" t="s">
        <v>357</v>
      </c>
      <c r="I969" s="2"/>
      <c r="J969" s="2"/>
      <c r="K969" s="2"/>
      <c r="L969" s="2"/>
      <c r="O969" s="58"/>
      <c r="P969" s="58"/>
    </row>
    <row r="970" spans="1:16">
      <c r="A970"/>
      <c r="B970" s="531"/>
      <c r="C970" s="490">
        <v>4.05</v>
      </c>
      <c r="D970" s="488">
        <v>1.84</v>
      </c>
      <c r="E970" s="488">
        <f t="shared" si="33"/>
        <v>3.4020000000000001</v>
      </c>
      <c r="F970" s="491">
        <f>SUM($E$2:E970)/SUM($C$2:C970)</f>
        <v>3.1722290803347417E-2</v>
      </c>
      <c r="G970" s="485">
        <f t="shared" si="32"/>
        <v>96.415461776062045</v>
      </c>
      <c r="H970" s="492" t="s">
        <v>80</v>
      </c>
      <c r="I970" s="2"/>
      <c r="J970" s="2"/>
      <c r="K970" s="2"/>
      <c r="L970" s="2"/>
      <c r="O970" s="58"/>
      <c r="P970" s="58"/>
    </row>
    <row r="971" spans="1:16">
      <c r="A971"/>
      <c r="B971" s="531"/>
      <c r="C971" s="490">
        <v>4.05</v>
      </c>
      <c r="D971" s="488"/>
      <c r="E971" s="488">
        <f t="shared" si="33"/>
        <v>-4.05</v>
      </c>
      <c r="F971" s="491">
        <f>SUM($E$2:E971)/SUM($C$2:C971)</f>
        <v>3.0349332418590336E-2</v>
      </c>
      <c r="G971" s="485">
        <f t="shared" si="32"/>
        <v>92.365461776062048</v>
      </c>
      <c r="H971" s="492" t="s">
        <v>358</v>
      </c>
      <c r="I971" s="2"/>
      <c r="J971" s="2"/>
      <c r="K971" s="2"/>
      <c r="L971" s="2"/>
      <c r="O971" s="58"/>
      <c r="P971" s="58"/>
    </row>
    <row r="972" spans="1:16">
      <c r="A972"/>
      <c r="B972" s="531"/>
      <c r="C972" s="493">
        <v>4.05</v>
      </c>
      <c r="D972" s="489"/>
      <c r="E972" s="489">
        <f t="shared" si="33"/>
        <v>-4.05</v>
      </c>
      <c r="F972" s="494">
        <f>SUM($E$2:E972)/SUM($C$2:C972)</f>
        <v>2.8980023290235805E-2</v>
      </c>
      <c r="G972" s="484">
        <f t="shared" si="32"/>
        <v>88.315461776062051</v>
      </c>
      <c r="H972" s="495" t="s">
        <v>359</v>
      </c>
      <c r="I972" s="2"/>
      <c r="J972" s="2"/>
      <c r="K972" s="2"/>
      <c r="L972" s="2"/>
      <c r="O972" s="58"/>
      <c r="P972" s="58"/>
    </row>
    <row r="973" spans="1:16">
      <c r="A973"/>
      <c r="B973" s="531"/>
      <c r="C973" s="490">
        <v>4.05</v>
      </c>
      <c r="D973" s="488"/>
      <c r="E973" s="488">
        <f t="shared" si="33"/>
        <v>-4.05</v>
      </c>
      <c r="F973" s="491">
        <f>SUM($E$2:E973)/SUM($C$2:C973)</f>
        <v>2.7614348888275644E-2</v>
      </c>
      <c r="G973" s="485">
        <f t="shared" si="32"/>
        <v>84.265461776062054</v>
      </c>
      <c r="H973" s="492" t="s">
        <v>49</v>
      </c>
      <c r="I973" s="2"/>
      <c r="J973" s="2"/>
      <c r="K973" s="2"/>
      <c r="L973" s="2"/>
      <c r="O973" s="58"/>
      <c r="P973" s="58"/>
    </row>
    <row r="974" spans="1:16">
      <c r="A974"/>
      <c r="B974" s="533"/>
      <c r="C974" s="493">
        <v>4.05</v>
      </c>
      <c r="D974" s="489"/>
      <c r="E974" s="489">
        <f t="shared" si="33"/>
        <v>-4.05</v>
      </c>
      <c r="F974" s="494">
        <f>SUM($E$2:E974)/SUM($C$2:C974)</f>
        <v>2.6252294759737008E-2</v>
      </c>
      <c r="G974" s="484">
        <f t="shared" si="32"/>
        <v>80.215461776062057</v>
      </c>
      <c r="H974" s="495" t="s">
        <v>32</v>
      </c>
      <c r="I974" s="2">
        <f>SUM(E966:E974)</f>
        <v>-7.1117999999999988</v>
      </c>
      <c r="L974" s="2">
        <f>I974/C974</f>
        <v>-1.7559999999999998</v>
      </c>
      <c r="O974" s="58"/>
      <c r="P974" s="58"/>
    </row>
    <row r="975" spans="1:16">
      <c r="A975">
        <v>115</v>
      </c>
      <c r="B975" s="530">
        <v>46086</v>
      </c>
      <c r="C975" s="490">
        <v>2.67</v>
      </c>
      <c r="D975" s="488">
        <v>1.8160000000000001</v>
      </c>
      <c r="E975" s="488">
        <f t="shared" si="33"/>
        <v>2.1787200000000002</v>
      </c>
      <c r="F975" s="491">
        <f>SUM($E$2:E975)/SUM($C$2:C975)</f>
        <v>2.6941787169723012E-2</v>
      </c>
      <c r="G975" s="485">
        <f t="shared" si="32"/>
        <v>82.394181776062055</v>
      </c>
      <c r="H975" s="492" t="s">
        <v>76</v>
      </c>
      <c r="I975" s="2"/>
      <c r="J975" s="2"/>
      <c r="K975" s="2"/>
      <c r="L975" s="2"/>
      <c r="O975" s="58"/>
      <c r="P975" s="58"/>
    </row>
    <row r="976" spans="1:16">
      <c r="A976">
        <v>117</v>
      </c>
      <c r="B976" s="531"/>
      <c r="C976" s="490">
        <v>2.67</v>
      </c>
      <c r="D976" s="488">
        <v>1.83</v>
      </c>
      <c r="E976" s="488">
        <f t="shared" si="33"/>
        <v>2.2161</v>
      </c>
      <c r="F976" s="491">
        <f>SUM($E$2:E976)/SUM($C$2:C976)</f>
        <v>2.7642288796125975E-2</v>
      </c>
      <c r="G976" s="485">
        <f t="shared" si="32"/>
        <v>84.610281776062052</v>
      </c>
      <c r="H976" s="492" t="s">
        <v>19</v>
      </c>
      <c r="I976" s="2"/>
      <c r="J976" s="2"/>
      <c r="K976" s="2"/>
      <c r="L976" s="2"/>
      <c r="O976" s="58"/>
      <c r="P976" s="58"/>
    </row>
    <row r="977" spans="1:16">
      <c r="A977">
        <v>113</v>
      </c>
      <c r="B977" s="531"/>
      <c r="C977" s="490">
        <v>2.67</v>
      </c>
      <c r="D977" s="488"/>
      <c r="E977" s="488">
        <f t="shared" si="33"/>
        <v>-2.67</v>
      </c>
      <c r="F977" s="491">
        <f>SUM($E$2:E977)/SUM($C$2:C977)</f>
        <v>2.6746665418469956E-2</v>
      </c>
      <c r="G977" s="485">
        <f t="shared" si="32"/>
        <v>81.940281776062051</v>
      </c>
      <c r="H977" s="492" t="s">
        <v>48</v>
      </c>
      <c r="I977" s="2"/>
      <c r="J977" s="2"/>
      <c r="K977" s="2"/>
      <c r="L977" s="2"/>
      <c r="O977" s="58"/>
      <c r="P977" s="58"/>
    </row>
    <row r="978" spans="1:16">
      <c r="A978">
        <v>116</v>
      </c>
      <c r="B978" s="531"/>
      <c r="C978" s="595">
        <v>2.67</v>
      </c>
      <c r="D978" s="488"/>
      <c r="E978" s="488">
        <f t="shared" si="33"/>
        <v>-2.67</v>
      </c>
      <c r="F978" s="491">
        <f>SUM($E$2:E978)/SUM($C$2:C978)</f>
        <v>2.5852601810706925E-2</v>
      </c>
      <c r="G978" s="485">
        <f t="shared" si="32"/>
        <v>79.270281776062049</v>
      </c>
      <c r="H978" s="492" t="s">
        <v>38</v>
      </c>
      <c r="I978" s="2"/>
      <c r="J978" s="2"/>
      <c r="K978" s="2"/>
      <c r="L978" s="2"/>
      <c r="O978" s="58"/>
      <c r="P978" s="58"/>
    </row>
    <row r="979" spans="1:16">
      <c r="A979">
        <v>116</v>
      </c>
      <c r="B979" s="531"/>
      <c r="C979" s="595">
        <v>2.67</v>
      </c>
      <c r="D979" s="488">
        <v>1.798</v>
      </c>
      <c r="E979" s="488">
        <f t="shared" si="33"/>
        <v>2.1306599999999998</v>
      </c>
      <c r="F979" s="491">
        <f>SUM($E$2:E979)/SUM($C$2:C979)</f>
        <v>2.6524382199563361E-2</v>
      </c>
      <c r="G979" s="485">
        <f t="shared" si="32"/>
        <v>81.400941776062055</v>
      </c>
      <c r="H979" s="492" t="s">
        <v>16</v>
      </c>
      <c r="I979" s="2"/>
      <c r="J979" s="2"/>
      <c r="K979" s="2"/>
      <c r="L979" s="2"/>
      <c r="O979" s="58"/>
      <c r="P979" s="58"/>
    </row>
    <row r="980" spans="1:16">
      <c r="A980">
        <v>118</v>
      </c>
      <c r="B980" s="531"/>
      <c r="C980" s="486">
        <v>2.67</v>
      </c>
      <c r="D980" s="489">
        <v>1.784</v>
      </c>
      <c r="E980" s="489">
        <f t="shared" si="33"/>
        <v>2.09328</v>
      </c>
      <c r="F980" s="494">
        <f>SUM($E$2:E980)/SUM($C$2:C980)</f>
        <v>2.7182825052924554E-2</v>
      </c>
      <c r="G980" s="484">
        <f t="shared" si="32"/>
        <v>83.494221776062062</v>
      </c>
      <c r="H980" s="495" t="s">
        <v>77</v>
      </c>
      <c r="I980" s="2"/>
      <c r="J980" s="2"/>
      <c r="K980" s="2"/>
      <c r="L980" s="2"/>
      <c r="O980" s="58"/>
      <c r="P980" s="58"/>
    </row>
    <row r="981" spans="1:16">
      <c r="A981">
        <v>227</v>
      </c>
      <c r="B981" s="531"/>
      <c r="C981" s="595">
        <v>2.67</v>
      </c>
      <c r="D981" s="488">
        <v>1.845</v>
      </c>
      <c r="E981" s="488">
        <f t="shared" si="33"/>
        <v>2.2561499999999999</v>
      </c>
      <c r="F981" s="491">
        <f>SUM($E$2:E981)/SUM($C$2:C981)</f>
        <v>2.7893102960417013E-2</v>
      </c>
      <c r="G981" s="485">
        <f t="shared" si="32"/>
        <v>85.750371776062067</v>
      </c>
      <c r="H981" s="492" t="s">
        <v>360</v>
      </c>
      <c r="I981" s="2"/>
      <c r="J981" s="2"/>
      <c r="K981" s="2"/>
      <c r="L981" s="2"/>
      <c r="O981" s="58"/>
      <c r="P981" s="58"/>
    </row>
    <row r="982" spans="1:16">
      <c r="A982">
        <v>237</v>
      </c>
      <c r="B982" s="531"/>
      <c r="C982" s="595">
        <v>2.67</v>
      </c>
      <c r="D982" s="488">
        <v>1.83</v>
      </c>
      <c r="E982" s="488">
        <f t="shared" si="33"/>
        <v>2.2161</v>
      </c>
      <c r="F982" s="491">
        <f>SUM($E$2:E982)/SUM($C$2:C982)</f>
        <v>2.8589131916352064E-2</v>
      </c>
      <c r="G982" s="485">
        <f t="shared" si="32"/>
        <v>87.966471776062065</v>
      </c>
      <c r="H982" s="492" t="s">
        <v>361</v>
      </c>
      <c r="I982" s="2"/>
      <c r="J982" s="2"/>
      <c r="K982" s="2"/>
      <c r="L982" s="2"/>
      <c r="O982" s="58"/>
      <c r="P982" s="58"/>
    </row>
    <row r="983" spans="1:16">
      <c r="A983">
        <v>221</v>
      </c>
      <c r="B983" s="531"/>
      <c r="C983" s="595">
        <v>2.67</v>
      </c>
      <c r="D983" s="488"/>
      <c r="E983" s="488">
        <f t="shared" si="33"/>
        <v>-2.67</v>
      </c>
      <c r="F983" s="491">
        <f>SUM($E$2:E983)/SUM($C$2:C983)</f>
        <v>2.769734665200952E-2</v>
      </c>
      <c r="G983" s="485">
        <f t="shared" si="32"/>
        <v>85.296471776062063</v>
      </c>
      <c r="H983" s="492" t="s">
        <v>354</v>
      </c>
      <c r="I983" s="2"/>
      <c r="J983" s="2"/>
      <c r="K983" s="2"/>
      <c r="L983" s="2"/>
      <c r="O983" s="58"/>
      <c r="P983" s="58"/>
    </row>
    <row r="984" spans="1:16">
      <c r="A984">
        <v>230</v>
      </c>
      <c r="B984" s="531"/>
      <c r="C984" s="595">
        <v>2.67</v>
      </c>
      <c r="D984" s="488">
        <v>1.98</v>
      </c>
      <c r="E984" s="488">
        <f t="shared" si="33"/>
        <v>2.6166</v>
      </c>
      <c r="F984" s="491">
        <f>SUM($E$2:E984)/SUM($C$2:C984)</f>
        <v>2.852227643873716E-2</v>
      </c>
      <c r="G984" s="485">
        <f t="shared" si="32"/>
        <v>87.913071776062068</v>
      </c>
      <c r="H984" s="492" t="s">
        <v>362</v>
      </c>
      <c r="I984" s="2"/>
      <c r="J984" s="2"/>
      <c r="K984" s="2"/>
      <c r="L984" s="2"/>
      <c r="O984" s="58"/>
      <c r="P984" s="58"/>
    </row>
    <row r="985" spans="1:16">
      <c r="A985">
        <v>231</v>
      </c>
      <c r="B985" s="531"/>
      <c r="C985" s="595">
        <v>2.67</v>
      </c>
      <c r="D985" s="488">
        <v>1.825</v>
      </c>
      <c r="E985" s="488">
        <f t="shared" si="33"/>
        <v>2.20275</v>
      </c>
      <c r="F985" s="491">
        <f>SUM($E$2:E985)/SUM($C$2:C985)</f>
        <v>2.9211626123141203E-2</v>
      </c>
      <c r="G985" s="485">
        <f t="shared" si="32"/>
        <v>90.115821776062063</v>
      </c>
      <c r="H985" s="492" t="s">
        <v>363</v>
      </c>
      <c r="I985" s="2"/>
      <c r="J985" s="2"/>
      <c r="K985" s="2"/>
      <c r="L985" s="2"/>
      <c r="O985" s="58"/>
      <c r="P985" s="58"/>
    </row>
    <row r="986" spans="1:16">
      <c r="A986">
        <v>230</v>
      </c>
      <c r="B986" s="531"/>
      <c r="C986" s="595">
        <v>2.67</v>
      </c>
      <c r="D986" s="488">
        <v>1.835</v>
      </c>
      <c r="E986" s="488">
        <f t="shared" si="33"/>
        <v>2.2294499999999999</v>
      </c>
      <c r="F986" s="491">
        <f>SUM($E$2:E986)/SUM($C$2:C986)</f>
        <v>2.990843107140238E-2</v>
      </c>
      <c r="G986" s="485">
        <f t="shared" si="32"/>
        <v>92.345271776062063</v>
      </c>
      <c r="H986" s="492" t="s">
        <v>208</v>
      </c>
      <c r="I986" s="2"/>
      <c r="J986" s="2"/>
      <c r="K986" s="2"/>
      <c r="L986" s="2"/>
      <c r="O986" s="58"/>
      <c r="P986" s="58"/>
    </row>
    <row r="987" spans="1:16">
      <c r="A987">
        <v>236</v>
      </c>
      <c r="B987" s="531"/>
      <c r="C987" s="486">
        <v>2.67</v>
      </c>
      <c r="D987" s="489"/>
      <c r="E987" s="489">
        <f t="shared" si="33"/>
        <v>-2.67</v>
      </c>
      <c r="F987" s="494">
        <f>SUM($E$2:E987)/SUM($C$2:C987)</f>
        <v>2.9018587947351519E-2</v>
      </c>
      <c r="G987" s="484">
        <f t="shared" si="32"/>
        <v>89.675271776062061</v>
      </c>
      <c r="H987" s="495" t="s">
        <v>364</v>
      </c>
      <c r="I987" s="2"/>
      <c r="J987" s="2"/>
      <c r="K987" s="2"/>
      <c r="L987" s="2"/>
      <c r="O987" s="58"/>
      <c r="P987" s="58"/>
    </row>
    <row r="988" spans="1:16">
      <c r="A988"/>
      <c r="B988" s="531"/>
      <c r="C988" s="595">
        <v>2.67</v>
      </c>
      <c r="D988" s="488">
        <v>2.46</v>
      </c>
      <c r="E988" s="488">
        <f t="shared" si="33"/>
        <v>3.8982000000000001</v>
      </c>
      <c r="F988" s="491">
        <f>SUM($E$2:E988)/SUM($C$2:C988)</f>
        <v>3.0253891694006989E-2</v>
      </c>
      <c r="G988" s="485">
        <f t="shared" si="32"/>
        <v>93.573471776062064</v>
      </c>
      <c r="H988" s="492" t="s">
        <v>21</v>
      </c>
      <c r="I988" s="2"/>
      <c r="J988" s="2"/>
      <c r="K988" s="2"/>
      <c r="L988" s="2"/>
      <c r="O988" s="58"/>
      <c r="P988" s="58"/>
    </row>
    <row r="989" spans="1:16">
      <c r="A989"/>
      <c r="B989" s="531"/>
      <c r="C989" s="595">
        <v>2.67</v>
      </c>
      <c r="D989" s="488">
        <v>1.9</v>
      </c>
      <c r="E989" s="488">
        <f t="shared" si="33"/>
        <v>2.4029999999999996</v>
      </c>
      <c r="F989" s="491">
        <f>SUM($E$2:E989)/SUM($C$2:C989)</f>
        <v>3.1004057932382301E-2</v>
      </c>
      <c r="G989" s="485">
        <f t="shared" si="32"/>
        <v>95.97647177606207</v>
      </c>
      <c r="H989" s="492" t="s">
        <v>39</v>
      </c>
      <c r="I989" s="2"/>
      <c r="J989" s="2"/>
      <c r="K989" s="2"/>
      <c r="L989" s="2"/>
      <c r="O989" s="58"/>
      <c r="P989" s="58"/>
    </row>
    <row r="990" spans="1:16">
      <c r="A990"/>
      <c r="B990" s="531"/>
      <c r="C990" s="486">
        <v>2.67</v>
      </c>
      <c r="D990" s="489"/>
      <c r="E990" s="489">
        <f t="shared" si="33"/>
        <v>-2.67</v>
      </c>
      <c r="F990" s="494">
        <f>SUM($E$2:E990)/SUM($C$2:C990)</f>
        <v>3.0115571147882689E-2</v>
      </c>
      <c r="G990" s="484">
        <f t="shared" si="32"/>
        <v>93.306471776062068</v>
      </c>
      <c r="H990" s="495" t="s">
        <v>47</v>
      </c>
      <c r="I990" s="2">
        <f>SUM(E975:E990)</f>
        <v>13.091009999999999</v>
      </c>
      <c r="L990" s="2">
        <f>I990/C990</f>
        <v>4.9029999999999996</v>
      </c>
      <c r="O990" s="58"/>
      <c r="P990" s="58"/>
    </row>
    <row r="991" spans="1:16">
      <c r="A991"/>
      <c r="D991"/>
      <c r="E991"/>
      <c r="F991"/>
      <c r="G991"/>
      <c r="L991" s="2"/>
      <c r="N991" s="19"/>
      <c r="O991" s="58"/>
      <c r="P991" s="58"/>
    </row>
    <row r="992" spans="1:16">
      <c r="A992"/>
      <c r="D992"/>
      <c r="E992"/>
      <c r="F992"/>
      <c r="G992"/>
      <c r="L992" s="18"/>
      <c r="N992" s="19"/>
      <c r="O992" s="58"/>
      <c r="P992" s="58"/>
    </row>
    <row r="993" spans="1:16">
      <c r="A993"/>
      <c r="D993"/>
      <c r="E993"/>
      <c r="F993"/>
      <c r="G993"/>
      <c r="O993" s="58"/>
      <c r="P993" s="58"/>
    </row>
    <row r="994" spans="1:16">
      <c r="A994"/>
      <c r="D994"/>
      <c r="E994"/>
      <c r="F994"/>
      <c r="G994"/>
      <c r="P994" s="58"/>
    </row>
    <row r="995" spans="1:16">
      <c r="A995"/>
      <c r="D995"/>
      <c r="E995"/>
      <c r="F995"/>
      <c r="G995"/>
      <c r="P995" s="58"/>
    </row>
    <row r="996" spans="1:16">
      <c r="A996"/>
      <c r="D996"/>
      <c r="E996"/>
      <c r="F996"/>
      <c r="G996"/>
      <c r="P996" s="58"/>
    </row>
    <row r="997" spans="1:16">
      <c r="A997"/>
      <c r="D997"/>
      <c r="E997"/>
      <c r="F997"/>
      <c r="G997"/>
      <c r="P997" s="58"/>
    </row>
    <row r="998" spans="1:16">
      <c r="A998"/>
      <c r="D998"/>
      <c r="E998"/>
      <c r="F998"/>
      <c r="G998"/>
    </row>
    <row r="999" spans="1:16">
      <c r="A999"/>
      <c r="D999"/>
      <c r="E999"/>
      <c r="F999"/>
      <c r="G999"/>
    </row>
    <row r="1000" spans="1:16">
      <c r="A1000"/>
      <c r="D1000"/>
      <c r="E1000"/>
      <c r="F1000"/>
      <c r="G1000"/>
    </row>
    <row r="1001" spans="1:16">
      <c r="A1001"/>
      <c r="D1001"/>
      <c r="E1001"/>
      <c r="F1001"/>
      <c r="G1001"/>
    </row>
    <row r="1002" spans="1:16">
      <c r="A1002"/>
      <c r="D1002"/>
      <c r="E1002"/>
      <c r="F1002"/>
      <c r="G1002"/>
    </row>
    <row r="1003" spans="1:16">
      <c r="A1003"/>
      <c r="D1003"/>
      <c r="E1003"/>
      <c r="F1003"/>
      <c r="G1003"/>
    </row>
    <row r="1004" spans="1:16">
      <c r="A1004"/>
      <c r="D1004"/>
      <c r="E1004"/>
      <c r="F1004"/>
      <c r="G1004"/>
    </row>
    <row r="1005" spans="1:16">
      <c r="A1005"/>
      <c r="D1005"/>
      <c r="E1005"/>
      <c r="F1005"/>
      <c r="G1005"/>
    </row>
    <row r="1006" spans="1:16">
      <c r="A1006"/>
      <c r="D1006"/>
      <c r="E1006"/>
      <c r="F1006"/>
      <c r="G1006"/>
    </row>
    <row r="1007" spans="1:16">
      <c r="A1007"/>
      <c r="D1007"/>
      <c r="E1007"/>
      <c r="F1007"/>
      <c r="G1007"/>
    </row>
    <row r="1008" spans="1:16">
      <c r="A1008"/>
      <c r="D1008"/>
      <c r="E1008"/>
      <c r="F1008"/>
      <c r="G1008"/>
    </row>
    <row r="1009" spans="1:14">
      <c r="A1009"/>
      <c r="D1009"/>
      <c r="E1009"/>
      <c r="F1009"/>
      <c r="G1009"/>
    </row>
    <row r="1010" spans="1:14">
      <c r="A1010"/>
      <c r="D1010"/>
      <c r="E1010"/>
      <c r="F1010"/>
      <c r="G1010"/>
    </row>
    <row r="1011" spans="1:14">
      <c r="A1011"/>
      <c r="D1011"/>
      <c r="E1011"/>
      <c r="F1011"/>
      <c r="G1011"/>
    </row>
    <row r="1012" spans="1:14">
      <c r="A1012"/>
      <c r="D1012"/>
      <c r="E1012"/>
      <c r="F1012"/>
      <c r="G1012"/>
    </row>
    <row r="1013" spans="1:14">
      <c r="A1013"/>
      <c r="D1013"/>
      <c r="E1013"/>
      <c r="F1013"/>
      <c r="G1013"/>
    </row>
    <row r="1014" spans="1:14">
      <c r="A1014"/>
      <c r="B1014" s="457" t="s">
        <v>365</v>
      </c>
      <c r="C1014" s="458" t="s">
        <v>1</v>
      </c>
      <c r="D1014" s="497"/>
      <c r="E1014" s="498" t="s">
        <v>3</v>
      </c>
      <c r="F1014" s="499" t="s">
        <v>4</v>
      </c>
      <c r="G1014"/>
      <c r="H1014" s="534" t="s">
        <v>366</v>
      </c>
      <c r="I1014" s="534"/>
    </row>
    <row r="1015" spans="1:14">
      <c r="A1015"/>
      <c r="B1015" s="145" t="s">
        <v>367</v>
      </c>
      <c r="C1015" s="146" t="e">
        <f>SUM(#REF!)</f>
        <v>#REF!</v>
      </c>
      <c r="D1015" s="146"/>
      <c r="E1015" s="146" t="e">
        <f>SUM(#REF!)</f>
        <v>#REF!</v>
      </c>
      <c r="F1015" s="500" t="e">
        <f>E1015/C1015</f>
        <v>#REF!</v>
      </c>
      <c r="G1015" s="138"/>
      <c r="H1015" s="362"/>
    </row>
    <row r="1016" spans="1:14">
      <c r="A1016"/>
      <c r="B1016" s="145" t="s">
        <v>368</v>
      </c>
      <c r="C1016" s="146" t="e">
        <f>SUM(#REF!)</f>
        <v>#REF!</v>
      </c>
      <c r="D1016" s="146"/>
      <c r="E1016" s="146" t="e">
        <f>SUM(#REF!)</f>
        <v>#REF!</v>
      </c>
      <c r="F1016" s="500" t="e">
        <f>E1016/C1016</f>
        <v>#REF!</v>
      </c>
      <c r="G1016" s="138"/>
      <c r="H1016" s="362"/>
      <c r="I1016" s="524"/>
    </row>
    <row r="1017" spans="1:14">
      <c r="A1017"/>
      <c r="B1017" s="145" t="s">
        <v>369</v>
      </c>
      <c r="C1017" s="146" t="e">
        <f>SUM(#REF!)</f>
        <v>#REF!</v>
      </c>
      <c r="D1017" s="146"/>
      <c r="E1017" s="452" t="e">
        <f>SUM(#REF!)</f>
        <v>#REF!</v>
      </c>
      <c r="F1017" s="152" t="e">
        <f>E1017/C1017</f>
        <v>#REF!</v>
      </c>
      <c r="G1017" s="535" t="s">
        <v>370</v>
      </c>
      <c r="H1017" s="536"/>
    </row>
    <row r="1018" spans="1:14">
      <c r="A1018"/>
      <c r="B1018" s="145" t="s">
        <v>371</v>
      </c>
      <c r="C1018" s="146">
        <f>SUM(C2:C125)</f>
        <v>363.56999999999988</v>
      </c>
      <c r="D1018" s="146"/>
      <c r="E1018" s="146">
        <f>SUM(E2:E125)</f>
        <v>0.45845999999998011</v>
      </c>
      <c r="F1018" s="500">
        <f>E1018/C1018</f>
        <v>1.2609951316114648E-3</v>
      </c>
      <c r="G1018"/>
    </row>
    <row r="1019" spans="1:14">
      <c r="A1019"/>
      <c r="B1019" s="145" t="s">
        <v>372</v>
      </c>
      <c r="C1019" s="146">
        <f>SUM(C126:C180)</f>
        <v>253.45999999999987</v>
      </c>
      <c r="D1019" s="146"/>
      <c r="E1019" s="146">
        <f>SUM(E126:E180)</f>
        <v>-9.4171099999999885</v>
      </c>
      <c r="F1019" s="500">
        <f>E1019/C1019</f>
        <v>-3.7154225518819514E-2</v>
      </c>
      <c r="G1019"/>
    </row>
    <row r="1020" spans="1:14">
      <c r="A1020"/>
      <c r="B1020" s="145" t="s">
        <v>373</v>
      </c>
      <c r="C1020" s="146">
        <f>SUM(C181:C263)</f>
        <v>278.7699999999997</v>
      </c>
      <c r="D1020" s="146"/>
      <c r="E1020" s="146">
        <f>SUM(E181:E263)</f>
        <v>2.5899699999999952</v>
      </c>
      <c r="F1020" s="500">
        <f>E1020/C1020</f>
        <v>9.2907055995982285E-3</v>
      </c>
      <c r="G1020"/>
    </row>
    <row r="1021" spans="1:14">
      <c r="A1021"/>
      <c r="B1021" s="145" t="s">
        <v>374</v>
      </c>
      <c r="C1021" s="146">
        <f>SUM(C264:C357)</f>
        <v>253.28999999999982</v>
      </c>
      <c r="D1021" s="146"/>
      <c r="E1021" s="146">
        <f>SUM(E264:E357)</f>
        <v>4.2219799999999932</v>
      </c>
      <c r="F1021" s="500">
        <f>E1021/C1021</f>
        <v>1.6668561727663928E-2</v>
      </c>
      <c r="G1021"/>
      <c r="M1021" s="454"/>
    </row>
    <row r="1022" spans="1:14">
      <c r="A1022"/>
      <c r="B1022" s="145" t="s">
        <v>375</v>
      </c>
      <c r="C1022" s="146">
        <f>SUM(C358:C454)</f>
        <v>277.90000000000015</v>
      </c>
      <c r="D1022" s="146"/>
      <c r="E1022" s="146">
        <f>SUM(E358:E454)</f>
        <v>18.901421776061795</v>
      </c>
      <c r="F1022" s="500">
        <f>E1022/C1022</f>
        <v>6.8015191709470263E-2</v>
      </c>
      <c r="G1022"/>
      <c r="I1022" s="453">
        <v>-50.734390000000062</v>
      </c>
      <c r="J1022" s="454">
        <v>46.224360000000004</v>
      </c>
      <c r="K1022" s="454">
        <f>I1022+J1022</f>
        <v>-4.5100300000000573</v>
      </c>
      <c r="L1022" s="453"/>
      <c r="M1022" s="454"/>
    </row>
    <row r="1023" spans="1:14">
      <c r="A1023"/>
      <c r="B1023" s="145" t="s">
        <v>376</v>
      </c>
      <c r="C1023" s="146">
        <f>SUM(C455:C519)</f>
        <v>174.95999999999992</v>
      </c>
      <c r="D1023" s="146"/>
      <c r="E1023" s="146">
        <f>SUM(E455:E519)</f>
        <v>-27.048020000000008</v>
      </c>
      <c r="F1023" s="500">
        <f>E1023/C1023</f>
        <v>-0.15459545038866038</v>
      </c>
      <c r="G1023"/>
      <c r="I1023" s="453">
        <v>-31.943870000000008</v>
      </c>
      <c r="J1023" s="455">
        <v>45.426540000000003</v>
      </c>
      <c r="K1023" s="454">
        <f>I1023+J1023</f>
        <v>13.482669999999995</v>
      </c>
      <c r="L1023" s="453"/>
      <c r="M1023" s="454"/>
    </row>
    <row r="1024" spans="1:14">
      <c r="A1024"/>
      <c r="B1024" s="145" t="s">
        <v>377</v>
      </c>
      <c r="C1024" s="146">
        <f>SUM(C520:C556)</f>
        <v>119.08000000000008</v>
      </c>
      <c r="D1024" s="146"/>
      <c r="E1024" s="146">
        <f>SUM(E520:E556)</f>
        <v>38.596669999999996</v>
      </c>
      <c r="F1024" s="152">
        <f>E1024/C1024</f>
        <v>0.32412386630836387</v>
      </c>
      <c r="G1024"/>
      <c r="I1024" s="453">
        <v>-27.048020000000008</v>
      </c>
      <c r="J1024" s="454">
        <v>38.596669999999996</v>
      </c>
      <c r="K1024" s="454">
        <f>I1024+J1024</f>
        <v>11.548649999999988</v>
      </c>
      <c r="L1024" s="453"/>
      <c r="M1024" s="454"/>
      <c r="N1024" s="454"/>
    </row>
    <row r="1025" spans="1:13">
      <c r="A1025"/>
      <c r="B1025" s="145" t="s">
        <v>378</v>
      </c>
      <c r="C1025" s="146">
        <f>SUM(C557:C613)</f>
        <v>170.13999999999984</v>
      </c>
      <c r="D1025" s="146"/>
      <c r="E1025" s="452">
        <f>SUM(E557:E613)</f>
        <v>46.224360000000004</v>
      </c>
      <c r="F1025" s="500">
        <f>E1025/C1025</f>
        <v>0.27168426002115931</v>
      </c>
      <c r="G1025"/>
      <c r="I1025" s="453">
        <v>-9.4171099999999885</v>
      </c>
      <c r="J1025" s="454">
        <v>24.18810999999998</v>
      </c>
      <c r="K1025" s="454">
        <f>I1025+J1025</f>
        <v>14.770999999999992</v>
      </c>
      <c r="L1025" s="453"/>
      <c r="M1025" s="454"/>
    </row>
    <row r="1026" spans="1:13">
      <c r="A1026"/>
      <c r="B1026" s="145" t="s">
        <v>379</v>
      </c>
      <c r="C1026" s="146">
        <f>SUM(C614:C692)</f>
        <v>237.56000000000014</v>
      </c>
      <c r="D1026" s="146"/>
      <c r="E1026" s="146">
        <f>SUM(E614:E692)</f>
        <v>45.42653999999996</v>
      </c>
      <c r="F1026" s="500">
        <f>E1026/C1026</f>
        <v>0.19122133355783774</v>
      </c>
      <c r="G1026"/>
      <c r="I1026" s="453">
        <f>SUM(I1022:I1025)</f>
        <v>-119.14339000000007</v>
      </c>
      <c r="J1026" s="453">
        <f>SUM(J1022:J1025)</f>
        <v>154.43567999999999</v>
      </c>
      <c r="K1026" s="454">
        <f>SUM(K1022:K1025)</f>
        <v>35.292289999999916</v>
      </c>
      <c r="L1026" s="453"/>
      <c r="M1026" s="454"/>
    </row>
    <row r="1027" spans="1:13">
      <c r="A1027"/>
      <c r="B1027" s="145" t="s">
        <v>380</v>
      </c>
      <c r="C1027" s="146">
        <f>SUM(C693:C756)</f>
        <v>222.73000000000022</v>
      </c>
      <c r="D1027" s="146"/>
      <c r="E1027" s="146">
        <f>SUM(E693:E756)</f>
        <v>19.997230000000002</v>
      </c>
      <c r="F1027" s="500">
        <f>E1027/C1027</f>
        <v>8.9782382256543725E-2</v>
      </c>
      <c r="G1027"/>
      <c r="I1027" s="453"/>
      <c r="J1027" s="453"/>
      <c r="K1027" s="454"/>
      <c r="M1027" s="454"/>
    </row>
    <row r="1028" spans="1:13">
      <c r="A1028"/>
      <c r="B1028" s="145" t="s">
        <v>381</v>
      </c>
      <c r="C1028" s="146">
        <f>SUM(C898:C898)</f>
        <v>2.46</v>
      </c>
      <c r="D1028" s="146"/>
      <c r="E1028" s="146">
        <f>SUM(E898:E898)</f>
        <v>-2.46</v>
      </c>
      <c r="F1028" s="500">
        <f>E1028/C1028</f>
        <v>-1</v>
      </c>
      <c r="G1028" s="138">
        <v>-117.22220276640927</v>
      </c>
      <c r="H1028" s="362">
        <v>156.29627035521236</v>
      </c>
      <c r="I1028" s="453"/>
      <c r="J1028" s="453"/>
      <c r="K1028" s="454"/>
      <c r="M1028" s="454"/>
    </row>
    <row r="1029" spans="1:13">
      <c r="A1029"/>
      <c r="B1029" s="142"/>
      <c r="C1029" s="143"/>
      <c r="D1029" s="143"/>
      <c r="E1029" s="143"/>
      <c r="F1029" s="144"/>
      <c r="G1029" s="501"/>
      <c r="H1029" s="229"/>
    </row>
    <row r="1030" spans="1:13">
      <c r="A1030"/>
      <c r="D1030"/>
      <c r="E1030" s="137"/>
      <c r="F1030"/>
      <c r="G1030" s="227"/>
      <c r="H1030" s="227"/>
    </row>
    <row r="1031" spans="1:13">
      <c r="A1031"/>
      <c r="C1031" s="43" t="e">
        <f>SUM(C1015:C1030)</f>
        <v>#REF!</v>
      </c>
      <c r="D1031" s="42"/>
      <c r="E1031" s="43" t="e">
        <f>SUM(E1015:E1030)</f>
        <v>#REF!</v>
      </c>
      <c r="F1031" s="44" t="e">
        <f>E1031/C1031</f>
        <v>#REF!</v>
      </c>
      <c r="G1031" s="42" t="s">
        <v>382</v>
      </c>
      <c r="H1031" s="228"/>
    </row>
    <row r="1032" spans="1:13">
      <c r="A1032"/>
      <c r="C1032" s="43">
        <f>SUM(C1018:C1029)</f>
        <v>2353.9199999999996</v>
      </c>
      <c r="D1032" s="42"/>
      <c r="E1032" s="43">
        <f>SUM(E1018:E1029)</f>
        <v>137.49150177606171</v>
      </c>
      <c r="F1032" s="44">
        <f>E1032/C1032</f>
        <v>5.8409589865442216E-2</v>
      </c>
      <c r="G1032" s="42" t="s">
        <v>383</v>
      </c>
      <c r="H1032" s="57"/>
      <c r="I1032" s="236">
        <v>40</v>
      </c>
      <c r="J1032" s="236">
        <v>21062</v>
      </c>
    </row>
    <row r="1033" spans="1:13">
      <c r="A1033"/>
      <c r="C1033" s="43">
        <f>SUM(C704:C756)</f>
        <v>182.88000000000017</v>
      </c>
      <c r="D1033" s="42"/>
      <c r="E1033" s="43">
        <f>SUM(E704:E756)</f>
        <v>6.2223800000000011</v>
      </c>
      <c r="F1033" s="44">
        <f>E1033/C1033</f>
        <v>3.4024387576552906E-2</v>
      </c>
      <c r="G1033" s="502">
        <v>100</v>
      </c>
      <c r="I1033" s="456">
        <f>J1033*I1032/J1032</f>
        <v>40.831829835723106</v>
      </c>
      <c r="J1033" s="236">
        <v>21500</v>
      </c>
    </row>
    <row r="1034" spans="1:13">
      <c r="A1034"/>
      <c r="D1034"/>
      <c r="E1034"/>
      <c r="F1034"/>
      <c r="G1034"/>
    </row>
    <row r="1035" spans="1:13">
      <c r="A1035"/>
      <c r="D1035"/>
      <c r="E1035"/>
      <c r="F1035"/>
      <c r="G1035"/>
    </row>
    <row r="1036" spans="1:13">
      <c r="A1036"/>
      <c r="D1036"/>
      <c r="E1036"/>
      <c r="F1036"/>
      <c r="G1036"/>
      <c r="H1036" s="57"/>
    </row>
    <row r="1037" spans="1:13">
      <c r="A1037"/>
      <c r="D1037"/>
      <c r="E1037"/>
      <c r="F1037"/>
      <c r="G1037"/>
      <c r="H1037" s="57"/>
    </row>
    <row r="1038" spans="1:13">
      <c r="A1038"/>
      <c r="D1038"/>
      <c r="E1038">
        <v>4.2</v>
      </c>
      <c r="F1038">
        <v>18.899999999999999</v>
      </c>
      <c r="G1038"/>
      <c r="H1038" s="57"/>
    </row>
    <row r="1039" spans="1:13">
      <c r="A1039"/>
      <c r="D1039"/>
      <c r="E1039">
        <v>100</v>
      </c>
      <c r="F1039">
        <f>E1039*F1038/E1038</f>
        <v>449.99999999999994</v>
      </c>
      <c r="G1039"/>
      <c r="H1039" s="57"/>
    </row>
    <row r="1040" spans="1:13">
      <c r="A1040"/>
      <c r="D1040"/>
      <c r="E1040"/>
      <c r="F1040"/>
      <c r="G1040"/>
      <c r="H1040" s="57"/>
    </row>
    <row r="1041" spans="1:8">
      <c r="A1041"/>
      <c r="D1041"/>
      <c r="E1041"/>
      <c r="F1041"/>
      <c r="G1041"/>
      <c r="H1041" s="57"/>
    </row>
    <row r="1042" spans="1:8">
      <c r="A1042"/>
      <c r="D1042"/>
      <c r="E1042"/>
      <c r="F1042"/>
      <c r="G1042"/>
      <c r="H1042" s="57"/>
    </row>
    <row r="1043" spans="1:8">
      <c r="A1043"/>
      <c r="D1043"/>
      <c r="E1043"/>
      <c r="F1043"/>
      <c r="G1043"/>
      <c r="H1043" s="57"/>
    </row>
    <row r="1044" spans="1:8">
      <c r="A1044"/>
      <c r="D1044"/>
      <c r="E1044"/>
      <c r="F1044"/>
      <c r="G1044"/>
      <c r="H1044" s="57"/>
    </row>
    <row r="1045" spans="1:8">
      <c r="A1045"/>
      <c r="D1045"/>
      <c r="E1045"/>
      <c r="F1045"/>
      <c r="G1045"/>
      <c r="H1045" s="57"/>
    </row>
    <row r="1046" spans="1:8">
      <c r="A1046"/>
      <c r="D1046"/>
      <c r="E1046"/>
      <c r="F1046"/>
      <c r="G1046"/>
      <c r="H1046" s="57"/>
    </row>
    <row r="1047" spans="1:8">
      <c r="A1047"/>
      <c r="D1047"/>
      <c r="E1047"/>
      <c r="F1047"/>
      <c r="G1047"/>
    </row>
  </sheetData>
  <sortState xmlns:xlrd2="http://schemas.microsoft.com/office/spreadsheetml/2017/richdata2" ref="I555:K558">
    <sortCondition ref="I555:I558"/>
  </sortState>
  <mergeCells count="86">
    <mergeCell ref="B975:B990"/>
    <mergeCell ref="B966:B974"/>
    <mergeCell ref="B799:B803"/>
    <mergeCell ref="H1014:I1014"/>
    <mergeCell ref="G1017:H1017"/>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718:B729"/>
    <mergeCell ref="B730:B738"/>
    <mergeCell ref="B739:B753"/>
    <mergeCell ref="B754:B756"/>
    <mergeCell ref="B757:B769"/>
    <mergeCell ref="B770:B774"/>
    <mergeCell ref="B775:B798"/>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484:B487"/>
    <mergeCell ref="B277:B302"/>
    <mergeCell ref="B379:B387"/>
    <mergeCell ref="B388:B402"/>
    <mergeCell ref="B403:B408"/>
    <mergeCell ref="B344:B357"/>
    <mergeCell ref="B358:B378"/>
    <mergeCell ref="B303:B314"/>
    <mergeCell ref="B315:B331"/>
    <mergeCell ref="B332:B343"/>
    <mergeCell ref="B197:B220"/>
    <mergeCell ref="B221:B230"/>
    <mergeCell ref="B231:B249"/>
    <mergeCell ref="B250:B263"/>
    <mergeCell ref="B264:B276"/>
    <mergeCell ref="B2:B21"/>
    <mergeCell ref="B22:B38"/>
    <mergeCell ref="B39:B56"/>
    <mergeCell ref="B57:B69"/>
    <mergeCell ref="B70:B92"/>
    <mergeCell ref="B165:B180"/>
    <mergeCell ref="B181:B190"/>
    <mergeCell ref="B191:B196"/>
    <mergeCell ref="B150:B164"/>
    <mergeCell ref="B93:B110"/>
    <mergeCell ref="B111:B125"/>
    <mergeCell ref="B126:B134"/>
    <mergeCell ref="B135:B139"/>
    <mergeCell ref="B140:B149"/>
  </mergeCells>
  <conditionalFormatting sqref="F1015:F1029 F2:F756">
    <cfRule type="cellIs" dxfId="115" priority="27" stopIfTrue="1" operator="greaterThan">
      <formula>5</formula>
    </cfRule>
  </conditionalFormatting>
  <conditionalFormatting sqref="F1031:F1033">
    <cfRule type="cellIs" dxfId="114" priority="17" operator="equal">
      <formula>$B$906</formula>
    </cfRule>
  </conditionalFormatting>
  <conditionalFormatting sqref="N991:N992">
    <cfRule type="cellIs" dxfId="113" priority="24" operator="greaterThan">
      <formula>0.5</formula>
    </cfRule>
  </conditionalFormatting>
  <conditionalFormatting sqref="F757:F798">
    <cfRule type="cellIs" dxfId="112" priority="16" stopIfTrue="1" operator="greaterThan">
      <formula>5</formula>
    </cfRule>
  </conditionalFormatting>
  <conditionalFormatting sqref="F799:F803">
    <cfRule type="cellIs" dxfId="111" priority="15" stopIfTrue="1" operator="greaterThan">
      <formula>5</formula>
    </cfRule>
  </conditionalFormatting>
  <conditionalFormatting sqref="F804:F823">
    <cfRule type="cellIs" dxfId="110" priority="14" stopIfTrue="1" operator="greaterThan">
      <formula>5</formula>
    </cfRule>
  </conditionalFormatting>
  <conditionalFormatting sqref="F824:F848">
    <cfRule type="cellIs" dxfId="109" priority="13" stopIfTrue="1" operator="greaterThan">
      <formula>5</formula>
    </cfRule>
  </conditionalFormatting>
  <conditionalFormatting sqref="F849:F866">
    <cfRule type="cellIs" dxfId="108" priority="12" stopIfTrue="1" operator="greaterThan">
      <formula>5</formula>
    </cfRule>
  </conditionalFormatting>
  <conditionalFormatting sqref="F867:F871">
    <cfRule type="cellIs" dxfId="107" priority="11" stopIfTrue="1" operator="greaterThan">
      <formula>5</formula>
    </cfRule>
  </conditionalFormatting>
  <conditionalFormatting sqref="F872:F885">
    <cfRule type="cellIs" dxfId="106" priority="10" stopIfTrue="1" operator="greaterThan">
      <formula>5</formula>
    </cfRule>
  </conditionalFormatting>
  <conditionalFormatting sqref="F886:F897">
    <cfRule type="cellIs" dxfId="105" priority="9" stopIfTrue="1" operator="greaterThan">
      <formula>5</formula>
    </cfRule>
  </conditionalFormatting>
  <conditionalFormatting sqref="F898:F911">
    <cfRule type="cellIs" dxfId="104" priority="8" stopIfTrue="1" operator="greaterThan">
      <formula>5</formula>
    </cfRule>
  </conditionalFormatting>
  <conditionalFormatting sqref="F912:F922">
    <cfRule type="cellIs" dxfId="103" priority="7" stopIfTrue="1" operator="greaterThan">
      <formula>5</formula>
    </cfRule>
  </conditionalFormatting>
  <conditionalFormatting sqref="F923:F931">
    <cfRule type="cellIs" dxfId="102" priority="6" stopIfTrue="1" operator="greaterThan">
      <formula>5</formula>
    </cfRule>
  </conditionalFormatting>
  <conditionalFormatting sqref="F932:F946">
    <cfRule type="cellIs" dxfId="101" priority="5" stopIfTrue="1" operator="greaterThan">
      <formula>5</formula>
    </cfRule>
  </conditionalFormatting>
  <conditionalFormatting sqref="F947:F950">
    <cfRule type="cellIs" dxfId="100" priority="4" stopIfTrue="1" operator="greaterThan">
      <formula>5</formula>
    </cfRule>
  </conditionalFormatting>
  <conditionalFormatting sqref="F951:F965">
    <cfRule type="cellIs" dxfId="99" priority="3" stopIfTrue="1" operator="greaterThan">
      <formula>5</formula>
    </cfRule>
  </conditionalFormatting>
  <conditionalFormatting sqref="F966:F974">
    <cfRule type="cellIs" dxfId="98" priority="2" stopIfTrue="1" operator="greaterThan">
      <formula>5</formula>
    </cfRule>
  </conditionalFormatting>
  <conditionalFormatting sqref="F975:F990">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384</v>
      </c>
      <c r="C1" s="379" t="s">
        <v>385</v>
      </c>
      <c r="D1" s="379" t="s">
        <v>386</v>
      </c>
      <c r="E1" s="399" t="s">
        <v>387</v>
      </c>
      <c r="F1" s="379" t="s">
        <v>388</v>
      </c>
      <c r="G1" s="379" t="s">
        <v>389</v>
      </c>
      <c r="H1" s="379" t="s">
        <v>390</v>
      </c>
      <c r="I1" s="400" t="s">
        <v>391</v>
      </c>
      <c r="J1" s="398" t="s">
        <v>392</v>
      </c>
      <c r="K1" s="379" t="s">
        <v>393</v>
      </c>
      <c r="L1" s="379" t="s">
        <v>394</v>
      </c>
      <c r="M1" s="379" t="s">
        <v>395</v>
      </c>
      <c r="N1" s="379" t="s">
        <v>396</v>
      </c>
      <c r="O1" s="401" t="s">
        <v>397</v>
      </c>
      <c r="P1" s="378" t="s">
        <v>398</v>
      </c>
      <c r="Q1" s="379" t="s">
        <v>365</v>
      </c>
      <c r="R1" s="379" t="s">
        <v>399</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400</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401</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402</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403</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404</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405</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406</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407</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408</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409</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410</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411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412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413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414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415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416</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417</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418</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419</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420</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421</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422</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423</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424</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425</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426</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427</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428</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429</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430</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431</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432</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433</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434</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435</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436</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437</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438</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439</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440</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441</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442</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443</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444</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445</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446</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447</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448</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449</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450</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451</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452</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453</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454</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455</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456</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457</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458</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459</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460</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461</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462</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463</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464</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465</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466</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467</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468</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469</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470</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471</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472</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473</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474</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475</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476</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477</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478</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479</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480</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407</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481</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482</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483</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484</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485</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486</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487</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488</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489</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490</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491</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492</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493</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494</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495</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496</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402</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497</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498</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439</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499</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500</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501</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502</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503</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504</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505</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506</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507</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508</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509</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510</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511</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496</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512</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513</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514</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515</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516</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517</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518</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519</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520</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521</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522</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523</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524</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525</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456</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526</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527</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528</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529</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519</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530</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531</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532</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533</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534</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457</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535</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536</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537</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538</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539</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540</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541</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542</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531</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543</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544</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545</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546</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436</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547</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548</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549</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550</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551</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552</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423</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553</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554</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424</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555</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556</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557</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558</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559</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560</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561</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562</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505</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563</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564</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565</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441</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566</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567</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568</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569</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570</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571</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572</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491</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573</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574</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575</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576</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577</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578</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579</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580</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478</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581</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582</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583</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471</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584</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585</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586</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587</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588</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589</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590</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591</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515</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430</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592</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593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594</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595</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596</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597</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598</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599</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600</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466</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444</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601</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602</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603</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604</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605</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606</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607</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608</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609</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610</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611</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612</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494</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613</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370</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614</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615</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616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580</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617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618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619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620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621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622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602</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493</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623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624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577</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415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625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626</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627</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628</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629</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630</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537</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631</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632</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625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633</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634</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482</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635</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636</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637</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638</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639</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640</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641</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642</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643</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644</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645</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646</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647</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648</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649</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650</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651</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652</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540</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403</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653</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654</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655</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656</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657</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653</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654</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658</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659</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660</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541</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605</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528</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661</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662</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663</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664</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665</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666</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667</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668</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669</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670</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671</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672</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673</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674</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675</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512</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676</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677</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678</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669</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679</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680</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681</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682</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683</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684</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685</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686</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687</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688</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689</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613</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690</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691</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692</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693</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688</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429</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694</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695</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696</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697</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565</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698</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575</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545</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699</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700</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701</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702</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703</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704</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705</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706</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707</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708</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709</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710</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711</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712</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706</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713</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553</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714</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715</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716</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717</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718</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479</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719</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720</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721</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722</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723</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724</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725</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623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726</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727</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728</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729</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730</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523</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731</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511</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732</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733</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734</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634</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735</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736</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737</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738</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739</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740</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558</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741</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742</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743</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744</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745</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746</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747</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748</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749</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750</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751</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752</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730</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753</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754</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755</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756</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757</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758</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759</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455</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760</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476</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761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762</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763</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764</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765</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760</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766</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767</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500</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768</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769</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770</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771</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772</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773</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774</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517</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775</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776</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777</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400</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595</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778</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779</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780</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493</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781</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657</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3">
        <f>F819/E819</f>
        <v>0.48714810281517745</v>
      </c>
      <c r="F820" s="544"/>
      <c r="G820" s="546">
        <f>(J819+F819)/(E819+I819)</f>
        <v>0.46572827417380663</v>
      </c>
      <c r="H820" s="547"/>
      <c r="I820" s="545">
        <f>J819/I819</f>
        <v>0.44430844553243576</v>
      </c>
      <c r="J820" s="542"/>
      <c r="L820" s="541">
        <f>M819/L819</f>
        <v>0.45654834761321911</v>
      </c>
      <c r="M820" s="542"/>
      <c r="P820" s="449">
        <f>P819/I819</f>
        <v>0.52264381884944922</v>
      </c>
    </row>
    <row r="821" spans="1:18">
      <c r="A821" s="418"/>
      <c r="E821" s="537">
        <f>1/E820</f>
        <v>2.0527638190954773</v>
      </c>
      <c r="F821" s="538"/>
      <c r="I821" s="539">
        <f>1/I820</f>
        <v>2.2506887052341598</v>
      </c>
      <c r="J821" s="540"/>
      <c r="L821" s="539">
        <f>1/L820</f>
        <v>2.1903485254691688</v>
      </c>
      <c r="M821" s="540"/>
      <c r="P821" s="450">
        <f>1/P820</f>
        <v>1.9133489461358313</v>
      </c>
      <c r="Q821" s="359"/>
    </row>
    <row r="822" spans="1:18">
      <c r="A822" s="418"/>
      <c r="E822" s="543">
        <f>1-E820</f>
        <v>0.5128518971848226</v>
      </c>
      <c r="F822" s="544"/>
      <c r="I822" s="552">
        <f>1-I820</f>
        <v>0.55569155446756424</v>
      </c>
      <c r="J822" s="553"/>
      <c r="L822" s="552">
        <f>1-L820</f>
        <v>0.54345165238678095</v>
      </c>
      <c r="M822" s="553"/>
      <c r="P822" s="359"/>
      <c r="Q822" s="359"/>
    </row>
    <row r="823" spans="1:18">
      <c r="A823" s="418"/>
      <c r="E823" s="548">
        <f>1/(1-E820)</f>
        <v>1.9498806682577563</v>
      </c>
      <c r="F823" s="549"/>
      <c r="I823" s="550">
        <f>1/(1-I820)</f>
        <v>1.7995594713656389</v>
      </c>
      <c r="J823" s="551"/>
      <c r="L823" s="550">
        <f>1/(1-L820)</f>
        <v>1.8400900900900901</v>
      </c>
      <c r="M823" s="551"/>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4" t="s">
        <v>782</v>
      </c>
      <c r="B1" s="554"/>
      <c r="C1" s="554"/>
    </row>
    <row r="2" spans="1:8">
      <c r="A2" s="422" t="s">
        <v>783</v>
      </c>
      <c r="B2" s="433">
        <f ca="1">TODAY()-1</f>
        <v>46086</v>
      </c>
    </row>
    <row r="4" spans="1:8">
      <c r="A4" s="422" t="s">
        <v>784</v>
      </c>
      <c r="B4" s="422" t="s">
        <v>785</v>
      </c>
      <c r="C4" s="438">
        <f>_xlfn.XLOOKUP(B4,Referencia!B2:B60,Referencia!A2:A60)</f>
        <v>7</v>
      </c>
    </row>
    <row r="6" spans="1:8">
      <c r="A6" t="s">
        <v>786</v>
      </c>
      <c r="B6">
        <f>COUNTIFS(Jornada!Q2:Q818, C4, Jornada!E2:E818, "&lt;&gt;")</f>
        <v>28</v>
      </c>
    </row>
    <row r="7" spans="1:8">
      <c r="A7" t="s">
        <v>787</v>
      </c>
      <c r="B7" s="525">
        <f>COUNTIFS(Jornada!Q2:Q818,C4,Jornada!F2:F818,1)</f>
        <v>16</v>
      </c>
      <c r="C7" s="424">
        <f>COUNTIFS(Jornada!Q2:Q818,C4,Jornada!F2:F818,1) / COUNTIFS(Jornada!Q2:Q818, C4, Jornada!E2:E818, "&lt;&gt;")</f>
        <v>0.5714285714285714</v>
      </c>
      <c r="D7" s="416">
        <f>1-C7</f>
        <v>0.4285714285714286</v>
      </c>
      <c r="E7" s="18"/>
    </row>
    <row r="8" spans="1:8">
      <c r="A8" t="s">
        <v>788</v>
      </c>
      <c r="B8" s="525">
        <f>COUNTIFS(Jornada!Q2:Q818,C4,Jornada!J2:J818,1)</f>
        <v>12</v>
      </c>
      <c r="C8" s="459">
        <f>COUNTIFS(Jornada!Q2:Q818,C4,Jornada!J2:J818,1) / COUNTIFS(Jornada!Q2:Q818, C4, Jornada!E2:E818, "&lt;&gt;")</f>
        <v>0.42857142857142855</v>
      </c>
      <c r="D8" s="416">
        <f t="shared" ref="D8:D10" si="0">1-C8</f>
        <v>0.5714285714285714</v>
      </c>
      <c r="E8" s="18"/>
      <c r="H8" s="18"/>
    </row>
    <row r="9" spans="1:8">
      <c r="A9" t="s">
        <v>789</v>
      </c>
      <c r="B9">
        <f>COUNTIFS(Jornada!Q2:Q818,C4,Jornada!M2:M818,1)</f>
        <v>15</v>
      </c>
      <c r="C9" s="460">
        <f>COUNTIFS(Jornada!Q2:Q818,C4,Jornada!M2:M818,1) / COUNTIFS(Jornada!Q2:Q818, C4, Jornada!E2:E818, "&lt;&gt;")</f>
        <v>0.5357142857142857</v>
      </c>
      <c r="D9" s="416">
        <f t="shared" si="0"/>
        <v>0.4642857142857143</v>
      </c>
      <c r="E9" s="18"/>
      <c r="H9" s="18"/>
    </row>
    <row r="10" spans="1:8">
      <c r="A10" t="s">
        <v>790</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791</v>
      </c>
      <c r="B12" s="422" t="s">
        <v>792</v>
      </c>
    </row>
    <row r="14" spans="1:8">
      <c r="A14" t="s">
        <v>786</v>
      </c>
      <c r="B14">
        <f>COUNTIFS(Jornada!R2:R818,B12, Jornada!E2:E818, "&lt;&gt;")</f>
        <v>87</v>
      </c>
    </row>
    <row r="15" spans="1:8">
      <c r="A15" t="s">
        <v>787</v>
      </c>
      <c r="B15">
        <f>COUNTIFS(Jornada!R2:R818,B12,Jornada!F2:F818,1)</f>
        <v>50</v>
      </c>
      <c r="C15" s="417">
        <f>B15/$B$14</f>
        <v>0.57471264367816088</v>
      </c>
      <c r="D15" s="416">
        <f>1-C15</f>
        <v>0.42528735632183912</v>
      </c>
    </row>
    <row r="16" spans="1:8">
      <c r="A16" t="s">
        <v>788</v>
      </c>
      <c r="B16">
        <f>COUNTIFS(Jornada!R2:R818,B12,Jornada!J2:J818,1)</f>
        <v>40</v>
      </c>
      <c r="C16" s="462">
        <f t="shared" ref="C16:C18" si="1">B16/$B$14</f>
        <v>0.45977011494252873</v>
      </c>
      <c r="D16" s="416">
        <f t="shared" ref="D16:D18" si="2">1-C16</f>
        <v>0.54022988505747127</v>
      </c>
    </row>
    <row r="17" spans="1:8">
      <c r="A17" t="s">
        <v>789</v>
      </c>
      <c r="B17">
        <f>COUNTIFS(Jornada!R2:R818,B12,Jornada!M2:M818,1)</f>
        <v>46</v>
      </c>
      <c r="C17" s="463">
        <f t="shared" si="1"/>
        <v>0.52873563218390807</v>
      </c>
      <c r="D17" s="416">
        <f t="shared" si="2"/>
        <v>0.47126436781609193</v>
      </c>
    </row>
    <row r="18" spans="1:8">
      <c r="A18" t="s">
        <v>790</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793</v>
      </c>
      <c r="C1" t="s">
        <v>794</v>
      </c>
      <c r="D1" t="s">
        <v>795</v>
      </c>
      <c r="E1" s="18" t="s">
        <v>796</v>
      </c>
      <c r="F1" t="s">
        <v>797</v>
      </c>
      <c r="G1" s="18" t="s">
        <v>798</v>
      </c>
      <c r="H1" t="s">
        <v>799</v>
      </c>
      <c r="I1" s="18" t="s">
        <v>800</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801</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802</v>
      </c>
      <c r="B1" s="42" t="s">
        <v>803</v>
      </c>
      <c r="C1" s="42" t="s">
        <v>399</v>
      </c>
    </row>
    <row r="2" spans="1:3">
      <c r="A2">
        <v>43</v>
      </c>
      <c r="B2" t="s">
        <v>367</v>
      </c>
      <c r="C2" t="str">
        <f>TEXT(tblResultadosNBA[[#This Row],[Fecha]],"mmm")</f>
        <v>oct</v>
      </c>
    </row>
    <row r="3" spans="1:3">
      <c r="A3">
        <v>44</v>
      </c>
      <c r="B3" t="s">
        <v>368</v>
      </c>
      <c r="C3" t="s">
        <v>804</v>
      </c>
    </row>
    <row r="4" spans="1:3">
      <c r="A4">
        <v>45</v>
      </c>
      <c r="B4" t="s">
        <v>369</v>
      </c>
      <c r="C4" t="s">
        <v>805</v>
      </c>
    </row>
    <row r="5" spans="1:3">
      <c r="A5">
        <v>46</v>
      </c>
      <c r="B5" t="s">
        <v>371</v>
      </c>
      <c r="C5" t="s">
        <v>806</v>
      </c>
    </row>
    <row r="6" spans="1:3">
      <c r="A6">
        <v>47</v>
      </c>
      <c r="B6" t="s">
        <v>372</v>
      </c>
      <c r="C6" t="s">
        <v>792</v>
      </c>
    </row>
    <row r="7" spans="1:3">
      <c r="A7">
        <v>48</v>
      </c>
      <c r="B7" t="s">
        <v>373</v>
      </c>
      <c r="C7" t="s">
        <v>807</v>
      </c>
    </row>
    <row r="8" spans="1:3">
      <c r="A8">
        <v>49</v>
      </c>
      <c r="B8" t="s">
        <v>374</v>
      </c>
      <c r="C8" t="s">
        <v>808</v>
      </c>
    </row>
    <row r="9" spans="1:3">
      <c r="A9">
        <v>50</v>
      </c>
      <c r="B9" t="s">
        <v>375</v>
      </c>
      <c r="C9" t="s">
        <v>809</v>
      </c>
    </row>
    <row r="10" spans="1:3">
      <c r="A10">
        <v>51</v>
      </c>
      <c r="B10" t="s">
        <v>376</v>
      </c>
      <c r="C10" t="s">
        <v>810</v>
      </c>
    </row>
    <row r="11" spans="1:3">
      <c r="A11">
        <v>52</v>
      </c>
      <c r="B11" t="s">
        <v>377</v>
      </c>
      <c r="C11" t="s">
        <v>811</v>
      </c>
    </row>
    <row r="12" spans="1:3">
      <c r="A12">
        <v>1</v>
      </c>
      <c r="B12" t="s">
        <v>378</v>
      </c>
      <c r="C12" t="s">
        <v>812</v>
      </c>
    </row>
    <row r="13" spans="1:3">
      <c r="A13">
        <v>2</v>
      </c>
      <c r="B13" t="s">
        <v>379</v>
      </c>
      <c r="C13" t="s">
        <v>813</v>
      </c>
    </row>
    <row r="14" spans="1:3">
      <c r="A14">
        <v>3</v>
      </c>
      <c r="B14" t="s">
        <v>380</v>
      </c>
    </row>
    <row r="15" spans="1:3">
      <c r="A15">
        <v>4</v>
      </c>
      <c r="B15" t="s">
        <v>381</v>
      </c>
    </row>
    <row r="16" spans="1:3">
      <c r="A16">
        <v>5</v>
      </c>
      <c r="B16" t="s">
        <v>814</v>
      </c>
    </row>
    <row r="17" spans="1:2">
      <c r="A17">
        <v>6</v>
      </c>
      <c r="B17" t="s">
        <v>815</v>
      </c>
    </row>
    <row r="18" spans="1:2">
      <c r="A18">
        <v>7</v>
      </c>
      <c r="B18" t="s">
        <v>785</v>
      </c>
    </row>
    <row r="19" spans="1:2">
      <c r="A19">
        <v>8</v>
      </c>
      <c r="B19" t="s">
        <v>816</v>
      </c>
    </row>
    <row r="20" spans="1:2">
      <c r="A20">
        <v>9</v>
      </c>
      <c r="B20" t="s">
        <v>817</v>
      </c>
    </row>
    <row r="21" spans="1:2">
      <c r="A21">
        <v>10</v>
      </c>
      <c r="B21" t="s">
        <v>818</v>
      </c>
    </row>
    <row r="22" spans="1:2">
      <c r="A22">
        <v>11</v>
      </c>
      <c r="B22" t="s">
        <v>819</v>
      </c>
    </row>
    <row r="23" spans="1:2">
      <c r="A23">
        <v>12</v>
      </c>
      <c r="B23" t="s">
        <v>820</v>
      </c>
    </row>
    <row r="24" spans="1:2">
      <c r="A24">
        <v>13</v>
      </c>
      <c r="B24" t="s">
        <v>821</v>
      </c>
    </row>
    <row r="25" spans="1:2">
      <c r="A25">
        <v>14</v>
      </c>
      <c r="B25" t="s">
        <v>822</v>
      </c>
    </row>
    <row r="26" spans="1:2">
      <c r="A26">
        <v>15</v>
      </c>
      <c r="B26" t="s">
        <v>823</v>
      </c>
    </row>
    <row r="27" spans="1:2">
      <c r="A27">
        <v>16</v>
      </c>
      <c r="B27" t="s">
        <v>824</v>
      </c>
    </row>
    <row r="28" spans="1:2">
      <c r="A28">
        <v>17</v>
      </c>
      <c r="B28" t="s">
        <v>825</v>
      </c>
    </row>
    <row r="29" spans="1:2">
      <c r="A29">
        <v>18</v>
      </c>
      <c r="B29" t="s">
        <v>826</v>
      </c>
    </row>
    <row r="30" spans="1:2">
      <c r="A30">
        <v>19</v>
      </c>
      <c r="B30" t="s">
        <v>827</v>
      </c>
    </row>
    <row r="31" spans="1:2">
      <c r="A31">
        <v>20</v>
      </c>
      <c r="B31" t="s">
        <v>828</v>
      </c>
    </row>
    <row r="32" spans="1:2">
      <c r="A32">
        <v>21</v>
      </c>
      <c r="B32" t="s">
        <v>829</v>
      </c>
    </row>
    <row r="33" spans="1:2">
      <c r="A33">
        <v>22</v>
      </c>
      <c r="B33" t="s">
        <v>830</v>
      </c>
    </row>
    <row r="34" spans="1:2">
      <c r="A34">
        <v>23</v>
      </c>
      <c r="B34" t="s">
        <v>831</v>
      </c>
    </row>
    <row r="35" spans="1:2">
      <c r="A35">
        <v>24</v>
      </c>
      <c r="B35" t="s">
        <v>832</v>
      </c>
    </row>
    <row r="36" spans="1:2">
      <c r="A36">
        <v>25</v>
      </c>
      <c r="B36" t="s">
        <v>833</v>
      </c>
    </row>
    <row r="37" spans="1:2">
      <c r="A37">
        <v>26</v>
      </c>
      <c r="B37" t="s">
        <v>834</v>
      </c>
    </row>
    <row r="38" spans="1:2">
      <c r="A38">
        <v>27</v>
      </c>
      <c r="B38" t="s">
        <v>835</v>
      </c>
    </row>
    <row r="39" spans="1:2">
      <c r="A39">
        <v>28</v>
      </c>
      <c r="B39" t="s">
        <v>836</v>
      </c>
    </row>
    <row r="40" spans="1:2">
      <c r="A40">
        <v>29</v>
      </c>
      <c r="B40" t="s">
        <v>837</v>
      </c>
    </row>
    <row r="41" spans="1:2">
      <c r="A41">
        <v>30</v>
      </c>
      <c r="B41" t="s">
        <v>838</v>
      </c>
    </row>
    <row r="42" spans="1:2">
      <c r="A42">
        <v>31</v>
      </c>
      <c r="B42" t="s">
        <v>839</v>
      </c>
    </row>
    <row r="43" spans="1:2">
      <c r="A43">
        <v>32</v>
      </c>
      <c r="B43" t="s">
        <v>840</v>
      </c>
    </row>
    <row r="44" spans="1:2">
      <c r="A44">
        <v>33</v>
      </c>
      <c r="B44" t="s">
        <v>841</v>
      </c>
    </row>
    <row r="45" spans="1:2">
      <c r="A45">
        <v>34</v>
      </c>
      <c r="B45" t="s">
        <v>842</v>
      </c>
    </row>
    <row r="46" spans="1:2">
      <c r="A46">
        <v>35</v>
      </c>
      <c r="B46" t="s">
        <v>843</v>
      </c>
    </row>
    <row r="47" spans="1:2">
      <c r="A47">
        <v>36</v>
      </c>
      <c r="B47" t="s">
        <v>844</v>
      </c>
    </row>
    <row r="48" spans="1:2">
      <c r="A48">
        <v>37</v>
      </c>
      <c r="B48" t="s">
        <v>845</v>
      </c>
    </row>
    <row r="49" spans="1:2">
      <c r="A49">
        <v>38</v>
      </c>
      <c r="B49" t="s">
        <v>846</v>
      </c>
    </row>
    <row r="50" spans="1:2">
      <c r="A50">
        <v>39</v>
      </c>
      <c r="B50" t="s">
        <v>847</v>
      </c>
    </row>
    <row r="51" spans="1:2">
      <c r="A51">
        <v>40</v>
      </c>
      <c r="B51" t="s">
        <v>848</v>
      </c>
    </row>
    <row r="52" spans="1:2">
      <c r="A52">
        <v>41</v>
      </c>
      <c r="B52" t="s">
        <v>849</v>
      </c>
    </row>
    <row r="53" spans="1:2">
      <c r="A53">
        <v>42</v>
      </c>
      <c r="B53" t="s">
        <v>850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9" t="s">
        <v>851</v>
      </c>
      <c r="N1" s="569"/>
      <c r="O1" s="569"/>
      <c r="P1" s="569"/>
      <c r="Q1"/>
    </row>
    <row r="2" spans="1:17" ht="15.75" thickBot="1">
      <c r="A2" s="565">
        <v>45905</v>
      </c>
      <c r="B2" s="179">
        <v>1</v>
      </c>
      <c r="C2" s="162">
        <v>3.04</v>
      </c>
      <c r="D2" s="162">
        <f>(B2*C2)-B2</f>
        <v>2.04</v>
      </c>
      <c r="E2" s="213">
        <f>SUM($D$2:D2)/SUM($B$2:B2)</f>
        <v>2.04</v>
      </c>
      <c r="F2" s="162">
        <f>D2</f>
        <v>2.04</v>
      </c>
      <c r="G2" s="214" t="s">
        <v>852</v>
      </c>
      <c r="H2" s="183"/>
      <c r="I2" s="184"/>
      <c r="J2" s="184"/>
      <c r="Q2"/>
    </row>
    <row r="3" spans="1:17">
      <c r="A3" s="566"/>
      <c r="B3" s="165">
        <v>1</v>
      </c>
      <c r="C3" s="161">
        <v>1.93</v>
      </c>
      <c r="D3" s="161">
        <f t="shared" ref="D3:D66" si="0">(B3*C3)-B3</f>
        <v>0.92999999999999994</v>
      </c>
      <c r="E3" s="191">
        <f>SUM($D$2:D3)/SUM($B$2:B3)</f>
        <v>1.4849999999999999</v>
      </c>
      <c r="F3" s="161">
        <f>F2+D3</f>
        <v>2.9699999999999998</v>
      </c>
      <c r="G3" s="169" t="s">
        <v>853</v>
      </c>
      <c r="H3" s="183"/>
      <c r="I3" s="184"/>
      <c r="J3" s="184"/>
      <c r="Q3"/>
    </row>
    <row r="4" spans="1:17">
      <c r="A4" s="566"/>
      <c r="B4" s="168">
        <v>1</v>
      </c>
      <c r="C4" s="151">
        <v>1.86</v>
      </c>
      <c r="D4" s="151">
        <f t="shared" si="0"/>
        <v>0.8600000000000001</v>
      </c>
      <c r="E4" s="190">
        <f>SUM($D$2:D4)/SUM($B$2:B4)</f>
        <v>1.2766666666666666</v>
      </c>
      <c r="F4" s="151">
        <f t="shared" ref="F4:F67" si="1">F3+D4</f>
        <v>3.83</v>
      </c>
      <c r="G4" s="192" t="s">
        <v>854</v>
      </c>
      <c r="H4" s="183"/>
      <c r="I4" s="184"/>
      <c r="J4" s="184"/>
      <c r="Q4"/>
    </row>
    <row r="5" spans="1:17">
      <c r="A5" s="566"/>
      <c r="B5" s="167">
        <v>1</v>
      </c>
      <c r="C5" s="150">
        <v>2.0099999999999998</v>
      </c>
      <c r="D5" s="150">
        <f t="shared" si="0"/>
        <v>1.0099999999999998</v>
      </c>
      <c r="E5" s="154">
        <f>SUM($D$2:D5)/SUM($B$2:B5)</f>
        <v>1.21</v>
      </c>
      <c r="F5" s="150">
        <f t="shared" si="1"/>
        <v>4.84</v>
      </c>
      <c r="G5" s="189" t="s">
        <v>855</v>
      </c>
      <c r="H5" s="183"/>
      <c r="I5" s="184"/>
      <c r="J5" s="184"/>
      <c r="Q5"/>
    </row>
    <row r="6" spans="1:17" ht="15.75" thickBot="1">
      <c r="A6" s="566"/>
      <c r="B6" s="170">
        <v>1</v>
      </c>
      <c r="C6" s="163"/>
      <c r="D6" s="163">
        <f t="shared" si="0"/>
        <v>-1</v>
      </c>
      <c r="E6" s="193">
        <f>SUM($D$2:D6)/SUM($B$2:B6)</f>
        <v>0.76800000000000002</v>
      </c>
      <c r="F6" s="163">
        <f t="shared" si="1"/>
        <v>3.84</v>
      </c>
      <c r="G6" s="194" t="s">
        <v>856</v>
      </c>
      <c r="H6" s="183"/>
      <c r="I6" s="184"/>
      <c r="J6" s="184"/>
      <c r="Q6"/>
    </row>
    <row r="7" spans="1:17" ht="15.75" thickBot="1">
      <c r="A7" s="565">
        <v>45906</v>
      </c>
      <c r="B7" s="231">
        <v>1</v>
      </c>
      <c r="C7" s="231"/>
      <c r="D7" s="231">
        <f t="shared" si="0"/>
        <v>-1</v>
      </c>
      <c r="E7" s="249">
        <f>SUM($D$2:D7)/SUM($B$2:B7)</f>
        <v>0.47333333333333333</v>
      </c>
      <c r="F7" s="232">
        <f t="shared" si="1"/>
        <v>2.84</v>
      </c>
      <c r="G7" s="250" t="s">
        <v>857</v>
      </c>
      <c r="H7" s="183"/>
      <c r="I7" s="184"/>
      <c r="J7" s="184"/>
      <c r="K7" s="58"/>
      <c r="M7" s="2"/>
      <c r="Q7"/>
    </row>
    <row r="8" spans="1:17">
      <c r="A8" s="567"/>
      <c r="B8" s="165">
        <v>1</v>
      </c>
      <c r="C8" s="204"/>
      <c r="D8" s="204">
        <f t="shared" si="0"/>
        <v>-1</v>
      </c>
      <c r="E8" s="191">
        <f>SUM($D$2:D8)/SUM($B$2:B8)</f>
        <v>0.26285714285714284</v>
      </c>
      <c r="F8" s="161">
        <f t="shared" si="1"/>
        <v>1.8399999999999999</v>
      </c>
      <c r="G8" s="210" t="s">
        <v>854</v>
      </c>
      <c r="H8" s="183"/>
      <c r="I8" s="184"/>
      <c r="J8" s="184"/>
      <c r="K8" s="18"/>
      <c r="M8" s="2"/>
      <c r="N8" s="18"/>
      <c r="Q8"/>
    </row>
    <row r="9" spans="1:17">
      <c r="A9" s="567"/>
      <c r="B9" s="167">
        <v>1</v>
      </c>
      <c r="C9" s="205"/>
      <c r="D9" s="205">
        <f t="shared" si="0"/>
        <v>-1</v>
      </c>
      <c r="E9" s="154">
        <f>SUM($D$2:D9)/SUM($B$2:B9)</f>
        <v>0.10499999999999998</v>
      </c>
      <c r="F9" s="150">
        <f t="shared" si="1"/>
        <v>0.83999999999999986</v>
      </c>
      <c r="G9" s="201" t="s">
        <v>858</v>
      </c>
      <c r="H9" s="183"/>
      <c r="I9" s="184"/>
      <c r="J9" s="184"/>
      <c r="K9" s="18"/>
      <c r="M9" s="2"/>
      <c r="N9" s="18"/>
      <c r="Q9"/>
    </row>
    <row r="10" spans="1:17">
      <c r="A10" s="567"/>
      <c r="B10" s="167">
        <v>1</v>
      </c>
      <c r="C10" s="205"/>
      <c r="D10" s="205">
        <f t="shared" si="0"/>
        <v>-1</v>
      </c>
      <c r="E10" s="154">
        <f>SUM($D$2:D10)/SUM($B$2:B10)</f>
        <v>-1.7777777777777795E-2</v>
      </c>
      <c r="F10" s="150">
        <f t="shared" si="1"/>
        <v>-0.16000000000000014</v>
      </c>
      <c r="G10" s="201" t="s">
        <v>859</v>
      </c>
      <c r="H10" s="183"/>
      <c r="I10" s="184"/>
      <c r="J10" s="184"/>
      <c r="K10" s="18"/>
      <c r="M10" s="2"/>
      <c r="N10" s="18"/>
      <c r="Q10"/>
    </row>
    <row r="11" spans="1:17">
      <c r="A11" s="567"/>
      <c r="B11" s="167">
        <v>1</v>
      </c>
      <c r="C11" s="205"/>
      <c r="D11" s="205">
        <f t="shared" si="0"/>
        <v>-1</v>
      </c>
      <c r="E11" s="154">
        <f>SUM($D$2:D11)/SUM($B$2:B11)</f>
        <v>-0.11600000000000002</v>
      </c>
      <c r="F11" s="150">
        <f t="shared" si="1"/>
        <v>-1.1600000000000001</v>
      </c>
      <c r="G11" s="201" t="s">
        <v>853</v>
      </c>
      <c r="H11" s="183"/>
      <c r="I11" s="184"/>
      <c r="J11" s="184"/>
      <c r="K11" s="18"/>
      <c r="M11" s="2"/>
      <c r="N11" s="18"/>
      <c r="Q11"/>
    </row>
    <row r="12" spans="1:17">
      <c r="A12" s="567"/>
      <c r="B12" s="167">
        <v>1</v>
      </c>
      <c r="C12" s="205"/>
      <c r="D12" s="205">
        <f t="shared" si="0"/>
        <v>-1</v>
      </c>
      <c r="E12" s="154">
        <f>SUM($D$2:D12)/SUM($B$2:B12)</f>
        <v>-0.19636363636363638</v>
      </c>
      <c r="F12" s="150">
        <f t="shared" si="1"/>
        <v>-2.16</v>
      </c>
      <c r="G12" s="201" t="s">
        <v>860</v>
      </c>
      <c r="H12" s="183"/>
      <c r="I12" s="184"/>
      <c r="J12" s="184"/>
      <c r="K12" s="18"/>
      <c r="M12" s="2"/>
      <c r="N12" s="18"/>
      <c r="Q12"/>
    </row>
    <row r="13" spans="1:17" ht="15.75" thickBot="1">
      <c r="A13" s="567"/>
      <c r="B13" s="170">
        <v>1</v>
      </c>
      <c r="C13" s="206">
        <v>1.97</v>
      </c>
      <c r="D13" s="206">
        <f t="shared" si="0"/>
        <v>0.97</v>
      </c>
      <c r="E13" s="193">
        <f>SUM($D$2:D13)/SUM($B$2:B13)</f>
        <v>-9.9166666666666681E-2</v>
      </c>
      <c r="F13" s="163">
        <f t="shared" si="1"/>
        <v>-1.1900000000000002</v>
      </c>
      <c r="G13" s="203" t="s">
        <v>861</v>
      </c>
      <c r="H13" s="183"/>
      <c r="I13" s="184"/>
      <c r="J13" s="184"/>
      <c r="K13" s="18"/>
      <c r="M13" s="2"/>
      <c r="N13" s="18"/>
      <c r="Q13"/>
    </row>
    <row r="14" spans="1:17" ht="15.75" thickBot="1">
      <c r="A14" s="565">
        <v>45907</v>
      </c>
      <c r="B14" s="207">
        <v>1</v>
      </c>
      <c r="C14" s="207"/>
      <c r="D14" s="207">
        <f t="shared" si="0"/>
        <v>-1</v>
      </c>
      <c r="E14" s="213">
        <f>SUM($D$2:D14)/SUM($B$2:B14)</f>
        <v>-0.1684615384615385</v>
      </c>
      <c r="F14" s="162">
        <f t="shared" si="1"/>
        <v>-2.1900000000000004</v>
      </c>
      <c r="G14" s="215" t="s">
        <v>862</v>
      </c>
      <c r="H14" s="183"/>
      <c r="I14" s="184"/>
      <c r="J14" s="184"/>
      <c r="K14" s="58"/>
      <c r="M14" s="2"/>
      <c r="Q14"/>
    </row>
    <row r="15" spans="1:17">
      <c r="A15" s="566"/>
      <c r="B15" s="204">
        <v>1</v>
      </c>
      <c r="C15" s="204"/>
      <c r="D15" s="204">
        <f t="shared" si="0"/>
        <v>-1</v>
      </c>
      <c r="E15" s="191">
        <f>SUM($D$2:D15)/SUM($B$2:B15)</f>
        <v>-0.2278571428571429</v>
      </c>
      <c r="F15" s="161">
        <f t="shared" si="1"/>
        <v>-3.1900000000000004</v>
      </c>
      <c r="G15" s="210" t="s">
        <v>863</v>
      </c>
      <c r="H15" s="183"/>
      <c r="I15" s="184"/>
      <c r="J15" s="184"/>
      <c r="K15" s="18"/>
      <c r="M15" s="2"/>
      <c r="N15" s="18"/>
      <c r="Q15"/>
    </row>
    <row r="16" spans="1:17">
      <c r="A16" s="566"/>
      <c r="B16" s="205">
        <v>1</v>
      </c>
      <c r="C16" s="205"/>
      <c r="D16" s="205">
        <f t="shared" si="0"/>
        <v>-1</v>
      </c>
      <c r="E16" s="154">
        <f>SUM($D$2:D16)/SUM($B$2:B16)</f>
        <v>-0.27933333333333338</v>
      </c>
      <c r="F16" s="150">
        <f t="shared" si="1"/>
        <v>-4.1900000000000004</v>
      </c>
      <c r="G16" s="201" t="s">
        <v>858</v>
      </c>
      <c r="H16" s="183"/>
      <c r="I16" s="184"/>
      <c r="J16" s="184"/>
      <c r="K16" s="18"/>
      <c r="M16" s="2"/>
      <c r="N16" s="18"/>
      <c r="Q16"/>
    </row>
    <row r="17" spans="1:17">
      <c r="A17" s="566"/>
      <c r="B17" s="205">
        <v>1</v>
      </c>
      <c r="C17" s="205">
        <v>1.9</v>
      </c>
      <c r="D17" s="205">
        <f t="shared" si="0"/>
        <v>0.89999999999999991</v>
      </c>
      <c r="E17" s="154">
        <f>SUM($D$2:D17)/SUM($B$2:B17)</f>
        <v>-0.20562500000000003</v>
      </c>
      <c r="F17" s="150">
        <f t="shared" si="1"/>
        <v>-3.2900000000000005</v>
      </c>
      <c r="G17" s="201" t="s">
        <v>854</v>
      </c>
      <c r="H17" s="183"/>
      <c r="I17" s="184"/>
      <c r="J17" s="184"/>
      <c r="K17" s="18"/>
      <c r="M17" s="2"/>
      <c r="N17" s="18"/>
      <c r="Q17"/>
    </row>
    <row r="18" spans="1:17">
      <c r="A18" s="566"/>
      <c r="B18" s="205">
        <v>1</v>
      </c>
      <c r="C18" s="205">
        <v>1.88</v>
      </c>
      <c r="D18" s="205">
        <f t="shared" si="0"/>
        <v>0.87999999999999989</v>
      </c>
      <c r="E18" s="154">
        <f>SUM($D$2:D18)/SUM($B$2:B18)</f>
        <v>-0.14176470588235299</v>
      </c>
      <c r="F18" s="150">
        <f t="shared" si="1"/>
        <v>-2.4100000000000006</v>
      </c>
      <c r="G18" s="201" t="s">
        <v>864</v>
      </c>
      <c r="H18" s="183"/>
      <c r="I18" s="184"/>
      <c r="J18" s="184"/>
      <c r="K18" s="18"/>
      <c r="M18" s="2"/>
      <c r="N18" s="18"/>
      <c r="Q18"/>
    </row>
    <row r="19" spans="1:17" ht="15.75" thickBot="1">
      <c r="A19" s="566"/>
      <c r="B19" s="153">
        <v>1</v>
      </c>
      <c r="C19" s="153"/>
      <c r="D19" s="153">
        <f t="shared" si="0"/>
        <v>-1</v>
      </c>
      <c r="E19" s="190">
        <f>SUM($D$2:D19)/SUM($B$2:B19)</f>
        <v>-0.18944444444444447</v>
      </c>
      <c r="F19" s="151">
        <f t="shared" si="1"/>
        <v>-3.4100000000000006</v>
      </c>
      <c r="G19" s="211" t="s">
        <v>860</v>
      </c>
      <c r="H19" s="183"/>
      <c r="I19" s="184"/>
      <c r="J19" s="184"/>
      <c r="K19" s="58"/>
      <c r="M19" s="2"/>
      <c r="N19" s="18"/>
      <c r="Q19"/>
    </row>
    <row r="20" spans="1:17">
      <c r="A20" s="530">
        <v>45908</v>
      </c>
      <c r="B20" s="204">
        <v>1</v>
      </c>
      <c r="C20" s="204"/>
      <c r="D20" s="204">
        <f t="shared" si="0"/>
        <v>-1</v>
      </c>
      <c r="E20" s="191">
        <f>SUM($D$2:D20)/SUM($B$2:B20)</f>
        <v>-0.23210526315789473</v>
      </c>
      <c r="F20" s="161">
        <f t="shared" si="1"/>
        <v>-4.41</v>
      </c>
      <c r="G20" s="210" t="s">
        <v>865</v>
      </c>
      <c r="H20" s="183"/>
      <c r="I20" s="184"/>
      <c r="J20" s="184"/>
      <c r="K20" s="18"/>
      <c r="M20" s="2"/>
      <c r="N20" s="18"/>
      <c r="Q20"/>
    </row>
    <row r="21" spans="1:17">
      <c r="A21" s="531"/>
      <c r="B21" s="205">
        <v>1</v>
      </c>
      <c r="C21" s="205"/>
      <c r="D21" s="205">
        <f t="shared" si="0"/>
        <v>-1</v>
      </c>
      <c r="E21" s="154">
        <f>SUM($D$2:D21)/SUM($B$2:B21)</f>
        <v>-0.27050000000000002</v>
      </c>
      <c r="F21" s="150">
        <f t="shared" si="1"/>
        <v>-5.41</v>
      </c>
      <c r="G21" s="201" t="s">
        <v>866</v>
      </c>
      <c r="H21" s="183"/>
      <c r="I21" s="184"/>
      <c r="J21" s="184"/>
      <c r="K21" s="18"/>
      <c r="M21" s="2"/>
      <c r="N21" s="18"/>
      <c r="Q21"/>
    </row>
    <row r="22" spans="1:17">
      <c r="A22" s="531"/>
      <c r="B22" s="205">
        <v>1</v>
      </c>
      <c r="C22" s="205">
        <v>1.909</v>
      </c>
      <c r="D22" s="205">
        <f t="shared" si="0"/>
        <v>0.90900000000000003</v>
      </c>
      <c r="E22" s="154">
        <f>SUM($D$2:D22)/SUM($B$2:B22)</f>
        <v>-0.21433333333333335</v>
      </c>
      <c r="F22" s="150">
        <f t="shared" si="1"/>
        <v>-4.5010000000000003</v>
      </c>
      <c r="G22" s="201" t="s">
        <v>867</v>
      </c>
      <c r="H22" s="183"/>
      <c r="I22" s="184"/>
      <c r="J22" s="184"/>
      <c r="K22" s="18"/>
      <c r="M22" s="2"/>
      <c r="N22" s="18"/>
      <c r="Q22"/>
    </row>
    <row r="23" spans="1:17" ht="15.75" thickBot="1">
      <c r="A23" s="531"/>
      <c r="B23" s="153">
        <v>1</v>
      </c>
      <c r="C23" s="153"/>
      <c r="D23" s="153">
        <f t="shared" si="0"/>
        <v>-1</v>
      </c>
      <c r="E23" s="190">
        <f>SUM($D$2:D23)/SUM($B$2:B23)</f>
        <v>-0.25004545454545457</v>
      </c>
      <c r="F23" s="151">
        <f t="shared" si="1"/>
        <v>-5.5010000000000003</v>
      </c>
      <c r="G23" s="211" t="s">
        <v>868</v>
      </c>
      <c r="H23" s="183"/>
      <c r="I23" s="184"/>
      <c r="J23" s="184"/>
      <c r="K23" s="18"/>
      <c r="M23" s="2"/>
      <c r="N23" s="18"/>
      <c r="Q23"/>
    </row>
    <row r="24" spans="1:17">
      <c r="A24" s="568">
        <v>45909</v>
      </c>
      <c r="B24" s="165">
        <v>1</v>
      </c>
      <c r="C24" s="204">
        <v>1.74</v>
      </c>
      <c r="D24" s="204">
        <f t="shared" si="0"/>
        <v>0.74</v>
      </c>
      <c r="E24" s="191">
        <f>SUM($D$2:D24)/SUM($B$2:B24)</f>
        <v>-0.20700000000000002</v>
      </c>
      <c r="F24" s="161">
        <f t="shared" si="1"/>
        <v>-4.7610000000000001</v>
      </c>
      <c r="G24" s="210" t="s">
        <v>869</v>
      </c>
      <c r="H24" s="183"/>
      <c r="I24" s="184"/>
      <c r="J24" s="184"/>
      <c r="K24" s="18"/>
      <c r="M24" s="2"/>
      <c r="N24" s="18"/>
      <c r="Q24"/>
    </row>
    <row r="25" spans="1:17">
      <c r="A25" s="532"/>
      <c r="B25" s="167">
        <v>1</v>
      </c>
      <c r="C25" s="205">
        <v>1.89</v>
      </c>
      <c r="D25" s="205">
        <f t="shared" si="0"/>
        <v>0.8899999999999999</v>
      </c>
      <c r="E25" s="154">
        <f>SUM($D$2:D25)/SUM($B$2:B25)</f>
        <v>-0.16129166666666669</v>
      </c>
      <c r="F25" s="150">
        <f t="shared" si="1"/>
        <v>-3.8710000000000004</v>
      </c>
      <c r="G25" s="201" t="s">
        <v>870</v>
      </c>
      <c r="H25" s="183"/>
      <c r="I25" s="184"/>
      <c r="J25" s="184"/>
      <c r="K25" s="18"/>
      <c r="M25" s="2"/>
      <c r="N25" s="18"/>
      <c r="Q25"/>
    </row>
    <row r="26" spans="1:17" ht="15.75" thickBot="1">
      <c r="A26" s="532"/>
      <c r="B26" s="170">
        <v>1</v>
      </c>
      <c r="C26" s="206"/>
      <c r="D26" s="206">
        <f t="shared" si="0"/>
        <v>-1</v>
      </c>
      <c r="E26" s="193">
        <f>SUM($D$2:D26)/SUM($B$2:B26)</f>
        <v>-0.19484000000000001</v>
      </c>
      <c r="F26" s="163">
        <f t="shared" si="1"/>
        <v>-4.8710000000000004</v>
      </c>
      <c r="G26" s="203" t="s">
        <v>868</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871</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869</v>
      </c>
      <c r="H28" s="183"/>
      <c r="I28" s="184"/>
      <c r="J28" s="184"/>
      <c r="K28" s="18"/>
      <c r="Q28"/>
    </row>
    <row r="29" spans="1:17">
      <c r="A29" s="556"/>
      <c r="B29" s="205">
        <v>1</v>
      </c>
      <c r="C29" s="205"/>
      <c r="D29" s="205">
        <f t="shared" si="0"/>
        <v>-1</v>
      </c>
      <c r="E29" s="154">
        <f>SUM($D$2:D29)/SUM($B$2:B29)</f>
        <v>-0.11764285714285716</v>
      </c>
      <c r="F29" s="150">
        <f t="shared" si="1"/>
        <v>-3.2940000000000005</v>
      </c>
      <c r="G29" s="201" t="s">
        <v>867</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870</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872</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873</v>
      </c>
      <c r="H32" s="183"/>
      <c r="I32" s="184"/>
      <c r="J32" s="184"/>
      <c r="K32" s="18"/>
      <c r="Q32"/>
    </row>
    <row r="33" spans="1:17" ht="15.75" thickBot="1">
      <c r="A33" s="564"/>
      <c r="B33" s="206">
        <v>1</v>
      </c>
      <c r="C33" s="206">
        <v>1.98</v>
      </c>
      <c r="D33" s="206">
        <f t="shared" si="0"/>
        <v>0.98</v>
      </c>
      <c r="E33" s="193">
        <f>SUM($D$2:D33)/SUM($B$2:B33)</f>
        <v>-1.2625000000000011E-2</v>
      </c>
      <c r="F33" s="163">
        <f t="shared" si="1"/>
        <v>-0.40400000000000036</v>
      </c>
      <c r="G33" s="211" t="s">
        <v>874</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875</v>
      </c>
      <c r="H34" s="183"/>
      <c r="I34" s="184"/>
      <c r="J34" s="184"/>
      <c r="K34" s="18"/>
      <c r="Q34"/>
    </row>
    <row r="35" spans="1:17">
      <c r="A35" s="556"/>
      <c r="B35" s="205">
        <v>1</v>
      </c>
      <c r="C35" s="205"/>
      <c r="D35" s="205">
        <f t="shared" si="0"/>
        <v>-1</v>
      </c>
      <c r="E35" s="154">
        <f>SUM($D$2:D35)/SUM($B$2:B35)</f>
        <v>-1.8941176470588246E-2</v>
      </c>
      <c r="F35" s="150">
        <f t="shared" si="1"/>
        <v>-0.64400000000000035</v>
      </c>
      <c r="G35" s="201" t="s">
        <v>876</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877</v>
      </c>
      <c r="H36" s="183"/>
      <c r="I36" s="184"/>
      <c r="J36" s="184"/>
      <c r="K36" s="18"/>
      <c r="Q36"/>
    </row>
    <row r="37" spans="1:17">
      <c r="A37" s="556"/>
      <c r="B37" s="205">
        <v>1</v>
      </c>
      <c r="C37" s="205"/>
      <c r="D37" s="205">
        <f t="shared" si="0"/>
        <v>-1</v>
      </c>
      <c r="E37" s="154">
        <f>SUM($D$2:D37)/SUM($B$2:B37)</f>
        <v>-1.9833333333333345E-2</v>
      </c>
      <c r="F37" s="150">
        <f t="shared" si="1"/>
        <v>-0.71400000000000041</v>
      </c>
      <c r="G37" s="201" t="s">
        <v>878</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879</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880</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881</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879</v>
      </c>
      <c r="H41" s="183"/>
      <c r="I41" s="184"/>
      <c r="J41" s="184"/>
      <c r="K41" s="18"/>
      <c r="Q41"/>
    </row>
    <row r="42" spans="1:17">
      <c r="A42" s="556"/>
      <c r="B42" s="205">
        <v>1</v>
      </c>
      <c r="C42" s="205"/>
      <c r="D42" s="205">
        <f t="shared" si="0"/>
        <v>-1</v>
      </c>
      <c r="E42" s="154">
        <f>SUM($D$2:D42)/SUM($B$2:B42)</f>
        <v>4.8926829268292664E-2</v>
      </c>
      <c r="F42" s="150">
        <f t="shared" si="1"/>
        <v>2.0059999999999993</v>
      </c>
      <c r="G42" s="201" t="s">
        <v>875</v>
      </c>
      <c r="H42" s="183"/>
      <c r="I42" s="184"/>
      <c r="J42" s="184"/>
      <c r="K42" s="18"/>
      <c r="Q42"/>
    </row>
    <row r="43" spans="1:17">
      <c r="A43" s="556"/>
      <c r="B43" s="205">
        <v>1</v>
      </c>
      <c r="C43" s="205"/>
      <c r="D43" s="205">
        <f t="shared" si="0"/>
        <v>-1</v>
      </c>
      <c r="E43" s="154">
        <f>SUM($D$2:D43)/SUM($B$2:B43)</f>
        <v>2.3952380952380937E-2</v>
      </c>
      <c r="F43" s="150">
        <f t="shared" si="1"/>
        <v>1.0059999999999993</v>
      </c>
      <c r="G43" s="201" t="s">
        <v>882</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883</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884</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884</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885</v>
      </c>
      <c r="H47" s="183"/>
      <c r="I47" s="184"/>
      <c r="J47" s="184"/>
      <c r="K47" s="18"/>
      <c r="Q47"/>
    </row>
    <row r="48" spans="1:17">
      <c r="A48" s="556"/>
      <c r="B48" s="205">
        <v>1</v>
      </c>
      <c r="C48" s="205">
        <v>2</v>
      </c>
      <c r="D48" s="205">
        <f t="shared" si="0"/>
        <v>1</v>
      </c>
      <c r="E48" s="154">
        <f>SUM($D$2:D48)/SUM($B$2:B48)</f>
        <v>8.012765957446806E-2</v>
      </c>
      <c r="F48" s="150">
        <f t="shared" si="1"/>
        <v>3.7659999999999991</v>
      </c>
      <c r="G48" s="201" t="s">
        <v>879</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875</v>
      </c>
      <c r="H49" s="183"/>
      <c r="I49" s="184"/>
      <c r="J49" s="184"/>
      <c r="K49" s="18"/>
      <c r="Q49"/>
    </row>
    <row r="50" spans="1:17">
      <c r="A50" s="556"/>
      <c r="B50" s="205">
        <v>1</v>
      </c>
      <c r="C50" s="205"/>
      <c r="D50" s="205">
        <f t="shared" si="0"/>
        <v>-1</v>
      </c>
      <c r="E50" s="154">
        <f>SUM($D$2:D50)/SUM($B$2:B50)</f>
        <v>7.2979591836734664E-2</v>
      </c>
      <c r="F50" s="150">
        <f t="shared" si="1"/>
        <v>3.5759999999999987</v>
      </c>
      <c r="G50" s="201" t="s">
        <v>878</v>
      </c>
      <c r="H50" s="183"/>
      <c r="I50" s="184"/>
      <c r="J50" s="184"/>
      <c r="K50" s="18"/>
      <c r="Q50"/>
    </row>
    <row r="51" spans="1:17" ht="15.75" thickBot="1">
      <c r="A51" s="564"/>
      <c r="B51" s="206">
        <v>1</v>
      </c>
      <c r="C51" s="206"/>
      <c r="D51" s="206">
        <f t="shared" si="0"/>
        <v>-1</v>
      </c>
      <c r="E51" s="193">
        <f>SUM($D$2:D51)/SUM($B$2:B51)</f>
        <v>5.1519999999999976E-2</v>
      </c>
      <c r="F51" s="163">
        <f t="shared" si="1"/>
        <v>2.5759999999999987</v>
      </c>
      <c r="G51" s="202" t="s">
        <v>883</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886</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887</v>
      </c>
      <c r="H53" s="183"/>
      <c r="I53" s="184"/>
      <c r="J53" s="184"/>
      <c r="K53" s="18"/>
      <c r="Q53"/>
    </row>
    <row r="54" spans="1:17" ht="15.75" thickBot="1">
      <c r="A54" s="564"/>
      <c r="B54" s="206">
        <v>1</v>
      </c>
      <c r="C54" s="206">
        <v>1.909</v>
      </c>
      <c r="D54" s="206">
        <f t="shared" si="0"/>
        <v>0.90900000000000003</v>
      </c>
      <c r="E54" s="193">
        <f>SUM($D$2:D54)/SUM($B$2:B54)</f>
        <v>9.9905660377358457E-2</v>
      </c>
      <c r="F54" s="163">
        <f t="shared" si="1"/>
        <v>5.2949999999999982</v>
      </c>
      <c r="G54" s="202" t="s">
        <v>888</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886</v>
      </c>
      <c r="H55" s="183"/>
      <c r="I55" s="184"/>
      <c r="J55" s="184"/>
      <c r="K55" s="18"/>
      <c r="Q55"/>
    </row>
    <row r="56" spans="1:17">
      <c r="A56" s="556"/>
      <c r="B56" s="205">
        <v>1</v>
      </c>
      <c r="C56" s="205"/>
      <c r="D56" s="205">
        <f t="shared" si="0"/>
        <v>-1</v>
      </c>
      <c r="E56" s="154">
        <f>SUM($D$2:D56)/SUM($B$2:B56)</f>
        <v>9.3727272727272701E-2</v>
      </c>
      <c r="F56" s="150">
        <f t="shared" si="1"/>
        <v>5.1549999999999985</v>
      </c>
      <c r="G56" s="201" t="s">
        <v>889</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888</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887</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890</v>
      </c>
      <c r="H59" s="183"/>
      <c r="I59" s="184"/>
      <c r="J59" s="184"/>
      <c r="K59" s="18"/>
      <c r="Q59"/>
    </row>
    <row r="60" spans="1:17" ht="15.75" thickBot="1">
      <c r="A60" s="564"/>
      <c r="B60" s="206">
        <v>1</v>
      </c>
      <c r="C60" s="206"/>
      <c r="D60" s="206">
        <f t="shared" si="0"/>
        <v>-1</v>
      </c>
      <c r="E60" s="193">
        <f>SUM($D$2:D60)/SUM($B$2:B60)</f>
        <v>0.11788135593220338</v>
      </c>
      <c r="F60" s="163">
        <f t="shared" si="1"/>
        <v>6.9549999999999992</v>
      </c>
      <c r="G60" s="202" t="s">
        <v>891</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892</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893</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894</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895</v>
      </c>
      <c r="H64" s="183"/>
      <c r="I64" s="184"/>
      <c r="J64" s="184"/>
      <c r="K64" s="18"/>
      <c r="Q64"/>
    </row>
    <row r="65" spans="1:17">
      <c r="A65" s="556"/>
      <c r="B65" s="205">
        <v>1</v>
      </c>
      <c r="C65" s="205"/>
      <c r="D65" s="205">
        <f t="shared" si="0"/>
        <v>-1</v>
      </c>
      <c r="E65" s="154">
        <f>SUM($D$2:D65)/SUM($B$2:B65)</f>
        <v>0.184140625</v>
      </c>
      <c r="F65" s="150">
        <f t="shared" si="1"/>
        <v>11.785</v>
      </c>
      <c r="G65" s="201" t="s">
        <v>886</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896</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897</v>
      </c>
      <c r="H67" s="183"/>
      <c r="I67" s="184"/>
      <c r="J67" s="184"/>
      <c r="K67" s="18"/>
      <c r="Q67"/>
    </row>
    <row r="68" spans="1:17" ht="15.75" thickBot="1">
      <c r="A68" s="564"/>
      <c r="B68" s="206">
        <v>1</v>
      </c>
      <c r="C68" s="206">
        <v>1.87</v>
      </c>
      <c r="D68" s="206">
        <f t="shared" si="2"/>
        <v>0.87000000000000011</v>
      </c>
      <c r="E68" s="193">
        <f>SUM($D$2:D68)/SUM($B$2:B68)</f>
        <v>0.18783582089552239</v>
      </c>
      <c r="F68" s="163">
        <f t="shared" ref="F68:F119" si="3">F67+D68</f>
        <v>12.585000000000001</v>
      </c>
      <c r="G68" s="202" t="s">
        <v>890</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888</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898</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899</v>
      </c>
      <c r="H71" s="183"/>
      <c r="I71" s="184"/>
      <c r="J71" s="184"/>
      <c r="K71" s="18"/>
      <c r="Q71"/>
    </row>
    <row r="72" spans="1:17">
      <c r="A72" s="556"/>
      <c r="B72" s="205">
        <v>1</v>
      </c>
      <c r="C72" s="205"/>
      <c r="D72" s="205">
        <f t="shared" si="2"/>
        <v>-1</v>
      </c>
      <c r="E72" s="154">
        <f>SUM($D$2:D72)/SUM($B$2:B72)</f>
        <v>0.17401408450704228</v>
      </c>
      <c r="F72" s="150">
        <f t="shared" si="3"/>
        <v>12.355000000000002</v>
      </c>
      <c r="G72" s="201" t="s">
        <v>900</v>
      </c>
      <c r="H72" s="183"/>
      <c r="I72" s="184"/>
      <c r="J72" s="184"/>
      <c r="K72" s="18"/>
      <c r="Q72"/>
    </row>
    <row r="73" spans="1:17">
      <c r="A73" s="556"/>
      <c r="B73" s="205">
        <v>1</v>
      </c>
      <c r="C73" s="205"/>
      <c r="D73" s="205">
        <f t="shared" si="2"/>
        <v>-1</v>
      </c>
      <c r="E73" s="154">
        <f>SUM($D$2:D73)/SUM($B$2:B73)</f>
        <v>0.15770833333333337</v>
      </c>
      <c r="F73" s="150">
        <f t="shared" si="3"/>
        <v>11.355000000000002</v>
      </c>
      <c r="G73" s="201" t="s">
        <v>901</v>
      </c>
      <c r="H73" s="183"/>
      <c r="I73" s="184"/>
      <c r="J73" s="184"/>
      <c r="K73" s="18"/>
      <c r="Q73"/>
    </row>
    <row r="74" spans="1:17" ht="15.75" thickBot="1">
      <c r="A74" s="564"/>
      <c r="B74" s="206">
        <v>1</v>
      </c>
      <c r="C74" s="206"/>
      <c r="D74" s="206">
        <f t="shared" si="2"/>
        <v>-1</v>
      </c>
      <c r="E74" s="193">
        <f>SUM($D$2:D74)/SUM($B$2:B74)</f>
        <v>0.14184931506849319</v>
      </c>
      <c r="F74" s="163">
        <f t="shared" si="3"/>
        <v>10.355000000000002</v>
      </c>
      <c r="G74" s="202" t="s">
        <v>902</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903</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904</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901</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905</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906</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907</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902</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908</v>
      </c>
      <c r="H82" s="183"/>
      <c r="I82" s="184"/>
      <c r="J82" s="184"/>
      <c r="K82" s="18"/>
      <c r="Q82"/>
    </row>
    <row r="83" spans="1:17">
      <c r="A83" s="556"/>
      <c r="B83" s="205">
        <v>1</v>
      </c>
      <c r="C83" s="205"/>
      <c r="D83" s="205">
        <f t="shared" si="2"/>
        <v>-1</v>
      </c>
      <c r="E83" s="154">
        <f>SUM($D$2:D83)/SUM($B$2:B83)</f>
        <v>0.2024146341463415</v>
      </c>
      <c r="F83" s="150">
        <f t="shared" si="3"/>
        <v>16.598000000000003</v>
      </c>
      <c r="G83" s="201" t="s">
        <v>899</v>
      </c>
      <c r="H83" s="183"/>
      <c r="I83" s="184"/>
      <c r="J83" s="184"/>
      <c r="K83" s="18"/>
      <c r="Q83"/>
    </row>
    <row r="84" spans="1:17" ht="15.75" thickBot="1">
      <c r="A84" s="564"/>
      <c r="B84" s="206">
        <v>1</v>
      </c>
      <c r="C84" s="206">
        <v>2.13</v>
      </c>
      <c r="D84" s="206">
        <f t="shared" si="2"/>
        <v>1.1299999999999999</v>
      </c>
      <c r="E84" s="193">
        <f>SUM($D$2:D84)/SUM($B$2:B84)</f>
        <v>0.21359036144578314</v>
      </c>
      <c r="F84" s="163">
        <f t="shared" si="3"/>
        <v>17.728000000000002</v>
      </c>
      <c r="G84" s="202" t="s">
        <v>909</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907</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899</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905</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902</v>
      </c>
      <c r="H88" s="183"/>
      <c r="I88" s="184"/>
      <c r="J88" s="184"/>
      <c r="K88" s="18"/>
      <c r="Q88"/>
    </row>
    <row r="89" spans="1:17">
      <c r="A89" s="556"/>
      <c r="B89" s="205">
        <v>1</v>
      </c>
      <c r="C89" s="205"/>
      <c r="D89" s="205">
        <f t="shared" si="2"/>
        <v>-1</v>
      </c>
      <c r="E89" s="154">
        <f>SUM($D$2:D89)/SUM($B$2:B89)</f>
        <v>0.23043181818181821</v>
      </c>
      <c r="F89" s="150">
        <f t="shared" si="3"/>
        <v>20.278000000000002</v>
      </c>
      <c r="G89" s="201" t="s">
        <v>910</v>
      </c>
      <c r="H89" s="183"/>
      <c r="I89" s="184"/>
      <c r="J89" s="184"/>
      <c r="K89" s="18"/>
      <c r="Q89"/>
    </row>
    <row r="90" spans="1:17">
      <c r="A90" s="556"/>
      <c r="B90" s="205">
        <v>1</v>
      </c>
      <c r="C90" s="205"/>
      <c r="D90" s="205">
        <f t="shared" si="2"/>
        <v>-1</v>
      </c>
      <c r="E90" s="154">
        <f>SUM($D$2:D90)/SUM($B$2:B90)</f>
        <v>0.21660674157303372</v>
      </c>
      <c r="F90" s="150">
        <f t="shared" si="3"/>
        <v>19.278000000000002</v>
      </c>
      <c r="G90" s="201" t="s">
        <v>901</v>
      </c>
      <c r="H90" s="183"/>
      <c r="I90" s="184"/>
      <c r="J90" s="184"/>
      <c r="K90" s="18"/>
      <c r="Q90"/>
    </row>
    <row r="91" spans="1:17">
      <c r="A91" s="556"/>
      <c r="B91" s="205">
        <v>1</v>
      </c>
      <c r="C91" s="205"/>
      <c r="D91" s="205">
        <f t="shared" si="2"/>
        <v>-1</v>
      </c>
      <c r="E91" s="154">
        <f>SUM($D$2:D91)/SUM($B$2:B91)</f>
        <v>0.2030888888888889</v>
      </c>
      <c r="F91" s="150">
        <f t="shared" si="3"/>
        <v>18.278000000000002</v>
      </c>
      <c r="G91" s="201" t="s">
        <v>906</v>
      </c>
      <c r="H91" s="183"/>
      <c r="I91" s="184"/>
      <c r="J91" s="184"/>
      <c r="K91" s="18"/>
      <c r="Q91"/>
    </row>
    <row r="92" spans="1:17" ht="15.75" thickBot="1">
      <c r="A92" s="564"/>
      <c r="B92" s="206">
        <v>1</v>
      </c>
      <c r="C92" s="206">
        <v>2</v>
      </c>
      <c r="D92" s="206">
        <f t="shared" si="2"/>
        <v>1</v>
      </c>
      <c r="E92" s="193">
        <f>SUM($D$2:D92)/SUM($B$2:B92)</f>
        <v>0.21184615384615388</v>
      </c>
      <c r="F92" s="163">
        <f t="shared" si="3"/>
        <v>19.278000000000002</v>
      </c>
      <c r="G92" s="202" t="s">
        <v>908</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911</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912</v>
      </c>
      <c r="H94" s="183"/>
      <c r="I94" s="184"/>
      <c r="J94" s="184"/>
      <c r="K94" s="18"/>
      <c r="Q94"/>
    </row>
    <row r="95" spans="1:17">
      <c r="A95" s="563"/>
      <c r="B95" s="165">
        <v>1</v>
      </c>
      <c r="C95" s="204"/>
      <c r="D95" s="204">
        <f t="shared" si="2"/>
        <v>-1</v>
      </c>
      <c r="E95" s="191">
        <f>SUM($D$2:D95)/SUM($B$2:B95)</f>
        <v>0.17317021276595748</v>
      </c>
      <c r="F95" s="161">
        <f t="shared" si="3"/>
        <v>16.278000000000002</v>
      </c>
      <c r="G95" s="200" t="s">
        <v>899</v>
      </c>
      <c r="H95" s="183"/>
      <c r="I95" s="184"/>
      <c r="J95" s="184"/>
      <c r="K95" s="18"/>
      <c r="Q95"/>
    </row>
    <row r="96" spans="1:17">
      <c r="A96" s="563"/>
      <c r="B96" s="167">
        <v>1</v>
      </c>
      <c r="C96" s="205"/>
      <c r="D96" s="205">
        <f t="shared" si="2"/>
        <v>-1</v>
      </c>
      <c r="E96" s="154">
        <f>SUM($D$2:D96)/SUM($B$2:B96)</f>
        <v>0.16082105263157898</v>
      </c>
      <c r="F96" s="150">
        <f t="shared" si="3"/>
        <v>15.278000000000002</v>
      </c>
      <c r="G96" s="201" t="s">
        <v>913</v>
      </c>
      <c r="H96" s="183"/>
      <c r="I96" s="184"/>
      <c r="J96" s="184"/>
      <c r="K96" s="18"/>
      <c r="Q96"/>
    </row>
    <row r="97" spans="1:17">
      <c r="A97" s="563"/>
      <c r="B97" s="167">
        <v>1</v>
      </c>
      <c r="C97" s="205"/>
      <c r="D97" s="205">
        <f t="shared" si="2"/>
        <v>-1</v>
      </c>
      <c r="E97" s="154">
        <f>SUM($D$2:D97)/SUM($B$2:B97)</f>
        <v>0.14872916666666669</v>
      </c>
      <c r="F97" s="150">
        <f t="shared" si="3"/>
        <v>14.278000000000002</v>
      </c>
      <c r="G97" s="201" t="s">
        <v>907</v>
      </c>
      <c r="H97" s="183"/>
      <c r="I97" s="184"/>
      <c r="J97" s="184"/>
      <c r="K97" s="18"/>
      <c r="Q97"/>
    </row>
    <row r="98" spans="1:17">
      <c r="A98" s="563"/>
      <c r="B98" s="167">
        <v>1</v>
      </c>
      <c r="C98" s="205">
        <v>1.87</v>
      </c>
      <c r="D98" s="205">
        <f t="shared" si="2"/>
        <v>0.87000000000000011</v>
      </c>
      <c r="E98" s="154">
        <f>SUM($D$2:D98)/SUM($B$2:B98)</f>
        <v>0.15616494845360829</v>
      </c>
      <c r="F98" s="150">
        <f t="shared" si="3"/>
        <v>15.148000000000003</v>
      </c>
      <c r="G98" s="201" t="s">
        <v>905</v>
      </c>
      <c r="H98" s="183"/>
      <c r="I98" s="184"/>
      <c r="J98" s="184"/>
      <c r="K98" s="18"/>
      <c r="Q98"/>
    </row>
    <row r="99" spans="1:17" ht="15.75" thickBot="1">
      <c r="A99" s="563"/>
      <c r="B99" s="168">
        <v>1</v>
      </c>
      <c r="C99" s="153">
        <v>1.64</v>
      </c>
      <c r="D99" s="153">
        <f t="shared" si="2"/>
        <v>0.6399999999999999</v>
      </c>
      <c r="E99" s="190">
        <f>SUM($D$2:D99)/SUM($B$2:B99)</f>
        <v>0.16110204081632656</v>
      </c>
      <c r="F99" s="151">
        <f t="shared" si="3"/>
        <v>15.788000000000004</v>
      </c>
      <c r="G99" s="209" t="s">
        <v>904</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914</v>
      </c>
      <c r="H100" s="183"/>
      <c r="I100" s="184"/>
      <c r="J100" s="184"/>
      <c r="K100" s="18"/>
      <c r="Q100"/>
    </row>
    <row r="101" spans="1:17">
      <c r="A101" s="562">
        <v>45923</v>
      </c>
      <c r="B101" s="165">
        <v>1</v>
      </c>
      <c r="C101" s="204">
        <v>2.81</v>
      </c>
      <c r="D101" s="204">
        <f t="shared" si="2"/>
        <v>1.81</v>
      </c>
      <c r="E101" s="191">
        <f>SUM($D$2:D101)/SUM($B$2:B101)</f>
        <v>0.18578000000000003</v>
      </c>
      <c r="F101" s="161">
        <f t="shared" si="3"/>
        <v>18.578000000000003</v>
      </c>
      <c r="G101" s="200" t="s">
        <v>871</v>
      </c>
      <c r="H101" s="183"/>
      <c r="I101" s="184"/>
      <c r="J101" s="184"/>
      <c r="K101" s="18"/>
      <c r="Q101"/>
    </row>
    <row r="102" spans="1:17" ht="15.75" thickBot="1">
      <c r="A102" s="563"/>
      <c r="B102" s="170">
        <v>1</v>
      </c>
      <c r="C102" s="206">
        <v>2.85</v>
      </c>
      <c r="D102" s="206">
        <f t="shared" si="2"/>
        <v>1.85</v>
      </c>
      <c r="E102" s="193">
        <f>SUM($D$2:D102)/SUM($B$2:B102)</f>
        <v>0.2022574257425743</v>
      </c>
      <c r="F102" s="163">
        <f t="shared" si="3"/>
        <v>20.428000000000004</v>
      </c>
      <c r="G102" s="202" t="s">
        <v>915</v>
      </c>
      <c r="H102" s="183"/>
      <c r="I102" s="184"/>
      <c r="J102" s="184"/>
      <c r="K102" s="18"/>
      <c r="Q102"/>
    </row>
    <row r="103" spans="1:17">
      <c r="A103" s="563"/>
      <c r="B103" s="167">
        <v>1</v>
      </c>
      <c r="C103" s="205">
        <v>1.75</v>
      </c>
      <c r="D103" s="205">
        <f t="shared" si="2"/>
        <v>0.75</v>
      </c>
      <c r="E103" s="154">
        <f>SUM($D$2:D103)/SUM($B$2:B103)</f>
        <v>0.2076274509803922</v>
      </c>
      <c r="F103" s="150">
        <f t="shared" si="3"/>
        <v>21.178000000000004</v>
      </c>
      <c r="G103" s="201" t="s">
        <v>916</v>
      </c>
      <c r="H103" s="183"/>
      <c r="I103" s="184"/>
      <c r="J103" s="184"/>
      <c r="K103" s="18"/>
      <c r="Q103"/>
    </row>
    <row r="104" spans="1:17">
      <c r="A104" s="563"/>
      <c r="B104" s="167">
        <v>1</v>
      </c>
      <c r="C104" s="205"/>
      <c r="D104" s="205">
        <f t="shared" si="2"/>
        <v>-1</v>
      </c>
      <c r="E104" s="154">
        <f>SUM($D$2:D104)/SUM($B$2:B104)</f>
        <v>0.19590291262135925</v>
      </c>
      <c r="F104" s="150">
        <f t="shared" si="3"/>
        <v>20.178000000000004</v>
      </c>
      <c r="G104" s="201" t="s">
        <v>917</v>
      </c>
      <c r="H104" s="183"/>
      <c r="I104" s="184"/>
      <c r="J104" s="184"/>
      <c r="K104" s="18"/>
      <c r="Q104"/>
    </row>
    <row r="105" spans="1:17">
      <c r="A105" s="563"/>
      <c r="B105" s="167">
        <v>1</v>
      </c>
      <c r="C105" s="205">
        <v>1.95</v>
      </c>
      <c r="D105" s="205">
        <f t="shared" si="2"/>
        <v>0.95</v>
      </c>
      <c r="E105" s="154">
        <f>SUM($D$2:D105)/SUM($B$2:B105)</f>
        <v>0.20315384615384618</v>
      </c>
      <c r="F105" s="150">
        <f t="shared" si="3"/>
        <v>21.128000000000004</v>
      </c>
      <c r="G105" s="201" t="s">
        <v>918</v>
      </c>
      <c r="H105" s="183"/>
      <c r="I105" s="184"/>
      <c r="J105" s="184"/>
      <c r="K105" s="18"/>
      <c r="Q105"/>
    </row>
    <row r="106" spans="1:17">
      <c r="A106" s="563"/>
      <c r="B106" s="167">
        <v>1</v>
      </c>
      <c r="C106" s="205"/>
      <c r="D106" s="205">
        <f t="shared" si="2"/>
        <v>-1</v>
      </c>
      <c r="E106" s="154">
        <f>SUM($D$2:D106)/SUM($B$2:B106)</f>
        <v>0.19169523809523814</v>
      </c>
      <c r="F106" s="150">
        <f t="shared" si="3"/>
        <v>20.128000000000004</v>
      </c>
      <c r="G106" s="272" t="s">
        <v>919</v>
      </c>
      <c r="H106" s="183"/>
      <c r="I106" s="184"/>
      <c r="J106" s="184"/>
      <c r="K106" s="18"/>
      <c r="Q106"/>
    </row>
    <row r="107" spans="1:17">
      <c r="A107" s="563"/>
      <c r="B107" s="167">
        <v>1</v>
      </c>
      <c r="C107" s="205"/>
      <c r="D107" s="205">
        <f t="shared" si="2"/>
        <v>-1</v>
      </c>
      <c r="E107" s="154">
        <f>SUM($D$2:D107)/SUM($B$2:B107)</f>
        <v>0.18045283018867928</v>
      </c>
      <c r="F107" s="150">
        <f t="shared" si="3"/>
        <v>19.128000000000004</v>
      </c>
      <c r="G107" s="201" t="s">
        <v>920</v>
      </c>
      <c r="H107" s="183"/>
      <c r="I107" s="184"/>
      <c r="J107" s="184"/>
      <c r="K107" s="18"/>
      <c r="Q107"/>
    </row>
    <row r="108" spans="1:17" ht="15.75" thickBot="1">
      <c r="A108" s="576"/>
      <c r="B108" s="168">
        <v>1</v>
      </c>
      <c r="C108" s="153"/>
      <c r="D108" s="153">
        <f t="shared" si="2"/>
        <v>-1</v>
      </c>
      <c r="E108" s="190">
        <f>SUM($D$2:D108)/SUM($B$2:B108)</f>
        <v>0.1694205607476636</v>
      </c>
      <c r="F108" s="151">
        <f t="shared" si="3"/>
        <v>18.128000000000004</v>
      </c>
      <c r="G108" s="209" t="s">
        <v>921</v>
      </c>
      <c r="H108" s="183"/>
      <c r="I108" s="184"/>
      <c r="J108" s="184"/>
      <c r="K108" s="18"/>
      <c r="Q108"/>
    </row>
    <row r="109" spans="1:17">
      <c r="A109" s="562">
        <v>45924</v>
      </c>
      <c r="B109" s="165">
        <v>1</v>
      </c>
      <c r="C109" s="204"/>
      <c r="D109" s="204">
        <f t="shared" si="2"/>
        <v>-1</v>
      </c>
      <c r="E109" s="191">
        <f>SUM($D$2:D109)/SUM($B$2:B109)</f>
        <v>0.15859259259259262</v>
      </c>
      <c r="F109" s="161">
        <f t="shared" si="3"/>
        <v>17.128000000000004</v>
      </c>
      <c r="G109" s="200" t="s">
        <v>917</v>
      </c>
      <c r="H109" s="183"/>
      <c r="I109" s="184"/>
      <c r="J109" s="184"/>
      <c r="K109" s="18"/>
      <c r="Q109"/>
    </row>
    <row r="110" spans="1:17">
      <c r="A110" s="563"/>
      <c r="B110" s="167">
        <v>1</v>
      </c>
      <c r="C110" s="205">
        <v>1.833</v>
      </c>
      <c r="D110" s="205">
        <f t="shared" si="2"/>
        <v>0.83299999999999996</v>
      </c>
      <c r="E110" s="154">
        <f>SUM($D$2:D110)/SUM($B$2:B110)</f>
        <v>0.16477981651376147</v>
      </c>
      <c r="F110" s="150">
        <f t="shared" si="3"/>
        <v>17.961000000000002</v>
      </c>
      <c r="G110" s="201" t="s">
        <v>922</v>
      </c>
      <c r="H110" s="183"/>
      <c r="I110" s="184"/>
      <c r="J110" s="184"/>
      <c r="K110" s="18"/>
      <c r="Q110"/>
    </row>
    <row r="111" spans="1:17">
      <c r="A111" s="563"/>
      <c r="B111" s="167">
        <v>1</v>
      </c>
      <c r="C111" s="205">
        <v>2</v>
      </c>
      <c r="D111" s="205">
        <f t="shared" si="2"/>
        <v>1</v>
      </c>
      <c r="E111" s="154">
        <f>SUM($D$2:D111)/SUM($B$2:B111)</f>
        <v>0.17237272727272729</v>
      </c>
      <c r="F111" s="150">
        <f t="shared" si="3"/>
        <v>18.961000000000002</v>
      </c>
      <c r="G111" s="201" t="s">
        <v>919</v>
      </c>
      <c r="H111" s="183"/>
      <c r="I111" s="184"/>
      <c r="J111" s="184"/>
      <c r="K111" s="18"/>
      <c r="Q111"/>
    </row>
    <row r="112" spans="1:17">
      <c r="A112" s="563"/>
      <c r="B112" s="167">
        <v>1</v>
      </c>
      <c r="C112" s="205">
        <v>2.06</v>
      </c>
      <c r="D112" s="205">
        <f t="shared" si="2"/>
        <v>1.06</v>
      </c>
      <c r="E112" s="154">
        <f>SUM($D$2:D112)/SUM($B$2:B112)</f>
        <v>0.18036936936936937</v>
      </c>
      <c r="F112" s="150">
        <f t="shared" si="3"/>
        <v>20.021000000000001</v>
      </c>
      <c r="G112" s="201" t="s">
        <v>923</v>
      </c>
      <c r="H112" s="183"/>
      <c r="I112" s="184"/>
      <c r="J112" s="184"/>
      <c r="K112" s="18"/>
      <c r="Q112"/>
    </row>
    <row r="113" spans="1:17" ht="15.75" thickBot="1">
      <c r="A113" s="576"/>
      <c r="B113" s="170">
        <v>1</v>
      </c>
      <c r="C113" s="206"/>
      <c r="D113" s="206">
        <f t="shared" si="2"/>
        <v>-1</v>
      </c>
      <c r="E113" s="193">
        <f>SUM($D$2:D113)/SUM($B$2:B113)</f>
        <v>0.16983035714285716</v>
      </c>
      <c r="F113" s="163">
        <f t="shared" si="3"/>
        <v>19.021000000000001</v>
      </c>
      <c r="G113" s="202" t="s">
        <v>914</v>
      </c>
      <c r="H113" s="183"/>
      <c r="I113" s="184"/>
      <c r="J113" s="184"/>
      <c r="K113" s="18"/>
      <c r="Q113"/>
    </row>
    <row r="114" spans="1:17">
      <c r="A114" s="562">
        <v>45925</v>
      </c>
      <c r="B114" s="165">
        <v>1</v>
      </c>
      <c r="C114" s="204">
        <v>1.88</v>
      </c>
      <c r="D114" s="204">
        <f t="shared" si="2"/>
        <v>0.87999999999999989</v>
      </c>
      <c r="E114" s="191">
        <f>SUM($D$2:D114)/SUM($B$2:B114)</f>
        <v>0.17611504424778762</v>
      </c>
      <c r="F114" s="161">
        <f t="shared" si="3"/>
        <v>19.901</v>
      </c>
      <c r="G114" s="200" t="s">
        <v>917</v>
      </c>
      <c r="H114" s="183"/>
      <c r="I114" s="184"/>
      <c r="J114" s="184"/>
      <c r="K114" s="18"/>
      <c r="Q114"/>
    </row>
    <row r="115" spans="1:17">
      <c r="A115" s="563"/>
      <c r="B115" s="167">
        <v>1</v>
      </c>
      <c r="C115" s="205">
        <v>1.8</v>
      </c>
      <c r="D115" s="205">
        <f t="shared" si="2"/>
        <v>0.8</v>
      </c>
      <c r="E115" s="154">
        <f>SUM($D$2:D115)/SUM($B$2:B115)</f>
        <v>0.18158771929824563</v>
      </c>
      <c r="F115" s="150">
        <f t="shared" si="3"/>
        <v>20.701000000000001</v>
      </c>
      <c r="G115" s="201" t="s">
        <v>916</v>
      </c>
      <c r="H115" s="183"/>
      <c r="I115" s="184"/>
      <c r="J115" s="184"/>
      <c r="K115" s="18"/>
      <c r="Q115"/>
    </row>
    <row r="116" spans="1:17">
      <c r="A116" s="563"/>
      <c r="B116" s="167">
        <v>1</v>
      </c>
      <c r="C116" s="205"/>
      <c r="D116" s="205">
        <f t="shared" si="2"/>
        <v>-1</v>
      </c>
      <c r="E116" s="154">
        <f>SUM($D$2:D116)/SUM($B$2:B116)</f>
        <v>0.17131304347826087</v>
      </c>
      <c r="F116" s="150">
        <f t="shared" si="3"/>
        <v>19.701000000000001</v>
      </c>
      <c r="G116" s="201" t="s">
        <v>919</v>
      </c>
      <c r="H116" s="183"/>
      <c r="I116" s="184"/>
      <c r="J116" s="184"/>
      <c r="K116" s="18"/>
      <c r="Q116"/>
    </row>
    <row r="117" spans="1:17">
      <c r="A117" s="563"/>
      <c r="B117" s="167">
        <v>1</v>
      </c>
      <c r="C117" s="205">
        <v>1.98</v>
      </c>
      <c r="D117" s="205">
        <f t="shared" si="2"/>
        <v>0.98</v>
      </c>
      <c r="E117" s="154">
        <f>SUM($D$2:D117)/SUM($B$2:B117)</f>
        <v>0.17828448275862069</v>
      </c>
      <c r="F117" s="150">
        <f t="shared" si="3"/>
        <v>20.681000000000001</v>
      </c>
      <c r="G117" s="201" t="s">
        <v>924</v>
      </c>
      <c r="H117" s="183"/>
      <c r="I117" s="184"/>
      <c r="J117" s="184"/>
      <c r="K117" s="18"/>
      <c r="Q117"/>
    </row>
    <row r="118" spans="1:17">
      <c r="A118" s="563"/>
      <c r="B118" s="167">
        <v>1</v>
      </c>
      <c r="C118" s="205"/>
      <c r="D118" s="205">
        <f t="shared" si="2"/>
        <v>-1</v>
      </c>
      <c r="E118" s="154">
        <f>SUM($D$2:D118)/SUM($B$2:B118)</f>
        <v>0.16821367521367522</v>
      </c>
      <c r="F118" s="150">
        <f t="shared" si="3"/>
        <v>19.681000000000001</v>
      </c>
      <c r="G118" s="201" t="s">
        <v>925</v>
      </c>
      <c r="H118" s="183"/>
      <c r="I118" s="184"/>
      <c r="J118" s="184"/>
      <c r="K118" s="18"/>
      <c r="Q118"/>
    </row>
    <row r="119" spans="1:17" ht="15.75" thickBot="1">
      <c r="A119" s="563"/>
      <c r="B119" s="170">
        <v>1</v>
      </c>
      <c r="C119" s="206">
        <v>2.0299999999999998</v>
      </c>
      <c r="D119" s="206">
        <f t="shared" si="2"/>
        <v>1.0299999999999998</v>
      </c>
      <c r="E119" s="193">
        <f>SUM($D$2:D119)/SUM($B$2:B119)</f>
        <v>0.1755169491525424</v>
      </c>
      <c r="F119" s="163">
        <f t="shared" si="3"/>
        <v>20.711000000000002</v>
      </c>
      <c r="G119" s="202" t="s">
        <v>926</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927</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928</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929</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930</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931</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932</v>
      </c>
      <c r="H125" s="183"/>
      <c r="I125" s="184"/>
      <c r="J125" s="184"/>
      <c r="K125" s="18"/>
      <c r="Q125"/>
    </row>
    <row r="126" spans="1:17" ht="15.75" thickBot="1">
      <c r="A126" s="564"/>
      <c r="B126" s="105">
        <v>1</v>
      </c>
      <c r="C126" s="218">
        <v>1.97</v>
      </c>
      <c r="D126" s="218">
        <f>(B126*C126)-B126</f>
        <v>0.97</v>
      </c>
      <c r="E126" s="59">
        <f>SUM($D$2:D126)/SUM($B$2:B126)</f>
        <v>0.18840800000000002</v>
      </c>
      <c r="F126" s="38">
        <f>F125+D126</f>
        <v>23.551000000000002</v>
      </c>
      <c r="G126" s="141" t="s">
        <v>933</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934</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935</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928</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932</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933</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931</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936</v>
      </c>
      <c r="H133" s="183"/>
      <c r="I133" s="184"/>
      <c r="J133" s="184"/>
      <c r="K133" s="18"/>
      <c r="Q133"/>
    </row>
    <row r="134" spans="1:17" ht="15.75" thickBot="1">
      <c r="A134" s="564"/>
      <c r="B134" s="170">
        <v>1</v>
      </c>
      <c r="C134" s="206">
        <v>2.06</v>
      </c>
      <c r="D134" s="206">
        <f>(B134*C134)-B134</f>
        <v>1.06</v>
      </c>
      <c r="E134" s="193">
        <f>SUM($D$2:D134)/SUM($B$2:B134)</f>
        <v>0.20339097744360901</v>
      </c>
      <c r="F134" s="163">
        <f>F133+D134</f>
        <v>27.050999999999998</v>
      </c>
      <c r="G134" s="194" t="s">
        <v>937</v>
      </c>
      <c r="H134" s="183"/>
      <c r="I134" s="184"/>
      <c r="J134" s="184"/>
      <c r="K134" s="18"/>
      <c r="Q134"/>
    </row>
    <row r="135" spans="1:17" ht="15.75" thickBot="1">
      <c r="A135" s="577">
        <v>45928</v>
      </c>
      <c r="B135" s="222">
        <v>1</v>
      </c>
      <c r="C135" s="223">
        <v>2.85</v>
      </c>
      <c r="D135" s="223">
        <f>(B135*C135)-B135</f>
        <v>1.85</v>
      </c>
      <c r="E135" s="224">
        <f>SUM($D$2:D135)/SUM($B$2:B135)</f>
        <v>0.21567910447761193</v>
      </c>
      <c r="F135" s="225">
        <f>F134+D135</f>
        <v>28.901</v>
      </c>
      <c r="G135" s="274" t="s">
        <v>938</v>
      </c>
      <c r="H135" s="183"/>
      <c r="I135" s="184"/>
      <c r="J135" s="184"/>
      <c r="K135" s="18"/>
      <c r="Q135"/>
    </row>
    <row r="136" spans="1:17">
      <c r="A136" s="578"/>
      <c r="B136" s="179">
        <v>1</v>
      </c>
      <c r="C136" s="207">
        <v>1.87</v>
      </c>
      <c r="D136" s="207">
        <f>(B136*C136)-B136</f>
        <v>0.87000000000000011</v>
      </c>
      <c r="E136" s="195">
        <f>SUM($D$2:D136)/SUM($B$2:B136)</f>
        <v>0.22052592592592593</v>
      </c>
      <c r="F136" s="162">
        <f>F135+D136</f>
        <v>29.771000000000001</v>
      </c>
      <c r="G136" s="214" t="s">
        <v>935</v>
      </c>
      <c r="H136" s="183"/>
      <c r="I136" s="184"/>
      <c r="J136" s="184"/>
      <c r="K136" s="18"/>
      <c r="Q136"/>
    </row>
    <row r="137" spans="1:17">
      <c r="A137" s="578"/>
      <c r="B137" s="167">
        <v>1</v>
      </c>
      <c r="C137" s="205"/>
      <c r="D137" s="205">
        <f>(B137*C137)-B137</f>
        <v>-1</v>
      </c>
      <c r="E137" s="154">
        <f>SUM($D$2:D137)/SUM($B$2:B137)</f>
        <v>0.21155147058823531</v>
      </c>
      <c r="F137" s="150">
        <f>F136+D137</f>
        <v>28.771000000000001</v>
      </c>
      <c r="G137" s="189" t="s">
        <v>939</v>
      </c>
      <c r="H137" s="183"/>
      <c r="I137" s="184"/>
      <c r="J137" s="184"/>
      <c r="K137" s="18"/>
      <c r="Q137"/>
    </row>
    <row r="138" spans="1:17">
      <c r="A138" s="578"/>
      <c r="B138" s="167">
        <v>1</v>
      </c>
      <c r="C138" s="205">
        <v>1.81</v>
      </c>
      <c r="D138" s="205">
        <f>(B138*C138)-B138</f>
        <v>0.81</v>
      </c>
      <c r="E138" s="154">
        <f>SUM($D$2:D138)/SUM($B$2:B138)</f>
        <v>0.21591970802919708</v>
      </c>
      <c r="F138" s="150">
        <f>F137+D138</f>
        <v>29.581</v>
      </c>
      <c r="G138" s="189" t="s">
        <v>940</v>
      </c>
      <c r="H138" s="183"/>
      <c r="I138" s="184"/>
      <c r="J138" s="184"/>
      <c r="K138" s="18"/>
      <c r="Q138"/>
    </row>
    <row r="139" spans="1:17">
      <c r="A139" s="578"/>
      <c r="B139" s="167">
        <v>1</v>
      </c>
      <c r="C139" s="205">
        <v>1.87</v>
      </c>
      <c r="D139" s="205">
        <f>(B139*C139)-B139</f>
        <v>0.87000000000000011</v>
      </c>
      <c r="E139" s="154">
        <f>SUM($D$2:D139)/SUM($B$2:B139)</f>
        <v>0.22065942028985508</v>
      </c>
      <c r="F139" s="150">
        <f>F138+D139</f>
        <v>30.451000000000001</v>
      </c>
      <c r="G139" s="189" t="s">
        <v>927</v>
      </c>
      <c r="H139" s="183"/>
      <c r="I139" s="184"/>
      <c r="J139" s="184"/>
      <c r="K139" s="18"/>
      <c r="Q139"/>
    </row>
    <row r="140" spans="1:17">
      <c r="A140" s="578"/>
      <c r="B140" s="167">
        <v>1</v>
      </c>
      <c r="C140" s="205">
        <v>1.98</v>
      </c>
      <c r="D140" s="205">
        <f>(B140*C140)-B140</f>
        <v>0.98</v>
      </c>
      <c r="E140" s="154">
        <f>SUM($D$2:D140)/SUM($B$2:B140)</f>
        <v>0.22612230215827339</v>
      </c>
      <c r="F140" s="150">
        <f>F139+D140</f>
        <v>31.431000000000001</v>
      </c>
      <c r="G140" s="189" t="s">
        <v>932</v>
      </c>
      <c r="H140" s="183"/>
      <c r="I140" s="184"/>
      <c r="J140" s="184"/>
      <c r="K140" s="18"/>
      <c r="Q140"/>
    </row>
    <row r="141" spans="1:17">
      <c r="A141" s="578"/>
      <c r="B141" s="167">
        <v>1</v>
      </c>
      <c r="C141" s="205">
        <v>2.02</v>
      </c>
      <c r="D141" s="205">
        <f>(B141*C141)-B141</f>
        <v>1.02</v>
      </c>
      <c r="E141" s="154">
        <f>SUM($D$2:D141)/SUM($B$2:B141)</f>
        <v>0.23179285714285713</v>
      </c>
      <c r="F141" s="150">
        <f>F140+D141</f>
        <v>32.451000000000001</v>
      </c>
      <c r="G141" s="189" t="s">
        <v>937</v>
      </c>
      <c r="H141" s="183"/>
      <c r="I141" s="184"/>
      <c r="J141" s="184"/>
      <c r="K141" s="18"/>
      <c r="Q141"/>
    </row>
    <row r="142" spans="1:17" ht="15.75" thickBot="1">
      <c r="A142" s="579"/>
      <c r="B142" s="170">
        <v>1</v>
      </c>
      <c r="C142" s="206">
        <v>2</v>
      </c>
      <c r="D142" s="206">
        <f>(B142*C142)-B142</f>
        <v>1</v>
      </c>
      <c r="E142" s="193">
        <f>SUM($D$2:D142)/SUM($B$2:B142)</f>
        <v>0.23724113475177305</v>
      </c>
      <c r="F142" s="163">
        <f>F141+D142</f>
        <v>33.451000000000001</v>
      </c>
      <c r="G142" s="194" t="s">
        <v>933</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941</v>
      </c>
      <c r="H143" s="183"/>
      <c r="K143" s="234"/>
    </row>
    <row r="144" spans="1:17" s="184" customFormat="1" ht="15.75" thickBot="1">
      <c r="A144" s="564"/>
      <c r="B144" s="105">
        <v>1</v>
      </c>
      <c r="C144" s="218"/>
      <c r="D144" s="218">
        <f>(B144*C144)-B144</f>
        <v>-1</v>
      </c>
      <c r="E144" s="59">
        <f>SUM($D$2:D144)/SUM($B$2:B144)</f>
        <v>0.21993706293706294</v>
      </c>
      <c r="F144" s="38">
        <f>F143+D144</f>
        <v>31.451000000000001</v>
      </c>
      <c r="G144" s="141" t="s">
        <v>942</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941</v>
      </c>
      <c r="H145" s="183"/>
      <c r="K145" s="234"/>
    </row>
    <row r="146" spans="1:18" s="184" customFormat="1" ht="15.75" thickBot="1">
      <c r="A146" s="564"/>
      <c r="B146" s="218">
        <v>1</v>
      </c>
      <c r="C146" s="218">
        <v>2.2200000000000002</v>
      </c>
      <c r="D146" s="218">
        <f>(B146*C146)-B146</f>
        <v>1.2200000000000002</v>
      </c>
      <c r="E146" s="59">
        <f>SUM($D$2:D146)/SUM($B$2:B146)</f>
        <v>0.23269655172413792</v>
      </c>
      <c r="F146" s="38">
        <f>F145+D146</f>
        <v>33.741</v>
      </c>
      <c r="G146" s="141" t="s">
        <v>942</v>
      </c>
      <c r="H146" s="183"/>
      <c r="K146" s="234"/>
    </row>
    <row r="147" spans="1:18" s="184" customFormat="1">
      <c r="A147" s="555">
        <v>45932</v>
      </c>
      <c r="B147" s="41">
        <v>1</v>
      </c>
      <c r="C147" s="41"/>
      <c r="D147" s="41">
        <f>(B147*C147)-B147</f>
        <v>-1</v>
      </c>
      <c r="E147" s="47">
        <f>SUM($D$2:D147)/SUM($B$2:B147)</f>
        <v>0.22425342465753426</v>
      </c>
      <c r="F147" s="37">
        <f>F146+D147</f>
        <v>32.741</v>
      </c>
      <c r="G147" s="129" t="s">
        <v>941</v>
      </c>
      <c r="H147" s="183"/>
      <c r="K147" s="234"/>
    </row>
    <row r="148" spans="1:18" s="184" customFormat="1">
      <c r="A148" s="564"/>
      <c r="B148" s="218">
        <v>1</v>
      </c>
      <c r="C148" s="218"/>
      <c r="D148" s="218">
        <f>(B148*C148)-B148</f>
        <v>-1</v>
      </c>
      <c r="E148" s="59">
        <f>SUM($D$2:D148)/SUM($B$2:B148)</f>
        <v>0.21592517006802722</v>
      </c>
      <c r="F148" s="38">
        <f>F147+D148</f>
        <v>31.741</v>
      </c>
      <c r="G148" s="141" t="s">
        <v>942</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943</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944</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945</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891</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854</v>
      </c>
      <c r="H153" s="183"/>
      <c r="K153" s="234"/>
    </row>
    <row r="154" spans="1:18" s="184" customFormat="1">
      <c r="A154" s="564"/>
      <c r="B154" s="170">
        <v>1</v>
      </c>
      <c r="C154" s="206"/>
      <c r="D154" s="206">
        <f>(B154*C154)-B154</f>
        <v>-1</v>
      </c>
      <c r="E154" s="193">
        <f>SUM($D$2:D154)/SUM($B$2:B154)</f>
        <v>0.19366666666666668</v>
      </c>
      <c r="F154" s="163">
        <f t="shared" si="4"/>
        <v>29.631</v>
      </c>
      <c r="G154" s="194" t="s">
        <v>945</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946</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947</v>
      </c>
      <c r="H156" s="183"/>
      <c r="K156" s="234"/>
    </row>
    <row r="157" spans="1:18">
      <c r="A157" s="523"/>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948</v>
      </c>
      <c r="C160" s="557" t="s">
        <v>949</v>
      </c>
      <c r="D160" s="558"/>
      <c r="E160" s="559"/>
      <c r="H160" s="560">
        <f>100</f>
        <v>100</v>
      </c>
      <c r="I160" s="561"/>
      <c r="J160" s="16" t="s">
        <v>950</v>
      </c>
      <c r="K160" s="560">
        <v>100</v>
      </c>
      <c r="L160" s="561"/>
      <c r="M160" s="16" t="s">
        <v>950</v>
      </c>
      <c r="N160" s="19"/>
      <c r="O160" s="138"/>
      <c r="P160" s="58"/>
    </row>
    <row r="161" spans="1:16" ht="15" customHeight="1">
      <c r="A161">
        <f>COUNT(B2:B157)</f>
        <v>155</v>
      </c>
      <c r="B161" s="1"/>
      <c r="C161" s="156">
        <f>I161</f>
        <v>5</v>
      </c>
      <c r="D161" s="574">
        <v>1.32</v>
      </c>
      <c r="E161" s="157">
        <f>C161*D161-C161</f>
        <v>1.6000000000000005</v>
      </c>
      <c r="F161" s="15"/>
      <c r="G161" s="147" t="s">
        <v>951</v>
      </c>
      <c r="H161" s="75">
        <f>H164/100</f>
        <v>1</v>
      </c>
      <c r="I161" s="149">
        <f>H161*5</f>
        <v>5</v>
      </c>
      <c r="J161" s="3" t="s">
        <v>952</v>
      </c>
      <c r="K161" s="75">
        <f>K164/100</f>
        <v>1.2960099999999999</v>
      </c>
      <c r="L161" s="149">
        <f>K161*5</f>
        <v>6.4800499999999994</v>
      </c>
      <c r="M161" s="3" t="s">
        <v>952</v>
      </c>
    </row>
    <row r="162" spans="1:16" ht="15" customHeight="1">
      <c r="A162" t="s">
        <v>953</v>
      </c>
      <c r="B162" s="99"/>
      <c r="C162" s="135">
        <f>E162/(D161-1)</f>
        <v>9.3749999999999982</v>
      </c>
      <c r="D162" s="575"/>
      <c r="E162" s="136">
        <v>3</v>
      </c>
      <c r="F162" s="15"/>
      <c r="G162" s="147" t="s">
        <v>954</v>
      </c>
      <c r="H162" s="127">
        <f>SUM(H2:H157)</f>
        <v>0</v>
      </c>
      <c r="I162" s="148"/>
      <c r="J162" s="3" t="s">
        <v>955</v>
      </c>
      <c r="K162" s="127">
        <f>D158</f>
        <v>29.600999999999999</v>
      </c>
      <c r="L162" s="148"/>
      <c r="M162" s="3" t="s">
        <v>955</v>
      </c>
    </row>
    <row r="163" spans="1:16">
      <c r="A163" s="18">
        <f>COUNT(C2:C157)/A161</f>
        <v>0.59354838709677415</v>
      </c>
      <c r="B163" s="18"/>
      <c r="D163" s="15">
        <f>1/A163</f>
        <v>1.6847826086956523</v>
      </c>
      <c r="E163" s="15"/>
      <c r="F163" s="15"/>
      <c r="G163" s="147" t="s">
        <v>956</v>
      </c>
      <c r="H163" s="570">
        <f>(H162-I162)</f>
        <v>0</v>
      </c>
      <c r="I163" s="571"/>
      <c r="J163" s="128"/>
      <c r="K163" s="570">
        <f>(K162-L162)</f>
        <v>29.600999999999999</v>
      </c>
      <c r="L163" s="571"/>
      <c r="M163" s="128"/>
    </row>
    <row r="164" spans="1:16">
      <c r="A164" t="s">
        <v>4</v>
      </c>
      <c r="G164" s="147" t="s">
        <v>957</v>
      </c>
      <c r="H164" s="572">
        <f>H160+H163</f>
        <v>100</v>
      </c>
      <c r="I164" s="573"/>
      <c r="J164" s="128">
        <f>130-H164</f>
        <v>30</v>
      </c>
      <c r="K164" s="572">
        <f>K160+K163</f>
        <v>129.601</v>
      </c>
      <c r="L164" s="573"/>
      <c r="M164" s="128"/>
      <c r="O164" s="235">
        <v>74.147999999999996</v>
      </c>
      <c r="P164" s="18"/>
    </row>
    <row r="165" spans="1:16">
      <c r="A165" s="18">
        <f>D158/B158</f>
        <v>0.1909741935483871</v>
      </c>
      <c r="F165" s="158"/>
      <c r="G165" s="147" t="s">
        <v>958</v>
      </c>
      <c r="H165" s="45">
        <f>(H164-H160)/H160</f>
        <v>0</v>
      </c>
      <c r="I165" s="46">
        <f>B158/H160</f>
        <v>1.55</v>
      </c>
      <c r="J165" t="s">
        <v>959</v>
      </c>
      <c r="K165" s="45">
        <f>(K164-K160)/K160</f>
        <v>0.29601</v>
      </c>
      <c r="L165" s="46">
        <f>B158/K160</f>
        <v>1.55</v>
      </c>
      <c r="M165" t="s">
        <v>959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367</v>
      </c>
      <c r="B209" s="140">
        <f>SUM(B2:B19)</f>
        <v>18</v>
      </c>
      <c r="C209" s="140"/>
      <c r="D209" s="140">
        <f>SUM(D2:D19)</f>
        <v>-3.4100000000000006</v>
      </c>
      <c r="E209" s="144">
        <f t="shared" ref="E209:E210" si="6">D209/B209</f>
        <v>-0.18944444444444447</v>
      </c>
      <c r="F209" s="18"/>
      <c r="G209" s="221" t="s">
        <v>366</v>
      </c>
    </row>
    <row r="210" spans="1:7">
      <c r="A210" s="139" t="s">
        <v>368</v>
      </c>
      <c r="B210" s="140">
        <f>SUM(B20:B51)</f>
        <v>32</v>
      </c>
      <c r="C210" s="140"/>
      <c r="D210" s="140">
        <f>SUM(D20:D51)</f>
        <v>5.9859999999999989</v>
      </c>
      <c r="E210" s="144">
        <f t="shared" si="6"/>
        <v>0.18706249999999996</v>
      </c>
      <c r="G210" s="220"/>
    </row>
    <row r="211" spans="1:7">
      <c r="A211" s="139" t="s">
        <v>369</v>
      </c>
      <c r="B211" s="140">
        <f>SUM(B52:B99)</f>
        <v>48</v>
      </c>
      <c r="C211" s="140"/>
      <c r="D211" s="140">
        <f>SUM(D52:D99)</f>
        <v>13.212000000000007</v>
      </c>
      <c r="E211" s="144">
        <f t="shared" ref="E211" si="7">D211/B211</f>
        <v>0.27525000000000016</v>
      </c>
      <c r="G211" s="220"/>
    </row>
    <row r="212" spans="1:7">
      <c r="A212" s="139" t="s">
        <v>371</v>
      </c>
      <c r="B212" s="140">
        <f>SUM(B100:B157)</f>
        <v>57</v>
      </c>
      <c r="C212" s="140"/>
      <c r="D212" s="140">
        <f>SUM(D100:D157)</f>
        <v>13.812999999999999</v>
      </c>
      <c r="E212" s="144">
        <f t="shared" ref="E212" si="8">D212/B212</f>
        <v>0.24233333333333332</v>
      </c>
      <c r="G212" s="220"/>
    </row>
    <row r="213" spans="1:7">
      <c r="A213" s="139" t="s">
        <v>372</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382</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960</v>
      </c>
      <c r="P1" s="246" t="s">
        <v>961</v>
      </c>
      <c r="Q1" s="248" t="s">
        <v>5</v>
      </c>
      <c r="R1" s="246"/>
      <c r="T1" s="569" t="s">
        <v>851</v>
      </c>
      <c r="U1" s="569"/>
      <c r="V1" s="569"/>
      <c r="W1" s="569"/>
    </row>
    <row r="2" spans="1:23">
      <c r="A2" s="527">
        <v>45905</v>
      </c>
      <c r="B2" s="257">
        <v>1</v>
      </c>
      <c r="C2" s="258">
        <v>3.04</v>
      </c>
      <c r="D2" s="258">
        <f>(B2*C2)-B2</f>
        <v>2.04</v>
      </c>
      <c r="E2" s="259">
        <f>SUM($D$2:D2)/SUM($B$2:B2)</f>
        <v>2.04</v>
      </c>
      <c r="F2" s="258">
        <f>D2</f>
        <v>2.04</v>
      </c>
      <c r="G2" s="260" t="s">
        <v>852</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857</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862</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871</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872</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80">
        <v>45917</v>
      </c>
      <c r="B7" s="165">
        <v>1</v>
      </c>
      <c r="C7" s="204">
        <v>3.14</v>
      </c>
      <c r="D7" s="204">
        <f t="shared" si="2"/>
        <v>2.14</v>
      </c>
      <c r="E7" s="191">
        <f>SUM($D$2:D7)/SUM($B$2:B7)</f>
        <v>1.0033333333333334</v>
      </c>
      <c r="F7" s="161">
        <f t="shared" si="4"/>
        <v>6.0200000000000005</v>
      </c>
      <c r="G7" s="200" t="s">
        <v>892</v>
      </c>
      <c r="H7" s="183"/>
      <c r="I7" s="184"/>
      <c r="J7" s="184"/>
      <c r="K7" s="196"/>
      <c r="L7" s="197"/>
      <c r="M7" s="198"/>
      <c r="N7" s="199"/>
      <c r="O7" s="18"/>
      <c r="P7" s="234"/>
      <c r="R7" s="18"/>
    </row>
    <row r="8" spans="1:23">
      <c r="A8" s="581"/>
      <c r="B8" s="170">
        <v>1</v>
      </c>
      <c r="C8" s="206">
        <v>2.81</v>
      </c>
      <c r="D8" s="206">
        <f t="shared" si="2"/>
        <v>1.81</v>
      </c>
      <c r="E8" s="193">
        <f>SUM($D$2:D8)/SUM($B$2:B8)</f>
        <v>1.1185714285714285</v>
      </c>
      <c r="F8" s="163">
        <f t="shared" si="4"/>
        <v>7.83</v>
      </c>
      <c r="G8" s="202" t="s">
        <v>893</v>
      </c>
      <c r="H8" s="183"/>
      <c r="I8" s="184"/>
      <c r="J8" s="184"/>
      <c r="K8" s="196"/>
      <c r="L8" s="197"/>
      <c r="M8" s="198"/>
      <c r="N8" s="199"/>
      <c r="O8" s="18"/>
      <c r="P8" s="234"/>
      <c r="R8" s="18"/>
    </row>
    <row r="9" spans="1:23">
      <c r="A9" s="580">
        <v>45921</v>
      </c>
      <c r="B9" s="165">
        <v>1</v>
      </c>
      <c r="C9" s="204"/>
      <c r="D9" s="204">
        <f t="shared" si="2"/>
        <v>-1</v>
      </c>
      <c r="E9" s="182">
        <f>SUM($D$2:D9)/SUM($B$2:B9)</f>
        <v>0.85375000000000001</v>
      </c>
      <c r="F9" s="161">
        <f t="shared" si="4"/>
        <v>6.83</v>
      </c>
      <c r="G9" s="200" t="s">
        <v>911</v>
      </c>
      <c r="H9" s="183"/>
      <c r="I9" s="184"/>
      <c r="J9" s="184"/>
      <c r="K9" s="196"/>
      <c r="L9" s="197"/>
      <c r="M9" s="198"/>
      <c r="N9" s="199"/>
      <c r="O9" s="18"/>
      <c r="P9" s="234"/>
      <c r="R9" s="18"/>
    </row>
    <row r="10" spans="1:23">
      <c r="A10" s="581"/>
      <c r="B10" s="230">
        <v>1</v>
      </c>
      <c r="C10" s="231"/>
      <c r="D10" s="231">
        <f t="shared" si="2"/>
        <v>-1</v>
      </c>
      <c r="E10" s="249">
        <f>SUM($D$2:D10)/SUM($B$2:B10)</f>
        <v>0.64777777777777779</v>
      </c>
      <c r="F10" s="232">
        <f t="shared" si="4"/>
        <v>5.83</v>
      </c>
      <c r="G10" s="250" t="s">
        <v>912</v>
      </c>
      <c r="H10" s="183"/>
      <c r="I10" s="184"/>
      <c r="J10" s="184"/>
      <c r="K10" s="196"/>
      <c r="L10" s="197"/>
      <c r="M10" s="198"/>
      <c r="N10" s="199"/>
      <c r="O10" s="18"/>
      <c r="P10" s="234"/>
      <c r="R10" s="18"/>
    </row>
    <row r="11" spans="1:23">
      <c r="A11" s="580">
        <v>45922</v>
      </c>
      <c r="B11" s="165">
        <v>1</v>
      </c>
      <c r="C11" s="204">
        <v>2.81</v>
      </c>
      <c r="D11" s="204">
        <f t="shared" si="2"/>
        <v>1.81</v>
      </c>
      <c r="E11" s="191">
        <f>SUM($D$2:D11)/SUM($B$2:B11)</f>
        <v>0.76400000000000001</v>
      </c>
      <c r="F11" s="161">
        <f t="shared" si="4"/>
        <v>7.6400000000000006</v>
      </c>
      <c r="G11" s="200" t="s">
        <v>871</v>
      </c>
      <c r="H11" s="183"/>
      <c r="I11" s="184"/>
      <c r="J11" s="184"/>
      <c r="K11" s="196"/>
      <c r="L11" s="197"/>
      <c r="M11" s="198"/>
      <c r="N11" s="199"/>
      <c r="O11" s="18"/>
      <c r="P11" s="234"/>
      <c r="R11" s="18"/>
    </row>
    <row r="12" spans="1:23">
      <c r="A12" s="581"/>
      <c r="B12" s="170">
        <v>1</v>
      </c>
      <c r="C12" s="206">
        <v>2.85</v>
      </c>
      <c r="D12" s="206">
        <f t="shared" si="2"/>
        <v>1.85</v>
      </c>
      <c r="E12" s="193">
        <f>SUM($D$2:D12)/SUM($B$2:B12)</f>
        <v>0.86272727272727279</v>
      </c>
      <c r="F12" s="163">
        <f t="shared" si="4"/>
        <v>9.49</v>
      </c>
      <c r="G12" s="202" t="s">
        <v>915</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938</v>
      </c>
      <c r="H13" s="183"/>
      <c r="I13" s="184"/>
      <c r="J13" s="184"/>
      <c r="K13" s="196"/>
      <c r="L13" s="197"/>
      <c r="M13" s="198"/>
      <c r="N13" s="199"/>
      <c r="O13" s="18"/>
      <c r="P13" s="234"/>
      <c r="R13" s="18"/>
    </row>
    <row r="14" spans="1:23">
      <c r="A14" s="523"/>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948</v>
      </c>
      <c r="C17" s="557" t="s">
        <v>949</v>
      </c>
      <c r="D17" s="558"/>
      <c r="E17" s="559"/>
      <c r="H17" s="560">
        <f>100</f>
        <v>100</v>
      </c>
      <c r="I17" s="561"/>
      <c r="J17" s="16" t="s">
        <v>950</v>
      </c>
      <c r="K17" s="560">
        <v>80.89</v>
      </c>
      <c r="L17" s="561"/>
      <c r="M17" s="16" t="s">
        <v>950</v>
      </c>
      <c r="N17" s="19"/>
      <c r="O17" s="138"/>
      <c r="P17" s="58"/>
    </row>
    <row r="18" spans="1:16" ht="15" customHeight="1">
      <c r="A18">
        <f>COUNT(B2:B14)</f>
        <v>12</v>
      </c>
      <c r="B18" s="1"/>
      <c r="C18" s="156">
        <f>I18</f>
        <v>5</v>
      </c>
      <c r="D18" s="574">
        <v>1.32</v>
      </c>
      <c r="E18" s="157">
        <f>C18*D18-C18</f>
        <v>1.6000000000000005</v>
      </c>
      <c r="F18" s="15"/>
      <c r="G18" s="147" t="s">
        <v>951</v>
      </c>
      <c r="H18" s="75">
        <f>H21/100</f>
        <v>1</v>
      </c>
      <c r="I18" s="149">
        <f>H18*5</f>
        <v>5</v>
      </c>
      <c r="J18" s="3" t="s">
        <v>952</v>
      </c>
      <c r="K18" s="75">
        <f>K21/100</f>
        <v>0.92230000000000001</v>
      </c>
      <c r="L18" s="149">
        <f>K18*5</f>
        <v>4.6115000000000004</v>
      </c>
      <c r="M18" s="3" t="s">
        <v>952</v>
      </c>
    </row>
    <row r="19" spans="1:16" ht="15" customHeight="1">
      <c r="A19" t="s">
        <v>953</v>
      </c>
      <c r="B19" s="99"/>
      <c r="C19" s="135">
        <f>E19/(D18-1)</f>
        <v>9.3749999999999982</v>
      </c>
      <c r="D19" s="575"/>
      <c r="E19" s="136">
        <v>3</v>
      </c>
      <c r="F19" s="15"/>
      <c r="G19" s="147" t="s">
        <v>954</v>
      </c>
      <c r="H19" s="127">
        <f>SUM(H2:H14)</f>
        <v>0</v>
      </c>
      <c r="I19" s="148"/>
      <c r="J19" s="3" t="s">
        <v>955</v>
      </c>
      <c r="K19" s="127">
        <f>D15</f>
        <v>11.34</v>
      </c>
      <c r="L19" s="148"/>
      <c r="M19" s="3" t="s">
        <v>955</v>
      </c>
    </row>
    <row r="20" spans="1:16">
      <c r="A20" s="18">
        <f>COUNT(C2:C14)/A18</f>
        <v>0.66666666666666663</v>
      </c>
      <c r="B20" s="18"/>
      <c r="D20" s="15">
        <f>1/A20</f>
        <v>1.5</v>
      </c>
      <c r="E20" s="15"/>
      <c r="F20" s="15"/>
      <c r="G20" s="147" t="s">
        <v>956</v>
      </c>
      <c r="H20" s="570">
        <f>(H19-I19)</f>
        <v>0</v>
      </c>
      <c r="I20" s="571"/>
      <c r="J20" s="128"/>
      <c r="K20" s="570">
        <f>(K19-L19)</f>
        <v>11.34</v>
      </c>
      <c r="L20" s="571"/>
      <c r="M20" s="128"/>
    </row>
    <row r="21" spans="1:16">
      <c r="A21" t="s">
        <v>4</v>
      </c>
      <c r="G21" s="147" t="s">
        <v>957</v>
      </c>
      <c r="H21" s="572">
        <f>H17+H20</f>
        <v>100</v>
      </c>
      <c r="I21" s="573"/>
      <c r="J21" s="128">
        <f>130-H21</f>
        <v>30</v>
      </c>
      <c r="K21" s="572">
        <f>K17+K20</f>
        <v>92.23</v>
      </c>
      <c r="L21" s="573"/>
      <c r="M21" s="128"/>
      <c r="O21" s="235">
        <v>74.147999999999996</v>
      </c>
      <c r="P21" s="18"/>
    </row>
    <row r="22" spans="1:16">
      <c r="A22" s="18">
        <f>D15/B15</f>
        <v>0.94499999999999995</v>
      </c>
      <c r="F22" s="158"/>
      <c r="G22" s="147" t="s">
        <v>958</v>
      </c>
      <c r="H22" s="45">
        <f>(H21-H17)/H17</f>
        <v>0</v>
      </c>
      <c r="I22" s="46">
        <f>B15/H17</f>
        <v>0.12</v>
      </c>
      <c r="J22" t="s">
        <v>959</v>
      </c>
      <c r="K22" s="45">
        <f>(K21-K17)/K17</f>
        <v>0.14019038200024728</v>
      </c>
      <c r="L22" s="46">
        <f>B15/K17</f>
        <v>0.14834961058227222</v>
      </c>
      <c r="M22" t="s">
        <v>959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8" t="s">
        <v>365</v>
      </c>
      <c r="B40" s="132" t="s">
        <v>1</v>
      </c>
      <c r="C40" s="529"/>
      <c r="E40" s="134" t="s">
        <v>4</v>
      </c>
    </row>
    <row r="42" spans="1:37">
      <c r="D42" s="7" t="s">
        <v>3</v>
      </c>
    </row>
    <row r="43" spans="1:37">
      <c r="B43" s="21" t="s">
        <v>962</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367</v>
      </c>
      <c r="B66" s="140">
        <f>SUM(B2:B4)</f>
        <v>3</v>
      </c>
      <c r="C66" s="140"/>
      <c r="D66" s="140">
        <f>SUM(D2:D4)</f>
        <v>4.0000000000000036E-2</v>
      </c>
      <c r="E66" s="152">
        <f t="shared" ref="E66:E67" si="11">D66/B66</f>
        <v>1.3333333333333345E-2</v>
      </c>
      <c r="F66" s="18"/>
      <c r="G66" s="221" t="s">
        <v>366</v>
      </c>
    </row>
    <row r="67" spans="1:7">
      <c r="A67" s="139" t="s">
        <v>368</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382</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9" t="s">
        <v>851</v>
      </c>
      <c r="N1" s="569"/>
      <c r="O1" s="569"/>
      <c r="P1" s="569"/>
      <c r="Q1"/>
    </row>
    <row r="2" spans="1:17">
      <c r="A2" s="530">
        <v>45905</v>
      </c>
      <c r="B2" s="204">
        <v>1</v>
      </c>
      <c r="C2" s="161">
        <v>1.93</v>
      </c>
      <c r="D2" s="161">
        <f t="shared" ref="D2:D65" si="0">(B2*C2)-B2</f>
        <v>0.92999999999999994</v>
      </c>
      <c r="E2" s="191">
        <f>SUM($D$2:D2)/SUM($B$2:B2)</f>
        <v>0.92999999999999994</v>
      </c>
      <c r="F2" s="161">
        <f>D2</f>
        <v>0.92999999999999994</v>
      </c>
      <c r="G2" s="169" t="s">
        <v>853</v>
      </c>
      <c r="H2" s="183"/>
      <c r="I2" s="184"/>
      <c r="J2" s="184"/>
      <c r="Q2"/>
    </row>
    <row r="3" spans="1:17">
      <c r="A3" s="531"/>
      <c r="B3" s="153">
        <v>1</v>
      </c>
      <c r="C3" s="151">
        <v>1.86</v>
      </c>
      <c r="D3" s="151">
        <f t="shared" si="0"/>
        <v>0.8600000000000001</v>
      </c>
      <c r="E3" s="190">
        <f>SUM($D$2:D3)/SUM($B$2:B3)</f>
        <v>0.89500000000000002</v>
      </c>
      <c r="F3" s="151">
        <f t="shared" ref="F3:F66" si="1">F2+D3</f>
        <v>1.79</v>
      </c>
      <c r="G3" s="192" t="s">
        <v>854</v>
      </c>
      <c r="H3" s="183"/>
      <c r="I3" s="184"/>
      <c r="J3" s="184"/>
      <c r="Q3"/>
    </row>
    <row r="4" spans="1:17">
      <c r="A4" s="531"/>
      <c r="B4" s="205">
        <v>1</v>
      </c>
      <c r="C4" s="150">
        <v>2.0099999999999998</v>
      </c>
      <c r="D4" s="150">
        <f t="shared" si="0"/>
        <v>1.0099999999999998</v>
      </c>
      <c r="E4" s="154">
        <f>SUM($D$2:D4)/SUM($B$2:B4)</f>
        <v>0.93333333333333324</v>
      </c>
      <c r="F4" s="150">
        <f t="shared" si="1"/>
        <v>2.8</v>
      </c>
      <c r="G4" s="189" t="s">
        <v>855</v>
      </c>
      <c r="H4" s="183"/>
      <c r="I4" s="184"/>
      <c r="J4" s="184"/>
      <c r="Q4"/>
    </row>
    <row r="5" spans="1:17" ht="15.75" thickBot="1">
      <c r="A5" s="533"/>
      <c r="B5" s="206">
        <v>1</v>
      </c>
      <c r="C5" s="163"/>
      <c r="D5" s="163">
        <f t="shared" si="0"/>
        <v>-1</v>
      </c>
      <c r="E5" s="193">
        <f>SUM($D$2:D5)/SUM($B$2:B5)</f>
        <v>0.44999999999999996</v>
      </c>
      <c r="F5" s="163">
        <f t="shared" si="1"/>
        <v>1.7999999999999998</v>
      </c>
      <c r="G5" s="194" t="s">
        <v>856</v>
      </c>
      <c r="H5" s="183"/>
      <c r="I5" s="184"/>
      <c r="J5" s="184"/>
      <c r="Q5"/>
    </row>
    <row r="6" spans="1:17">
      <c r="A6" s="565">
        <v>45906</v>
      </c>
      <c r="B6" s="165">
        <v>1</v>
      </c>
      <c r="C6" s="204"/>
      <c r="D6" s="204">
        <f t="shared" si="0"/>
        <v>-1</v>
      </c>
      <c r="E6" s="191">
        <f>SUM($D$2:D6)/SUM($B$2:B6)</f>
        <v>0.15999999999999998</v>
      </c>
      <c r="F6" s="161">
        <f t="shared" si="1"/>
        <v>0.79999999999999982</v>
      </c>
      <c r="G6" s="210" t="s">
        <v>854</v>
      </c>
      <c r="H6" s="183"/>
      <c r="I6" s="184"/>
      <c r="J6" s="184"/>
      <c r="K6" s="18"/>
      <c r="M6" s="2"/>
      <c r="N6" s="18"/>
      <c r="Q6"/>
    </row>
    <row r="7" spans="1:17">
      <c r="A7" s="566"/>
      <c r="B7" s="167">
        <v>1</v>
      </c>
      <c r="C7" s="205"/>
      <c r="D7" s="205">
        <f t="shared" si="0"/>
        <v>-1</v>
      </c>
      <c r="E7" s="154">
        <f>SUM($D$2:D7)/SUM($B$2:B7)</f>
        <v>-3.3333333333333361E-2</v>
      </c>
      <c r="F7" s="150">
        <f t="shared" si="1"/>
        <v>-0.20000000000000018</v>
      </c>
      <c r="G7" s="201" t="s">
        <v>858</v>
      </c>
      <c r="H7" s="183"/>
      <c r="I7" s="184"/>
      <c r="J7" s="184"/>
      <c r="K7" s="18"/>
      <c r="M7" s="2"/>
      <c r="N7" s="18"/>
      <c r="Q7"/>
    </row>
    <row r="8" spans="1:17">
      <c r="A8" s="566"/>
      <c r="B8" s="167">
        <v>1</v>
      </c>
      <c r="C8" s="205"/>
      <c r="D8" s="205">
        <f t="shared" si="0"/>
        <v>-1</v>
      </c>
      <c r="E8" s="154">
        <f>SUM($D$2:D8)/SUM($B$2:B8)</f>
        <v>-0.17142857142857146</v>
      </c>
      <c r="F8" s="150">
        <f t="shared" si="1"/>
        <v>-1.2000000000000002</v>
      </c>
      <c r="G8" s="201" t="s">
        <v>859</v>
      </c>
      <c r="H8" s="183"/>
      <c r="I8" s="184"/>
      <c r="J8" s="184"/>
      <c r="K8" s="18"/>
      <c r="M8" s="2"/>
      <c r="N8" s="18"/>
      <c r="Q8"/>
    </row>
    <row r="9" spans="1:17">
      <c r="A9" s="566"/>
      <c r="B9" s="167">
        <v>1</v>
      </c>
      <c r="C9" s="205"/>
      <c r="D9" s="205">
        <f t="shared" si="0"/>
        <v>-1</v>
      </c>
      <c r="E9" s="154">
        <f>SUM($D$2:D9)/SUM($B$2:B9)</f>
        <v>-0.27500000000000002</v>
      </c>
      <c r="F9" s="150">
        <f t="shared" si="1"/>
        <v>-2.2000000000000002</v>
      </c>
      <c r="G9" s="201" t="s">
        <v>853</v>
      </c>
      <c r="H9" s="183"/>
      <c r="I9" s="184"/>
      <c r="J9" s="184"/>
      <c r="K9" s="18"/>
      <c r="M9" s="2"/>
      <c r="N9" s="18"/>
      <c r="Q9"/>
    </row>
    <row r="10" spans="1:17">
      <c r="A10" s="566"/>
      <c r="B10" s="167">
        <v>1</v>
      </c>
      <c r="C10" s="205"/>
      <c r="D10" s="205">
        <f t="shared" si="0"/>
        <v>-1</v>
      </c>
      <c r="E10" s="154">
        <f>SUM($D$2:D10)/SUM($B$2:B10)</f>
        <v>-0.35555555555555557</v>
      </c>
      <c r="F10" s="150">
        <f t="shared" si="1"/>
        <v>-3.2</v>
      </c>
      <c r="G10" s="201" t="s">
        <v>860</v>
      </c>
      <c r="H10" s="183"/>
      <c r="I10" s="184"/>
      <c r="J10" s="184"/>
      <c r="K10" s="18"/>
      <c r="M10" s="2"/>
      <c r="N10" s="18"/>
      <c r="Q10"/>
    </row>
    <row r="11" spans="1:17" ht="15.75" thickBot="1">
      <c r="A11" s="585"/>
      <c r="B11" s="170">
        <v>1</v>
      </c>
      <c r="C11" s="206">
        <v>1.97</v>
      </c>
      <c r="D11" s="206">
        <f t="shared" si="0"/>
        <v>0.97</v>
      </c>
      <c r="E11" s="193">
        <f>SUM($D$2:D11)/SUM($B$2:B11)</f>
        <v>-0.22300000000000003</v>
      </c>
      <c r="F11" s="163">
        <f t="shared" si="1"/>
        <v>-2.2300000000000004</v>
      </c>
      <c r="G11" s="203" t="s">
        <v>861</v>
      </c>
      <c r="H11" s="183"/>
      <c r="I11" s="184"/>
      <c r="J11" s="184"/>
      <c r="K11" s="18"/>
      <c r="M11" s="2"/>
      <c r="N11" s="18"/>
      <c r="Q11"/>
    </row>
    <row r="12" spans="1:17">
      <c r="A12" s="586">
        <v>45907</v>
      </c>
      <c r="B12" s="204">
        <v>1</v>
      </c>
      <c r="C12" s="204"/>
      <c r="D12" s="204">
        <f t="shared" si="0"/>
        <v>-1</v>
      </c>
      <c r="E12" s="191">
        <f>SUM($D$2:D12)/SUM($B$2:B12)</f>
        <v>-0.2936363636363637</v>
      </c>
      <c r="F12" s="161">
        <f t="shared" si="1"/>
        <v>-3.2300000000000004</v>
      </c>
      <c r="G12" s="210" t="s">
        <v>863</v>
      </c>
      <c r="H12" s="183"/>
      <c r="I12" s="184"/>
      <c r="J12" s="184"/>
      <c r="K12" s="18"/>
      <c r="M12" s="2"/>
      <c r="N12" s="18"/>
      <c r="Q12"/>
    </row>
    <row r="13" spans="1:17">
      <c r="A13" s="587"/>
      <c r="B13" s="205">
        <v>1</v>
      </c>
      <c r="C13" s="205"/>
      <c r="D13" s="205">
        <f t="shared" si="0"/>
        <v>-1</v>
      </c>
      <c r="E13" s="154">
        <f>SUM($D$2:D13)/SUM($B$2:B13)</f>
        <v>-0.35250000000000004</v>
      </c>
      <c r="F13" s="150">
        <f t="shared" si="1"/>
        <v>-4.2300000000000004</v>
      </c>
      <c r="G13" s="201" t="s">
        <v>858</v>
      </c>
      <c r="H13" s="183"/>
      <c r="I13" s="184"/>
      <c r="J13" s="184"/>
      <c r="K13" s="18"/>
      <c r="M13" s="2"/>
      <c r="N13" s="18"/>
      <c r="Q13"/>
    </row>
    <row r="14" spans="1:17">
      <c r="A14" s="587"/>
      <c r="B14" s="205">
        <v>1</v>
      </c>
      <c r="C14" s="205">
        <v>1.9</v>
      </c>
      <c r="D14" s="205">
        <f t="shared" si="0"/>
        <v>0.89999999999999991</v>
      </c>
      <c r="E14" s="154">
        <f>SUM($D$2:D14)/SUM($B$2:B14)</f>
        <v>-0.25615384615384618</v>
      </c>
      <c r="F14" s="150">
        <f t="shared" si="1"/>
        <v>-3.3300000000000005</v>
      </c>
      <c r="G14" s="201" t="s">
        <v>854</v>
      </c>
      <c r="H14" s="183"/>
      <c r="I14" s="184"/>
      <c r="J14" s="184"/>
      <c r="K14" s="18"/>
      <c r="M14" s="2"/>
      <c r="N14" s="18"/>
      <c r="Q14"/>
    </row>
    <row r="15" spans="1:17">
      <c r="A15" s="587"/>
      <c r="B15" s="205">
        <v>1</v>
      </c>
      <c r="C15" s="205">
        <v>1.88</v>
      </c>
      <c r="D15" s="205">
        <f t="shared" si="0"/>
        <v>0.87999999999999989</v>
      </c>
      <c r="E15" s="154">
        <f>SUM($D$2:D15)/SUM($B$2:B15)</f>
        <v>-0.17500000000000004</v>
      </c>
      <c r="F15" s="150">
        <f t="shared" si="1"/>
        <v>-2.4500000000000006</v>
      </c>
      <c r="G15" s="201" t="s">
        <v>864</v>
      </c>
      <c r="H15" s="183"/>
      <c r="I15" s="184"/>
      <c r="J15" s="184"/>
      <c r="K15" s="18"/>
      <c r="M15" s="2"/>
      <c r="N15" s="18"/>
      <c r="Q15"/>
    </row>
    <row r="16" spans="1:17" ht="15.75" thickBot="1">
      <c r="A16" s="588"/>
      <c r="B16" s="153">
        <v>1</v>
      </c>
      <c r="C16" s="153"/>
      <c r="D16" s="153">
        <f t="shared" si="0"/>
        <v>-1</v>
      </c>
      <c r="E16" s="190">
        <f>SUM($D$2:D16)/SUM($B$2:B16)</f>
        <v>-0.23000000000000004</v>
      </c>
      <c r="F16" s="151">
        <f t="shared" si="1"/>
        <v>-3.4500000000000006</v>
      </c>
      <c r="G16" s="211" t="s">
        <v>860</v>
      </c>
      <c r="H16" s="183"/>
      <c r="I16" s="184"/>
      <c r="J16" s="184"/>
      <c r="K16" s="58"/>
      <c r="M16" s="2"/>
      <c r="N16" s="18"/>
      <c r="Q16"/>
    </row>
    <row r="17" spans="1:17">
      <c r="A17" s="530">
        <v>45908</v>
      </c>
      <c r="B17" s="204">
        <v>1</v>
      </c>
      <c r="C17" s="204"/>
      <c r="D17" s="204">
        <f t="shared" si="0"/>
        <v>-1</v>
      </c>
      <c r="E17" s="191">
        <f>SUM($D$2:D17)/SUM($B$2:B17)</f>
        <v>-0.27812500000000007</v>
      </c>
      <c r="F17" s="161">
        <f t="shared" si="1"/>
        <v>-4.4500000000000011</v>
      </c>
      <c r="G17" s="210" t="s">
        <v>865</v>
      </c>
      <c r="H17" s="183"/>
      <c r="I17" s="184"/>
      <c r="J17" s="184"/>
      <c r="K17" s="18"/>
      <c r="M17" s="2"/>
      <c r="N17" s="18"/>
      <c r="Q17"/>
    </row>
    <row r="18" spans="1:17">
      <c r="A18" s="531"/>
      <c r="B18" s="205">
        <v>1</v>
      </c>
      <c r="C18" s="205"/>
      <c r="D18" s="205">
        <f t="shared" si="0"/>
        <v>-1</v>
      </c>
      <c r="E18" s="154">
        <f>SUM($D$2:D18)/SUM($B$2:B18)</f>
        <v>-0.32058823529411773</v>
      </c>
      <c r="F18" s="150">
        <f t="shared" si="1"/>
        <v>-5.4500000000000011</v>
      </c>
      <c r="G18" s="201" t="s">
        <v>866</v>
      </c>
      <c r="H18" s="183"/>
      <c r="I18" s="184"/>
      <c r="J18" s="184"/>
      <c r="K18" s="18"/>
      <c r="M18" s="2"/>
      <c r="N18" s="18"/>
      <c r="Q18"/>
    </row>
    <row r="19" spans="1:17">
      <c r="A19" s="531"/>
      <c r="B19" s="205">
        <v>1</v>
      </c>
      <c r="C19" s="205">
        <v>1.909</v>
      </c>
      <c r="D19" s="205">
        <f t="shared" si="0"/>
        <v>0.90900000000000003</v>
      </c>
      <c r="E19" s="154">
        <f>SUM($D$2:D19)/SUM($B$2:B19)</f>
        <v>-0.25227777777777782</v>
      </c>
      <c r="F19" s="150">
        <f t="shared" si="1"/>
        <v>-4.5410000000000013</v>
      </c>
      <c r="G19" s="201" t="s">
        <v>867</v>
      </c>
      <c r="H19" s="183"/>
      <c r="I19" s="184"/>
      <c r="J19" s="184"/>
      <c r="K19" s="18"/>
      <c r="M19" s="2"/>
      <c r="N19" s="18"/>
      <c r="Q19"/>
    </row>
    <row r="20" spans="1:17" ht="15.75" thickBot="1">
      <c r="A20" s="531"/>
      <c r="B20" s="153">
        <v>1</v>
      </c>
      <c r="C20" s="153"/>
      <c r="D20" s="153">
        <f t="shared" si="0"/>
        <v>-1</v>
      </c>
      <c r="E20" s="190">
        <f>SUM($D$2:D20)/SUM($B$2:B20)</f>
        <v>-0.29163157894736846</v>
      </c>
      <c r="F20" s="151">
        <f t="shared" si="1"/>
        <v>-5.5410000000000013</v>
      </c>
      <c r="G20" s="211" t="s">
        <v>868</v>
      </c>
      <c r="H20" s="183"/>
      <c r="I20" s="184"/>
      <c r="J20" s="184"/>
      <c r="K20" s="18"/>
      <c r="M20" s="2"/>
      <c r="N20" s="18"/>
      <c r="Q20"/>
    </row>
    <row r="21" spans="1:17">
      <c r="A21" s="568">
        <v>45909</v>
      </c>
      <c r="B21" s="165">
        <v>1</v>
      </c>
      <c r="C21" s="204">
        <v>1.74</v>
      </c>
      <c r="D21" s="204">
        <f t="shared" si="0"/>
        <v>0.74</v>
      </c>
      <c r="E21" s="191">
        <f>SUM($D$2:D21)/SUM($B$2:B21)</f>
        <v>-0.24005000000000004</v>
      </c>
      <c r="F21" s="161">
        <f t="shared" si="1"/>
        <v>-4.801000000000001</v>
      </c>
      <c r="G21" s="210" t="s">
        <v>869</v>
      </c>
      <c r="H21" s="183"/>
      <c r="I21" s="184"/>
      <c r="J21" s="184"/>
      <c r="K21" s="18"/>
      <c r="M21" s="2"/>
      <c r="N21" s="18"/>
      <c r="Q21"/>
    </row>
    <row r="22" spans="1:17">
      <c r="A22" s="532"/>
      <c r="B22" s="167">
        <v>1</v>
      </c>
      <c r="C22" s="205">
        <v>1.89</v>
      </c>
      <c r="D22" s="205">
        <f t="shared" si="0"/>
        <v>0.8899999999999999</v>
      </c>
      <c r="E22" s="154">
        <f>SUM($D$2:D22)/SUM($B$2:B22)</f>
        <v>-0.18623809523809531</v>
      </c>
      <c r="F22" s="150">
        <f t="shared" si="1"/>
        <v>-3.9110000000000014</v>
      </c>
      <c r="G22" s="201" t="s">
        <v>870</v>
      </c>
      <c r="H22" s="183"/>
      <c r="I22" s="184"/>
      <c r="J22" s="184"/>
      <c r="K22" s="18"/>
      <c r="M22" s="2"/>
      <c r="N22" s="18"/>
      <c r="Q22"/>
    </row>
    <row r="23" spans="1:17" ht="15.75" thickBot="1">
      <c r="A23" s="532"/>
      <c r="B23" s="170">
        <v>1</v>
      </c>
      <c r="C23" s="206"/>
      <c r="D23" s="206">
        <f t="shared" si="0"/>
        <v>-1</v>
      </c>
      <c r="E23" s="193">
        <f>SUM($D$2:D23)/SUM($B$2:B23)</f>
        <v>-0.2232272727272728</v>
      </c>
      <c r="F23" s="163">
        <f t="shared" si="1"/>
        <v>-4.9110000000000014</v>
      </c>
      <c r="G23" s="203" t="s">
        <v>868</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869</v>
      </c>
      <c r="H24" s="183"/>
      <c r="I24" s="184"/>
      <c r="J24" s="184"/>
      <c r="K24" s="18"/>
      <c r="Q24"/>
    </row>
    <row r="25" spans="1:17">
      <c r="A25" s="556"/>
      <c r="B25" s="205">
        <v>1</v>
      </c>
      <c r="C25" s="205"/>
      <c r="D25" s="205">
        <f t="shared" si="0"/>
        <v>-1</v>
      </c>
      <c r="E25" s="154">
        <f>SUM($D$2:D25)/SUM($B$2:B25)</f>
        <v>-0.21600000000000005</v>
      </c>
      <c r="F25" s="150">
        <f t="shared" si="1"/>
        <v>-5.1840000000000011</v>
      </c>
      <c r="G25" s="201" t="s">
        <v>867</v>
      </c>
      <c r="H25" s="183"/>
      <c r="I25" s="184"/>
      <c r="J25" s="184"/>
      <c r="K25" s="18"/>
      <c r="Q25"/>
    </row>
    <row r="26" spans="1:17" ht="15.75" thickBot="1">
      <c r="A26" s="564"/>
      <c r="B26" s="206">
        <v>1</v>
      </c>
      <c r="C26" s="206"/>
      <c r="D26" s="206">
        <f t="shared" si="0"/>
        <v>-1</v>
      </c>
      <c r="E26" s="193">
        <f>SUM($D$2:D26)/SUM($B$2:B26)</f>
        <v>-0.24736000000000005</v>
      </c>
      <c r="F26" s="163">
        <f t="shared" si="1"/>
        <v>-6.1840000000000011</v>
      </c>
      <c r="G26" s="211" t="s">
        <v>870</v>
      </c>
      <c r="H26" s="183"/>
      <c r="I26" s="184"/>
      <c r="J26" s="184"/>
      <c r="K26" s="18"/>
      <c r="Q26"/>
    </row>
    <row r="27" spans="1:17">
      <c r="A27" s="582">
        <v>45911</v>
      </c>
      <c r="B27" s="204">
        <v>1</v>
      </c>
      <c r="C27" s="204">
        <v>1.92</v>
      </c>
      <c r="D27" s="204">
        <f t="shared" si="0"/>
        <v>0.91999999999999993</v>
      </c>
      <c r="E27" s="191">
        <f>SUM($D$2:D27)/SUM($B$2:B27)</f>
        <v>-0.2024615384615385</v>
      </c>
      <c r="F27" s="161">
        <f t="shared" si="1"/>
        <v>-5.2640000000000011</v>
      </c>
      <c r="G27" s="210" t="s">
        <v>873</v>
      </c>
      <c r="H27" s="183"/>
      <c r="I27" s="184"/>
      <c r="J27" s="184"/>
      <c r="K27" s="18"/>
      <c r="Q27"/>
    </row>
    <row r="28" spans="1:17" ht="15.75" thickBot="1">
      <c r="A28" s="583"/>
      <c r="B28" s="206">
        <v>1</v>
      </c>
      <c r="C28" s="206">
        <v>1.98</v>
      </c>
      <c r="D28" s="206">
        <f t="shared" si="0"/>
        <v>0.98</v>
      </c>
      <c r="E28" s="193">
        <f>SUM($D$2:D28)/SUM($B$2:B28)</f>
        <v>-0.15866666666666671</v>
      </c>
      <c r="F28" s="163">
        <f t="shared" si="1"/>
        <v>-4.2840000000000007</v>
      </c>
      <c r="G28" s="211" t="s">
        <v>874</v>
      </c>
      <c r="H28" s="183"/>
      <c r="I28" s="184"/>
      <c r="J28" s="184"/>
      <c r="K28" s="18"/>
      <c r="Q28"/>
    </row>
    <row r="29" spans="1:17">
      <c r="A29" s="582">
        <v>45912</v>
      </c>
      <c r="B29" s="204">
        <v>1</v>
      </c>
      <c r="C29" s="204">
        <v>1.76</v>
      </c>
      <c r="D29" s="204">
        <f t="shared" si="0"/>
        <v>0.76</v>
      </c>
      <c r="E29" s="191">
        <f>SUM($D$2:D29)/SUM($B$2:B29)</f>
        <v>-0.12585714285714289</v>
      </c>
      <c r="F29" s="161">
        <f t="shared" si="1"/>
        <v>-3.5240000000000009</v>
      </c>
      <c r="G29" s="210" t="s">
        <v>875</v>
      </c>
      <c r="H29" s="183"/>
      <c r="I29" s="184"/>
      <c r="J29" s="184"/>
      <c r="K29" s="18"/>
      <c r="Q29"/>
    </row>
    <row r="30" spans="1:17">
      <c r="A30" s="584"/>
      <c r="B30" s="205">
        <v>1</v>
      </c>
      <c r="C30" s="205"/>
      <c r="D30" s="205">
        <f t="shared" si="0"/>
        <v>-1</v>
      </c>
      <c r="E30" s="154">
        <f>SUM($D$2:D30)/SUM($B$2:B30)</f>
        <v>-0.15600000000000003</v>
      </c>
      <c r="F30" s="150">
        <f t="shared" si="1"/>
        <v>-4.5240000000000009</v>
      </c>
      <c r="G30" s="201" t="s">
        <v>876</v>
      </c>
      <c r="H30" s="183"/>
      <c r="I30" s="184"/>
      <c r="J30" s="184"/>
      <c r="K30" s="18"/>
      <c r="Q30"/>
    </row>
    <row r="31" spans="1:17">
      <c r="A31" s="584"/>
      <c r="B31" s="205">
        <v>1</v>
      </c>
      <c r="C31" s="205">
        <v>1.93</v>
      </c>
      <c r="D31" s="205">
        <f t="shared" si="0"/>
        <v>0.92999999999999994</v>
      </c>
      <c r="E31" s="154">
        <f>SUM($D$2:D31)/SUM($B$2:B31)</f>
        <v>-0.11980000000000005</v>
      </c>
      <c r="F31" s="150">
        <f t="shared" si="1"/>
        <v>-3.5940000000000012</v>
      </c>
      <c r="G31" s="201" t="s">
        <v>877</v>
      </c>
      <c r="H31" s="183"/>
      <c r="I31" s="184"/>
      <c r="J31" s="184"/>
      <c r="K31" s="18"/>
      <c r="Q31"/>
    </row>
    <row r="32" spans="1:17">
      <c r="A32" s="584"/>
      <c r="B32" s="205">
        <v>1</v>
      </c>
      <c r="C32" s="205"/>
      <c r="D32" s="205">
        <f t="shared" si="0"/>
        <v>-1</v>
      </c>
      <c r="E32" s="154">
        <f>SUM($D$2:D32)/SUM($B$2:B32)</f>
        <v>-0.14819354838709681</v>
      </c>
      <c r="F32" s="150">
        <f t="shared" si="1"/>
        <v>-4.5940000000000012</v>
      </c>
      <c r="G32" s="201" t="s">
        <v>878</v>
      </c>
      <c r="H32" s="183"/>
      <c r="I32" s="184"/>
      <c r="J32" s="184"/>
      <c r="K32" s="18"/>
      <c r="Q32"/>
    </row>
    <row r="33" spans="1:17" ht="15.75" thickBot="1">
      <c r="A33" s="583"/>
      <c r="B33" s="206">
        <v>1</v>
      </c>
      <c r="C33" s="206">
        <v>1.89</v>
      </c>
      <c r="D33" s="206">
        <f t="shared" si="0"/>
        <v>0.8899999999999999</v>
      </c>
      <c r="E33" s="193">
        <f>SUM($D$2:D33)/SUM($B$2:B33)</f>
        <v>-0.11575000000000005</v>
      </c>
      <c r="F33" s="163">
        <f t="shared" si="1"/>
        <v>-3.7040000000000015</v>
      </c>
      <c r="G33" s="202" t="s">
        <v>879</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880</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881</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879</v>
      </c>
      <c r="H36" s="183"/>
      <c r="I36" s="184"/>
      <c r="J36" s="184"/>
      <c r="K36" s="18"/>
      <c r="Q36"/>
    </row>
    <row r="37" spans="1:17">
      <c r="A37" s="556"/>
      <c r="B37" s="205">
        <v>1</v>
      </c>
      <c r="C37" s="205"/>
      <c r="D37" s="205">
        <f t="shared" si="0"/>
        <v>-1</v>
      </c>
      <c r="E37" s="154">
        <f>SUM($D$2:D37)/SUM($B$2:B37)</f>
        <v>-5.2055555555555605E-2</v>
      </c>
      <c r="F37" s="150">
        <f t="shared" si="1"/>
        <v>-1.8740000000000019</v>
      </c>
      <c r="G37" s="201" t="s">
        <v>875</v>
      </c>
      <c r="H37" s="183"/>
      <c r="I37" s="184"/>
      <c r="J37" s="184"/>
      <c r="K37" s="18"/>
      <c r="Q37"/>
    </row>
    <row r="38" spans="1:17">
      <c r="A38" s="556"/>
      <c r="B38" s="205">
        <v>1</v>
      </c>
      <c r="C38" s="205"/>
      <c r="D38" s="205">
        <f t="shared" si="0"/>
        <v>-1</v>
      </c>
      <c r="E38" s="154">
        <f>SUM($D$2:D38)/SUM($B$2:B38)</f>
        <v>-7.7675675675675723E-2</v>
      </c>
      <c r="F38" s="150">
        <f t="shared" si="1"/>
        <v>-2.8740000000000019</v>
      </c>
      <c r="G38" s="201" t="s">
        <v>882</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883</v>
      </c>
      <c r="H39" s="183"/>
      <c r="I39" s="184"/>
      <c r="J39" s="184"/>
      <c r="K39" s="18"/>
      <c r="Q39"/>
    </row>
    <row r="40" spans="1:17" ht="15.75" thickBot="1">
      <c r="A40" s="564"/>
      <c r="B40" s="206">
        <v>1</v>
      </c>
      <c r="C40" s="206">
        <v>1.9</v>
      </c>
      <c r="D40" s="206">
        <f t="shared" si="0"/>
        <v>0.89999999999999991</v>
      </c>
      <c r="E40" s="193">
        <f>SUM($D$2:D40)/SUM($B$2:B40)</f>
        <v>-2.5487179487179538E-2</v>
      </c>
      <c r="F40" s="163">
        <f t="shared" si="1"/>
        <v>-0.99400000000000199</v>
      </c>
      <c r="G40" s="202" t="s">
        <v>884</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884</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885</v>
      </c>
      <c r="H42" s="183"/>
      <c r="I42" s="184"/>
      <c r="J42" s="184"/>
      <c r="K42" s="18"/>
      <c r="Q42"/>
    </row>
    <row r="43" spans="1:17">
      <c r="A43" s="556"/>
      <c r="B43" s="205">
        <v>1</v>
      </c>
      <c r="C43" s="205">
        <v>2</v>
      </c>
      <c r="D43" s="205">
        <f t="shared" si="0"/>
        <v>1</v>
      </c>
      <c r="E43" s="154">
        <f>SUM($D$2:D43)/SUM($B$2:B43)</f>
        <v>-2.7142857142857641E-3</v>
      </c>
      <c r="F43" s="150">
        <f t="shared" si="1"/>
        <v>-0.1140000000000021</v>
      </c>
      <c r="G43" s="201" t="s">
        <v>879</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875</v>
      </c>
      <c r="H44" s="183"/>
      <c r="I44" s="184"/>
      <c r="J44" s="184"/>
      <c r="K44" s="18"/>
      <c r="Q44"/>
    </row>
    <row r="45" spans="1:17">
      <c r="A45" s="556"/>
      <c r="B45" s="205">
        <v>1</v>
      </c>
      <c r="C45" s="205"/>
      <c r="D45" s="205">
        <f t="shared" si="0"/>
        <v>-1</v>
      </c>
      <c r="E45" s="154">
        <f>SUM($D$2:D45)/SUM($B$2:B45)</f>
        <v>-6.9090909090909558E-3</v>
      </c>
      <c r="F45" s="150">
        <f t="shared" si="1"/>
        <v>-0.30400000000000205</v>
      </c>
      <c r="G45" s="201" t="s">
        <v>878</v>
      </c>
      <c r="H45" s="183"/>
      <c r="I45" s="184"/>
      <c r="J45" s="184"/>
      <c r="K45" s="18"/>
      <c r="Q45"/>
    </row>
    <row r="46" spans="1:17" ht="15.75" thickBot="1">
      <c r="A46" s="564"/>
      <c r="B46" s="206">
        <v>1</v>
      </c>
      <c r="C46" s="206"/>
      <c r="D46" s="206">
        <f t="shared" si="0"/>
        <v>-1</v>
      </c>
      <c r="E46" s="193">
        <f>SUM($D$2:D46)/SUM($B$2:B46)</f>
        <v>-2.8977777777777824E-2</v>
      </c>
      <c r="F46" s="163">
        <f t="shared" si="1"/>
        <v>-1.304000000000002</v>
      </c>
      <c r="G46" s="202" t="s">
        <v>883</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886</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887</v>
      </c>
      <c r="H48" s="183"/>
      <c r="I48" s="184"/>
      <c r="J48" s="184"/>
      <c r="K48" s="18"/>
      <c r="Q48"/>
    </row>
    <row r="49" spans="1:17" ht="15.75" thickBot="1">
      <c r="A49" s="564"/>
      <c r="B49" s="206">
        <v>1</v>
      </c>
      <c r="C49" s="206">
        <v>1.909</v>
      </c>
      <c r="D49" s="206">
        <f t="shared" si="0"/>
        <v>0.90900000000000003</v>
      </c>
      <c r="E49" s="193">
        <f>SUM($D$2:D49)/SUM($B$2:B49)</f>
        <v>2.9479166666666626E-2</v>
      </c>
      <c r="F49" s="163">
        <f t="shared" si="1"/>
        <v>1.414999999999998</v>
      </c>
      <c r="G49" s="202" t="s">
        <v>888</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886</v>
      </c>
      <c r="H50" s="183"/>
      <c r="I50" s="184"/>
      <c r="J50" s="184"/>
      <c r="K50" s="18"/>
      <c r="Q50"/>
    </row>
    <row r="51" spans="1:17">
      <c r="A51" s="556"/>
      <c r="B51" s="205">
        <v>1</v>
      </c>
      <c r="C51" s="205"/>
      <c r="D51" s="205">
        <f t="shared" si="0"/>
        <v>-1</v>
      </c>
      <c r="E51" s="154">
        <f>SUM($D$2:D51)/SUM($B$2:B51)</f>
        <v>2.5499999999999964E-2</v>
      </c>
      <c r="F51" s="150">
        <f t="shared" si="1"/>
        <v>1.2749999999999981</v>
      </c>
      <c r="G51" s="201" t="s">
        <v>889</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888</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887</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890</v>
      </c>
      <c r="H54" s="183"/>
      <c r="I54" s="184"/>
      <c r="J54" s="184"/>
      <c r="K54" s="18"/>
      <c r="Q54"/>
    </row>
    <row r="55" spans="1:17" ht="15.75" thickBot="1">
      <c r="A55" s="564"/>
      <c r="B55" s="206">
        <v>1</v>
      </c>
      <c r="C55" s="206"/>
      <c r="D55" s="206">
        <f t="shared" si="0"/>
        <v>-1</v>
      </c>
      <c r="E55" s="193">
        <f>SUM($D$2:D55)/SUM($B$2:B55)</f>
        <v>5.6944444444444402E-2</v>
      </c>
      <c r="F55" s="163">
        <f t="shared" si="1"/>
        <v>3.0749999999999975</v>
      </c>
      <c r="G55" s="202" t="s">
        <v>891</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894</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895</v>
      </c>
      <c r="H57" s="183"/>
      <c r="I57" s="184"/>
      <c r="J57" s="184"/>
      <c r="K57" s="18"/>
      <c r="Q57"/>
    </row>
    <row r="58" spans="1:17">
      <c r="A58" s="556"/>
      <c r="B58" s="205">
        <v>1</v>
      </c>
      <c r="C58" s="205"/>
      <c r="D58" s="205">
        <f t="shared" si="0"/>
        <v>-1</v>
      </c>
      <c r="E58" s="154">
        <f>SUM($D$2:D58)/SUM($B$2:B58)</f>
        <v>6.9385964912280662E-2</v>
      </c>
      <c r="F58" s="150">
        <f t="shared" si="1"/>
        <v>3.9549999999999974</v>
      </c>
      <c r="G58" s="201" t="s">
        <v>886</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896</v>
      </c>
      <c r="H59" s="183"/>
      <c r="I59" s="184"/>
      <c r="J59" s="184"/>
      <c r="K59" s="18"/>
      <c r="Q59"/>
    </row>
    <row r="60" spans="1:17">
      <c r="A60" s="556"/>
      <c r="B60" s="205">
        <v>1</v>
      </c>
      <c r="C60" s="205"/>
      <c r="D60" s="205">
        <f t="shared" si="0"/>
        <v>-1</v>
      </c>
      <c r="E60" s="154">
        <f>SUM($D$2:D60)/SUM($B$2:B60)</f>
        <v>6.5847457627118591E-2</v>
      </c>
      <c r="F60" s="150">
        <f t="shared" si="1"/>
        <v>3.8849999999999971</v>
      </c>
      <c r="G60" s="201" t="s">
        <v>897</v>
      </c>
      <c r="H60" s="183"/>
      <c r="I60" s="184"/>
      <c r="J60" s="184"/>
      <c r="K60" s="18"/>
      <c r="Q60"/>
    </row>
    <row r="61" spans="1:17" ht="15.75" thickBot="1">
      <c r="A61" s="564"/>
      <c r="B61" s="206">
        <v>1</v>
      </c>
      <c r="C61" s="206">
        <v>1.87</v>
      </c>
      <c r="D61" s="206">
        <f t="shared" si="0"/>
        <v>0.87000000000000011</v>
      </c>
      <c r="E61" s="193">
        <f>SUM($D$2:D61)/SUM($B$2:B61)</f>
        <v>7.9249999999999959E-2</v>
      </c>
      <c r="F61" s="163">
        <f t="shared" si="1"/>
        <v>4.7549999999999972</v>
      </c>
      <c r="G61" s="202" t="s">
        <v>890</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888</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898</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899</v>
      </c>
      <c r="H64" s="183"/>
      <c r="I64" s="184"/>
      <c r="J64" s="184"/>
      <c r="K64" s="18"/>
      <c r="Q64"/>
    </row>
    <row r="65" spans="1:17">
      <c r="A65" s="556"/>
      <c r="B65" s="205">
        <v>1</v>
      </c>
      <c r="C65" s="205"/>
      <c r="D65" s="205">
        <f t="shared" si="0"/>
        <v>-1</v>
      </c>
      <c r="E65" s="154">
        <f>SUM($D$2:D65)/SUM($B$2:B65)</f>
        <v>7.070312499999995E-2</v>
      </c>
      <c r="F65" s="150">
        <f t="shared" si="1"/>
        <v>4.5249999999999968</v>
      </c>
      <c r="G65" s="201" t="s">
        <v>900</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901</v>
      </c>
      <c r="H66" s="183"/>
      <c r="I66" s="184"/>
      <c r="J66" s="184"/>
      <c r="K66" s="18"/>
      <c r="Q66"/>
    </row>
    <row r="67" spans="1:17" ht="15.75" thickBot="1">
      <c r="A67" s="564"/>
      <c r="B67" s="206">
        <v>1</v>
      </c>
      <c r="C67" s="206"/>
      <c r="D67" s="206">
        <f t="shared" si="2"/>
        <v>-1</v>
      </c>
      <c r="E67" s="193">
        <f>SUM($D$2:D67)/SUM($B$2:B67)</f>
        <v>3.8257575757575712E-2</v>
      </c>
      <c r="F67" s="163">
        <f t="shared" ref="F67:F108" si="3">F66+D67</f>
        <v>2.5249999999999968</v>
      </c>
      <c r="G67" s="202" t="s">
        <v>902</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903</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904</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901</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905</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906</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907</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902</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908</v>
      </c>
      <c r="H75" s="183"/>
      <c r="I75" s="184"/>
      <c r="J75" s="184"/>
      <c r="K75" s="18"/>
      <c r="Q75"/>
    </row>
    <row r="76" spans="1:17">
      <c r="A76" s="556"/>
      <c r="B76" s="205">
        <v>1</v>
      </c>
      <c r="C76" s="205"/>
      <c r="D76" s="205">
        <f t="shared" si="2"/>
        <v>-1</v>
      </c>
      <c r="E76" s="154">
        <f>SUM($D$2:D76)/SUM($B$2:B76)</f>
        <v>0.11690666666666663</v>
      </c>
      <c r="F76" s="150">
        <f t="shared" si="3"/>
        <v>8.7679999999999971</v>
      </c>
      <c r="G76" s="201" t="s">
        <v>899</v>
      </c>
      <c r="H76" s="183"/>
      <c r="I76" s="184"/>
      <c r="J76" s="184"/>
      <c r="K76" s="18"/>
      <c r="Q76"/>
    </row>
    <row r="77" spans="1:17" ht="15.75" thickBot="1">
      <c r="A77" s="564"/>
      <c r="B77" s="206">
        <v>1</v>
      </c>
      <c r="C77" s="206">
        <v>2.13</v>
      </c>
      <c r="D77" s="206">
        <f t="shared" si="2"/>
        <v>1.1299999999999999</v>
      </c>
      <c r="E77" s="193">
        <f>SUM($D$2:D77)/SUM($B$2:B77)</f>
        <v>0.1302368421052631</v>
      </c>
      <c r="F77" s="163">
        <f t="shared" si="3"/>
        <v>9.8979999999999961</v>
      </c>
      <c r="G77" s="202" t="s">
        <v>909</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907</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899</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905</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902</v>
      </c>
      <c r="H81" s="183"/>
      <c r="I81" s="184"/>
      <c r="J81" s="184"/>
      <c r="K81" s="18"/>
      <c r="Q81"/>
    </row>
    <row r="82" spans="1:17">
      <c r="A82" s="556"/>
      <c r="B82" s="205">
        <v>1</v>
      </c>
      <c r="C82" s="205"/>
      <c r="D82" s="205">
        <f t="shared" si="2"/>
        <v>-1</v>
      </c>
      <c r="E82" s="154">
        <f>SUM($D$2:D82)/SUM($B$2:B82)</f>
        <v>0.15367901234567896</v>
      </c>
      <c r="F82" s="150">
        <f>F81+D82</f>
        <v>12.447999999999997</v>
      </c>
      <c r="G82" s="201" t="s">
        <v>910</v>
      </c>
      <c r="H82" s="183"/>
      <c r="I82" s="184"/>
      <c r="J82" s="184"/>
      <c r="K82" s="18"/>
      <c r="Q82"/>
    </row>
    <row r="83" spans="1:17">
      <c r="A83" s="556"/>
      <c r="B83" s="205">
        <v>1</v>
      </c>
      <c r="C83" s="205"/>
      <c r="D83" s="205">
        <f t="shared" si="2"/>
        <v>-1</v>
      </c>
      <c r="E83" s="154">
        <f>SUM($D$2:D83)/SUM($B$2:B83)</f>
        <v>0.13960975609756093</v>
      </c>
      <c r="F83" s="150">
        <f t="shared" si="3"/>
        <v>11.447999999999997</v>
      </c>
      <c r="G83" s="201" t="s">
        <v>901</v>
      </c>
      <c r="H83" s="183"/>
      <c r="I83" s="184"/>
      <c r="J83" s="184"/>
      <c r="K83" s="18"/>
      <c r="Q83"/>
    </row>
    <row r="84" spans="1:17">
      <c r="A84" s="556"/>
      <c r="B84" s="205">
        <v>1</v>
      </c>
      <c r="C84" s="205"/>
      <c r="D84" s="205">
        <f t="shared" si="2"/>
        <v>-1</v>
      </c>
      <c r="E84" s="154">
        <f>SUM($D$2:D84)/SUM($B$2:B84)</f>
        <v>0.12587951807228911</v>
      </c>
      <c r="F84" s="150">
        <f t="shared" si="3"/>
        <v>10.447999999999997</v>
      </c>
      <c r="G84" s="201" t="s">
        <v>906</v>
      </c>
      <c r="H84" s="183"/>
      <c r="I84" s="184"/>
      <c r="J84" s="184"/>
      <c r="K84" s="18"/>
      <c r="Q84"/>
    </row>
    <row r="85" spans="1:17" ht="15.75" thickBot="1">
      <c r="A85" s="564"/>
      <c r="B85" s="206">
        <v>1</v>
      </c>
      <c r="C85" s="206">
        <v>2</v>
      </c>
      <c r="D85" s="206">
        <f t="shared" si="2"/>
        <v>1</v>
      </c>
      <c r="E85" s="193">
        <f>SUM($D$2:D85)/SUM($B$2:B85)</f>
        <v>0.13628571428571426</v>
      </c>
      <c r="F85" s="163">
        <f t="shared" si="3"/>
        <v>11.447999999999997</v>
      </c>
      <c r="G85" s="202" t="s">
        <v>908</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899</v>
      </c>
      <c r="H86" s="183"/>
      <c r="I86" s="184"/>
      <c r="J86" s="184"/>
      <c r="K86" s="18"/>
      <c r="Q86"/>
    </row>
    <row r="87" spans="1:17">
      <c r="A87" s="556"/>
      <c r="B87" s="167">
        <v>1</v>
      </c>
      <c r="C87" s="205"/>
      <c r="D87" s="205">
        <f t="shared" si="2"/>
        <v>-1</v>
      </c>
      <c r="E87" s="154">
        <f>SUM($D$2:D87)/SUM($B$2:B87)</f>
        <v>0.10986046511627903</v>
      </c>
      <c r="F87" s="150">
        <f t="shared" si="3"/>
        <v>9.4479999999999968</v>
      </c>
      <c r="G87" s="201" t="s">
        <v>913</v>
      </c>
      <c r="H87" s="183"/>
      <c r="I87" s="184"/>
      <c r="J87" s="184"/>
      <c r="K87" s="18"/>
      <c r="Q87"/>
    </row>
    <row r="88" spans="1:17">
      <c r="A88" s="556"/>
      <c r="B88" s="167">
        <v>1</v>
      </c>
      <c r="C88" s="205"/>
      <c r="D88" s="205">
        <f t="shared" si="2"/>
        <v>-1</v>
      </c>
      <c r="E88" s="154">
        <f>SUM($D$2:D88)/SUM($B$2:B88)</f>
        <v>9.7103448275862037E-2</v>
      </c>
      <c r="F88" s="150">
        <f t="shared" si="3"/>
        <v>8.4479999999999968</v>
      </c>
      <c r="G88" s="201" t="s">
        <v>907</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905</v>
      </c>
      <c r="H89" s="183"/>
      <c r="I89" s="184"/>
      <c r="J89" s="184"/>
      <c r="K89" s="18"/>
      <c r="Q89"/>
    </row>
    <row r="90" spans="1:17" ht="15.75" thickBot="1">
      <c r="A90" s="564"/>
      <c r="B90" s="170">
        <v>1</v>
      </c>
      <c r="C90" s="206">
        <v>1.64</v>
      </c>
      <c r="D90" s="206">
        <f t="shared" si="2"/>
        <v>0.6399999999999999</v>
      </c>
      <c r="E90" s="193">
        <f>SUM($D$2:D90)/SUM($B$2:B90)</f>
        <v>0.11188764044943818</v>
      </c>
      <c r="F90" s="163">
        <f t="shared" si="3"/>
        <v>9.9579999999999984</v>
      </c>
      <c r="G90" s="202" t="s">
        <v>904</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914</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916</v>
      </c>
      <c r="H92" s="183"/>
      <c r="I92" s="184"/>
      <c r="J92" s="184"/>
      <c r="K92" s="18"/>
      <c r="Q92"/>
    </row>
    <row r="93" spans="1:17">
      <c r="A93" s="556"/>
      <c r="B93" s="167">
        <v>1</v>
      </c>
      <c r="C93" s="205"/>
      <c r="D93" s="205">
        <f t="shared" si="2"/>
        <v>-1</v>
      </c>
      <c r="E93" s="154">
        <f>SUM($D$2:D93)/SUM($B$2:B93)</f>
        <v>0.11617391304347825</v>
      </c>
      <c r="F93" s="150">
        <f t="shared" si="3"/>
        <v>10.687999999999999</v>
      </c>
      <c r="G93" s="201" t="s">
        <v>917</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918</v>
      </c>
      <c r="H94" s="183"/>
      <c r="I94" s="184"/>
      <c r="J94" s="184"/>
      <c r="K94" s="18"/>
      <c r="Q94"/>
    </row>
    <row r="95" spans="1:17">
      <c r="A95" s="556"/>
      <c r="B95" s="167">
        <v>1</v>
      </c>
      <c r="C95" s="205"/>
      <c r="D95" s="205">
        <f t="shared" si="2"/>
        <v>-1</v>
      </c>
      <c r="E95" s="154">
        <f>SUM($D$2:D95)/SUM($B$2:B95)</f>
        <v>0.11317021276595743</v>
      </c>
      <c r="F95" s="150">
        <f t="shared" si="3"/>
        <v>10.637999999999998</v>
      </c>
      <c r="G95" s="272" t="s">
        <v>919</v>
      </c>
      <c r="H95" s="183"/>
      <c r="I95" s="184"/>
      <c r="J95" s="184"/>
      <c r="K95" s="18"/>
      <c r="Q95"/>
    </row>
    <row r="96" spans="1:17">
      <c r="A96" s="556"/>
      <c r="B96" s="167">
        <v>1</v>
      </c>
      <c r="C96" s="205"/>
      <c r="D96" s="205">
        <f t="shared" si="2"/>
        <v>-1</v>
      </c>
      <c r="E96" s="154">
        <f>SUM($D$2:D96)/SUM($B$2:B96)</f>
        <v>0.10145263157894735</v>
      </c>
      <c r="F96" s="150">
        <f t="shared" si="3"/>
        <v>9.6379999999999981</v>
      </c>
      <c r="G96" s="201" t="s">
        <v>920</v>
      </c>
      <c r="H96" s="183"/>
      <c r="I96" s="184"/>
      <c r="J96" s="184"/>
      <c r="K96" s="18"/>
      <c r="Q96"/>
    </row>
    <row r="97" spans="1:17" ht="15.75" thickBot="1">
      <c r="A97" s="564"/>
      <c r="B97" s="170">
        <v>1</v>
      </c>
      <c r="C97" s="206"/>
      <c r="D97" s="206">
        <f t="shared" si="2"/>
        <v>-1</v>
      </c>
      <c r="E97" s="193">
        <f>SUM($D$2:D97)/SUM($B$2:B97)</f>
        <v>8.9979166666666652E-2</v>
      </c>
      <c r="F97" s="163">
        <f t="shared" si="3"/>
        <v>8.6379999999999981</v>
      </c>
      <c r="G97" s="202" t="s">
        <v>921</v>
      </c>
      <c r="H97" s="183"/>
      <c r="I97" s="184"/>
      <c r="J97" s="184"/>
      <c r="K97" s="18"/>
      <c r="Q97"/>
    </row>
    <row r="98" spans="1:17">
      <c r="A98" s="562">
        <v>45924</v>
      </c>
      <c r="B98" s="165">
        <v>1</v>
      </c>
      <c r="C98" s="204"/>
      <c r="D98" s="204">
        <f t="shared" si="2"/>
        <v>-1</v>
      </c>
      <c r="E98" s="191">
        <f>SUM($D$2:D98)/SUM($B$2:B98)</f>
        <v>7.8742268041237087E-2</v>
      </c>
      <c r="F98" s="161">
        <f t="shared" si="3"/>
        <v>7.6379999999999981</v>
      </c>
      <c r="G98" s="200" t="s">
        <v>917</v>
      </c>
      <c r="H98" s="183"/>
      <c r="I98" s="184"/>
      <c r="J98" s="184"/>
      <c r="K98" s="18"/>
      <c r="Q98"/>
    </row>
    <row r="99" spans="1:17">
      <c r="A99" s="563"/>
      <c r="B99" s="167">
        <v>1</v>
      </c>
      <c r="C99" s="205">
        <v>1.833</v>
      </c>
      <c r="D99" s="205">
        <f t="shared" si="2"/>
        <v>0.83299999999999996</v>
      </c>
      <c r="E99" s="154">
        <f>SUM($D$2:D99)/SUM($B$2:B99)</f>
        <v>8.6438775510204069E-2</v>
      </c>
      <c r="F99" s="150">
        <f t="shared" si="3"/>
        <v>8.4709999999999983</v>
      </c>
      <c r="G99" s="201" t="s">
        <v>922</v>
      </c>
      <c r="H99" s="183"/>
      <c r="I99" s="184"/>
      <c r="J99" s="184"/>
      <c r="K99" s="18"/>
      <c r="Q99"/>
    </row>
    <row r="100" spans="1:17">
      <c r="A100" s="563"/>
      <c r="B100" s="167">
        <v>1</v>
      </c>
      <c r="C100" s="205">
        <v>2</v>
      </c>
      <c r="D100" s="205">
        <f t="shared" si="2"/>
        <v>1</v>
      </c>
      <c r="E100" s="154">
        <f>SUM($D$2:D100)/SUM($B$2:B100)</f>
        <v>9.566666666666665E-2</v>
      </c>
      <c r="F100" s="150">
        <f t="shared" si="3"/>
        <v>9.4709999999999983</v>
      </c>
      <c r="G100" s="201" t="s">
        <v>919</v>
      </c>
      <c r="H100" s="183"/>
      <c r="I100" s="184"/>
      <c r="J100" s="184"/>
      <c r="K100" s="18"/>
      <c r="Q100"/>
    </row>
    <row r="101" spans="1:17">
      <c r="A101" s="563"/>
      <c r="B101" s="167">
        <v>1</v>
      </c>
      <c r="C101" s="205">
        <v>2.06</v>
      </c>
      <c r="D101" s="205">
        <f t="shared" si="2"/>
        <v>1.06</v>
      </c>
      <c r="E101" s="154">
        <f>SUM($D$2:D101)/SUM($B$2:B101)</f>
        <v>0.10530999999999999</v>
      </c>
      <c r="F101" s="150">
        <f t="shared" si="3"/>
        <v>10.530999999999999</v>
      </c>
      <c r="G101" s="201" t="s">
        <v>923</v>
      </c>
      <c r="H101" s="183"/>
      <c r="I101" s="184"/>
      <c r="J101" s="184"/>
      <c r="K101" s="18"/>
      <c r="Q101"/>
    </row>
    <row r="102" spans="1:17" ht="15.75" thickBot="1">
      <c r="A102" s="576"/>
      <c r="B102" s="170">
        <v>1</v>
      </c>
      <c r="C102" s="206"/>
      <c r="D102" s="206">
        <f t="shared" si="2"/>
        <v>-1</v>
      </c>
      <c r="E102" s="193">
        <f>SUM($D$2:D102)/SUM($B$2:B102)</f>
        <v>9.4366336633663353E-2</v>
      </c>
      <c r="F102" s="163">
        <f t="shared" si="3"/>
        <v>9.5309999999999988</v>
      </c>
      <c r="G102" s="202" t="s">
        <v>914</v>
      </c>
      <c r="H102" s="183"/>
      <c r="I102" s="184"/>
      <c r="J102" s="184"/>
      <c r="K102" s="18"/>
      <c r="Q102"/>
    </row>
    <row r="103" spans="1:17">
      <c r="A103" s="562">
        <v>45925</v>
      </c>
      <c r="B103" s="165">
        <v>1</v>
      </c>
      <c r="C103" s="204">
        <v>1.88</v>
      </c>
      <c r="D103" s="204">
        <f t="shared" si="2"/>
        <v>0.87999999999999989</v>
      </c>
      <c r="E103" s="191">
        <f>SUM($D$2:D103)/SUM($B$2:B103)</f>
        <v>0.10206862745098037</v>
      </c>
      <c r="F103" s="161">
        <f t="shared" si="3"/>
        <v>10.410999999999998</v>
      </c>
      <c r="G103" s="200" t="s">
        <v>917</v>
      </c>
      <c r="H103" s="183"/>
      <c r="I103" s="184"/>
      <c r="J103" s="184"/>
      <c r="K103" s="18"/>
      <c r="Q103"/>
    </row>
    <row r="104" spans="1:17">
      <c r="A104" s="563"/>
      <c r="B104" s="167">
        <v>1</v>
      </c>
      <c r="C104" s="205">
        <v>1.8</v>
      </c>
      <c r="D104" s="205">
        <f t="shared" si="2"/>
        <v>0.8</v>
      </c>
      <c r="E104" s="154">
        <f>SUM($D$2:D104)/SUM($B$2:B104)</f>
        <v>0.10884466019417474</v>
      </c>
      <c r="F104" s="150">
        <f t="shared" si="3"/>
        <v>11.210999999999999</v>
      </c>
      <c r="G104" s="201" t="s">
        <v>916</v>
      </c>
      <c r="H104" s="183"/>
      <c r="I104" s="184"/>
      <c r="J104" s="184"/>
      <c r="K104" s="18"/>
      <c r="Q104"/>
    </row>
    <row r="105" spans="1:17">
      <c r="A105" s="563"/>
      <c r="B105" s="167">
        <v>1</v>
      </c>
      <c r="C105" s="205"/>
      <c r="D105" s="205">
        <f t="shared" si="2"/>
        <v>-1</v>
      </c>
      <c r="E105" s="154">
        <f>SUM($D$2:D105)/SUM($B$2:B105)</f>
        <v>9.818269230769229E-2</v>
      </c>
      <c r="F105" s="150">
        <f t="shared" si="3"/>
        <v>10.210999999999999</v>
      </c>
      <c r="G105" s="201" t="s">
        <v>919</v>
      </c>
      <c r="H105" s="183"/>
      <c r="I105" s="184"/>
      <c r="J105" s="184"/>
      <c r="K105" s="18"/>
      <c r="Q105"/>
    </row>
    <row r="106" spans="1:17">
      <c r="A106" s="563"/>
      <c r="B106" s="167">
        <v>1</v>
      </c>
      <c r="C106" s="205">
        <v>1.98</v>
      </c>
      <c r="D106" s="205">
        <f t="shared" si="2"/>
        <v>0.98</v>
      </c>
      <c r="E106" s="154">
        <f>SUM($D$2:D106)/SUM($B$2:B106)</f>
        <v>0.10658095238095237</v>
      </c>
      <c r="F106" s="150">
        <f t="shared" si="3"/>
        <v>11.190999999999999</v>
      </c>
      <c r="G106" s="201" t="s">
        <v>924</v>
      </c>
      <c r="H106" s="183"/>
      <c r="I106" s="184"/>
      <c r="J106" s="184"/>
      <c r="K106" s="18"/>
      <c r="Q106"/>
    </row>
    <row r="107" spans="1:17">
      <c r="A107" s="563"/>
      <c r="B107" s="167">
        <v>1</v>
      </c>
      <c r="C107" s="205"/>
      <c r="D107" s="205">
        <f t="shared" si="2"/>
        <v>-1</v>
      </c>
      <c r="E107" s="154">
        <f>SUM($D$2:D107)/SUM($B$2:B107)</f>
        <v>9.6141509433962255E-2</v>
      </c>
      <c r="F107" s="150">
        <f t="shared" si="3"/>
        <v>10.190999999999999</v>
      </c>
      <c r="G107" s="201" t="s">
        <v>925</v>
      </c>
      <c r="H107" s="183"/>
      <c r="I107" s="184"/>
      <c r="J107" s="184"/>
      <c r="K107" s="18"/>
      <c r="Q107"/>
    </row>
    <row r="108" spans="1:17" ht="15.75" thickBot="1">
      <c r="A108" s="563"/>
      <c r="B108" s="170">
        <v>1</v>
      </c>
      <c r="C108" s="206">
        <v>2.0299999999999998</v>
      </c>
      <c r="D108" s="206">
        <f t="shared" si="2"/>
        <v>1.0299999999999998</v>
      </c>
      <c r="E108" s="193">
        <f>SUM($D$2:D108)/SUM($B$2:B108)</f>
        <v>0.10486915887850466</v>
      </c>
      <c r="F108" s="163">
        <f t="shared" si="3"/>
        <v>11.220999999999998</v>
      </c>
      <c r="G108" s="202" t="s">
        <v>926</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927</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928</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929</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930</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931</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932</v>
      </c>
      <c r="H114" s="183"/>
      <c r="I114" s="184"/>
      <c r="J114" s="184"/>
      <c r="K114" s="18"/>
      <c r="Q114"/>
    </row>
    <row r="115" spans="1:17" ht="15.75" thickBot="1">
      <c r="A115" s="564"/>
      <c r="B115" s="218">
        <v>1</v>
      </c>
      <c r="C115" s="206">
        <v>1.97</v>
      </c>
      <c r="D115" s="206">
        <f>(B115*C115)-B115</f>
        <v>0.97</v>
      </c>
      <c r="E115" s="193">
        <f>SUM($D$2:D115)/SUM($B$2:B115)</f>
        <v>0.12334210526315789</v>
      </c>
      <c r="F115" s="150">
        <f>F114+D115</f>
        <v>14.061</v>
      </c>
      <c r="G115" s="202" t="s">
        <v>933</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934</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935</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928</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932</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933</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931</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936</v>
      </c>
      <c r="H122" s="183"/>
      <c r="I122" s="184"/>
      <c r="J122" s="184"/>
      <c r="K122" s="18"/>
      <c r="Q122"/>
    </row>
    <row r="123" spans="1:17" ht="15.75" thickBot="1">
      <c r="A123" s="564"/>
      <c r="B123" s="170">
        <v>1</v>
      </c>
      <c r="C123" s="206">
        <v>2.06</v>
      </c>
      <c r="D123" s="206">
        <f>(B123*C123)-B123</f>
        <v>1.06</v>
      </c>
      <c r="E123" s="193">
        <f>SUM($D$2:D123)/SUM($B$2:B123)</f>
        <v>0.14394262295081964</v>
      </c>
      <c r="F123" s="163">
        <f>F122+D123</f>
        <v>17.560999999999996</v>
      </c>
      <c r="G123" s="194" t="s">
        <v>937</v>
      </c>
      <c r="H123" s="183"/>
      <c r="I123" s="184"/>
      <c r="J123" s="184"/>
      <c r="K123" s="18"/>
      <c r="Q123"/>
    </row>
    <row r="124" spans="1:17">
      <c r="A124" s="577">
        <v>45928</v>
      </c>
      <c r="B124" s="179">
        <v>1</v>
      </c>
      <c r="C124" s="207">
        <v>1.87</v>
      </c>
      <c r="D124" s="207">
        <f>(B124*C124)-B124</f>
        <v>0.87000000000000011</v>
      </c>
      <c r="E124" s="195">
        <f>SUM($D$2:D124)/SUM($B$2:B124)</f>
        <v>0.14984552845528454</v>
      </c>
      <c r="F124" s="162">
        <f>F123+D124</f>
        <v>18.430999999999997</v>
      </c>
      <c r="G124" s="214" t="s">
        <v>935</v>
      </c>
      <c r="H124" s="183"/>
      <c r="I124" s="184"/>
      <c r="J124" s="184"/>
      <c r="K124" s="18"/>
      <c r="Q124"/>
    </row>
    <row r="125" spans="1:17">
      <c r="A125" s="578"/>
      <c r="B125" s="167">
        <v>1</v>
      </c>
      <c r="C125" s="205"/>
      <c r="D125" s="205">
        <f>(B125*C125)-B125</f>
        <v>-1</v>
      </c>
      <c r="E125" s="154">
        <f>SUM($D$2:D125)/SUM($B$2:B125)</f>
        <v>0.14057258064516126</v>
      </c>
      <c r="F125" s="150">
        <f>F124+D125</f>
        <v>17.430999999999997</v>
      </c>
      <c r="G125" s="189" t="s">
        <v>939</v>
      </c>
      <c r="H125" s="183"/>
      <c r="I125" s="184"/>
      <c r="J125" s="184"/>
      <c r="K125" s="18"/>
      <c r="Q125"/>
    </row>
    <row r="126" spans="1:17">
      <c r="A126" s="578"/>
      <c r="B126" s="167">
        <v>1</v>
      </c>
      <c r="C126" s="205">
        <v>1.81</v>
      </c>
      <c r="D126" s="205">
        <f>(B126*C126)-B126</f>
        <v>0.81</v>
      </c>
      <c r="E126" s="154">
        <f>SUM($D$2:D126)/SUM($B$2:B126)</f>
        <v>0.14592799999999997</v>
      </c>
      <c r="F126" s="150">
        <f>F125+D126</f>
        <v>18.240999999999996</v>
      </c>
      <c r="G126" s="189" t="s">
        <v>940</v>
      </c>
      <c r="H126" s="183"/>
      <c r="I126" s="184"/>
      <c r="J126" s="184"/>
      <c r="K126" s="18"/>
      <c r="Q126"/>
    </row>
    <row r="127" spans="1:17">
      <c r="A127" s="578"/>
      <c r="B127" s="167">
        <v>1</v>
      </c>
      <c r="C127" s="205">
        <v>1.87</v>
      </c>
      <c r="D127" s="205">
        <f>(B127*C127)-B127</f>
        <v>0.87000000000000011</v>
      </c>
      <c r="E127" s="154">
        <f>SUM($D$2:D127)/SUM($B$2:B127)</f>
        <v>0.15167460317460316</v>
      </c>
      <c r="F127" s="150">
        <f>F126+D127</f>
        <v>19.110999999999997</v>
      </c>
      <c r="G127" s="189" t="s">
        <v>927</v>
      </c>
      <c r="H127" s="183"/>
      <c r="I127" s="184"/>
      <c r="J127" s="184"/>
      <c r="K127" s="18"/>
      <c r="Q127"/>
    </row>
    <row r="128" spans="1:17">
      <c r="A128" s="578"/>
      <c r="B128" s="167">
        <v>1</v>
      </c>
      <c r="C128" s="205">
        <v>1.98</v>
      </c>
      <c r="D128" s="205">
        <f>(B128*C128)-B128</f>
        <v>0.98</v>
      </c>
      <c r="E128" s="154">
        <f>SUM($D$2:D128)/SUM($B$2:B128)</f>
        <v>0.15819685039370077</v>
      </c>
      <c r="F128" s="150">
        <f>F127+D128</f>
        <v>20.090999999999998</v>
      </c>
      <c r="G128" s="189" t="s">
        <v>932</v>
      </c>
      <c r="H128" s="183"/>
      <c r="I128" s="184"/>
      <c r="J128" s="184"/>
      <c r="K128" s="18"/>
      <c r="Q128"/>
    </row>
    <row r="129" spans="1:17">
      <c r="A129" s="578"/>
      <c r="B129" s="167">
        <v>1</v>
      </c>
      <c r="C129" s="205">
        <v>2.02</v>
      </c>
      <c r="D129" s="205">
        <f>(B129*C129)-B129</f>
        <v>1.02</v>
      </c>
      <c r="E129" s="154">
        <f>SUM($D$2:D129)/SUM($B$2:B129)</f>
        <v>0.16492968749999998</v>
      </c>
      <c r="F129" s="150">
        <f>F128+D129</f>
        <v>21.110999999999997</v>
      </c>
      <c r="G129" s="189" t="s">
        <v>937</v>
      </c>
      <c r="H129" s="183"/>
      <c r="I129" s="184"/>
      <c r="J129" s="184"/>
      <c r="K129" s="18"/>
      <c r="Q129"/>
    </row>
    <row r="130" spans="1:17" ht="15.75" thickBot="1">
      <c r="A130" s="579"/>
      <c r="B130" s="170">
        <v>1</v>
      </c>
      <c r="C130" s="206">
        <v>2</v>
      </c>
      <c r="D130" s="206">
        <f>(B130*C130)-B130</f>
        <v>1</v>
      </c>
      <c r="E130" s="193">
        <f>SUM($D$2:D130)/SUM($B$2:B130)</f>
        <v>0.17140310077519377</v>
      </c>
      <c r="F130" s="212">
        <f>F129+D130</f>
        <v>22.110999999999997</v>
      </c>
      <c r="G130" s="194" t="s">
        <v>933</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941</v>
      </c>
      <c r="H131" s="2"/>
      <c r="K131" s="18"/>
      <c r="Q131"/>
    </row>
    <row r="132" spans="1:17" ht="15.75" thickBot="1">
      <c r="A132" s="564"/>
      <c r="B132" s="105">
        <v>1</v>
      </c>
      <c r="C132" s="218"/>
      <c r="D132" s="218">
        <f>(B132*C132)-B132</f>
        <v>-1</v>
      </c>
      <c r="E132" s="59">
        <f>SUM($D$2:D132)/SUM($B$2:B132)</f>
        <v>0.15351908396946562</v>
      </c>
      <c r="F132" s="38">
        <f>F131+D132</f>
        <v>20.110999999999997</v>
      </c>
      <c r="G132" s="141" t="s">
        <v>942</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941</v>
      </c>
      <c r="H133" s="2"/>
      <c r="K133" s="18"/>
      <c r="Q133"/>
    </row>
    <row r="134" spans="1:17" ht="15.75" thickBot="1">
      <c r="A134" s="564"/>
      <c r="B134" s="218">
        <v>1</v>
      </c>
      <c r="C134" s="218">
        <v>2.2200000000000002</v>
      </c>
      <c r="D134" s="218">
        <f>(B134*C134)-B134</f>
        <v>1.2200000000000002</v>
      </c>
      <c r="E134" s="59">
        <f>SUM($D$2:D134)/SUM($B$2:B134)</f>
        <v>0.1684285714285714</v>
      </c>
      <c r="F134" s="38">
        <f>F133+D134</f>
        <v>22.400999999999996</v>
      </c>
      <c r="G134" s="141" t="s">
        <v>942</v>
      </c>
      <c r="H134" s="2"/>
      <c r="K134" s="18"/>
      <c r="Q134"/>
    </row>
    <row r="135" spans="1:17">
      <c r="A135" s="555">
        <v>45932</v>
      </c>
      <c r="B135" s="41">
        <v>1</v>
      </c>
      <c r="C135" s="41"/>
      <c r="D135" s="41">
        <f>(B135*C135)-B135</f>
        <v>-1</v>
      </c>
      <c r="E135" s="47">
        <f>SUM($D$2:D135)/SUM($B$2:B135)</f>
        <v>0.15970895522388057</v>
      </c>
      <c r="F135" s="37">
        <f>F134+D135</f>
        <v>21.400999999999996</v>
      </c>
      <c r="G135" s="129" t="s">
        <v>941</v>
      </c>
      <c r="H135" s="2"/>
      <c r="K135" s="18"/>
      <c r="Q135"/>
    </row>
    <row r="136" spans="1:17">
      <c r="A136" s="564"/>
      <c r="B136" s="218">
        <v>1</v>
      </c>
      <c r="C136" s="218"/>
      <c r="D136" s="218">
        <f>(B136*C136)-B136</f>
        <v>-1</v>
      </c>
      <c r="E136" s="59">
        <f>SUM($D$2:D136)/SUM($B$2:B136)</f>
        <v>0.15111851851851849</v>
      </c>
      <c r="F136" s="38">
        <f>F135+D136</f>
        <v>20.400999999999996</v>
      </c>
      <c r="G136" s="141" t="s">
        <v>942</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943</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944</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945</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891</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854</v>
      </c>
      <c r="H141" s="183"/>
      <c r="K141" s="234"/>
    </row>
    <row r="142" spans="1:17" s="184" customFormat="1">
      <c r="A142" s="564"/>
      <c r="B142" s="170">
        <v>1</v>
      </c>
      <c r="C142" s="206"/>
      <c r="D142" s="206">
        <f>(B142*C142)-B142</f>
        <v>-1</v>
      </c>
      <c r="E142" s="193">
        <f>SUM($D$2:D142)/SUM($B$2:B142)</f>
        <v>0.12972340425531911</v>
      </c>
      <c r="F142" s="163">
        <f t="shared" si="4"/>
        <v>18.290999999999997</v>
      </c>
      <c r="G142" s="194" t="s">
        <v>945</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946</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947</v>
      </c>
      <c r="H144" s="183"/>
      <c r="K144" s="234"/>
    </row>
    <row r="145" spans="1:18">
      <c r="A145" s="523"/>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948</v>
      </c>
      <c r="C148" s="557" t="s">
        <v>949</v>
      </c>
      <c r="D148" s="558"/>
      <c r="E148" s="559"/>
      <c r="H148" s="560">
        <f>100</f>
        <v>100</v>
      </c>
      <c r="I148" s="561"/>
      <c r="J148" s="16" t="s">
        <v>950</v>
      </c>
      <c r="K148" s="560">
        <v>80.89</v>
      </c>
      <c r="L148" s="561"/>
      <c r="M148" s="16" t="s">
        <v>950</v>
      </c>
      <c r="N148" s="19"/>
      <c r="O148" s="138"/>
      <c r="P148" s="58"/>
    </row>
    <row r="149" spans="1:18" ht="15" customHeight="1">
      <c r="A149">
        <f>COUNT(B2:B145)</f>
        <v>143</v>
      </c>
      <c r="B149" s="1"/>
      <c r="C149" s="156">
        <f>I149</f>
        <v>5</v>
      </c>
      <c r="D149" s="574">
        <v>1.32</v>
      </c>
      <c r="E149" s="157">
        <f>C149*D149-C149</f>
        <v>1.6000000000000005</v>
      </c>
      <c r="F149" s="15"/>
      <c r="G149" s="147" t="s">
        <v>951</v>
      </c>
      <c r="H149" s="75">
        <f>H152/100</f>
        <v>1</v>
      </c>
      <c r="I149" s="149">
        <f>H149*5</f>
        <v>5</v>
      </c>
      <c r="J149" s="3" t="s">
        <v>952</v>
      </c>
      <c r="K149" s="75">
        <f>K152/100</f>
        <v>0.99151</v>
      </c>
      <c r="L149" s="149">
        <f>K149*5</f>
        <v>4.9575500000000003</v>
      </c>
      <c r="M149" s="3" t="s">
        <v>952</v>
      </c>
    </row>
    <row r="150" spans="1:18" ht="15" customHeight="1">
      <c r="A150" t="s">
        <v>953</v>
      </c>
      <c r="B150" s="99"/>
      <c r="C150" s="135">
        <f>E150/(D149-1)</f>
        <v>9.3749999999999982</v>
      </c>
      <c r="D150" s="575"/>
      <c r="E150" s="136">
        <v>3</v>
      </c>
      <c r="F150" s="15"/>
      <c r="G150" s="147" t="s">
        <v>954</v>
      </c>
      <c r="H150" s="127">
        <f>SUM(H2:H145)</f>
        <v>0</v>
      </c>
      <c r="I150" s="148"/>
      <c r="J150" s="3" t="s">
        <v>955</v>
      </c>
      <c r="K150" s="127">
        <f>D146</f>
        <v>18.260999999999996</v>
      </c>
      <c r="L150" s="148"/>
      <c r="M150" s="3" t="s">
        <v>955</v>
      </c>
    </row>
    <row r="151" spans="1:18">
      <c r="A151" s="18">
        <f>COUNT(C2:C145)/A149</f>
        <v>0.58741258741258739</v>
      </c>
      <c r="B151" s="18"/>
      <c r="D151" s="15">
        <f>1/A151</f>
        <v>1.7023809523809523</v>
      </c>
      <c r="E151" s="15"/>
      <c r="F151" s="15"/>
      <c r="G151" s="147" t="s">
        <v>956</v>
      </c>
      <c r="H151" s="570">
        <f>(H150-I150)</f>
        <v>0</v>
      </c>
      <c r="I151" s="571"/>
      <c r="J151" s="128"/>
      <c r="K151" s="570">
        <f>(K150-L150)</f>
        <v>18.260999999999996</v>
      </c>
      <c r="L151" s="571"/>
      <c r="M151" s="128"/>
    </row>
    <row r="152" spans="1:18">
      <c r="A152" t="s">
        <v>4</v>
      </c>
      <c r="G152" s="147" t="s">
        <v>957</v>
      </c>
      <c r="H152" s="572">
        <f>H148+H151</f>
        <v>100</v>
      </c>
      <c r="I152" s="573"/>
      <c r="J152" s="128">
        <f>130-H152</f>
        <v>30</v>
      </c>
      <c r="K152" s="572">
        <f>K148+K151</f>
        <v>99.150999999999996</v>
      </c>
      <c r="L152" s="573"/>
      <c r="M152" s="128"/>
      <c r="O152" s="235">
        <v>74.147999999999996</v>
      </c>
      <c r="P152" s="18"/>
    </row>
    <row r="153" spans="1:18">
      <c r="A153" s="18">
        <f>D146/B146</f>
        <v>0.12769930069930066</v>
      </c>
      <c r="F153" s="158"/>
      <c r="G153" s="147" t="s">
        <v>958</v>
      </c>
      <c r="H153" s="45">
        <f>(H152-H148)/H148</f>
        <v>0</v>
      </c>
      <c r="I153" s="46">
        <f>B146/H148</f>
        <v>1.43</v>
      </c>
      <c r="J153" t="s">
        <v>959</v>
      </c>
      <c r="K153" s="45">
        <f>(K152-K148)/K148</f>
        <v>0.22575101990357269</v>
      </c>
      <c r="L153" s="46">
        <f>B146/K148</f>
        <v>1.767832859438744</v>
      </c>
      <c r="M153" t="s">
        <v>959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8" t="s">
        <v>365</v>
      </c>
      <c r="B171" s="132" t="s">
        <v>1</v>
      </c>
      <c r="C171" s="529"/>
      <c r="E171" s="134" t="s">
        <v>4</v>
      </c>
    </row>
    <row r="173" spans="1:37">
      <c r="D173" s="7" t="s">
        <v>3</v>
      </c>
    </row>
    <row r="174" spans="1:37">
      <c r="B174" s="21" t="s">
        <v>962</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367</v>
      </c>
      <c r="B197" s="140">
        <f>SUM(B2:B16)</f>
        <v>15</v>
      </c>
      <c r="C197" s="140"/>
      <c r="D197" s="140">
        <f>SUM(D2:D16)</f>
        <v>-3.4500000000000006</v>
      </c>
      <c r="E197" s="144">
        <f t="shared" ref="E197:E198" si="7">D197/B197</f>
        <v>-0.23000000000000004</v>
      </c>
      <c r="F197" s="18"/>
      <c r="G197" s="221" t="s">
        <v>366</v>
      </c>
    </row>
    <row r="198" spans="1:7">
      <c r="A198" s="139" t="s">
        <v>368</v>
      </c>
      <c r="B198" s="140">
        <f>SUM(B17:B46)</f>
        <v>30</v>
      </c>
      <c r="C198" s="140"/>
      <c r="D198" s="140">
        <f>SUM(D17:D46)</f>
        <v>2.145999999999999</v>
      </c>
      <c r="E198" s="144">
        <f t="shared" si="7"/>
        <v>7.1533333333333296E-2</v>
      </c>
      <c r="G198" s="220"/>
    </row>
    <row r="199" spans="1:7">
      <c r="A199" s="139" t="s">
        <v>369</v>
      </c>
      <c r="B199" s="140">
        <f>SUM(B47:B90)</f>
        <v>44</v>
      </c>
      <c r="C199" s="140"/>
      <c r="D199" s="140">
        <f>SUM(D47:D90)</f>
        <v>11.262000000000004</v>
      </c>
      <c r="E199" s="144">
        <f t="shared" ref="E199" si="8">D199/B199</f>
        <v>0.25595454545454555</v>
      </c>
      <c r="G199" s="220"/>
    </row>
    <row r="200" spans="1:7">
      <c r="A200" s="139" t="s">
        <v>371</v>
      </c>
      <c r="B200" s="140">
        <f>SUM(B91:B145)</f>
        <v>54</v>
      </c>
      <c r="C200" s="140"/>
      <c r="D200" s="140">
        <f>SUM(D91:D145)</f>
        <v>8.3030000000000008</v>
      </c>
      <c r="E200" s="144">
        <f t="shared" ref="E200" si="9">D200/B200</f>
        <v>0.15375925925925926</v>
      </c>
      <c r="G200" s="220"/>
    </row>
    <row r="201" spans="1:7">
      <c r="A201" s="139" t="s">
        <v>372</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382</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963</v>
      </c>
      <c r="D1" t="s">
        <v>964</v>
      </c>
      <c r="E1" s="175" t="s">
        <v>965</v>
      </c>
      <c r="G1" s="233" t="s">
        <v>966</v>
      </c>
      <c r="H1" s="175" t="s">
        <v>965</v>
      </c>
      <c r="M1" t="s">
        <v>967</v>
      </c>
      <c r="N1" s="589" t="s">
        <v>968</v>
      </c>
      <c r="O1" s="589"/>
      <c r="P1" s="589"/>
      <c r="Q1" s="589"/>
      <c r="R1" s="589"/>
      <c r="S1" s="589"/>
      <c r="T1" s="88" t="s">
        <v>969</v>
      </c>
      <c r="U1" s="240" t="s">
        <v>5</v>
      </c>
      <c r="V1" s="217" t="s">
        <v>970</v>
      </c>
    </row>
    <row r="2" spans="1:22">
      <c r="A2" s="525" t="s">
        <v>971</v>
      </c>
      <c r="B2" s="171">
        <v>0.6</v>
      </c>
      <c r="C2" s="171"/>
      <c r="D2" s="180">
        <f>26/61</f>
        <v>0.42622950819672129</v>
      </c>
      <c r="E2" s="176">
        <f>B2*D2</f>
        <v>0.25573770491803277</v>
      </c>
      <c r="F2" s="18"/>
      <c r="G2" s="180">
        <f>15/62</f>
        <v>0.24193548387096775</v>
      </c>
      <c r="H2" s="176">
        <f>B2*G2</f>
        <v>0.14516129032258066</v>
      </c>
      <c r="M2" t="s">
        <v>972</v>
      </c>
      <c r="N2" s="58">
        <v>2</v>
      </c>
      <c r="T2" s="241">
        <v>100</v>
      </c>
      <c r="U2" s="239">
        <v>2.5099999999999998</v>
      </c>
      <c r="V2" s="242"/>
    </row>
    <row r="3" spans="1:22">
      <c r="A3" s="525" t="s">
        <v>973</v>
      </c>
      <c r="B3" s="171">
        <v>0.4</v>
      </c>
      <c r="C3" s="171"/>
      <c r="D3" s="180">
        <f>9/15</f>
        <v>0.6</v>
      </c>
      <c r="E3" s="177">
        <f t="shared" ref="E3" si="0">B3*D3</f>
        <v>0.24</v>
      </c>
      <c r="F3" s="18"/>
      <c r="G3" s="180">
        <f>6/15</f>
        <v>0.4</v>
      </c>
      <c r="H3" s="177">
        <f>B3*G3</f>
        <v>0.16000000000000003</v>
      </c>
      <c r="M3" t="s">
        <v>974</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975</v>
      </c>
      <c r="M4" t="s">
        <v>976</v>
      </c>
      <c r="N4" s="19">
        <f>1-N3</f>
        <v>0.4</v>
      </c>
      <c r="T4" s="236"/>
      <c r="U4" s="236"/>
      <c r="V4" s="236"/>
    </row>
    <row r="5" spans="1:22">
      <c r="C5" s="164"/>
      <c r="F5" s="18"/>
      <c r="J5" s="172">
        <f>1 - J4</f>
        <v>0.62954263513887831</v>
      </c>
      <c r="K5" s="174" t="s">
        <v>977</v>
      </c>
      <c r="M5" t="s">
        <v>961</v>
      </c>
      <c r="N5" s="19">
        <f>(N2*N3-N4)/N2</f>
        <v>0.39999999999999997</v>
      </c>
      <c r="T5" s="236"/>
      <c r="U5" s="236"/>
      <c r="V5" s="236"/>
    </row>
    <row r="6" spans="1:22">
      <c r="A6" s="525" t="s">
        <v>978</v>
      </c>
      <c r="B6" s="171">
        <v>0.7</v>
      </c>
      <c r="D6" s="176">
        <f>E4</f>
        <v>0.49573770491803276</v>
      </c>
      <c r="E6" s="178">
        <f>B6*D6</f>
        <v>0.34701639344262292</v>
      </c>
      <c r="G6" s="176">
        <f>H4</f>
        <v>0.30516129032258066</v>
      </c>
      <c r="H6" s="178">
        <f>B6*G6</f>
        <v>0.21361290322580645</v>
      </c>
      <c r="M6" t="s">
        <v>979</v>
      </c>
      <c r="N6" s="19">
        <f>N5/10</f>
        <v>3.9999999999999994E-2</v>
      </c>
      <c r="T6" s="236"/>
      <c r="U6" s="236"/>
      <c r="V6" s="236"/>
    </row>
    <row r="7" spans="1:22">
      <c r="A7" s="525" t="s">
        <v>980</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965</v>
      </c>
      <c r="G10" t="str">
        <f>G1</f>
        <v>Cleveland</v>
      </c>
      <c r="H10" s="175" t="s">
        <v>965</v>
      </c>
      <c r="J10" s="18">
        <f xml:space="preserve"> (1 - E11) * (1 - H11)</f>
        <v>0.760876</v>
      </c>
      <c r="K10" s="173" t="s">
        <v>975</v>
      </c>
      <c r="T10" s="236"/>
      <c r="U10" s="236"/>
      <c r="V10" s="236"/>
    </row>
    <row r="11" spans="1:22">
      <c r="D11" s="18"/>
      <c r="E11" s="44">
        <v>0.14699999999999999</v>
      </c>
      <c r="G11" s="18"/>
      <c r="H11" s="44">
        <v>0.108</v>
      </c>
      <c r="J11" s="172">
        <f>1 - J10</f>
        <v>0.239124</v>
      </c>
      <c r="K11" s="174" t="s">
        <v>977</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981</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982</v>
      </c>
      <c r="B1" s="80" t="s">
        <v>983</v>
      </c>
      <c r="C1" s="80" t="s">
        <v>984</v>
      </c>
      <c r="D1" s="81" t="s">
        <v>985</v>
      </c>
      <c r="E1" s="81" t="s">
        <v>986</v>
      </c>
      <c r="F1" s="82" t="s">
        <v>987</v>
      </c>
      <c r="G1" s="82" t="s">
        <v>988</v>
      </c>
      <c r="H1" s="82" t="s">
        <v>989</v>
      </c>
      <c r="I1" s="83" t="s">
        <v>990</v>
      </c>
      <c r="J1" s="81" t="s">
        <v>991</v>
      </c>
      <c r="K1" s="80" t="s">
        <v>992</v>
      </c>
      <c r="L1" s="84" t="s">
        <v>993</v>
      </c>
      <c r="M1" s="85" t="s">
        <v>994</v>
      </c>
      <c r="N1" s="85" t="s">
        <v>995</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60">
        <f>P6</f>
        <v>700</v>
      </c>
      <c r="T4" s="561"/>
      <c r="U4" s="16" t="s">
        <v>996</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0" t="s">
        <v>997</v>
      </c>
      <c r="P5" s="590"/>
      <c r="R5" s="17" t="s">
        <v>951</v>
      </c>
      <c r="S5" s="75">
        <f>L2</f>
        <v>7</v>
      </c>
      <c r="T5" s="76">
        <f>S5*10</f>
        <v>70</v>
      </c>
      <c r="U5" s="3" t="s">
        <v>952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998</v>
      </c>
      <c r="P6" s="29">
        <v>700</v>
      </c>
      <c r="R6" s="17" t="s">
        <v>954</v>
      </c>
      <c r="S6" s="46">
        <v>0</v>
      </c>
      <c r="T6" s="60"/>
      <c r="U6" s="3" t="s">
        <v>955</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999</v>
      </c>
      <c r="P7" s="30">
        <v>45951</v>
      </c>
      <c r="R7" s="17" t="s">
        <v>956</v>
      </c>
      <c r="S7" s="560">
        <f>(S6-T6)</f>
        <v>0</v>
      </c>
      <c r="T7" s="592"/>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1000</v>
      </c>
      <c r="P8" s="31">
        <v>1</v>
      </c>
      <c r="R8" s="17" t="s">
        <v>957</v>
      </c>
      <c r="S8" s="593">
        <f>S4+S7</f>
        <v>700</v>
      </c>
      <c r="T8" s="594"/>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1001</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1002</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1003</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1004</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0" t="s">
        <v>1005</v>
      </c>
      <c r="P13" s="590"/>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1006</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1007</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1" t="s">
        <v>1008</v>
      </c>
      <c r="P17" s="591"/>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1009</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1010</v>
      </c>
      <c r="B1" s="56" t="s">
        <v>1011</v>
      </c>
      <c r="C1" s="56" t="s">
        <v>1012</v>
      </c>
      <c r="D1" s="56" t="s">
        <v>1013</v>
      </c>
      <c r="E1" s="56" t="s">
        <v>1012</v>
      </c>
    </row>
    <row r="2" spans="1:7">
      <c r="A2" s="49" t="s">
        <v>382</v>
      </c>
      <c r="B2" s="61">
        <f>SUM(B4:B8)</f>
        <v>297.69890755043576</v>
      </c>
      <c r="C2" s="63">
        <f>SUM(C4:C8)</f>
        <v>0.99999999999999989</v>
      </c>
      <c r="D2" s="62" t="e">
        <f>#REF!+0</f>
        <v>#REF!</v>
      </c>
      <c r="E2" s="63" t="e">
        <f>(D2-B2)/B2</f>
        <v>#REF!</v>
      </c>
      <c r="F2" s="50"/>
    </row>
    <row r="3" spans="1:7">
      <c r="B3" s="50"/>
      <c r="D3" s="50"/>
    </row>
    <row r="4" spans="1:7">
      <c r="A4" t="s">
        <v>1014</v>
      </c>
      <c r="B4" s="50">
        <v>5.4938695562496047</v>
      </c>
      <c r="C4" s="18">
        <f t="shared" ref="C4:C7" si="0">B4/$B$2</f>
        <v>1.8454449838109805E-2</v>
      </c>
      <c r="D4" s="50" t="e">
        <f t="shared" ref="D4:D7" si="1">$D$2*C4</f>
        <v>#REF!</v>
      </c>
      <c r="E4" s="98"/>
      <c r="F4" s="50"/>
    </row>
    <row r="5" spans="1:7">
      <c r="A5" t="s">
        <v>1015</v>
      </c>
      <c r="B5" s="50">
        <v>5.7229409898235017</v>
      </c>
      <c r="C5" s="18">
        <f t="shared" si="0"/>
        <v>1.9223923382567093E-2</v>
      </c>
      <c r="D5" s="50" t="e">
        <f t="shared" si="1"/>
        <v>#REF!</v>
      </c>
      <c r="E5" s="98"/>
      <c r="F5" s="50"/>
    </row>
    <row r="6" spans="1:7">
      <c r="A6" t="s">
        <v>1016</v>
      </c>
      <c r="B6" s="50">
        <v>29.972097004362656</v>
      </c>
      <c r="C6" s="18">
        <f t="shared" si="0"/>
        <v>0.10067923074015588</v>
      </c>
      <c r="D6" s="50" t="e">
        <f t="shared" si="1"/>
        <v>#REF!</v>
      </c>
      <c r="E6" s="98"/>
      <c r="F6" s="50"/>
    </row>
    <row r="7" spans="1:7">
      <c r="A7" t="s">
        <v>1017</v>
      </c>
      <c r="B7" s="50">
        <v>256.51</v>
      </c>
      <c r="C7" s="18">
        <f t="shared" si="0"/>
        <v>0.86164239603916715</v>
      </c>
      <c r="D7" s="50" t="e">
        <f t="shared" si="1"/>
        <v>#REF!</v>
      </c>
      <c r="E7" s="18"/>
      <c r="F7" s="50"/>
    </row>
    <row r="8" spans="1:7">
      <c r="B8" s="50"/>
      <c r="D8" s="50"/>
    </row>
    <row r="9" spans="1:7">
      <c r="A9" t="s">
        <v>1018</v>
      </c>
      <c r="B9" s="51">
        <f>B2-SUM(B4:B8)</f>
        <v>0</v>
      </c>
      <c r="C9" s="52"/>
      <c r="D9" s="51" t="e">
        <f>D2-SUM(D4:D8)</f>
        <v>#REF!</v>
      </c>
    </row>
    <row r="10" spans="1:7">
      <c r="B10" s="50"/>
      <c r="D10" s="50"/>
      <c r="E10" s="18">
        <v>0.8</v>
      </c>
      <c r="F10" s="53" t="s">
        <v>1019</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962</v>
      </c>
      <c r="B1" s="4" t="s">
        <v>2</v>
      </c>
      <c r="C1" s="5" t="s">
        <v>3</v>
      </c>
      <c r="D1" s="6" t="s">
        <v>4</v>
      </c>
      <c r="E1" s="6" t="s">
        <v>5</v>
      </c>
      <c r="F1" s="100"/>
      <c r="G1" s="112" t="s">
        <v>962</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1020</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2026-03-06T22:18:42Z</dcterms:modified>
  <cp:category/>
  <cp:contentStatus/>
</cp:coreProperties>
</file>