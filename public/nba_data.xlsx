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E1715B9B-0ACF-4AF2-A6D4-4E0BA2E1F2D0}"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90"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81" i="17" l="1"/>
  <c r="E1380" i="17"/>
  <c r="E1379" i="17"/>
  <c r="E1378" i="17"/>
  <c r="E1377" i="17"/>
  <c r="E1376" i="17"/>
  <c r="E1375" i="17"/>
  <c r="E1374" i="17"/>
  <c r="E1373" i="17"/>
  <c r="E1372" i="17"/>
  <c r="E1371" i="17"/>
  <c r="E1370" i="17"/>
  <c r="E1369" i="17"/>
  <c r="E1368" i="17"/>
  <c r="E1367" i="17"/>
  <c r="E1366" i="17"/>
  <c r="E1365" i="17"/>
  <c r="E1364" i="17"/>
  <c r="E1363" i="17"/>
  <c r="E1362" i="17"/>
  <c r="E1361" i="17"/>
  <c r="E1360" i="17"/>
  <c r="E1440" i="17"/>
  <c r="E1439" i="17"/>
  <c r="E1438" i="17"/>
  <c r="E1437" i="17"/>
  <c r="E1436" i="17"/>
  <c r="E1435" i="17"/>
  <c r="E1434" i="17"/>
  <c r="E1433" i="17"/>
  <c r="E1432" i="17"/>
  <c r="E1431" i="17"/>
  <c r="E1430" i="17"/>
  <c r="E1429" i="17"/>
  <c r="E1428" i="17"/>
  <c r="E1427" i="17"/>
  <c r="E1426" i="17"/>
  <c r="I1440" i="17" s="1"/>
  <c r="L1440" i="17" s="1"/>
  <c r="E1425" i="17"/>
  <c r="E1424" i="17"/>
  <c r="E1423" i="17"/>
  <c r="E1422" i="17"/>
  <c r="E1421" i="17"/>
  <c r="E1420" i="17"/>
  <c r="E1419" i="17"/>
  <c r="E1418" i="17"/>
  <c r="E1417" i="17"/>
  <c r="E1416" i="17"/>
  <c r="E1415" i="17"/>
  <c r="E1414" i="17"/>
  <c r="E1413" i="17"/>
  <c r="E1412" i="17"/>
  <c r="I1425" i="17" s="1"/>
  <c r="L1425" i="17" s="1"/>
  <c r="E1411" i="17"/>
  <c r="E1410" i="17"/>
  <c r="E1409" i="17"/>
  <c r="E1408" i="17"/>
  <c r="E1407" i="17"/>
  <c r="E1406" i="17"/>
  <c r="E1405" i="17"/>
  <c r="E1404" i="17"/>
  <c r="E1403" i="17"/>
  <c r="E1402" i="17"/>
  <c r="E1401" i="17"/>
  <c r="E1400" i="17"/>
  <c r="E1399" i="17"/>
  <c r="E1398" i="17"/>
  <c r="E1397" i="17"/>
  <c r="E1396" i="17"/>
  <c r="E1395" i="17"/>
  <c r="E1394" i="17"/>
  <c r="E1393" i="17"/>
  <c r="E1392" i="17"/>
  <c r="I1411" i="17" s="1"/>
  <c r="L1411" i="17" s="1"/>
  <c r="E1391" i="17"/>
  <c r="E1390" i="17"/>
  <c r="E1389" i="17"/>
  <c r="E1388" i="17"/>
  <c r="E1387" i="17"/>
  <c r="E1386" i="17"/>
  <c r="E1385" i="17"/>
  <c r="E1384" i="17"/>
  <c r="E1383" i="17"/>
  <c r="E1382" i="17"/>
  <c r="E1359" i="17"/>
  <c r="E1358" i="17"/>
  <c r="E1357" i="17"/>
  <c r="E1356" i="17"/>
  <c r="E1355" i="17"/>
  <c r="E1354" i="17"/>
  <c r="E1353" i="17"/>
  <c r="I1359" i="17" s="1"/>
  <c r="L1359" i="17" s="1"/>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I1333" i="17" s="1"/>
  <c r="L1333" i="17" s="1"/>
  <c r="E1318" i="17"/>
  <c r="E1317" i="17"/>
  <c r="E1316" i="17"/>
  <c r="E1315" i="17"/>
  <c r="E1314" i="17"/>
  <c r="E1313" i="17"/>
  <c r="E1312" i="17"/>
  <c r="E1311" i="17"/>
  <c r="E1310" i="17"/>
  <c r="E1309" i="17"/>
  <c r="E1308" i="17"/>
  <c r="E1307" i="17"/>
  <c r="E1306" i="17"/>
  <c r="E1305" i="17"/>
  <c r="E1304" i="17"/>
  <c r="E1303" i="17"/>
  <c r="E1302" i="17"/>
  <c r="E1301" i="17"/>
  <c r="E1300" i="17"/>
  <c r="E1299" i="17"/>
  <c r="E1298" i="17"/>
  <c r="I1318" i="17" s="1"/>
  <c r="L1318" i="17" s="1"/>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I1269" i="17" s="1"/>
  <c r="L1269" i="17" s="1"/>
  <c r="E1258" i="17"/>
  <c r="E1257" i="17"/>
  <c r="E1256" i="17"/>
  <c r="E1255" i="17"/>
  <c r="E1254" i="17"/>
  <c r="E1253" i="17"/>
  <c r="E1252" i="17"/>
  <c r="E1251" i="17"/>
  <c r="E1250" i="17"/>
  <c r="E1249" i="17"/>
  <c r="E1248" i="17"/>
  <c r="E1247" i="17"/>
  <c r="I1258" i="17" s="1"/>
  <c r="L1258" i="17" s="1"/>
  <c r="E1246" i="17"/>
  <c r="E1245" i="17"/>
  <c r="E1244" i="17"/>
  <c r="E1243" i="17"/>
  <c r="E1242" i="17"/>
  <c r="E1241" i="17"/>
  <c r="E1240" i="17"/>
  <c r="E1239" i="17"/>
  <c r="E1238" i="17"/>
  <c r="E1237" i="17"/>
  <c r="E1236" i="17"/>
  <c r="E1235" i="17"/>
  <c r="E1234" i="17"/>
  <c r="E1233" i="17"/>
  <c r="E1232" i="17"/>
  <c r="E1231" i="17"/>
  <c r="E1230" i="17"/>
  <c r="I1246" i="17" s="1"/>
  <c r="L1246" i="17" s="1"/>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I1204" i="17" s="1"/>
  <c r="L1204" i="17" s="1"/>
  <c r="E1196" i="17"/>
  <c r="E1195" i="17"/>
  <c r="E1194" i="17"/>
  <c r="E1193" i="17"/>
  <c r="E1192" i="17"/>
  <c r="E1191" i="17"/>
  <c r="E1190" i="17"/>
  <c r="E1189" i="17"/>
  <c r="E1188" i="17"/>
  <c r="E1187" i="17"/>
  <c r="E1186" i="17"/>
  <c r="E1185" i="17"/>
  <c r="E1184" i="17"/>
  <c r="E1183" i="17"/>
  <c r="E1182" i="17"/>
  <c r="E1181" i="17"/>
  <c r="E1180" i="17"/>
  <c r="E1179" i="17"/>
  <c r="E1178" i="17"/>
  <c r="E1177" i="17"/>
  <c r="I1196" i="17" s="1"/>
  <c r="L1196" i="17" s="1"/>
  <c r="E1176" i="17"/>
  <c r="E1175" i="17"/>
  <c r="E1174" i="17"/>
  <c r="E1173" i="17"/>
  <c r="E1172" i="17"/>
  <c r="E1171" i="17"/>
  <c r="C1465" i="17"/>
  <c r="E1170" i="17"/>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489" i="17"/>
  <c r="I848" i="17"/>
  <c r="L848" i="17" s="1"/>
  <c r="I798" i="17"/>
  <c r="L798" i="17" s="1"/>
  <c r="I774" i="17"/>
  <c r="L774" i="17" s="1"/>
  <c r="I1483" i="17"/>
  <c r="C1483" i="17"/>
  <c r="C1478" i="17"/>
  <c r="C1477" i="17"/>
  <c r="J1476" i="17"/>
  <c r="I1476" i="17"/>
  <c r="C1476" i="17"/>
  <c r="K1475" i="17"/>
  <c r="C1475" i="17"/>
  <c r="K1474" i="17"/>
  <c r="C1474" i="17"/>
  <c r="K1473" i="17"/>
  <c r="C1473" i="17"/>
  <c r="K1472" i="17"/>
  <c r="K1476" i="17" s="1"/>
  <c r="C1470" i="17"/>
  <c r="C1469" i="17"/>
  <c r="C1468" i="17"/>
  <c r="C1467" i="17"/>
  <c r="C1466" i="17"/>
  <c r="I756" i="17"/>
  <c r="L756" i="17" s="1"/>
  <c r="I753" i="17"/>
  <c r="L753" i="17" s="1"/>
  <c r="I738" i="17"/>
  <c r="L738" i="17" s="1"/>
  <c r="I729" i="17"/>
  <c r="L729" i="17" s="1"/>
  <c r="I717" i="17"/>
  <c r="L717" i="17" s="1"/>
  <c r="E1483" i="17"/>
  <c r="F1483"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J1381" i="17" l="1"/>
  <c r="I1381" i="17"/>
  <c r="L1381" i="17" s="1"/>
  <c r="F1381" i="17"/>
  <c r="F1380" i="17"/>
  <c r="F1379" i="17"/>
  <c r="F1378" i="17"/>
  <c r="F1377" i="17"/>
  <c r="F1376" i="17"/>
  <c r="F1375" i="17"/>
  <c r="F1374" i="17"/>
  <c r="F1373" i="17"/>
  <c r="F1372" i="17"/>
  <c r="F1371" i="17"/>
  <c r="F1370" i="17"/>
  <c r="F1369" i="17"/>
  <c r="F1368" i="17"/>
  <c r="F1367" i="17"/>
  <c r="F1366" i="17"/>
  <c r="F1365" i="17"/>
  <c r="F1364" i="17"/>
  <c r="F1363" i="17"/>
  <c r="F1362" i="17"/>
  <c r="F1361" i="17"/>
  <c r="F1360" i="17"/>
  <c r="F1440" i="17"/>
  <c r="F1439" i="17"/>
  <c r="F1438" i="17"/>
  <c r="F1437" i="17"/>
  <c r="F1436" i="17"/>
  <c r="F1435" i="17"/>
  <c r="F1434" i="17"/>
  <c r="F1433" i="17"/>
  <c r="F1432" i="17"/>
  <c r="F1431" i="17"/>
  <c r="F1430" i="17"/>
  <c r="F1429" i="17"/>
  <c r="F1428" i="17"/>
  <c r="F1427" i="17"/>
  <c r="F1426" i="17"/>
  <c r="F1425" i="17"/>
  <c r="F1424" i="17"/>
  <c r="F1423" i="17"/>
  <c r="F1422" i="17"/>
  <c r="F1421" i="17"/>
  <c r="F1420" i="17"/>
  <c r="F1419" i="17"/>
  <c r="F1418" i="17"/>
  <c r="F1417" i="17"/>
  <c r="F1416" i="17"/>
  <c r="F1415" i="17"/>
  <c r="F1414" i="17"/>
  <c r="F1413" i="17"/>
  <c r="F1412" i="17"/>
  <c r="F1411" i="17"/>
  <c r="F1410" i="17"/>
  <c r="F1409" i="17"/>
  <c r="F1408" i="17"/>
  <c r="F1407" i="17"/>
  <c r="F1406" i="17"/>
  <c r="F1405" i="17"/>
  <c r="F1404" i="17"/>
  <c r="F1403" i="17"/>
  <c r="F1402" i="17"/>
  <c r="F1401" i="17"/>
  <c r="F1400" i="17"/>
  <c r="F1399" i="17"/>
  <c r="F1398" i="17"/>
  <c r="F1397" i="17"/>
  <c r="F1396" i="17"/>
  <c r="F1395" i="17"/>
  <c r="F1394" i="17"/>
  <c r="F1393" i="17"/>
  <c r="F1392" i="17"/>
  <c r="I1391" i="17"/>
  <c r="L1391" i="17" s="1"/>
  <c r="F1391" i="17"/>
  <c r="F1390" i="17"/>
  <c r="F1389" i="17"/>
  <c r="F1388" i="17"/>
  <c r="F1387" i="17"/>
  <c r="F1386" i="17"/>
  <c r="F1385" i="17"/>
  <c r="F1384" i="17"/>
  <c r="F1383" i="17"/>
  <c r="F1382" i="17"/>
  <c r="F1359" i="17"/>
  <c r="F1358" i="17"/>
  <c r="F1357" i="17"/>
  <c r="F1356" i="17"/>
  <c r="F1355" i="17"/>
  <c r="F1354" i="17"/>
  <c r="F1353" i="17"/>
  <c r="I1352" i="17"/>
  <c r="L1352" i="17" s="1"/>
  <c r="F1352" i="17"/>
  <c r="F1351" i="17"/>
  <c r="F1350" i="17"/>
  <c r="F1349" i="17"/>
  <c r="F1348" i="17"/>
  <c r="F1347" i="17"/>
  <c r="F1346" i="17"/>
  <c r="F1345" i="17"/>
  <c r="F1344" i="17"/>
  <c r="F1343" i="17"/>
  <c r="F1342" i="17"/>
  <c r="F1341" i="17"/>
  <c r="F1340" i="17"/>
  <c r="F1339" i="17"/>
  <c r="F1338" i="17"/>
  <c r="F1337" i="17"/>
  <c r="F1336" i="17"/>
  <c r="F1335" i="17"/>
  <c r="F1334" i="17"/>
  <c r="F1333" i="17"/>
  <c r="F1332" i="17"/>
  <c r="F1331" i="17"/>
  <c r="F1330" i="17"/>
  <c r="F1329" i="17"/>
  <c r="F1328" i="17"/>
  <c r="F1327" i="17"/>
  <c r="F1326" i="17"/>
  <c r="F1325" i="17"/>
  <c r="F1324" i="17"/>
  <c r="F1323" i="17"/>
  <c r="F1322" i="17"/>
  <c r="F1321" i="17"/>
  <c r="F1320" i="17"/>
  <c r="F1319" i="17"/>
  <c r="F1318" i="17"/>
  <c r="F1317" i="17"/>
  <c r="F1316" i="17"/>
  <c r="F1315" i="17"/>
  <c r="F1314" i="17"/>
  <c r="F1313" i="17"/>
  <c r="F1312" i="17"/>
  <c r="F1311" i="17"/>
  <c r="F1310" i="17"/>
  <c r="F1309" i="17"/>
  <c r="F1308" i="17"/>
  <c r="F1307" i="17"/>
  <c r="F1306" i="17"/>
  <c r="F1305" i="17"/>
  <c r="F1304" i="17"/>
  <c r="F1303" i="17"/>
  <c r="F1302" i="17"/>
  <c r="F1301" i="17"/>
  <c r="F1300" i="17"/>
  <c r="F1299" i="17"/>
  <c r="F1298" i="17"/>
  <c r="I1297" i="17"/>
  <c r="L1297" i="17" s="1"/>
  <c r="F1297" i="17"/>
  <c r="F1296" i="17"/>
  <c r="F1295" i="17"/>
  <c r="F1294" i="17"/>
  <c r="F1293" i="17"/>
  <c r="F1292" i="17"/>
  <c r="F1291" i="17"/>
  <c r="F1290" i="17"/>
  <c r="F1289" i="17"/>
  <c r="F1288" i="17"/>
  <c r="F1287" i="17"/>
  <c r="K1286" i="17"/>
  <c r="J1286" i="17"/>
  <c r="I1286" i="17"/>
  <c r="L1286" i="17" s="1"/>
  <c r="F1286" i="17"/>
  <c r="F1285" i="17"/>
  <c r="F1284" i="17"/>
  <c r="F1283" i="17"/>
  <c r="F1282" i="17"/>
  <c r="F1281" i="17"/>
  <c r="F1280" i="17"/>
  <c r="F1279" i="17"/>
  <c r="F1278" i="17"/>
  <c r="F1277" i="17"/>
  <c r="F1276" i="17"/>
  <c r="F1275" i="17"/>
  <c r="F1274" i="17"/>
  <c r="F1273" i="17"/>
  <c r="F1272" i="17"/>
  <c r="F1271" i="17"/>
  <c r="F1270" i="17"/>
  <c r="J1269" i="17"/>
  <c r="F1269" i="17"/>
  <c r="F1268" i="17"/>
  <c r="F1267" i="17"/>
  <c r="F1266" i="17"/>
  <c r="F1265" i="17"/>
  <c r="F1264" i="17"/>
  <c r="F1263" i="17"/>
  <c r="F1262" i="17"/>
  <c r="F1261" i="17"/>
  <c r="F1260" i="17"/>
  <c r="F1259" i="17"/>
  <c r="F1258" i="17"/>
  <c r="F1257" i="17"/>
  <c r="F1256" i="17"/>
  <c r="F1255" i="17"/>
  <c r="F1254" i="17"/>
  <c r="F1253" i="17"/>
  <c r="F1252" i="17"/>
  <c r="F1251" i="17"/>
  <c r="F1250" i="17"/>
  <c r="F1249" i="17"/>
  <c r="F1248" i="17"/>
  <c r="F1247" i="17"/>
  <c r="F1246" i="17"/>
  <c r="F1245" i="17"/>
  <c r="F1244" i="17"/>
  <c r="F1243" i="17"/>
  <c r="F1242" i="17"/>
  <c r="F1241" i="17"/>
  <c r="F1240" i="17"/>
  <c r="F1239" i="17"/>
  <c r="F1238" i="17"/>
  <c r="F1237" i="17"/>
  <c r="F1236" i="17"/>
  <c r="F1235" i="17"/>
  <c r="F1234" i="17"/>
  <c r="F1233" i="17"/>
  <c r="F1232" i="17"/>
  <c r="F1231" i="17"/>
  <c r="F1230" i="17"/>
  <c r="I1229" i="17"/>
  <c r="L1229" i="17" s="1"/>
  <c r="F1229" i="17"/>
  <c r="F1228" i="17"/>
  <c r="F1227" i="17"/>
  <c r="F1226" i="17"/>
  <c r="F1225" i="17"/>
  <c r="F1224" i="17"/>
  <c r="F1223" i="17"/>
  <c r="I1222" i="17"/>
  <c r="L1222" i="17" s="1"/>
  <c r="F1222" i="17"/>
  <c r="F1221" i="17"/>
  <c r="F1220" i="17"/>
  <c r="F1219" i="17"/>
  <c r="F1218" i="17"/>
  <c r="F1217" i="17"/>
  <c r="F1216" i="17"/>
  <c r="F1215" i="17"/>
  <c r="F1214" i="17"/>
  <c r="F1213" i="17"/>
  <c r="F1212" i="17"/>
  <c r="F1211" i="17"/>
  <c r="F1210" i="17"/>
  <c r="F1209" i="17"/>
  <c r="F1208" i="17"/>
  <c r="F1207" i="17"/>
  <c r="F1206" i="17"/>
  <c r="F1205" i="17"/>
  <c r="F1204" i="17"/>
  <c r="F1203" i="17"/>
  <c r="F1202" i="17"/>
  <c r="F1201" i="17"/>
  <c r="F1200" i="17"/>
  <c r="F1199" i="17"/>
  <c r="F1198" i="17"/>
  <c r="F1197" i="17"/>
  <c r="F1196" i="17"/>
  <c r="F1195" i="17"/>
  <c r="F1194" i="17"/>
  <c r="F1193" i="17"/>
  <c r="F1192" i="17"/>
  <c r="F1191" i="17"/>
  <c r="F1190" i="17"/>
  <c r="F1189" i="17"/>
  <c r="F1188" i="17"/>
  <c r="F1187" i="17"/>
  <c r="F1186" i="17"/>
  <c r="F1185" i="17"/>
  <c r="F1184" i="17"/>
  <c r="F1183" i="17"/>
  <c r="F1182" i="17"/>
  <c r="F1181" i="17"/>
  <c r="F1180" i="17"/>
  <c r="F1179" i="17"/>
  <c r="F1178" i="17"/>
  <c r="F1177" i="17"/>
  <c r="J1176" i="17"/>
  <c r="I1176" i="17"/>
  <c r="L1176" i="17" s="1"/>
  <c r="F1176" i="17"/>
  <c r="F1175" i="17"/>
  <c r="F1174" i="17"/>
  <c r="F1173" i="17"/>
  <c r="F1172" i="17"/>
  <c r="F1171" i="17"/>
  <c r="F1170" i="17"/>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G1137" i="17" s="1"/>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G1171" i="17" s="1"/>
  <c r="G1172" i="17" s="1"/>
  <c r="G1173" i="17" s="1"/>
  <c r="G1174" i="17" s="1"/>
  <c r="G1175" i="17" s="1"/>
  <c r="G1176" i="17" s="1"/>
  <c r="G1177" i="17" s="1"/>
  <c r="G1178" i="17" s="1"/>
  <c r="G1179" i="17" s="1"/>
  <c r="G1180" i="17" s="1"/>
  <c r="G1181" i="17" s="1"/>
  <c r="G1182" i="17" s="1"/>
  <c r="G1183" i="17" s="1"/>
  <c r="G1184" i="17" s="1"/>
  <c r="G1185" i="17" s="1"/>
  <c r="G1186" i="17" s="1"/>
  <c r="G1187" i="17" s="1"/>
  <c r="G1188" i="17" s="1"/>
  <c r="G1189" i="17" s="1"/>
  <c r="G1190" i="17" s="1"/>
  <c r="G1191" i="17" s="1"/>
  <c r="G1192" i="17" s="1"/>
  <c r="G1193" i="17" s="1"/>
  <c r="G1194" i="17" s="1"/>
  <c r="G1195" i="17" s="1"/>
  <c r="G1196" i="17" s="1"/>
  <c r="G1197" i="17" s="1"/>
  <c r="G1198" i="17" s="1"/>
  <c r="G1199" i="17" s="1"/>
  <c r="G1200" i="17" s="1"/>
  <c r="G1201" i="17" s="1"/>
  <c r="G1202" i="17" s="1"/>
  <c r="G1203" i="17" s="1"/>
  <c r="G1204" i="17" s="1"/>
  <c r="G1205" i="17" s="1"/>
  <c r="G1206" i="17" s="1"/>
  <c r="G1207" i="17" s="1"/>
  <c r="G1208" i="17" s="1"/>
  <c r="G1209" i="17" s="1"/>
  <c r="G1210" i="17" s="1"/>
  <c r="G1211" i="17" s="1"/>
  <c r="G1212" i="17" s="1"/>
  <c r="G1213" i="17" s="1"/>
  <c r="G1214" i="17" s="1"/>
  <c r="G1215" i="17" s="1"/>
  <c r="G1216" i="17" s="1"/>
  <c r="G1217" i="17" s="1"/>
  <c r="G1218" i="17" s="1"/>
  <c r="G1219" i="17" s="1"/>
  <c r="G1220" i="17" s="1"/>
  <c r="G1221" i="17" s="1"/>
  <c r="G1222" i="17" s="1"/>
  <c r="G1223" i="17" s="1"/>
  <c r="G1224" i="17" s="1"/>
  <c r="G1225" i="17" s="1"/>
  <c r="G1226" i="17" s="1"/>
  <c r="G1227" i="17" s="1"/>
  <c r="G1228" i="17" s="1"/>
  <c r="G1229" i="17" s="1"/>
  <c r="G1230" i="17" s="1"/>
  <c r="G1231" i="17" s="1"/>
  <c r="G1232" i="17" s="1"/>
  <c r="G1233" i="17" s="1"/>
  <c r="G1234" i="17" s="1"/>
  <c r="G1235" i="17" s="1"/>
  <c r="G1236" i="17" s="1"/>
  <c r="G1237" i="17" s="1"/>
  <c r="G1238" i="17" s="1"/>
  <c r="G1239" i="17" s="1"/>
  <c r="G1240" i="17" s="1"/>
  <c r="G1241" i="17" s="1"/>
  <c r="G1242" i="17" s="1"/>
  <c r="G1243" i="17" s="1"/>
  <c r="G1244" i="17" s="1"/>
  <c r="G1245" i="17" s="1"/>
  <c r="G1246" i="17" s="1"/>
  <c r="G1247" i="17" s="1"/>
  <c r="G1248" i="17" s="1"/>
  <c r="G1249" i="17" s="1"/>
  <c r="G1250" i="17" s="1"/>
  <c r="G1251" i="17" s="1"/>
  <c r="G1252" i="17" s="1"/>
  <c r="G1253" i="17" s="1"/>
  <c r="G1254" i="17" s="1"/>
  <c r="G1255" i="17" s="1"/>
  <c r="G1256" i="17" s="1"/>
  <c r="G1257" i="17" s="1"/>
  <c r="G1258" i="17" s="1"/>
  <c r="G1259" i="17" s="1"/>
  <c r="G1260" i="17" s="1"/>
  <c r="G1261" i="17" s="1"/>
  <c r="G1262" i="17" s="1"/>
  <c r="G1263" i="17" s="1"/>
  <c r="G1264" i="17" s="1"/>
  <c r="G1265" i="17" s="1"/>
  <c r="G1266" i="17" s="1"/>
  <c r="G1267" i="17" s="1"/>
  <c r="G1268" i="17" s="1"/>
  <c r="G1269" i="17" s="1"/>
  <c r="G1270" i="17" s="1"/>
  <c r="G1271" i="17" s="1"/>
  <c r="G1272" i="17" s="1"/>
  <c r="G1273" i="17" s="1"/>
  <c r="G1274" i="17" s="1"/>
  <c r="G1275" i="17" s="1"/>
  <c r="G1276" i="17" s="1"/>
  <c r="G1277" i="17" s="1"/>
  <c r="G1278" i="17" s="1"/>
  <c r="G1279" i="17" s="1"/>
  <c r="G1280" i="17" s="1"/>
  <c r="G1281" i="17" s="1"/>
  <c r="G1282" i="17" s="1"/>
  <c r="G1283" i="17" s="1"/>
  <c r="G1284" i="17" s="1"/>
  <c r="G1285" i="17" s="1"/>
  <c r="G1286" i="17" s="1"/>
  <c r="G1287" i="17" s="1"/>
  <c r="G1288" i="17" s="1"/>
  <c r="G1289" i="17" s="1"/>
  <c r="G1290" i="17" s="1"/>
  <c r="G1291" i="17" s="1"/>
  <c r="G1292" i="17" s="1"/>
  <c r="G1293" i="17" s="1"/>
  <c r="G1294" i="17" s="1"/>
  <c r="G1295" i="17" s="1"/>
  <c r="G1296" i="17" s="1"/>
  <c r="G1297" i="17" s="1"/>
  <c r="G1298" i="17" s="1"/>
  <c r="G1299" i="17" s="1"/>
  <c r="G1300" i="17" s="1"/>
  <c r="G1301" i="17" s="1"/>
  <c r="G1302" i="17" s="1"/>
  <c r="G1303" i="17" s="1"/>
  <c r="G1304" i="17" s="1"/>
  <c r="G1305" i="17" s="1"/>
  <c r="G1306" i="17" s="1"/>
  <c r="G1307" i="17" s="1"/>
  <c r="G1308" i="17" s="1"/>
  <c r="G1309" i="17" s="1"/>
  <c r="G1310" i="17" s="1"/>
  <c r="G1311" i="17" s="1"/>
  <c r="G1312" i="17" s="1"/>
  <c r="G1313" i="17" s="1"/>
  <c r="G1314" i="17" s="1"/>
  <c r="G1315" i="17" s="1"/>
  <c r="G1316" i="17" s="1"/>
  <c r="G1317" i="17" s="1"/>
  <c r="G1318" i="17" s="1"/>
  <c r="G1319" i="17" s="1"/>
  <c r="G1320" i="17" s="1"/>
  <c r="G1321" i="17" s="1"/>
  <c r="G1322" i="17" s="1"/>
  <c r="G1323" i="17" s="1"/>
  <c r="G1324" i="17" s="1"/>
  <c r="G1325" i="17" s="1"/>
  <c r="G1326" i="17" s="1"/>
  <c r="G1327" i="17" s="1"/>
  <c r="G1328" i="17" s="1"/>
  <c r="G1329" i="17" s="1"/>
  <c r="G1330" i="17" s="1"/>
  <c r="G1331" i="17" s="1"/>
  <c r="G1332" i="17" s="1"/>
  <c r="G1333" i="17" s="1"/>
  <c r="G1334" i="17" s="1"/>
  <c r="G1335" i="17" s="1"/>
  <c r="G1336" i="17" s="1"/>
  <c r="G1337" i="17" s="1"/>
  <c r="G1338" i="17" s="1"/>
  <c r="G1339" i="17" s="1"/>
  <c r="G1340" i="17" s="1"/>
  <c r="G1341" i="17" s="1"/>
  <c r="G1342" i="17" s="1"/>
  <c r="G1343" i="17" s="1"/>
  <c r="G1344" i="17" s="1"/>
  <c r="G1345" i="17" s="1"/>
  <c r="G1346" i="17" s="1"/>
  <c r="G1347" i="17" s="1"/>
  <c r="G1348" i="17" s="1"/>
  <c r="G1349" i="17" s="1"/>
  <c r="G1350" i="17" s="1"/>
  <c r="G1351" i="17" s="1"/>
  <c r="G1352"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465" i="17"/>
  <c r="F2" i="17"/>
  <c r="E1466" i="17"/>
  <c r="F1466" i="17" s="1"/>
  <c r="E1467" i="17"/>
  <c r="F1467" i="17" s="1"/>
  <c r="E1468" i="17"/>
  <c r="J125" i="17"/>
  <c r="I21" i="17"/>
  <c r="L21" i="17" s="1"/>
  <c r="E1469" i="17"/>
  <c r="F1469" i="17" s="1"/>
  <c r="J180" i="17"/>
  <c r="I134" i="17"/>
  <c r="L134" i="17" s="1"/>
  <c r="E1470" i="17"/>
  <c r="F1470" i="17" s="1"/>
  <c r="J263" i="17"/>
  <c r="I190" i="17"/>
  <c r="L190" i="17" s="1"/>
  <c r="C1471" i="17"/>
  <c r="I378" i="17"/>
  <c r="L378" i="17" s="1"/>
  <c r="C1472" i="17"/>
  <c r="E1473" i="17"/>
  <c r="F1473" i="17" s="1"/>
  <c r="J519" i="17"/>
  <c r="I464" i="17"/>
  <c r="L464" i="17" s="1"/>
  <c r="E1474" i="17"/>
  <c r="F1474" i="17" s="1"/>
  <c r="J556" i="17"/>
  <c r="I526" i="17"/>
  <c r="L526" i="17" s="1"/>
  <c r="E1475" i="17"/>
  <c r="F1475" i="17" s="1"/>
  <c r="J613" i="17"/>
  <c r="I565" i="17"/>
  <c r="L565" i="17" s="1"/>
  <c r="E1476" i="17"/>
  <c r="F1476" i="17" s="1"/>
  <c r="J692" i="17"/>
  <c r="I623" i="17"/>
  <c r="L623" i="17" s="1"/>
  <c r="I692" i="17"/>
  <c r="L692" i="17" s="1"/>
  <c r="E1477" i="17"/>
  <c r="F1477" i="17" s="1"/>
  <c r="J756" i="17"/>
  <c r="I695" i="17"/>
  <c r="L695" i="17" s="1"/>
  <c r="E1478" i="17"/>
  <c r="F1478" i="17" s="1"/>
  <c r="C1481" i="17"/>
  <c r="C1482" i="17"/>
  <c r="G1353" i="17" l="1"/>
  <c r="G1354" i="17" s="1"/>
  <c r="G1355" i="17" s="1"/>
  <c r="G1356" i="17" s="1"/>
  <c r="G1357" i="17" s="1"/>
  <c r="G1358" i="17" s="1"/>
  <c r="G1359" i="17" s="1"/>
  <c r="G1382" i="17" s="1"/>
  <c r="G1383" i="17" s="1"/>
  <c r="G1384" i="17" s="1"/>
  <c r="G1385" i="17" s="1"/>
  <c r="G1386" i="17" s="1"/>
  <c r="G1387" i="17" s="1"/>
  <c r="G1388" i="17" s="1"/>
  <c r="G1389" i="17" s="1"/>
  <c r="G1390" i="17" s="1"/>
  <c r="G1391" i="17" s="1"/>
  <c r="G1392" i="17" s="1"/>
  <c r="G1393" i="17" s="1"/>
  <c r="G1394" i="17" s="1"/>
  <c r="G1395" i="17" s="1"/>
  <c r="G1396" i="17" s="1"/>
  <c r="G1397" i="17" s="1"/>
  <c r="G1398" i="17" s="1"/>
  <c r="G1399" i="17" s="1"/>
  <c r="G1400" i="17" s="1"/>
  <c r="G1401" i="17" s="1"/>
  <c r="G1402" i="17" s="1"/>
  <c r="G1403" i="17" s="1"/>
  <c r="G1404" i="17" s="1"/>
  <c r="G1405" i="17" s="1"/>
  <c r="G1406" i="17" s="1"/>
  <c r="G1407" i="17" s="1"/>
  <c r="G1408" i="17" s="1"/>
  <c r="G1409" i="17" s="1"/>
  <c r="G1410" i="17" s="1"/>
  <c r="G1411" i="17" s="1"/>
  <c r="G1412" i="17" s="1"/>
  <c r="G1413" i="17" s="1"/>
  <c r="G1414" i="17" s="1"/>
  <c r="G1415" i="17" s="1"/>
  <c r="G1416" i="17" s="1"/>
  <c r="G1417" i="17" s="1"/>
  <c r="G1418" i="17" s="1"/>
  <c r="G1419" i="17" s="1"/>
  <c r="G1420" i="17" s="1"/>
  <c r="G1421" i="17" s="1"/>
  <c r="G1422" i="17" s="1"/>
  <c r="G1423" i="17" s="1"/>
  <c r="G1424" i="17" s="1"/>
  <c r="G1425" i="17" s="1"/>
  <c r="G1426" i="17" s="1"/>
  <c r="G1427" i="17" s="1"/>
  <c r="G1428" i="17" s="1"/>
  <c r="G1429" i="17" s="1"/>
  <c r="G1430" i="17" s="1"/>
  <c r="G1431" i="17" s="1"/>
  <c r="G1432" i="17" s="1"/>
  <c r="G1433" i="17" s="1"/>
  <c r="G1434" i="17" s="1"/>
  <c r="G1435" i="17" s="1"/>
  <c r="G1436" i="17" s="1"/>
  <c r="G1437" i="17" s="1"/>
  <c r="G1438" i="17" s="1"/>
  <c r="G1439" i="17" s="1"/>
  <c r="G1440" i="17" s="1"/>
  <c r="G1360" i="17"/>
  <c r="G1361" i="17" s="1"/>
  <c r="G1362" i="17" s="1"/>
  <c r="G1363" i="17" s="1"/>
  <c r="G1364" i="17" s="1"/>
  <c r="G1365" i="17" s="1"/>
  <c r="G1366" i="17" s="1"/>
  <c r="G1367" i="17" s="1"/>
  <c r="G1368" i="17" s="1"/>
  <c r="G1369" i="17" s="1"/>
  <c r="G1370" i="17" s="1"/>
  <c r="G1371" i="17" s="1"/>
  <c r="G1372" i="17" s="1"/>
  <c r="G1373" i="17" s="1"/>
  <c r="G1374" i="17" s="1"/>
  <c r="G1375" i="17" s="1"/>
  <c r="G1376" i="17" s="1"/>
  <c r="G1377" i="17" s="1"/>
  <c r="G1378" i="17" s="1"/>
  <c r="G1379" i="17" s="1"/>
  <c r="G1380" i="17" s="1"/>
  <c r="G1381" i="17" s="1"/>
  <c r="K675" i="17"/>
  <c r="I408" i="17"/>
  <c r="L408" i="17" s="1"/>
  <c r="E1472" i="17"/>
  <c r="F1472" i="17" s="1"/>
  <c r="J454" i="17"/>
  <c r="E1471" i="17"/>
  <c r="F1471" i="17" s="1"/>
  <c r="J357" i="17"/>
  <c r="I276" i="17"/>
  <c r="L276" i="17" s="1"/>
  <c r="K402" i="17"/>
  <c r="E1482" i="17"/>
  <c r="F1482" i="17" s="1"/>
  <c r="F1468" i="17"/>
  <c r="E1481" i="17"/>
  <c r="F1481" i="17" s="1"/>
  <c r="F146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<sst xmlns="http://schemas.openxmlformats.org/spreadsheetml/2006/main" count="2912" uniqueCount="1125">
  <si>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</si>
  <si>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</si>
  <si>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</si>
  <si>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</si>
  <si>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</si>
  <si>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</si>
  <si>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</si>
  <si>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</si>
  <si>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</si>
  <si>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</si>
  <si>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</si>
  <si>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</si>
  <si>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</si>
  <si>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</si>
  <si>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</si>
  <si>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</si>
  <si>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</si>
  <si>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</si>
  <si>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</si>
  <si>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</si>
  <si>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</si>
  <si>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</si>
  <si>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</si>
  <si>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</si>
  <si>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</si>
  <si>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</si>
  <si>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</si>
  <si>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</si>
  <si>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</si>
  <si>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</si>
  <si>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</si>
  <si>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</si>
  <si>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</si>
  <si>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</si>
  <si>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</si>
  <si>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</si>
  <si>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</si>
  <si>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</si>
  <si>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</si>
  <si>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</si>
  <si>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</si>
  <si>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</si>
  <si>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</si>
  <si>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</si>
  <si>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</si>
  <si>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</si>
  <si>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</si>
  <si>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</si>
  <si>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</si>
  <si>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</si>
  <si>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</si>
  <si>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</si>
  <si>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</si>
  <si>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</si>
  <si>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</si>
  <si>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</si>
  <si>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</si>
  <si>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</si>
  <si>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</si>
  <si>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</si>
  <si>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</si>
  <si>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</si>
  <si>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</si>
  <si>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</si>
  <si>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</si>
  <si>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</si>
  <si>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</si>
  <si>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</si>
  <si>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</si>
  <si>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</si>
  <si>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</si>
  <si>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</si>
  <si>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</si>
  <si>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</si>
  <si>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</si>
  <si>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</si>
  <si>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</si>
  <si>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</si>
  <si>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</si>
  <si>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</si>
  <si>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</si>
  <si>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</si>
  <si>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</si>
  <si>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</si>
  <si>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</si>
  <si>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</si>
  <si>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</si>
  <si>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</si>
  <si>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</si>
  <si>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</si>
  <si>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</si>
  <si>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</si>
  <si>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</si>
  <si>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</si>
  <si>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</si>
  <si>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</si>
  <si>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</si>
  <si>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</si>
  <si>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</si>
  <si>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</si>
  <si>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</si>
  <si>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</si>
  <si>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</si>
  <si>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</si>
  <si>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</si>
  <si>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</si>
  <si>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</si>
  <si>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</si>
  <si>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</si>
  <si>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</si>
  <si>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</si>
  <si>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</si>
  <si>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</si>
  <si>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</si>
  <si>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</si>
  <si>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</si>
  <si>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</si>
  <si>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</si>
  <si>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</si>
  <si>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</si>
  <si>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</si>
  <si>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</si>
  <si>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</si>
  <si>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</si>
  <si>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</si>
  <si>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</si>
  <si>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</si>
  <si>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</si>
  <si>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</si>
  <si>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</si>
  <si>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</si>
  <si>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</si>
  <si>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</si>
  <si>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</si>
  <si>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</si>
  <si>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</si>
  <si>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</si>
  <si>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</si>
  <si>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</si>
  <si>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</si>
  <si>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</si>
  <si>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</si>
  <si>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</si>
  <si>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</si>
  <si>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</si>
  <si>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</si>
  <si>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</si>
  <si>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</si>
  <si>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</si>
  <si>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</si>
  <si>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</si>
  <si>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</si>
  <si>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</si>
  <si>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</si>
  <si>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</si>
  <si>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</si>
  <si>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</si>
  <si>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</si>
  <si>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</si>
  <si>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</si>
  <si>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</si>
  <si>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</si>
  <si>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</si>
  <si>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</si>
  <si>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</si>
  <si>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</si>
  <si>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</si>
  <si>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</si>
  <si>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</si>
  <si>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</si>
  <si>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</si>
  <si>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</si>
  <si>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</si>
  <si>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</si>
  <si>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</si>
  <si>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</si>
  <si>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</si>
  <si>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</si>
  <si>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</si>
  <si>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</si>
  <si>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</si>
  <si>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</si>
  <si>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</si>
  <si>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</si>
  <si>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</si>
  <si>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</si>
  <si>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</si>
  <si>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</si>
  <si>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</si>
  <si>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</si>
  <si>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</si>
  <si>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</si>
  <si>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</si>
  <si>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</si>
  <si>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</si>
  <si>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</si>
  <si>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</si>
  <si>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</si>
  <si>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</si>
  <si>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</si>
  <si>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</si>
  <si>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</si>
  <si>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</si>
  <si>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</si>
  <si>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</si>
  <si>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</si>
  <si>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</si>
  <si>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</si>
  <si>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</si>
  <si>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</si>
  <si>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</si>
  <si>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</si>
  <si>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</si>
  <si>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</si>
  <si>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</si>
  <si>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</si>
  <si>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</si>
  <si>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</si>
  <si>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</si>
  <si>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</si>
  <si>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</si>
  <si>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</si>
  <si>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</si>
  <si>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</si>
  <si>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</si>
  <si>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</si>
  <si>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</si>
  <si>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</si>
  <si>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</si>
  <si>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</si>
  <si>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</si>
  <si>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</si>
  <si>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</si>
  <si>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</si>
  <si>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</si>
  <si>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</si>
  <si>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</si>
  <si>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</si>
  <si>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</si>
  <si>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</si>
  <si>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</si>
  <si>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</si>
  <si>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</si>
  <si>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</si>
  <si>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</si>
  <si>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</si>
  <si>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</si>
  <si>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</si>
  <si>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</si>
  <si>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</si>
  <si>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</si>
  <si>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</si>
  <si>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</si>
  <si>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</si>
  <si>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</si>
  <si>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</si>
  <si>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</si>
  <si>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</si>
  <si>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</si>
  <si>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</si>
  <si>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</si>
  <si>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</si>
  <si>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</si>
  <si>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</si>
  <si>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</si>
  <si>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</si>
  <si>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</si>
  <si>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</si>
  <si>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</si>
  <si>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</si>
  <si>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</si>
  <si>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</si>
  <si>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</si>
  <si>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</si>
  <si>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</si>
  <si>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</si>
  <si>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</si>
  <si>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</si>
  <si>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</si>
  <si>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</si>
  <si>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</si>
  <si>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</si>
  <si>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</si>
  <si>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</si>
  <si>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</si>
  <si>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</si>
  <si>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</si>
  <si>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</si>
  <si>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</si>
  <si>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</si>
  <si>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</si>
  <si>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</si>
  <si>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</si>
  <si>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</si>
  <si>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</si>
  <si>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</si>
  <si>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</si>
  <si>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</si>
  <si>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</si>
  <si>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</si>
  <si>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</si>
  <si>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</si>
  <si>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</si>
  <si>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</si>
  <si>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</si>
  <si>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</si>
  <si>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</si>
  <si>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</si>
  <si>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</si>
  <si>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</si>
  <si>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</si>
  <si>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</si>
  <si>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</si>
  <si>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</si>
  <si>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</si>
  <si>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</si>
  <si>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</si>
  <si>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</si>
  <si>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</si>
  <si>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</si>
  <si>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</si>
  <si>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</si>
  <si>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</si>
  <si>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</si>
  <si>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</si>
  <si>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</si>
  <si>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</si>
  <si>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</si>
  <si>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</si>
  <si>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</si>
  <si>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</si>
  <si>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</si>
  <si>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</si>
  <si>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</si>
  <si>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</si>
  <si>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</si>
  <si>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</si>
  <si>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</si>
  <si>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</si>
  <si>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</si>
  <si>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</si>
  <si>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</si>
  <si>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</si>
  <si>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</si>
  <si>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</si>
  <si>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</si>
  <si>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</si>
  <si>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</si>
  <si>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</si>
  <si>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</si>
  <si>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</si>
  <si>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</si>
  <si>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</si>
  <si>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</si>
  <si>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</si>
  <si>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</si>
  <si>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</si>
  <si>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</si>
  <si>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</si>
  <si>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</si>
  <si>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</si>
  <si>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</si>
  <si>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</si>
  <si>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</si>
  <si>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</si>
  <si>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</si>
  <si>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</si>
  <si>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</si>
  <si>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</si>
  <si>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</si>
  <si>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</si>
  <si>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</si>
  <si>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</si>
  <si>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</si>
  <si>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</si>
  <si>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</si>
  <si>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</si>
  <si>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</si>
  <si>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</si>
  <si>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</si>
  <si>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</si>
  <si>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</si>
  <si>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</si>
  <si>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</si>
  <si>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</si>
  <si>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</si>
  <si>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</si>
  <si>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</si>
  <si>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</si>
  <si>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</si>
  <si>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</si>
  <si>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</si>
  <si>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</si>
  <si>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</si>
  <si>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</si>
  <si>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</si>
  <si>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</si>
  <si>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</si>
  <si>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</si>
  <si>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</si>
  <si>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</si>
  <si>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</si>
  <si>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</si>
  <si>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</si>
  <si>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</si>
  <si>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</si>
  <si>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</si>
  <si>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</si>
  <si>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</si>
  <si>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</si>
  <si>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</si>
  <si>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</si>
  <si>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</si>
  <si>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</si>
  <si>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</si>
  <si>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</si>
  <si>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</si>
  <si>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</si>
  <si>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</si>
  <si>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</si>
  <si>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</si>
  <si>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</si>
  <si>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</si>
  <si>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</si>
  <si>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</si>
  <si>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Portland Trail Blazers @ Denver Nuggets</t>
  </si>
  <si>
    <t>Washington Wizards @ New York Knicks</t>
  </si>
  <si>
    <t>Oklahoma City Thunder @ Philadelphia 76ers</t>
  </si>
  <si>
    <t>San Antonio Spurs @ Miami Heat</t>
  </si>
  <si>
    <t>Memphis Grizzlies @ Atlanta Hawks</t>
  </si>
  <si>
    <t>Houston Rockets @ Chicago Bulls</t>
  </si>
  <si>
    <t>Toronto Raptors @ Utah Jazz</t>
  </si>
  <si>
    <t>Golden State Warriors @ Dallas Mavericks</t>
  </si>
  <si>
    <t>Sacramento Kings @ Charlotte Hornets</t>
  </si>
  <si>
    <t>New Orleans Pelicans @ New York Knicks</t>
  </si>
  <si>
    <t>Denver Nuggets @ Phoenix Suns</t>
  </si>
  <si>
    <t>Los Angeles Lakers @ Indiana Pacers</t>
  </si>
  <si>
    <t>Chicago Bulls @ Philadelphia 76ers</t>
  </si>
  <si>
    <t>Oklahoma City Thunder @ Boston Celtics</t>
  </si>
  <si>
    <t>Miami Heat @ Cleveland Cavaliers</t>
  </si>
  <si>
    <t>San Antonio Spurs @ Memphis Grizzlies</t>
  </si>
  <si>
    <t>Dallas Mavericks @ Denver Nuggets</t>
  </si>
  <si>
    <t>Toronto Raptors @ LA Clippers</t>
  </si>
  <si>
    <t>New York Knicks @ Charlotte Hornets</t>
  </si>
  <si>
    <t>New Orleans Pelicans @ Detroit Pistons</t>
  </si>
  <si>
    <t>Sacramento Kings @ Orlando Magic</t>
  </si>
  <si>
    <t xml:space="preserve">New Orleans Pelicans </t>
  </si>
  <si>
    <t>LA Clippers @ Indiana Pacers</t>
  </si>
  <si>
    <t>Houston Rockets @ Memphis Grizzlies</t>
  </si>
  <si>
    <t>Chicago Bulls @ Oklahoma City Thunder</t>
  </si>
  <si>
    <t>Utah Jazz @ Denver Nuggets</t>
  </si>
  <si>
    <t>Washington Wizards @ Golden State Warriors</t>
  </si>
  <si>
    <t>Philadelphia 76ers @ Charlotte Hornets</t>
  </si>
  <si>
    <t>Sacramento Kings @ Atlanta Hawks</t>
  </si>
  <si>
    <t>Chicago Bulls @ Memphis Grizzlies</t>
  </si>
  <si>
    <t>Utah Jazz @ Phoenix Suns</t>
  </si>
  <si>
    <t>LA Clippers @ Milwaukee Bucks</t>
  </si>
  <si>
    <t>Miami Heat @ Indiana Pacers</t>
  </si>
  <si>
    <t>Orlando Magic @ Toronto Raptors</t>
  </si>
  <si>
    <t>Washington Wizards @ Portland Trail Blazers</t>
  </si>
  <si>
    <t>Golden State Warriors @ Denver Nuggets</t>
  </si>
  <si>
    <t>Philadelphia 76ers @ Miami Heat</t>
  </si>
  <si>
    <t>Boston Celtics @ Atlanta Hawks</t>
  </si>
  <si>
    <t>Phoenix Suns @ Memphis Grizzlies</t>
  </si>
  <si>
    <t>Chicago Bulls @ San Antonio Spurs</t>
  </si>
  <si>
    <t>Cleveland Cavaliers @ Utah Jazz</t>
  </si>
  <si>
    <t>Detroit Pistons @ Oklahoma City Thunder</t>
  </si>
  <si>
    <t>Washington Wizards @ Los Angeles Lakers</t>
  </si>
  <si>
    <t>Phoenix Suns @ Orlando Magic</t>
  </si>
  <si>
    <t>Toronto Raptors @ Detroit Pistons</t>
  </si>
  <si>
    <t>Dallas Mavericks @ Milwaukee Bucks</t>
  </si>
  <si>
    <t>Cleveland Cavaliers @ Los Angeles Lakers</t>
  </si>
  <si>
    <t>Philadelphia 76ers @ Washington Wizards</t>
  </si>
  <si>
    <t>Atlanta Hawks @ Orlando Magic</t>
  </si>
  <si>
    <t>New York Knicks @ Memphis Grizzlies</t>
  </si>
  <si>
    <t>Sacramento Kings @ Toronto Raptors</t>
  </si>
  <si>
    <t>Indiana Pacers @ Chicago Bulls</t>
  </si>
  <si>
    <t>Milwaukee Bucks @ Houston Rockets</t>
  </si>
  <si>
    <t>Phoenix Suns @ Charlotte Hornets</t>
  </si>
  <si>
    <t>Minnesota Timberwolves @ Detroit Pistons</t>
  </si>
  <si>
    <t>Los Angeles Lakers @ Oklahoma City Thunder</t>
  </si>
  <si>
    <t>Cleveland Cavaliers @ Golden State Warriors</t>
  </si>
  <si>
    <t>New Orleans Pelicans @ Portland Trail Blazers</t>
  </si>
  <si>
    <t>San Antonio Spurs @ LA Clippers</t>
  </si>
  <si>
    <t>Indiana Pacers @ Charlotte Hornets</t>
  </si>
  <si>
    <t>Minnesota Timberwolves @ Philadelphia 76ers</t>
  </si>
  <si>
    <t>Atlanta Hawks @ Brooklyn Nets</t>
  </si>
  <si>
    <t>Chicago Bulls @ New York Knicks</t>
  </si>
  <si>
    <t>Utah Jazz @ Houston Rockets</t>
  </si>
  <si>
    <t>Toronto Raptors @ Memphis Grizzlies</t>
  </si>
  <si>
    <t>Orlando Magic @ Dallas Mavericks</t>
  </si>
  <si>
    <t>San Antonio Spurs @ Denver Nuggets</t>
  </si>
  <si>
    <t>Detroit Pistons @ Philadelphia 76ers</t>
  </si>
  <si>
    <t>Toronto Raptors @ Boston Celtics</t>
  </si>
  <si>
    <t>Phoenix Suns @ Chicago Bulls</t>
  </si>
  <si>
    <t>Memphis Grizzlies @ Milwaukee Bucks</t>
  </si>
  <si>
    <t>Indiana Pacers @ Cleveland Cavaliers</t>
  </si>
  <si>
    <t>Charlotte Hornets @ Minnesota Timberwolves</t>
  </si>
  <si>
    <t>Orlando Magic @ New Orleans Pelicans</t>
  </si>
  <si>
    <t>Utah Jazz @ Oklahoma City Thunder</t>
  </si>
  <si>
    <t>Houston Rockets @ Golden State Warriors</t>
  </si>
  <si>
    <t>Cleveland Cavaliers @ Memphis Grizzlies</t>
  </si>
  <si>
    <t>Philadelphia 76ers @ San Antonio Spurs</t>
  </si>
  <si>
    <t>Chicago Bulls @ Washington Wizards</t>
  </si>
  <si>
    <t>Minnesota Timberwolves @ Indiana Pacers</t>
  </si>
  <si>
    <t>Miami Heat @ Toronto Raptors</t>
  </si>
  <si>
    <t>Charlotte Hornets @ Boston Celtics</t>
  </si>
  <si>
    <t>Utah Jazz @ New Orleans Pelicans</t>
  </si>
  <si>
    <t>Sacramento Kings @ Golden State Warriors</t>
  </si>
  <si>
    <t>Dallas Mavericks @ LA Clippers</t>
  </si>
  <si>
    <t>Houston Rockets @ Phoenix Suns</t>
  </si>
  <si>
    <t>Atlanta Hawks @ Cleveland Cavaliers</t>
  </si>
  <si>
    <t>Minnesota Timberwolves @ Orlando Magic</t>
  </si>
  <si>
    <t>Oklahoma City Thunder @ LA Clippers</t>
  </si>
  <si>
    <t>Boston Celtics @ New York Knicks</t>
  </si>
  <si>
    <t>Philadelphia 76ers @ Houston Rockets</t>
  </si>
  <si>
    <t>Los Angeles Lakers @ Golden State Warriors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</si>
  <si>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</si>
  <si>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</si>
  <si>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</si>
  <si>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</si>
  <si>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</si>
  <si>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</si>
  <si>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</si>
  <si>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</si>
  <si>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</si>
  <si>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</si>
  <si>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</si>
  <si>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</si>
  <si>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</si>
  <si>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</si>
  <si>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</si>
  <si>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</si>
  <si>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</si>
  <si>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</si>
  <si>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</si>
  <si>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</si>
  <si>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</si>
  <si>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</si>
  <si>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</si>
  <si>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</si>
  <si>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</si>
  <si>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</si>
  <si>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</si>
  <si>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</si>
  <si>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</si>
  <si>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</si>
  <si>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</si>
  <si>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</si>
  <si>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</si>
  <si>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</si>
  <si>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</si>
  <si>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</si>
  <si>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</si>
  <si>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</si>
  <si>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</si>
  <si>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</si>
  <si>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</si>
  <si>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</si>
  <si>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</si>
  <si>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Cleveland Cavaliers @ Brooklyn Nets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</si>
  <si>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</si>
  <si>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</si>
  <si>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</si>
  <si>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</si>
  <si>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</si>
  <si>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</si>
  <si>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</si>
  <si>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</si>
  <si>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</si>
  <si>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</si>
  <si>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</si>
  <si>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</si>
  <si>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</si>
  <si>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</si>
  <si>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</si>
  <si>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</si>
  <si>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</si>
  <si>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</si>
  <si>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</si>
  <si>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</si>
  <si>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</si>
  <si>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</si>
  <si>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</si>
  <si>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</si>
  <si>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</si>
  <si>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</si>
  <si>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Charlotte Hornets @ Miami Heat</t>
  </si>
  <si>
    <t>New York Knicks @ Milwaukee Bucks</t>
  </si>
  <si>
    <t>Sacramento Kings @ Oklahoma City Thunder</t>
  </si>
  <si>
    <t>Houston Rockets @ Toronto Raptors</t>
  </si>
  <si>
    <t>Cleveland Cavaliers @ Boston Celtics</t>
  </si>
  <si>
    <t>Orlando Magic @ Detroit Pistons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</si>
  <si>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</si>
  <si>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</si>
  <si>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</si>
  <si>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</si>
  <si>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</si>
  <si>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</si>
  <si>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</si>
  <si>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</si>
  <si>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</si>
  <si>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</si>
  <si>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</si>
  <si>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</si>
  <si>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</si>
  <si>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</si>
  <si>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</si>
  <si>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</si>
  <si>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</si>
  <si>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</si>
  <si>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</si>
  <si>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</si>
  <si>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Memphis Grizzlies @ Toronto Raptors</t>
  </si>
  <si>
    <t>San Antonio Spurs @ Phoenix Suns</t>
  </si>
  <si>
    <t>Miami Heat @ Los Angeles Lakers</t>
  </si>
  <si>
    <t>Minnesota Timberwolves @ Brooklyn Nets</t>
  </si>
  <si>
    <t>Utah Jazz @ Boston Celtics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</si>
  <si>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</si>
  <si>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</si>
  <si>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</si>
  <si>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</si>
  <si>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</si>
  <si>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</si>
  <si>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</si>
  <si>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</si>
  <si>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Philadelphia 76ers @ Cleveland Cavaliers</t>
  </si>
  <si>
    <t>Utah Jazz @ Detroit Pistons</t>
  </si>
  <si>
    <t>Brooklyn Nets @ Indiana Pacers</t>
  </si>
  <si>
    <t>Minnesota Timberwolves @ New York Knicks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</si>
  <si>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</si>
  <si>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</si>
  <si>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</si>
  <si>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</si>
  <si>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</si>
  <si>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</si>
  <si>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</si>
  <si>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</si>
  <si>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</si>
  <si>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</si>
  <si>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</si>
  <si>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</si>
  <si>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</si>
  <si>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</si>
  <si>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</si>
  <si>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</si>
  <si>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</si>
  <si>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</si>
  <si>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</si>
  <si>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</si>
  <si>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</si>
  <si>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</si>
  <si>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</si>
  <si>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</si>
  <si>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</si>
  <si>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</si>
  <si>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</si>
  <si>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</si>
  <si>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</si>
  <si>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</si>
  <si>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</si>
  <si>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</si>
  <si>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</si>
  <si>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</si>
  <si>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</si>
  <si>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</si>
  <si>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</si>
  <si>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</si>
  <si>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</si>
  <si>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</si>
  <si>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</si>
  <si>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</si>
  <si>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</si>
  <si>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</si>
  <si>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</si>
  <si>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</si>
  <si>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</si>
  <si>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</si>
  <si>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</si>
  <si>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</si>
  <si>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</si>
  <si>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</si>
  <si>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</si>
  <si>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</si>
  <si>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</si>
  <si>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</si>
  <si>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</si>
  <si>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</si>
  <si>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</si>
  <si>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</si>
  <si>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</si>
  <si>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</si>
  <si>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</si>
  <si>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</si>
  <si>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</si>
  <si>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</si>
  <si>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</si>
  <si>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</si>
  <si>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</si>
  <si>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</si>
  <si>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</si>
  <si>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</si>
  <si>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</si>
  <si>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</si>
  <si>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</si>
  <si>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</si>
  <si>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</si>
  <si>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</si>
  <si>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</si>
  <si>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</si>
  <si>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</si>
  <si>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</si>
  <si>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</si>
  <si>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</si>
  <si>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</si>
  <si>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</si>
  <si>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</si>
  <si>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</si>
  <si>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</si>
  <si>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</si>
  <si>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</si>
  <si>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</si>
  <si>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LA Clippers @ Los Angeles Lakers</t>
  </si>
  <si>
    <t>Indiana Pacers @ Toronto Raptors</t>
  </si>
  <si>
    <t>Minnesota Timberwolves @ Oklahoma City Thunder</t>
  </si>
  <si>
    <t>San Antonio Spurs @ Portland Trail Blazers</t>
  </si>
  <si>
    <t>Phoenix Suns @ Sacramento Kings</t>
  </si>
  <si>
    <t>Cleveland Cavaliers @ Atlanta Hawks</t>
  </si>
  <si>
    <t>Milwaukee Bucks @ New York Knicks</t>
  </si>
  <si>
    <t>Phoenix Suns @ Oklahoma City Thunder</t>
  </si>
  <si>
    <t>Boston Celtics @ Minnesota Timberwolves</t>
  </si>
  <si>
    <t>Toronto Raptors @ Charlotte Hornets</t>
  </si>
  <si>
    <t>Brooklyn Nets @ Milwaukee Bucks</t>
  </si>
  <si>
    <t>New Orleans Pelicans @ Golden State Warriors</t>
  </si>
  <si>
    <t>Boston Celtics @ Cleveland Cavaliers</t>
  </si>
  <si>
    <t>Toronto Raptors @ New York Knicks</t>
  </si>
  <si>
    <t>San Antonio Spurs @ Minnesota Timberwolves</t>
  </si>
  <si>
    <t>LA Clippers @ Miami Heat</t>
  </si>
  <si>
    <t>San Antonio Spurs @ Orlando Magic</t>
  </si>
  <si>
    <t>Portland Trail Blazers @ Detroit Pistons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</si>
  <si>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</si>
  <si>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</si>
  <si>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</si>
  <si>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</si>
  <si>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</si>
  <si>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</si>
  <si>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</si>
  <si>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</si>
  <si>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</si>
  <si>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</si>
  <si>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</si>
  <si>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</si>
  <si>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</si>
  <si>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</si>
  <si>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</si>
  <si>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</si>
  <si>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</si>
  <si>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</si>
  <si>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</si>
  <si>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</si>
  <si>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</si>
  <si>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</si>
  <si>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</si>
  <si>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</si>
  <si>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</si>
  <si>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</si>
  <si>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</si>
  <si>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</si>
  <si>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</si>
  <si>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</si>
  <si>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</si>
  <si>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</si>
  <si>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</si>
  <si>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</si>
  <si>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</si>
  <si>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</si>
  <si>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</si>
  <si>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Miami Heat @ Minnesota Timberwolves</t>
  </si>
  <si>
    <t>Denver Nuggets @ Boston Celtics</t>
  </si>
  <si>
    <t>New Orleans Pelicans @ Atlanta Hawks</t>
  </si>
  <si>
    <t>Orlando Magic @ Brooklyn Nets</t>
  </si>
  <si>
    <t>LA Clippers @ New York Knicks</t>
  </si>
  <si>
    <t>Los Angeles Lakers @ San Antonio Spurs</t>
  </si>
  <si>
    <t>Milwaukee Bucks @ Golden State Warriors</t>
  </si>
  <si>
    <t>Houston Rockets @ Portland Trail Blazers</t>
  </si>
  <si>
    <t>Cleveland Cavaliers @ Minnesota Timberwolves</t>
  </si>
  <si>
    <t>Philadelphia 76ers @ Orlando Magic</t>
  </si>
  <si>
    <t>New Orleans Pelicans @ Washington Wizards</t>
  </si>
  <si>
    <t>LA Clippers @ Brooklyn Nets</t>
  </si>
  <si>
    <t>Atlanta Hawks @ Denver Nuggets</t>
  </si>
  <si>
    <t>New York Knicks @ Phoenix Suns</t>
  </si>
  <si>
    <t>Milwaukee Bucks @ Los Angeles Lakers</t>
  </si>
  <si>
    <t>Minnesota Timberwolves @ Cleveland Cavaliers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</si>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</sst>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5">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0" fontId="22" fillId="0" borderId="107" xfId="0" applyFont="1" applyBorder="1"/>
    <xf numFmtId="165" fontId="20" fillId="0" borderId="85" xfId="0" applyNumberFormat="1" applyFont="1" applyFill="1" applyBorder="1" applyAlignment="1">
      <alignment horizontal="right" vertical="center"/>
    </xf>
    <xf numFmtId="165" fontId="22" fillId="4" borderId="69" xfId="0" applyNumberFormat="1" applyFont="1" applyFill="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169" fontId="0" fillId="0" borderId="41" xfId="0" applyNumberFormat="1" applyBorder="1" applyAlignment="1">
      <alignment vertical="center"/>
    </xf>
    <xf numFmtId="0" fontId="0" fillId="0" borderId="41" xfId="0" applyBorder="1" applyAlignment="1">
      <alignment wrapText="1"/>
    </xf>
    <xf numFmtId="0" fontId="0" fillId="0" borderId="0" xfId="0" applyAlignment="1">
      <alignment wrapText="1"/>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4">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NBA!$G$2:$G$1441</c:f>
              <c:numCache>
                <c:formatCode>#,##0.00;[Red]#,##0.00</c:formatCode>
                <c:ptCount val="1440"/>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pt idx="1169">
                  <c:v>39.120833976833964</c:v>
                </c:pt>
                <c:pt idx="1170">
                  <c:v>38.120833976833964</c:v>
                </c:pt>
                <c:pt idx="1171">
                  <c:v>37.120833976833964</c:v>
                </c:pt>
                <c:pt idx="1172">
                  <c:v>38.030833976833961</c:v>
                </c:pt>
                <c:pt idx="1173">
                  <c:v>37.030833976833961</c:v>
                </c:pt>
                <c:pt idx="1174">
                  <c:v>36.030833976833961</c:v>
                </c:pt>
                <c:pt idx="1175">
                  <c:v>35.030833976833961</c:v>
                </c:pt>
                <c:pt idx="1176">
                  <c:v>35.860833976833959</c:v>
                </c:pt>
                <c:pt idx="1177">
                  <c:v>34.860833976833959</c:v>
                </c:pt>
                <c:pt idx="1178">
                  <c:v>33.860833976833959</c:v>
                </c:pt>
                <c:pt idx="1179">
                  <c:v>32.860833976833959</c:v>
                </c:pt>
                <c:pt idx="1180">
                  <c:v>31.860833976833959</c:v>
                </c:pt>
                <c:pt idx="1181">
                  <c:v>30.860833976833959</c:v>
                </c:pt>
                <c:pt idx="1182">
                  <c:v>29.860833976833959</c:v>
                </c:pt>
                <c:pt idx="1183">
                  <c:v>28.860833976833959</c:v>
                </c:pt>
                <c:pt idx="1184">
                  <c:v>27.860833976833959</c:v>
                </c:pt>
                <c:pt idx="1185">
                  <c:v>26.860833976833959</c:v>
                </c:pt>
                <c:pt idx="1186">
                  <c:v>25.860833976833959</c:v>
                </c:pt>
                <c:pt idx="1187">
                  <c:v>24.860833976833959</c:v>
                </c:pt>
                <c:pt idx="1188">
                  <c:v>26.00383397683396</c:v>
                </c:pt>
                <c:pt idx="1189">
                  <c:v>25.00383397683396</c:v>
                </c:pt>
                <c:pt idx="1190">
                  <c:v>27.603833976833961</c:v>
                </c:pt>
                <c:pt idx="1191">
                  <c:v>26.603833976833961</c:v>
                </c:pt>
                <c:pt idx="1192">
                  <c:v>25.603833976833961</c:v>
                </c:pt>
                <c:pt idx="1193">
                  <c:v>24.603833976833961</c:v>
                </c:pt>
                <c:pt idx="1194">
                  <c:v>23.603833976833961</c:v>
                </c:pt>
                <c:pt idx="1195">
                  <c:v>22.603833976833961</c:v>
                </c:pt>
                <c:pt idx="1196">
                  <c:v>21.603833976833961</c:v>
                </c:pt>
                <c:pt idx="1197">
                  <c:v>20.603833976833961</c:v>
                </c:pt>
                <c:pt idx="1198">
                  <c:v>19.603833976833961</c:v>
                </c:pt>
                <c:pt idx="1199">
                  <c:v>20.50383397683396</c:v>
                </c:pt>
                <c:pt idx="1200">
                  <c:v>19.50383397683396</c:v>
                </c:pt>
                <c:pt idx="1201">
                  <c:v>18.50383397683396</c:v>
                </c:pt>
                <c:pt idx="1202">
                  <c:v>17.50383397683396</c:v>
                </c:pt>
                <c:pt idx="1203">
                  <c:v>16.50383397683396</c:v>
                </c:pt>
                <c:pt idx="1204">
                  <c:v>15.50383397683396</c:v>
                </c:pt>
                <c:pt idx="1205">
                  <c:v>16.41383397683396</c:v>
                </c:pt>
                <c:pt idx="1206">
                  <c:v>15.41383397683396</c:v>
                </c:pt>
                <c:pt idx="1207">
                  <c:v>16.41383397683396</c:v>
                </c:pt>
                <c:pt idx="1208">
                  <c:v>15.41383397683396</c:v>
                </c:pt>
                <c:pt idx="1209">
                  <c:v>14.41383397683396</c:v>
                </c:pt>
                <c:pt idx="1210">
                  <c:v>13.41383397683396</c:v>
                </c:pt>
                <c:pt idx="1211">
                  <c:v>12.41383397683396</c:v>
                </c:pt>
                <c:pt idx="1212">
                  <c:v>11.41383397683396</c:v>
                </c:pt>
                <c:pt idx="1213">
                  <c:v>12.30383397683396</c:v>
                </c:pt>
                <c:pt idx="1214">
                  <c:v>13.193833976833961</c:v>
                </c:pt>
                <c:pt idx="1215">
                  <c:v>12.193833976833961</c:v>
                </c:pt>
                <c:pt idx="1216">
                  <c:v>13.093833976833961</c:v>
                </c:pt>
                <c:pt idx="1217">
                  <c:v>14.323833976833962</c:v>
                </c:pt>
                <c:pt idx="1218">
                  <c:v>15.483833976833962</c:v>
                </c:pt>
                <c:pt idx="1219">
                  <c:v>16.64383397683396</c:v>
                </c:pt>
                <c:pt idx="1220">
                  <c:v>17.475833976833961</c:v>
                </c:pt>
                <c:pt idx="1221">
                  <c:v>16.475833976833961</c:v>
                </c:pt>
                <c:pt idx="1222">
                  <c:v>17.33583397683396</c:v>
                </c:pt>
                <c:pt idx="1223">
                  <c:v>18.205833976833961</c:v>
                </c:pt>
                <c:pt idx="1224">
                  <c:v>19.10583397683396</c:v>
                </c:pt>
                <c:pt idx="1225">
                  <c:v>18.10583397683396</c:v>
                </c:pt>
                <c:pt idx="1226">
                  <c:v>17.10583397683396</c:v>
                </c:pt>
                <c:pt idx="1227">
                  <c:v>16.10583397683396</c:v>
                </c:pt>
                <c:pt idx="1228">
                  <c:v>16.94583397683396</c:v>
                </c:pt>
                <c:pt idx="1229">
                  <c:v>15.94583397683396</c:v>
                </c:pt>
                <c:pt idx="1230">
                  <c:v>14.94583397683396</c:v>
                </c:pt>
                <c:pt idx="1231">
                  <c:v>13.94583397683396</c:v>
                </c:pt>
                <c:pt idx="1232">
                  <c:v>12.94583397683396</c:v>
                </c:pt>
                <c:pt idx="1233">
                  <c:v>11.94583397683396</c:v>
                </c:pt>
                <c:pt idx="1234">
                  <c:v>12.83583397683396</c:v>
                </c:pt>
                <c:pt idx="1235">
                  <c:v>13.75583397683396</c:v>
                </c:pt>
                <c:pt idx="1236">
                  <c:v>14.655833976833961</c:v>
                </c:pt>
                <c:pt idx="1237">
                  <c:v>13.655833976833961</c:v>
                </c:pt>
                <c:pt idx="1238">
                  <c:v>12.655833976833961</c:v>
                </c:pt>
                <c:pt idx="1239">
                  <c:v>11.655833976833961</c:v>
                </c:pt>
                <c:pt idx="1240">
                  <c:v>10.655833976833961</c:v>
                </c:pt>
                <c:pt idx="1241">
                  <c:v>9.6558339768339607</c:v>
                </c:pt>
                <c:pt idx="1242">
                  <c:v>10.543833976833961</c:v>
                </c:pt>
                <c:pt idx="1243">
                  <c:v>9.5438339768339606</c:v>
                </c:pt>
                <c:pt idx="1244">
                  <c:v>8.5438339768339606</c:v>
                </c:pt>
                <c:pt idx="1245">
                  <c:v>7.5438339768339606</c:v>
                </c:pt>
                <c:pt idx="1246">
                  <c:v>8.4238339768339614</c:v>
                </c:pt>
                <c:pt idx="1247">
                  <c:v>9.3788339768339615</c:v>
                </c:pt>
                <c:pt idx="1248">
                  <c:v>8.3788339768339615</c:v>
                </c:pt>
                <c:pt idx="1249">
                  <c:v>7.3788339768339615</c:v>
                </c:pt>
                <c:pt idx="1250">
                  <c:v>8.2788339768339618</c:v>
                </c:pt>
                <c:pt idx="1251">
                  <c:v>9.1688339768339624</c:v>
                </c:pt>
                <c:pt idx="1252">
                  <c:v>8.1688339768339624</c:v>
                </c:pt>
                <c:pt idx="1253">
                  <c:v>7.1688339768339624</c:v>
                </c:pt>
                <c:pt idx="1254">
                  <c:v>8.9238339768339614</c:v>
                </c:pt>
                <c:pt idx="1255">
                  <c:v>7.9238339768339614</c:v>
                </c:pt>
                <c:pt idx="1256">
                  <c:v>9.3838339768339623</c:v>
                </c:pt>
                <c:pt idx="1257">
                  <c:v>8.3838339768339623</c:v>
                </c:pt>
                <c:pt idx="1258">
                  <c:v>9.2838339768339626</c:v>
                </c:pt>
                <c:pt idx="1259">
                  <c:v>10.133833976833962</c:v>
                </c:pt>
                <c:pt idx="1260">
                  <c:v>11.033833976833963</c:v>
                </c:pt>
                <c:pt idx="1261">
                  <c:v>10.033833976833963</c:v>
                </c:pt>
                <c:pt idx="1262">
                  <c:v>9.0338339768339626</c:v>
                </c:pt>
                <c:pt idx="1263">
                  <c:v>8.0338339768339626</c:v>
                </c:pt>
                <c:pt idx="1264">
                  <c:v>8.9138339768339634</c:v>
                </c:pt>
                <c:pt idx="1265">
                  <c:v>9.8138339768339637</c:v>
                </c:pt>
                <c:pt idx="1266">
                  <c:v>10.713833976833964</c:v>
                </c:pt>
                <c:pt idx="1267">
                  <c:v>11.583833976833965</c:v>
                </c:pt>
                <c:pt idx="1268">
                  <c:v>12.433833976833965</c:v>
                </c:pt>
                <c:pt idx="1269">
                  <c:v>13.283833976833964</c:v>
                </c:pt>
                <c:pt idx="1270">
                  <c:v>14.163833976833963</c:v>
                </c:pt>
                <c:pt idx="1271">
                  <c:v>15.053833976833964</c:v>
                </c:pt>
                <c:pt idx="1272">
                  <c:v>15.943833976833965</c:v>
                </c:pt>
                <c:pt idx="1273">
                  <c:v>16.833833976833965</c:v>
                </c:pt>
                <c:pt idx="1274">
                  <c:v>15.833833976833965</c:v>
                </c:pt>
                <c:pt idx="1275">
                  <c:v>16.713833976833964</c:v>
                </c:pt>
                <c:pt idx="1276">
                  <c:v>17.603833976833965</c:v>
                </c:pt>
                <c:pt idx="1277">
                  <c:v>18.503833976833963</c:v>
                </c:pt>
                <c:pt idx="1278">
                  <c:v>19.403833976833962</c:v>
                </c:pt>
                <c:pt idx="1279">
                  <c:v>20.283833976833961</c:v>
                </c:pt>
                <c:pt idx="1280">
                  <c:v>21.353833976833961</c:v>
                </c:pt>
                <c:pt idx="1281">
                  <c:v>20.353833976833961</c:v>
                </c:pt>
                <c:pt idx="1282">
                  <c:v>19.353833976833961</c:v>
                </c:pt>
                <c:pt idx="1283">
                  <c:v>18.353833976833961</c:v>
                </c:pt>
                <c:pt idx="1284">
                  <c:v>19.17883397683396</c:v>
                </c:pt>
                <c:pt idx="1285">
                  <c:v>18.17883397683396</c:v>
                </c:pt>
                <c:pt idx="1286">
                  <c:v>17.17883397683396</c:v>
                </c:pt>
                <c:pt idx="1287">
                  <c:v>16.17883397683396</c:v>
                </c:pt>
                <c:pt idx="1288">
                  <c:v>15.17883397683396</c:v>
                </c:pt>
                <c:pt idx="1289">
                  <c:v>16.078833976833959</c:v>
                </c:pt>
                <c:pt idx="1290">
                  <c:v>16.96883397683396</c:v>
                </c:pt>
                <c:pt idx="1291">
                  <c:v>15.96883397683396</c:v>
                </c:pt>
                <c:pt idx="1292">
                  <c:v>14.96883397683396</c:v>
                </c:pt>
                <c:pt idx="1293">
                  <c:v>13.96883397683396</c:v>
                </c:pt>
                <c:pt idx="1294">
                  <c:v>12.96883397683396</c:v>
                </c:pt>
                <c:pt idx="1295">
                  <c:v>13.97183397683396</c:v>
                </c:pt>
                <c:pt idx="1296">
                  <c:v>14.921833976833959</c:v>
                </c:pt>
                <c:pt idx="1297">
                  <c:v>15.821833976833959</c:v>
                </c:pt>
                <c:pt idx="1298">
                  <c:v>14.821833976833959</c:v>
                </c:pt>
                <c:pt idx="1299">
                  <c:v>15.731833976833959</c:v>
                </c:pt>
                <c:pt idx="1300">
                  <c:v>16.63183397683396</c:v>
                </c:pt>
                <c:pt idx="1301">
                  <c:v>15.63183397683396</c:v>
                </c:pt>
                <c:pt idx="1302">
                  <c:v>16.565833976833961</c:v>
                </c:pt>
                <c:pt idx="1303">
                  <c:v>15.565833976833961</c:v>
                </c:pt>
                <c:pt idx="1304">
                  <c:v>16.455833976833961</c:v>
                </c:pt>
                <c:pt idx="1305">
                  <c:v>15.455833976833961</c:v>
                </c:pt>
                <c:pt idx="1306">
                  <c:v>16.325833976833962</c:v>
                </c:pt>
                <c:pt idx="1307">
                  <c:v>15.325833976833962</c:v>
                </c:pt>
                <c:pt idx="1308">
                  <c:v>14.325833976833962</c:v>
                </c:pt>
                <c:pt idx="1309">
                  <c:v>15.225833976833963</c:v>
                </c:pt>
                <c:pt idx="1310">
                  <c:v>14.225833976833963</c:v>
                </c:pt>
                <c:pt idx="1311">
                  <c:v>15.125833976833963</c:v>
                </c:pt>
                <c:pt idx="1312">
                  <c:v>16.025833976833962</c:v>
                </c:pt>
                <c:pt idx="1313">
                  <c:v>16.915833976833962</c:v>
                </c:pt>
                <c:pt idx="1314">
                  <c:v>15.915833976833962</c:v>
                </c:pt>
                <c:pt idx="1315">
                  <c:v>16.765833976833964</c:v>
                </c:pt>
                <c:pt idx="1316">
                  <c:v>15.765833976833964</c:v>
                </c:pt>
                <c:pt idx="1317">
                  <c:v>14.765833976833964</c:v>
                </c:pt>
                <c:pt idx="1318">
                  <c:v>13.765833976833964</c:v>
                </c:pt>
                <c:pt idx="1319">
                  <c:v>14.615833976833963</c:v>
                </c:pt>
                <c:pt idx="1320">
                  <c:v>15.515833976833964</c:v>
                </c:pt>
                <c:pt idx="1321">
                  <c:v>16.425833976833964</c:v>
                </c:pt>
                <c:pt idx="1322">
                  <c:v>15.425833976833964</c:v>
                </c:pt>
                <c:pt idx="1323">
                  <c:v>16.335833976833964</c:v>
                </c:pt>
                <c:pt idx="1324">
                  <c:v>17.225833976833965</c:v>
                </c:pt>
                <c:pt idx="1325">
                  <c:v>16.225833976833965</c:v>
                </c:pt>
                <c:pt idx="1326">
                  <c:v>17.115833976833965</c:v>
                </c:pt>
                <c:pt idx="1327">
                  <c:v>16.115833976833965</c:v>
                </c:pt>
                <c:pt idx="1328">
                  <c:v>15.115833976833965</c:v>
                </c:pt>
                <c:pt idx="1329">
                  <c:v>14.115833976833965</c:v>
                </c:pt>
                <c:pt idx="1330">
                  <c:v>13.115833976833965</c:v>
                </c:pt>
                <c:pt idx="1331">
                  <c:v>12.115833976833965</c:v>
                </c:pt>
                <c:pt idx="1332">
                  <c:v>11.115833976833965</c:v>
                </c:pt>
                <c:pt idx="1333">
                  <c:v>11.986833976833966</c:v>
                </c:pt>
                <c:pt idx="1334">
                  <c:v>12.896833976833966</c:v>
                </c:pt>
                <c:pt idx="1335">
                  <c:v>11.896833976833966</c:v>
                </c:pt>
                <c:pt idx="1336">
                  <c:v>10.896833976833966</c:v>
                </c:pt>
                <c:pt idx="1337">
                  <c:v>9.8968339768339657</c:v>
                </c:pt>
                <c:pt idx="1338">
                  <c:v>10.806833976833966</c:v>
                </c:pt>
                <c:pt idx="1339">
                  <c:v>11.696833976833966</c:v>
                </c:pt>
                <c:pt idx="1340">
                  <c:v>12.596833976833967</c:v>
                </c:pt>
                <c:pt idx="1341">
                  <c:v>13.486833976833967</c:v>
                </c:pt>
                <c:pt idx="1342">
                  <c:v>12.486833976833967</c:v>
                </c:pt>
                <c:pt idx="1343">
                  <c:v>13.386833976833968</c:v>
                </c:pt>
                <c:pt idx="1344">
                  <c:v>14.296833976833968</c:v>
                </c:pt>
                <c:pt idx="1345">
                  <c:v>13.296833976833968</c:v>
                </c:pt>
                <c:pt idx="1346">
                  <c:v>12.296833976833968</c:v>
                </c:pt>
                <c:pt idx="1347">
                  <c:v>11.296833976833968</c:v>
                </c:pt>
                <c:pt idx="1348">
                  <c:v>10.296833976833968</c:v>
                </c:pt>
                <c:pt idx="1349">
                  <c:v>9.2968339768339678</c:v>
                </c:pt>
                <c:pt idx="1350">
                  <c:v>11.106833976833968</c:v>
                </c:pt>
                <c:pt idx="1351">
                  <c:v>10.106833976833968</c:v>
                </c:pt>
                <c:pt idx="1352">
                  <c:v>9.1068339768339683</c:v>
                </c:pt>
                <c:pt idx="1353">
                  <c:v>9.9968339768339689</c:v>
                </c:pt>
                <c:pt idx="1354">
                  <c:v>8.9968339768339689</c:v>
                </c:pt>
                <c:pt idx="1355">
                  <c:v>7.9968339768339689</c:v>
                </c:pt>
                <c:pt idx="1356">
                  <c:v>8.906833976833969</c:v>
                </c:pt>
                <c:pt idx="1357">
                  <c:v>9.9918339768339699</c:v>
                </c:pt>
                <c:pt idx="1358">
                  <c:v>10.106833976833968</c:v>
                </c:pt>
                <c:pt idx="1359">
                  <c:v>11.106833976833968</c:v>
                </c:pt>
                <c:pt idx="1360">
                  <c:v>12.050833976833967</c:v>
                </c:pt>
                <c:pt idx="1361">
                  <c:v>12.920833976833968</c:v>
                </c:pt>
                <c:pt idx="1362">
                  <c:v>13.790833976833969</c:v>
                </c:pt>
                <c:pt idx="1363">
                  <c:v>12.790833976833969</c:v>
                </c:pt>
                <c:pt idx="1364">
                  <c:v>11.790833976833969</c:v>
                </c:pt>
                <c:pt idx="1365">
                  <c:v>12.68083397683397</c:v>
                </c:pt>
                <c:pt idx="1366">
                  <c:v>11.68083397683397</c:v>
                </c:pt>
                <c:pt idx="1367">
                  <c:v>10.68083397683397</c:v>
                </c:pt>
                <c:pt idx="1368">
                  <c:v>11.620833976833969</c:v>
                </c:pt>
                <c:pt idx="1369">
                  <c:v>12.52083397683397</c:v>
                </c:pt>
                <c:pt idx="1370">
                  <c:v>13.42083397683397</c:v>
                </c:pt>
                <c:pt idx="1371">
                  <c:v>14.300833976833971</c:v>
                </c:pt>
                <c:pt idx="1372">
                  <c:v>15.230833976833971</c:v>
                </c:pt>
                <c:pt idx="1373">
                  <c:v>14.230833976833971</c:v>
                </c:pt>
                <c:pt idx="1374">
                  <c:v>13.230833976833971</c:v>
                </c:pt>
                <c:pt idx="1375">
                  <c:v>14.124833976833971</c:v>
                </c:pt>
                <c:pt idx="1376">
                  <c:v>15.024833976833971</c:v>
                </c:pt>
                <c:pt idx="1377">
                  <c:v>14.024833976833971</c:v>
                </c:pt>
                <c:pt idx="1378">
                  <c:v>13.024833976833971</c:v>
                </c:pt>
                <c:pt idx="1379">
                  <c:v>12.024833976833971</c:v>
                </c:pt>
                <c:pt idx="1380">
                  <c:v>10.84183397683397</c:v>
                </c:pt>
                <c:pt idx="1381">
                  <c:v>9.8418339768339695</c:v>
                </c:pt>
                <c:pt idx="1382">
                  <c:v>8.8418339768339695</c:v>
                </c:pt>
                <c:pt idx="1383">
                  <c:v>7.8418339768339695</c:v>
                </c:pt>
                <c:pt idx="1384">
                  <c:v>8.7318339768339701</c:v>
                </c:pt>
                <c:pt idx="1385">
                  <c:v>9.6118339768339709</c:v>
                </c:pt>
                <c:pt idx="1386">
                  <c:v>10.56183397683397</c:v>
                </c:pt>
                <c:pt idx="1387">
                  <c:v>11.44383397683397</c:v>
                </c:pt>
                <c:pt idx="1388">
                  <c:v>10.44383397683397</c:v>
                </c:pt>
                <c:pt idx="1389">
                  <c:v>9.4438339768339699</c:v>
                </c:pt>
                <c:pt idx="1390">
                  <c:v>10.323833976833971</c:v>
                </c:pt>
                <c:pt idx="1391">
                  <c:v>11.123833976833971</c:v>
                </c:pt>
                <c:pt idx="1392">
                  <c:v>10.123833976833971</c:v>
                </c:pt>
                <c:pt idx="1393">
                  <c:v>11.023833976833972</c:v>
                </c:pt>
                <c:pt idx="1394">
                  <c:v>10.023833976833972</c:v>
                </c:pt>
                <c:pt idx="1395">
                  <c:v>10.953833976833971</c:v>
                </c:pt>
                <c:pt idx="1396">
                  <c:v>11.873833976833971</c:v>
                </c:pt>
                <c:pt idx="1397">
                  <c:v>12.793833976833971</c:v>
                </c:pt>
                <c:pt idx="1398">
                  <c:v>11.793833976833971</c:v>
                </c:pt>
                <c:pt idx="1399">
                  <c:v>10.793833976833971</c:v>
                </c:pt>
                <c:pt idx="1400">
                  <c:v>11.723833976833971</c:v>
                </c:pt>
                <c:pt idx="1401">
                  <c:v>12.643833976833971</c:v>
                </c:pt>
                <c:pt idx="1402">
                  <c:v>11.643833976833971</c:v>
                </c:pt>
                <c:pt idx="1403">
                  <c:v>12.563833976833971</c:v>
                </c:pt>
                <c:pt idx="1404">
                  <c:v>11.563833976833971</c:v>
                </c:pt>
                <c:pt idx="1405">
                  <c:v>12.493833976833971</c:v>
                </c:pt>
                <c:pt idx="1406">
                  <c:v>13.373833976833971</c:v>
                </c:pt>
                <c:pt idx="1407">
                  <c:v>12.373833976833971</c:v>
                </c:pt>
                <c:pt idx="1408">
                  <c:v>13.517833976833971</c:v>
                </c:pt>
                <c:pt idx="1409">
                  <c:v>14.471833976833972</c:v>
                </c:pt>
                <c:pt idx="1410">
                  <c:v>13.471833976833972</c:v>
                </c:pt>
                <c:pt idx="1411">
                  <c:v>12.471833976833972</c:v>
                </c:pt>
                <c:pt idx="1412">
                  <c:v>13.411833976833972</c:v>
                </c:pt>
                <c:pt idx="1413">
                  <c:v>12.411833976833972</c:v>
                </c:pt>
                <c:pt idx="1414">
                  <c:v>13.271833976833971</c:v>
                </c:pt>
                <c:pt idx="1415">
                  <c:v>14.171833976833971</c:v>
                </c:pt>
                <c:pt idx="1416">
                  <c:v>15.071833976833972</c:v>
                </c:pt>
                <c:pt idx="1417">
                  <c:v>15.960833976833971</c:v>
                </c:pt>
                <c:pt idx="1418">
                  <c:v>14.960833976833971</c:v>
                </c:pt>
                <c:pt idx="1419">
                  <c:v>13.960833976833971</c:v>
                </c:pt>
                <c:pt idx="1420">
                  <c:v>12.960833976833971</c:v>
                </c:pt>
                <c:pt idx="1421">
                  <c:v>13.860833976833971</c:v>
                </c:pt>
                <c:pt idx="1422">
                  <c:v>14.650833976833972</c:v>
                </c:pt>
                <c:pt idx="1423">
                  <c:v>13.650833976833972</c:v>
                </c:pt>
                <c:pt idx="1424">
                  <c:v>12.650833976833972</c:v>
                </c:pt>
                <c:pt idx="1425">
                  <c:v>13.530833976833971</c:v>
                </c:pt>
                <c:pt idx="1426">
                  <c:v>14.380833976833971</c:v>
                </c:pt>
                <c:pt idx="1427">
                  <c:v>13.380833976833971</c:v>
                </c:pt>
                <c:pt idx="1428">
                  <c:v>14.260833976833972</c:v>
                </c:pt>
                <c:pt idx="1429">
                  <c:v>15.122833976833972</c:v>
                </c:pt>
                <c:pt idx="1430">
                  <c:v>14.122833976833972</c:v>
                </c:pt>
                <c:pt idx="1431">
                  <c:v>15.032833976833972</c:v>
                </c:pt>
                <c:pt idx="1432">
                  <c:v>14.032833976833972</c:v>
                </c:pt>
                <c:pt idx="1433">
                  <c:v>14.932833976833972</c:v>
                </c:pt>
                <c:pt idx="1434">
                  <c:v>13.932833976833972</c:v>
                </c:pt>
                <c:pt idx="1435">
                  <c:v>12.932833976833972</c:v>
                </c:pt>
                <c:pt idx="1436">
                  <c:v>11.932833976833972</c:v>
                </c:pt>
                <c:pt idx="1437">
                  <c:v>10.932833976833972</c:v>
                </c:pt>
                <c:pt idx="1438">
                  <c:v>9.9328339768339724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1442</xdr:row>
      <xdr:rowOff>0</xdr:rowOff>
    </xdr:from>
    <xdr:to>
      <xdr:col>10</xdr:col>
      <xdr:colOff>0</xdr:colOff>
      <xdr:row>1462</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22.514367708332"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9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7">
      <pivotArea outline="0" fieldPosition="0">
        <references count="1">
          <reference field="4294967294" count="1" selected="0">
            <x v="1"/>
          </reference>
        </references>
      </pivotArea>
    </format>
    <format dxfId="118">
      <pivotArea outline="0" fieldPosition="0">
        <references count="1">
          <reference field="4294967294" count="1" selected="0">
            <x v="3"/>
          </reference>
        </references>
      </pivotArea>
    </format>
    <format dxfId="119">
      <pivotArea dataOnly="0" labelOnly="1" outline="0" fieldPosition="0">
        <references count="1">
          <reference field="4294967294" count="1">
            <x v="3"/>
          </reference>
        </references>
      </pivotArea>
    </format>
    <format dxfId="120">
      <pivotArea outline="0" fieldPosition="0">
        <references count="1">
          <reference field="4294967294" count="1" selected="0">
            <x v="5"/>
          </reference>
        </references>
      </pivotArea>
    </format>
    <format dxfId="121">
      <pivotArea dataOnly="0" labelOnly="1" outline="0" fieldPosition="0">
        <references count="1">
          <reference field="4294967294" count="1">
            <x v="5"/>
          </reference>
        </references>
      </pivotArea>
    </format>
    <format dxfId="122">
      <pivotArea outline="0" fieldPosition="0">
        <references count="1">
          <reference field="4294967294" count="1" selected="0">
            <x v="7"/>
          </reference>
        </references>
      </pivotArea>
    </format>
    <format dxfId="123">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497"/>
  <sheetViews>
    <sheetView tabSelected="1" topLeftCell="A1430" workbookViewId="0">
      <selection activeCell="C1360" sqref="C1360:C1440"/>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31">
        <v>45992</v>
      </c>
      <c r="C2" s="471">
        <v>1</v>
      </c>
      <c r="D2" s="465"/>
      <c r="E2" s="465">
        <f t="shared" ref="E2:E65" si="0">(C2*D2)-C2</f>
        <v>-1</v>
      </c>
      <c r="F2" s="466">
        <f>SUM($E$2:E2)/SUM($C$2:C2)</f>
        <v>-1</v>
      </c>
      <c r="G2" s="465">
        <f>E2</f>
        <v>-1</v>
      </c>
      <c r="H2" s="475" t="s">
        <v>10</v>
      </c>
      <c r="I2" s="2"/>
      <c r="J2" s="2"/>
      <c r="K2" s="2"/>
      <c r="O2" s="58"/>
      <c r="P2" s="58"/>
    </row>
    <row r="3" spans="1:16">
      <c r="A3"/>
      <c r="B3" s="531"/>
      <c r="C3" s="468">
        <v>1</v>
      </c>
      <c r="D3" s="37">
        <v>2</v>
      </c>
      <c r="E3" s="37">
        <f t="shared" si="0"/>
        <v>1</v>
      </c>
      <c r="F3" s="47">
        <f>SUM($E$2:E3)/SUM($C$2:C3)</f>
        <v>0</v>
      </c>
      <c r="G3" s="37">
        <f t="shared" ref="G3:G47" si="1">G2+E3</f>
        <v>0</v>
      </c>
      <c r="H3" s="472" t="s">
        <v>11</v>
      </c>
      <c r="I3" s="2"/>
      <c r="J3" s="2"/>
      <c r="K3" s="2"/>
      <c r="O3" s="58"/>
      <c r="P3" s="58"/>
    </row>
    <row r="4" spans="1:16">
      <c r="A4"/>
      <c r="B4" s="531"/>
      <c r="C4" s="468">
        <v>1</v>
      </c>
      <c r="D4" s="37">
        <v>1.8</v>
      </c>
      <c r="E4" s="37">
        <f t="shared" si="0"/>
        <v>0.8</v>
      </c>
      <c r="F4" s="47">
        <f>SUM($E$2:E4)/SUM($C$2:C4)</f>
        <v>0.26666666666666666</v>
      </c>
      <c r="G4" s="37">
        <f t="shared" si="1"/>
        <v>0.8</v>
      </c>
      <c r="H4" s="472" t="s">
        <v>12</v>
      </c>
      <c r="I4" s="2"/>
      <c r="J4" s="2"/>
      <c r="K4" s="2"/>
      <c r="O4" s="58"/>
      <c r="P4" s="58"/>
    </row>
    <row r="5" spans="1:16">
      <c r="A5"/>
      <c r="B5" s="531"/>
      <c r="C5" s="468">
        <v>1</v>
      </c>
      <c r="D5" s="37">
        <v>1.91</v>
      </c>
      <c r="E5" s="37">
        <f t="shared" si="0"/>
        <v>0.90999999999999992</v>
      </c>
      <c r="F5" s="47">
        <f>SUM($E$2:E5)/SUM($C$2:C5)</f>
        <v>0.42749999999999999</v>
      </c>
      <c r="G5" s="37">
        <f t="shared" si="1"/>
        <v>1.71</v>
      </c>
      <c r="H5" s="472" t="s">
        <v>13</v>
      </c>
      <c r="I5" s="2"/>
      <c r="J5" s="2"/>
      <c r="K5" s="2"/>
      <c r="O5" s="58"/>
      <c r="P5" s="58"/>
    </row>
    <row r="6" spans="1:16">
      <c r="A6"/>
      <c r="B6" s="531"/>
      <c r="C6" s="468">
        <v>1</v>
      </c>
      <c r="D6" s="37">
        <v>1.9</v>
      </c>
      <c r="E6" s="37">
        <f t="shared" si="0"/>
        <v>0.89999999999999991</v>
      </c>
      <c r="F6" s="47">
        <f>SUM($E$2:E6)/SUM($C$2:C6)</f>
        <v>0.52200000000000002</v>
      </c>
      <c r="G6" s="37">
        <f t="shared" si="1"/>
        <v>2.61</v>
      </c>
      <c r="H6" s="472" t="s">
        <v>14</v>
      </c>
      <c r="I6" s="2"/>
      <c r="J6" s="2"/>
      <c r="K6" s="2"/>
      <c r="O6" s="58"/>
      <c r="P6" s="58"/>
    </row>
    <row r="7" spans="1:16">
      <c r="A7"/>
      <c r="B7" s="531"/>
      <c r="C7" s="468">
        <v>1</v>
      </c>
      <c r="D7" s="37">
        <v>1.9</v>
      </c>
      <c r="E7" s="37">
        <f t="shared" si="0"/>
        <v>0.89999999999999991</v>
      </c>
      <c r="F7" s="47">
        <f>SUM($E$2:E7)/SUM($C$2:C7)</f>
        <v>0.58499999999999996</v>
      </c>
      <c r="G7" s="37">
        <f t="shared" si="1"/>
        <v>3.51</v>
      </c>
      <c r="H7" s="472" t="s">
        <v>15</v>
      </c>
      <c r="I7" s="2"/>
      <c r="J7" s="2"/>
      <c r="K7" s="2"/>
      <c r="O7" s="58"/>
      <c r="P7" s="58"/>
    </row>
    <row r="8" spans="1:16">
      <c r="A8"/>
      <c r="B8" s="531"/>
      <c r="C8" s="509">
        <v>1</v>
      </c>
      <c r="D8" s="38">
        <v>1.9</v>
      </c>
      <c r="E8" s="38">
        <f t="shared" si="0"/>
        <v>0.89999999999999991</v>
      </c>
      <c r="F8" s="59">
        <f>SUM($E$2:E8)/SUM($C$2:C8)</f>
        <v>0.63</v>
      </c>
      <c r="G8" s="38">
        <f t="shared" si="1"/>
        <v>4.41</v>
      </c>
      <c r="H8" s="469" t="s">
        <v>16</v>
      </c>
      <c r="I8" s="2"/>
      <c r="J8" s="2"/>
      <c r="K8" s="2"/>
      <c r="O8" s="58"/>
      <c r="P8" s="58"/>
    </row>
    <row r="9" spans="1:16">
      <c r="A9"/>
      <c r="B9" s="531"/>
      <c r="C9" s="471">
        <v>1</v>
      </c>
      <c r="D9" s="465"/>
      <c r="E9" s="465">
        <f t="shared" si="0"/>
        <v>-1</v>
      </c>
      <c r="F9" s="466">
        <f>SUM($E$2:E9)/SUM($C$2:C9)</f>
        <v>0.42625000000000002</v>
      </c>
      <c r="G9" s="465">
        <f t="shared" si="1"/>
        <v>3.41</v>
      </c>
      <c r="H9" s="475" t="s">
        <v>17</v>
      </c>
      <c r="I9" s="2"/>
      <c r="J9" s="2"/>
      <c r="K9" s="2"/>
      <c r="O9" s="58"/>
      <c r="P9" s="58"/>
    </row>
    <row r="10" spans="1:16">
      <c r="A10"/>
      <c r="B10" s="531"/>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31"/>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31"/>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31"/>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31"/>
      <c r="C14" s="509">
        <v>1</v>
      </c>
      <c r="D14" s="38"/>
      <c r="E14" s="38">
        <f t="shared" si="0"/>
        <v>-1</v>
      </c>
      <c r="F14" s="59">
        <f>SUM($E$2:E14)/SUM($C$2:C14)</f>
        <v>0.45184615384615395</v>
      </c>
      <c r="G14" s="38">
        <f t="shared" si="1"/>
        <v>5.8740000000000014</v>
      </c>
      <c r="H14" s="469" t="s">
        <v>22</v>
      </c>
      <c r="I14" s="2"/>
      <c r="J14" s="2"/>
      <c r="K14" s="2"/>
      <c r="O14" s="58"/>
      <c r="P14" s="58"/>
    </row>
    <row r="15" spans="1:16">
      <c r="A15"/>
      <c r="B15" s="531"/>
      <c r="C15" s="471">
        <v>1</v>
      </c>
      <c r="D15" s="465"/>
      <c r="E15" s="465">
        <f t="shared" si="0"/>
        <v>-1</v>
      </c>
      <c r="F15" s="466">
        <f>SUM($E$2:E15)/SUM($C$2:C15)</f>
        <v>0.34814285714285725</v>
      </c>
      <c r="G15" s="465">
        <f t="shared" si="1"/>
        <v>4.8740000000000014</v>
      </c>
      <c r="H15" s="475" t="s">
        <v>23</v>
      </c>
      <c r="I15" s="2"/>
      <c r="J15" s="2"/>
      <c r="K15" s="2"/>
      <c r="O15" s="58"/>
      <c r="P15" s="58"/>
    </row>
    <row r="16" spans="1:16">
      <c r="A16"/>
      <c r="B16" s="531"/>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31"/>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31"/>
      <c r="C18" s="468">
        <v>1</v>
      </c>
      <c r="D18" s="37"/>
      <c r="E18" s="37">
        <f t="shared" si="0"/>
        <v>-1</v>
      </c>
      <c r="F18" s="47">
        <f>SUM($E$2:E18)/SUM($C$2:C18)</f>
        <v>0.31282352941176478</v>
      </c>
      <c r="G18" s="37">
        <f t="shared" si="1"/>
        <v>5.3180000000000014</v>
      </c>
      <c r="H18" s="472" t="s">
        <v>26</v>
      </c>
      <c r="I18" s="2"/>
      <c r="J18" s="2"/>
      <c r="K18" s="2"/>
      <c r="O18" s="58"/>
      <c r="P18" s="58"/>
    </row>
    <row r="19" spans="1:16">
      <c r="A19"/>
      <c r="B19" s="531"/>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31"/>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31"/>
      <c r="C21" s="509">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30">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31"/>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31"/>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31"/>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31"/>
      <c r="C26" s="509">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31"/>
      <c r="C27" s="471">
        <v>1</v>
      </c>
      <c r="D27" s="465"/>
      <c r="E27" s="465">
        <f t="shared" si="0"/>
        <v>-1</v>
      </c>
      <c r="F27" s="466">
        <f>SUM($E$2:E27)/SUM($C$2:C27)</f>
        <v>0.341423076923077</v>
      </c>
      <c r="G27" s="465">
        <f t="shared" si="1"/>
        <v>8.8770000000000024</v>
      </c>
      <c r="H27" s="475" t="s">
        <v>34</v>
      </c>
      <c r="I27" s="2"/>
      <c r="J27" s="2"/>
      <c r="K27" s="2"/>
      <c r="O27" s="58"/>
      <c r="P27" s="58"/>
    </row>
    <row r="28" spans="1:16">
      <c r="A28"/>
      <c r="B28" s="531"/>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31"/>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31"/>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31"/>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31"/>
      <c r="C32" s="509">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31"/>
      <c r="C33" s="471">
        <v>1</v>
      </c>
      <c r="D33" s="465"/>
      <c r="E33" s="465">
        <f t="shared" si="0"/>
        <v>-1</v>
      </c>
      <c r="F33" s="466">
        <f>SUM($E$2:E33)/SUM($C$2:C33)</f>
        <v>0.3860312500000001</v>
      </c>
      <c r="G33" s="465">
        <f t="shared" si="1"/>
        <v>12.353000000000003</v>
      </c>
      <c r="H33" s="475" t="s">
        <v>40</v>
      </c>
      <c r="I33" s="2"/>
      <c r="J33" s="2"/>
      <c r="K33" s="2"/>
      <c r="O33" s="58"/>
      <c r="P33" s="58"/>
    </row>
    <row r="34" spans="1:16">
      <c r="A34"/>
      <c r="B34" s="531"/>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31"/>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31"/>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31"/>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31"/>
      <c r="C38" s="510">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30">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31"/>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31"/>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31"/>
      <c r="C42" s="468">
        <v>1</v>
      </c>
      <c r="D42" s="37"/>
      <c r="E42" s="37">
        <f t="shared" si="0"/>
        <v>-1</v>
      </c>
      <c r="F42" s="47">
        <f>SUM($E$2:E42)/SUM($C$2:C42)</f>
        <v>0.42753658536585376</v>
      </c>
      <c r="G42" s="37">
        <f t="shared" si="1"/>
        <v>17.529000000000003</v>
      </c>
      <c r="H42" s="472" t="s">
        <v>46</v>
      </c>
      <c r="I42" s="2"/>
      <c r="J42" s="2"/>
      <c r="K42" s="2"/>
      <c r="O42" s="58"/>
      <c r="P42" s="58"/>
    </row>
    <row r="43" spans="1:16">
      <c r="A43"/>
      <c r="B43" s="531"/>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31"/>
      <c r="C44" s="468">
        <v>1</v>
      </c>
      <c r="D44" s="37"/>
      <c r="E44" s="37">
        <f t="shared" si="0"/>
        <v>-1</v>
      </c>
      <c r="F44" s="47">
        <f>SUM($E$2:E44)/SUM($C$2:C44)</f>
        <v>0.40444186046511638</v>
      </c>
      <c r="G44" s="37">
        <f t="shared" si="1"/>
        <v>17.391000000000005</v>
      </c>
      <c r="H44" s="472" t="s">
        <v>47</v>
      </c>
      <c r="I44" s="2"/>
      <c r="J44" s="2"/>
      <c r="K44" s="2"/>
      <c r="O44" s="58"/>
      <c r="P44" s="58"/>
    </row>
    <row r="45" spans="1:16">
      <c r="A45"/>
      <c r="B45" s="531"/>
      <c r="C45" s="511">
        <v>1</v>
      </c>
      <c r="D45" s="40"/>
      <c r="E45" s="40">
        <f t="shared" si="0"/>
        <v>-1</v>
      </c>
      <c r="F45" s="48">
        <f>SUM($E$2:E45)/SUM($C$2:C45)</f>
        <v>0.37252272727272739</v>
      </c>
      <c r="G45" s="40">
        <f t="shared" si="1"/>
        <v>16.391000000000005</v>
      </c>
      <c r="H45" s="467" t="s">
        <v>48</v>
      </c>
      <c r="I45" s="2"/>
      <c r="J45" s="2"/>
      <c r="K45" s="2"/>
      <c r="O45" s="58"/>
      <c r="P45" s="58"/>
    </row>
    <row r="46" spans="1:16">
      <c r="A46"/>
      <c r="B46" s="534"/>
      <c r="C46" s="512">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4"/>
      <c r="C47" s="513">
        <v>1</v>
      </c>
      <c r="D47" s="37"/>
      <c r="E47" s="37">
        <f t="shared" si="0"/>
        <v>-1</v>
      </c>
      <c r="F47" s="47">
        <f>SUM($E$2:E47)/SUM($C$2:C47)</f>
        <v>0.3533260869565219</v>
      </c>
      <c r="G47" s="37">
        <f t="shared" si="1"/>
        <v>16.253000000000007</v>
      </c>
      <c r="H47" s="472" t="s">
        <v>10</v>
      </c>
      <c r="I47" s="2"/>
      <c r="J47" s="2"/>
      <c r="K47" s="2"/>
      <c r="O47" s="58"/>
      <c r="P47" s="58"/>
    </row>
    <row r="48" spans="1:16">
      <c r="A48"/>
      <c r="B48" s="534"/>
      <c r="C48" s="513">
        <v>1</v>
      </c>
      <c r="D48" s="37"/>
      <c r="E48" s="37">
        <f t="shared" si="0"/>
        <v>-1</v>
      </c>
      <c r="F48" s="47">
        <f>SUM($E$2:E48)/SUM($C$2:C48)</f>
        <v>0.32453191489361716</v>
      </c>
      <c r="G48" s="37">
        <f>G47+E48</f>
        <v>15.253000000000007</v>
      </c>
      <c r="H48" s="472" t="s">
        <v>49</v>
      </c>
      <c r="I48" s="2"/>
      <c r="J48" s="2"/>
      <c r="K48" s="2"/>
      <c r="O48" s="58"/>
      <c r="P48" s="58"/>
    </row>
    <row r="49" spans="1:16">
      <c r="A49"/>
      <c r="B49" s="534"/>
      <c r="C49" s="514">
        <v>1</v>
      </c>
      <c r="D49" s="38"/>
      <c r="E49" s="38">
        <f t="shared" si="0"/>
        <v>-1</v>
      </c>
      <c r="F49" s="59">
        <f>SUM($E$2:E49)/SUM($C$2:C49)</f>
        <v>0.29693750000000013</v>
      </c>
      <c r="G49" s="38">
        <f t="shared" ref="G49:G112" si="2">G48+E49</f>
        <v>14.253000000000007</v>
      </c>
      <c r="H49" s="469" t="s">
        <v>50</v>
      </c>
      <c r="I49" s="2"/>
      <c r="J49" s="2"/>
      <c r="K49" s="2"/>
      <c r="O49" s="58"/>
      <c r="P49" s="58"/>
    </row>
    <row r="50" spans="1:16">
      <c r="A50"/>
      <c r="B50" s="531"/>
      <c r="C50" s="471">
        <v>1</v>
      </c>
      <c r="D50" s="465"/>
      <c r="E50" s="465">
        <f t="shared" si="0"/>
        <v>-1</v>
      </c>
      <c r="F50" s="466">
        <f>SUM($E$2:E50)/SUM($C$2:C50)</f>
        <v>0.27046938775510221</v>
      </c>
      <c r="G50" s="465">
        <f t="shared" si="2"/>
        <v>13.253000000000007</v>
      </c>
      <c r="H50" s="475" t="s">
        <v>51</v>
      </c>
      <c r="I50" s="2"/>
      <c r="J50" s="2"/>
      <c r="K50" s="2"/>
      <c r="O50" s="58"/>
      <c r="P50" s="58"/>
    </row>
    <row r="51" spans="1:16">
      <c r="A51"/>
      <c r="B51" s="531"/>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31"/>
      <c r="C52" s="468">
        <v>1</v>
      </c>
      <c r="D52" s="37"/>
      <c r="E52" s="37">
        <f t="shared" si="0"/>
        <v>-1</v>
      </c>
      <c r="F52" s="47">
        <f>SUM($E$2:E52)/SUM($C$2:C52)</f>
        <v>0.25421568627450997</v>
      </c>
      <c r="G52" s="37">
        <f t="shared" si="2"/>
        <v>12.965000000000007</v>
      </c>
      <c r="H52" s="472" t="s">
        <v>53</v>
      </c>
      <c r="I52" s="2"/>
      <c r="J52" s="2"/>
      <c r="K52" s="2"/>
      <c r="O52" s="58"/>
      <c r="P52" s="58"/>
    </row>
    <row r="53" spans="1:16">
      <c r="A53"/>
      <c r="B53" s="531"/>
      <c r="C53" s="468">
        <v>1</v>
      </c>
      <c r="D53" s="37"/>
      <c r="E53" s="37">
        <f t="shared" si="0"/>
        <v>-1</v>
      </c>
      <c r="F53" s="47">
        <f>SUM($E$2:E53)/SUM($C$2:C53)</f>
        <v>0.23009615384615398</v>
      </c>
      <c r="G53" s="37">
        <f t="shared" si="2"/>
        <v>11.965000000000007</v>
      </c>
      <c r="H53" s="472" t="s">
        <v>54</v>
      </c>
      <c r="I53" s="2"/>
      <c r="J53" s="2"/>
      <c r="K53" s="2"/>
      <c r="O53" s="58"/>
      <c r="P53" s="58"/>
    </row>
    <row r="54" spans="1:16">
      <c r="A54"/>
      <c r="B54" s="531"/>
      <c r="C54" s="468">
        <v>1</v>
      </c>
      <c r="D54" s="37"/>
      <c r="E54" s="37">
        <f t="shared" si="0"/>
        <v>-1</v>
      </c>
      <c r="F54" s="47">
        <f>SUM($E$2:E54)/SUM($C$2:C54)</f>
        <v>0.20688679245283031</v>
      </c>
      <c r="G54" s="37">
        <f t="shared" si="2"/>
        <v>10.965000000000007</v>
      </c>
      <c r="H54" s="472" t="s">
        <v>55</v>
      </c>
      <c r="I54" s="2"/>
      <c r="J54" s="2"/>
      <c r="K54" s="2"/>
      <c r="O54" s="58"/>
      <c r="P54" s="58"/>
    </row>
    <row r="55" spans="1:16">
      <c r="A55"/>
      <c r="B55" s="531"/>
      <c r="C55" s="468">
        <v>1</v>
      </c>
      <c r="D55" s="37"/>
      <c r="E55" s="37">
        <f t="shared" si="0"/>
        <v>-1</v>
      </c>
      <c r="F55" s="47">
        <f>SUM($E$2:E55)/SUM($C$2:C55)</f>
        <v>0.18453703703703717</v>
      </c>
      <c r="G55" s="37">
        <f t="shared" si="2"/>
        <v>9.965000000000007</v>
      </c>
      <c r="H55" s="472" t="s">
        <v>56</v>
      </c>
      <c r="I55" s="2"/>
      <c r="J55" s="2"/>
      <c r="K55" s="2"/>
      <c r="O55" s="58"/>
      <c r="P55" s="58"/>
    </row>
    <row r="56" spans="1:16">
      <c r="A56"/>
      <c r="B56" s="531"/>
      <c r="C56" s="510">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30">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31"/>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31"/>
      <c r="C59" s="509">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31"/>
      <c r="C60" s="471">
        <v>1</v>
      </c>
      <c r="D60" s="465"/>
      <c r="E60" s="465">
        <f t="shared" si="0"/>
        <v>-1</v>
      </c>
      <c r="F60" s="466">
        <f>SUM($E$2:E60)/SUM($C$2:C60)</f>
        <v>0.14632203389830523</v>
      </c>
      <c r="G60" s="465">
        <f t="shared" si="2"/>
        <v>8.633000000000008</v>
      </c>
      <c r="H60" s="475" t="s">
        <v>34</v>
      </c>
      <c r="I60" s="2"/>
      <c r="J60" s="2"/>
      <c r="K60" s="2"/>
      <c r="O60" s="58"/>
      <c r="P60" s="58"/>
    </row>
    <row r="61" spans="1:16">
      <c r="A61"/>
      <c r="B61" s="531"/>
      <c r="C61" s="468">
        <v>1</v>
      </c>
      <c r="D61" s="37"/>
      <c r="E61" s="37">
        <f t="shared" si="0"/>
        <v>-1</v>
      </c>
      <c r="F61" s="47">
        <f>SUM($E$2:E61)/SUM($C$2:C61)</f>
        <v>0.12721666666666681</v>
      </c>
      <c r="G61" s="37">
        <f t="shared" si="2"/>
        <v>7.633000000000008</v>
      </c>
      <c r="H61" s="472" t="s">
        <v>19</v>
      </c>
      <c r="I61" s="2"/>
      <c r="J61" s="2"/>
      <c r="K61" s="2"/>
      <c r="O61" s="58"/>
      <c r="P61" s="58"/>
    </row>
    <row r="62" spans="1:16">
      <c r="A62"/>
      <c r="B62" s="531"/>
      <c r="C62" s="468">
        <v>1</v>
      </c>
      <c r="D62" s="37"/>
      <c r="E62" s="37">
        <f t="shared" si="0"/>
        <v>-1</v>
      </c>
      <c r="F62" s="47">
        <f>SUM($E$2:E62)/SUM($C$2:C62)</f>
        <v>0.10873770491803292</v>
      </c>
      <c r="G62" s="37">
        <f t="shared" si="2"/>
        <v>6.633000000000008</v>
      </c>
      <c r="H62" s="472" t="s">
        <v>20</v>
      </c>
      <c r="I62" s="2"/>
      <c r="J62" s="2"/>
      <c r="K62" s="2"/>
      <c r="O62" s="58"/>
      <c r="P62" s="58"/>
    </row>
    <row r="63" spans="1:16">
      <c r="A63"/>
      <c r="B63" s="531"/>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31"/>
      <c r="C64" s="509">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31"/>
      <c r="C65" s="471">
        <v>1</v>
      </c>
      <c r="D65" s="465"/>
      <c r="E65" s="465">
        <f t="shared" si="0"/>
        <v>-1</v>
      </c>
      <c r="F65" s="466">
        <f>SUM($E$2:E65)/SUM($C$2:C65)</f>
        <v>0.11614062500000014</v>
      </c>
      <c r="G65" s="465">
        <f t="shared" si="2"/>
        <v>7.4330000000000087</v>
      </c>
      <c r="H65" s="475" t="s">
        <v>58</v>
      </c>
      <c r="I65" s="2"/>
      <c r="J65" s="2"/>
      <c r="K65" s="2"/>
      <c r="O65" s="58"/>
      <c r="P65" s="58"/>
    </row>
    <row r="66" spans="1:16">
      <c r="A66"/>
      <c r="B66" s="531"/>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31"/>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31"/>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31"/>
      <c r="C69" s="510">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30">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31"/>
      <c r="C71" s="468">
        <v>1</v>
      </c>
      <c r="D71" s="37"/>
      <c r="E71" s="37">
        <f t="shared" si="3"/>
        <v>-1</v>
      </c>
      <c r="F71" s="47">
        <f>SUM($E$2:E71)/SUM($C$2:C71)</f>
        <v>0.12018571428571441</v>
      </c>
      <c r="G71" s="37">
        <f t="shared" si="2"/>
        <v>8.4130000000000091</v>
      </c>
      <c r="H71" s="472" t="s">
        <v>38</v>
      </c>
      <c r="I71" s="2"/>
      <c r="J71" s="2"/>
      <c r="K71" s="2"/>
      <c r="O71" s="58"/>
      <c r="P71" s="58"/>
    </row>
    <row r="72" spans="1:16">
      <c r="A72"/>
      <c r="B72" s="531"/>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31"/>
      <c r="C73" s="468">
        <v>1</v>
      </c>
      <c r="D73" s="37">
        <v>1.8</v>
      </c>
      <c r="E73" s="37">
        <f t="shared" si="3"/>
        <v>0.8</v>
      </c>
      <c r="F73" s="47">
        <f>SUM($E$2:E73)/SUM($C$2:C73)</f>
        <v>0.1399305555555557</v>
      </c>
      <c r="G73" s="37">
        <f t="shared" si="2"/>
        <v>10.07500000000001</v>
      </c>
      <c r="H73" s="472" t="s">
        <v>21</v>
      </c>
      <c r="I73" s="2"/>
      <c r="J73" s="2"/>
      <c r="K73" s="2"/>
      <c r="O73" s="58"/>
      <c r="P73" s="58"/>
    </row>
    <row r="74" spans="1:16">
      <c r="A74"/>
      <c r="B74" s="531"/>
      <c r="C74" s="468">
        <v>1</v>
      </c>
      <c r="D74" s="37"/>
      <c r="E74" s="37">
        <f t="shared" si="3"/>
        <v>-1</v>
      </c>
      <c r="F74" s="47">
        <f>SUM($E$2:E74)/SUM($C$2:C74)</f>
        <v>0.12431506849315083</v>
      </c>
      <c r="G74" s="37">
        <f t="shared" si="2"/>
        <v>9.0750000000000099</v>
      </c>
      <c r="H74" s="472" t="s">
        <v>46</v>
      </c>
      <c r="I74" s="2"/>
      <c r="J74" s="2"/>
      <c r="K74" s="2"/>
      <c r="O74" s="58"/>
      <c r="P74" s="58"/>
    </row>
    <row r="75" spans="1:16">
      <c r="A75"/>
      <c r="B75" s="531"/>
      <c r="C75" s="468">
        <v>1</v>
      </c>
      <c r="D75" s="37"/>
      <c r="E75" s="37">
        <f t="shared" si="3"/>
        <v>-1</v>
      </c>
      <c r="F75" s="47">
        <f>SUM($E$2:E75)/SUM($C$2:C75)</f>
        <v>0.10912162162162176</v>
      </c>
      <c r="G75" s="37">
        <f t="shared" si="2"/>
        <v>8.0750000000000099</v>
      </c>
      <c r="H75" s="472" t="s">
        <v>16</v>
      </c>
      <c r="I75" s="2"/>
      <c r="J75" s="2"/>
      <c r="K75" s="2"/>
      <c r="O75" s="58"/>
      <c r="P75" s="58"/>
    </row>
    <row r="76" spans="1:16">
      <c r="A76"/>
      <c r="B76" s="531"/>
      <c r="C76" s="468">
        <v>1</v>
      </c>
      <c r="D76" s="37"/>
      <c r="E76" s="37">
        <f t="shared" si="3"/>
        <v>-1</v>
      </c>
      <c r="F76" s="47">
        <f>SUM($E$2:E76)/SUM($C$2:C76)</f>
        <v>9.4333333333333463E-2</v>
      </c>
      <c r="G76" s="37">
        <f t="shared" si="2"/>
        <v>7.0750000000000099</v>
      </c>
      <c r="H76" s="472" t="s">
        <v>12</v>
      </c>
      <c r="I76" s="2"/>
      <c r="J76" s="2"/>
      <c r="K76" s="2"/>
      <c r="O76" s="58"/>
      <c r="P76" s="58"/>
    </row>
    <row r="77" spans="1:16">
      <c r="A77"/>
      <c r="B77" s="531"/>
      <c r="C77" s="509">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31"/>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31"/>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31"/>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31"/>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31"/>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31"/>
      <c r="C83" s="468">
        <v>1</v>
      </c>
      <c r="D83" s="37"/>
      <c r="E83" s="37">
        <f t="shared" si="3"/>
        <v>-1</v>
      </c>
      <c r="F83" s="47">
        <f>SUM($E$2:E83)/SUM($C$2:C83)</f>
        <v>0.13869512195121966</v>
      </c>
      <c r="G83" s="37">
        <f t="shared" si="2"/>
        <v>11.373000000000012</v>
      </c>
      <c r="H83" s="472" t="s">
        <v>32</v>
      </c>
      <c r="I83" s="2"/>
      <c r="J83" s="2"/>
      <c r="K83" s="2"/>
      <c r="O83" s="58"/>
      <c r="P83" s="58"/>
    </row>
    <row r="84" spans="1:16">
      <c r="A84"/>
      <c r="B84" s="531"/>
      <c r="C84" s="509">
        <v>1</v>
      </c>
      <c r="D84" s="38"/>
      <c r="E84" s="38">
        <f t="shared" si="3"/>
        <v>-1</v>
      </c>
      <c r="F84" s="59">
        <f>SUM($E$2:E84)/SUM($C$2:C84)</f>
        <v>0.12497590361445797</v>
      </c>
      <c r="G84" s="38">
        <f t="shared" si="2"/>
        <v>10.373000000000012</v>
      </c>
      <c r="H84" s="469" t="s">
        <v>50</v>
      </c>
      <c r="I84" s="2"/>
      <c r="J84" s="2"/>
      <c r="K84" s="2"/>
      <c r="O84" s="58"/>
      <c r="P84" s="58"/>
    </row>
    <row r="85" spans="1:16">
      <c r="A85"/>
      <c r="B85" s="531"/>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31"/>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31"/>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31"/>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31"/>
      <c r="C89" s="468">
        <v>1</v>
      </c>
      <c r="D89" s="37"/>
      <c r="E89" s="37">
        <f t="shared" si="3"/>
        <v>-1</v>
      </c>
      <c r="F89" s="47">
        <f>SUM($E$2:E89)/SUM($C$2:C89)</f>
        <v>0.14060227272727285</v>
      </c>
      <c r="G89" s="37">
        <f t="shared" si="2"/>
        <v>12.373000000000012</v>
      </c>
      <c r="H89" s="472" t="s">
        <v>66</v>
      </c>
      <c r="I89" s="2"/>
      <c r="J89" s="2"/>
      <c r="K89" s="2"/>
      <c r="O89" s="58"/>
      <c r="P89" s="58"/>
    </row>
    <row r="90" spans="1:16">
      <c r="A90"/>
      <c r="B90" s="531"/>
      <c r="C90" s="468">
        <v>1</v>
      </c>
      <c r="D90" s="37"/>
      <c r="E90" s="37">
        <f t="shared" si="3"/>
        <v>-1</v>
      </c>
      <c r="F90" s="47">
        <f>SUM($E$2:E90)/SUM($C$2:C90)</f>
        <v>0.12778651685393272</v>
      </c>
      <c r="G90" s="37">
        <f t="shared" si="2"/>
        <v>11.373000000000012</v>
      </c>
      <c r="H90" s="472" t="s">
        <v>67</v>
      </c>
      <c r="I90" s="2"/>
      <c r="J90" s="2"/>
      <c r="K90" s="2"/>
      <c r="O90" s="58"/>
      <c r="P90" s="58"/>
    </row>
    <row r="91" spans="1:16">
      <c r="A91"/>
      <c r="B91" s="531"/>
      <c r="C91" s="468">
        <v>1</v>
      </c>
      <c r="D91" s="37"/>
      <c r="E91" s="37">
        <f t="shared" si="3"/>
        <v>-1</v>
      </c>
      <c r="F91" s="47">
        <f>SUM($E$2:E91)/SUM($C$2:C91)</f>
        <v>0.11525555555555568</v>
      </c>
      <c r="G91" s="37">
        <f t="shared" si="2"/>
        <v>10.373000000000012</v>
      </c>
      <c r="H91" s="472" t="s">
        <v>68</v>
      </c>
      <c r="I91" s="2"/>
      <c r="J91" s="2"/>
      <c r="K91" s="2"/>
      <c r="O91" s="58"/>
      <c r="P91" s="58"/>
    </row>
    <row r="92" spans="1:16">
      <c r="A92"/>
      <c r="B92" s="531"/>
      <c r="C92" s="509">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30">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31"/>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31"/>
      <c r="C95" s="468">
        <v>1</v>
      </c>
      <c r="D95" s="37"/>
      <c r="E95" s="37">
        <f t="shared" si="3"/>
        <v>-1</v>
      </c>
      <c r="F95" s="47">
        <f>SUM($E$2:E95)/SUM($C$2:C95)</f>
        <v>8.8010638297872465E-2</v>
      </c>
      <c r="G95" s="37">
        <f t="shared" si="2"/>
        <v>8.2730000000000121</v>
      </c>
      <c r="H95" s="472" t="s">
        <v>39</v>
      </c>
      <c r="I95" s="2"/>
      <c r="J95" s="2"/>
      <c r="K95" s="2"/>
      <c r="O95" s="58"/>
      <c r="P95" s="58"/>
    </row>
    <row r="96" spans="1:16">
      <c r="A96"/>
      <c r="B96" s="531"/>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31"/>
      <c r="C97" s="509">
        <v>1</v>
      </c>
      <c r="D97" s="38"/>
      <c r="E97" s="38">
        <f t="shared" si="3"/>
        <v>-1</v>
      </c>
      <c r="F97" s="59">
        <f>SUM($E$2:E97)/SUM($C$2:C97)</f>
        <v>8.4739583333333465E-2</v>
      </c>
      <c r="G97" s="38">
        <f t="shared" si="2"/>
        <v>8.1350000000000122</v>
      </c>
      <c r="H97" s="469" t="s">
        <v>12</v>
      </c>
      <c r="I97" s="2"/>
      <c r="J97" s="2"/>
      <c r="K97" s="2"/>
      <c r="O97" s="58"/>
      <c r="P97" s="58"/>
    </row>
    <row r="98" spans="1:16">
      <c r="A98"/>
      <c r="B98" s="531"/>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31"/>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31"/>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31"/>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31"/>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31"/>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31"/>
      <c r="C104" s="509">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31"/>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31"/>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31"/>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31"/>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31"/>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31"/>
      <c r="C110" s="510">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30">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31"/>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31"/>
      <c r="C113" s="509">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31"/>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31"/>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31"/>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31"/>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31"/>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31"/>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31"/>
      <c r="C120" s="509">
        <v>1</v>
      </c>
      <c r="D120" s="38"/>
      <c r="E120" s="38">
        <f t="shared" si="3"/>
        <v>-1</v>
      </c>
      <c r="F120" s="59">
        <f>SUM($E$2:E120)/SUM($C$2:C120)</f>
        <v>1.3932773109243783E-2</v>
      </c>
      <c r="G120" s="38">
        <f t="shared" si="4"/>
        <v>1.6580000000000101</v>
      </c>
      <c r="H120" s="469" t="s">
        <v>21</v>
      </c>
      <c r="I120" s="2"/>
      <c r="J120" s="2"/>
      <c r="K120" s="2"/>
      <c r="O120" s="58"/>
      <c r="P120" s="58"/>
    </row>
    <row r="121" spans="1:16">
      <c r="A121"/>
      <c r="B121" s="531"/>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31"/>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31"/>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31"/>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31"/>
      <c r="C125" s="510">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30">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31"/>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31"/>
      <c r="C128" s="509">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31"/>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31"/>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31"/>
      <c r="C131" s="509">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31"/>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31"/>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31"/>
      <c r="C134" s="510">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30">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31"/>
      <c r="C136" s="509">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31"/>
      <c r="C137" s="509">
        <v>1</v>
      </c>
      <c r="D137" s="38"/>
      <c r="E137" s="38">
        <f t="shared" si="6"/>
        <v>-1</v>
      </c>
      <c r="F137" s="59">
        <f>SUM($E$2:E137)/SUM($C$2:C137)</f>
        <v>-3.094117647058816E-2</v>
      </c>
      <c r="G137" s="38">
        <f t="shared" si="5"/>
        <v>-4.2079999999999895</v>
      </c>
      <c r="H137" s="469" t="s">
        <v>35</v>
      </c>
      <c r="I137" s="2"/>
      <c r="J137" s="2"/>
      <c r="K137" s="2"/>
      <c r="O137" s="58"/>
      <c r="P137" s="58"/>
    </row>
    <row r="138" spans="1:16">
      <c r="A138"/>
      <c r="B138" s="531"/>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31"/>
      <c r="C139" s="510">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30">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31"/>
      <c r="C141" s="509">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31"/>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31"/>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31"/>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31"/>
      <c r="C145" s="509">
        <v>1</v>
      </c>
      <c r="D145" s="38"/>
      <c r="E145" s="38">
        <f t="shared" si="6"/>
        <v>-1</v>
      </c>
      <c r="F145" s="59">
        <f>SUM($E$2:E145)/SUM($C$2:C145)</f>
        <v>-3.2486111111111028E-2</v>
      </c>
      <c r="G145" s="38">
        <f t="shared" si="5"/>
        <v>-4.6779999999999884</v>
      </c>
      <c r="H145" s="469" t="s">
        <v>47</v>
      </c>
      <c r="I145" s="2"/>
      <c r="J145" s="2"/>
      <c r="K145" s="2"/>
      <c r="O145" s="58"/>
      <c r="P145" s="58"/>
    </row>
    <row r="146" spans="1:16">
      <c r="A146"/>
      <c r="B146" s="531"/>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31"/>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31"/>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31"/>
      <c r="C149" s="510">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30">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31"/>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31"/>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31"/>
      <c r="C153" s="510">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31"/>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31"/>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31"/>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31"/>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31"/>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31"/>
      <c r="C159" s="510">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31"/>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31"/>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31"/>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31"/>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31"/>
      <c r="C164" s="510">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30">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31"/>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31"/>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31"/>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31"/>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31"/>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31"/>
      <c r="C171" s="510">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31"/>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31"/>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31"/>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31"/>
      <c r="C175" s="510">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31"/>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31"/>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31"/>
      <c r="C178" s="471">
        <v>1</v>
      </c>
      <c r="D178" s="465"/>
      <c r="E178" s="465">
        <f t="shared" si="6"/>
        <v>-1</v>
      </c>
      <c r="F178" s="466">
        <f>SUM($E$2:E178)/SUM($C$2:C178)</f>
        <v>2.8378531073446386E-2</v>
      </c>
      <c r="G178" s="465">
        <f t="shared" si="5"/>
        <v>5.0230000000000103</v>
      </c>
      <c r="H178" s="475" t="s">
        <v>98</v>
      </c>
      <c r="O178" s="58"/>
      <c r="P178" s="58"/>
    </row>
    <row r="179" spans="1:16">
      <c r="A179"/>
      <c r="B179" s="531"/>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31"/>
      <c r="C180" s="510">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30">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31"/>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31"/>
      <c r="C183" s="510">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31"/>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31"/>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31"/>
      <c r="C186" s="510">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31"/>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31"/>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31"/>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31"/>
      <c r="C190" s="510">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30">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31"/>
      <c r="C192" s="510">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31"/>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31"/>
      <c r="C194" s="510">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31"/>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31"/>
      <c r="C196" s="510">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30">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31"/>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31"/>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31"/>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31"/>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31"/>
      <c r="C202" s="510">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31"/>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31"/>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31"/>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31"/>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31"/>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31"/>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31"/>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31"/>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31"/>
      <c r="C211" s="510">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31"/>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31"/>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31"/>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31"/>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31"/>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31"/>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31"/>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31"/>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31"/>
      <c r="C220" s="510">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30">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31"/>
      <c r="C222" s="510">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31"/>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31"/>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31"/>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31"/>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31"/>
      <c r="C227" s="510">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31"/>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31"/>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31"/>
      <c r="C230" s="510">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30">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31"/>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31"/>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31"/>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31"/>
      <c r="C235" s="510">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31"/>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31"/>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31"/>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31"/>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31"/>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31"/>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31"/>
      <c r="C242" s="510">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31"/>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31"/>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31"/>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31"/>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31"/>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31"/>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31"/>
      <c r="C249" s="510">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30">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31"/>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31"/>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31"/>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31"/>
      <c r="C254" s="510">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31"/>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31"/>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31"/>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31"/>
      <c r="C258" s="510">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31"/>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31"/>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31"/>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31"/>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31"/>
      <c r="C263" s="510">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30">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31"/>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31"/>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31"/>
      <c r="C267" s="510">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31"/>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31"/>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31"/>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31"/>
      <c r="C271" s="510">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31"/>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31"/>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31"/>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31"/>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31"/>
      <c r="C276" s="510">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30">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31"/>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31"/>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31"/>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31"/>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31"/>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31"/>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31"/>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31"/>
      <c r="C285" s="510">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31"/>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31"/>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31"/>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31"/>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31"/>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31"/>
      <c r="C291" s="510">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31"/>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31"/>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31"/>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31"/>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31"/>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31"/>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31"/>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31"/>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31"/>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31"/>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31"/>
      <c r="C302" s="510">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30">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31"/>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31"/>
      <c r="C305" s="510">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31"/>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31"/>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31"/>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31"/>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31"/>
      <c r="C310" s="510">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31"/>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31"/>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31"/>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31"/>
      <c r="C314" s="510">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30">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31"/>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31"/>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31"/>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31"/>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31"/>
      <c r="C320" s="510">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31"/>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31"/>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31"/>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31"/>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31"/>
      <c r="C325" s="510">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31"/>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31"/>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31"/>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31"/>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31"/>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31"/>
      <c r="C331" s="510">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30">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31"/>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31"/>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31"/>
      <c r="C335" s="510">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31"/>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31"/>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31"/>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31"/>
      <c r="C339" s="510">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31"/>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31"/>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31"/>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31"/>
      <c r="C343" s="510">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30">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31"/>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31"/>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31"/>
      <c r="C347" s="510">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31"/>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31"/>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31"/>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31"/>
      <c r="C351" s="510">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31"/>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31"/>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31"/>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31"/>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31"/>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31"/>
      <c r="C357" s="510">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30">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31"/>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31"/>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31"/>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31"/>
      <c r="C362" s="510">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31"/>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31"/>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31"/>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31"/>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31"/>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31"/>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31"/>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31"/>
      <c r="C370" s="510">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31"/>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31"/>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31"/>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31"/>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31"/>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31"/>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31"/>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31"/>
      <c r="C378" s="510">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30">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31"/>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31"/>
      <c r="C381" s="510">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31"/>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31"/>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31"/>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31"/>
      <c r="C385" s="510">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31"/>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31"/>
      <c r="C387" s="510">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30">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31"/>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31"/>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31"/>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31"/>
      <c r="C392" s="510">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31"/>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31"/>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31"/>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31"/>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31"/>
      <c r="C397" s="510">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31"/>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31"/>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31"/>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31"/>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31"/>
      <c r="C402" s="510">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30">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31"/>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31"/>
      <c r="C405" s="510">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31"/>
      <c r="C406" s="510">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31"/>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31"/>
      <c r="C408" s="510">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30">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31"/>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31"/>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31"/>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31"/>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31"/>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31"/>
      <c r="C415" s="510">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31"/>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31"/>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31"/>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31"/>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31"/>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31"/>
      <c r="C421" s="510">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31"/>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31"/>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31"/>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31"/>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31"/>
      <c r="C426" s="510">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30">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31"/>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31"/>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31"/>
      <c r="C430" s="510">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31"/>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31"/>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31"/>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31"/>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31"/>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31"/>
      <c r="C436" s="510">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31"/>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31"/>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31"/>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31"/>
      <c r="C440" s="510">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30">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31"/>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31"/>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31"/>
      <c r="C444" s="510">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31"/>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31"/>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31"/>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31"/>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31"/>
      <c r="C449" s="510">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31"/>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31"/>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31"/>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31"/>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31"/>
      <c r="C454" s="510">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30">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31"/>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31"/>
      <c r="C457" s="510">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31"/>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31"/>
      <c r="C459" s="510">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31"/>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31"/>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31"/>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31"/>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31"/>
      <c r="C464" s="510">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30">
        <v>46028</v>
      </c>
      <c r="C465" s="510">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31"/>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31"/>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31"/>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31"/>
      <c r="C469" s="510">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31"/>
      <c r="C470" s="471">
        <v>1</v>
      </c>
      <c r="D470" s="465"/>
      <c r="E470" s="465">
        <f t="shared" si="16"/>
        <v>-1</v>
      </c>
      <c r="F470" s="466">
        <f>SUM($E$2:E470)/SUM($C$2:C470)</f>
        <v>3.0255509545488279E-2</v>
      </c>
      <c r="G470" s="465">
        <f t="shared" si="15"/>
        <v>14.189833976834002</v>
      </c>
      <c r="H470" s="475" t="s">
        <v>24</v>
      </c>
      <c r="O470" s="58"/>
      <c r="P470" s="58"/>
    </row>
    <row r="471" spans="1:16">
      <c r="A471"/>
      <c r="B471" s="531"/>
      <c r="C471" s="510">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30">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31"/>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31"/>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31"/>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31"/>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31"/>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31"/>
      <c r="C478" s="510">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31"/>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31"/>
      <c r="C480" s="510">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31"/>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31"/>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2"/>
      <c r="C483" s="510">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30">
        <v>46030</v>
      </c>
      <c r="C484" s="510">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31"/>
      <c r="C485" s="510">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31"/>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31"/>
      <c r="C487" s="510">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30">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31"/>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31"/>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31"/>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31"/>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31"/>
      <c r="C493" s="510">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31"/>
      <c r="C494" s="510">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31"/>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31"/>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31"/>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31"/>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31"/>
      <c r="C499" s="510">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30">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31"/>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31"/>
      <c r="C502" s="510">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31"/>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31"/>
      <c r="C504" s="510">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31"/>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31"/>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31"/>
      <c r="C507" s="510">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30">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31"/>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31"/>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31"/>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31"/>
      <c r="C512" s="510">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31"/>
      <c r="C513" s="510">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31"/>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31"/>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31"/>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31"/>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31"/>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2"/>
      <c r="C519" s="510">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31">
        <v>46034</v>
      </c>
      <c r="C520" s="510">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31"/>
      <c r="C521" s="510">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31"/>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31"/>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31"/>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31"/>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31"/>
      <c r="C526" s="510">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30">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31"/>
      <c r="C528" s="510">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30">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31"/>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31"/>
      <c r="C531" s="510">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31"/>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31"/>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31"/>
      <c r="C534" s="510">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31"/>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31"/>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31"/>
      <c r="C537" s="510">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30">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31"/>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31"/>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31"/>
      <c r="C541" s="510">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31"/>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31"/>
      <c r="C543" s="510">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31"/>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31"/>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31"/>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2"/>
      <c r="C547" s="510">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31">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31"/>
      <c r="C549" s="510">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31"/>
      <c r="C550" s="510">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31"/>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31"/>
      <c r="C552" s="510">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30">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31"/>
      <c r="C554" s="510">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31"/>
      <c r="C555" s="508">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2"/>
      <c r="C556" s="510">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31">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31"/>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31"/>
      <c r="C559" s="510">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31"/>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31"/>
      <c r="C561" s="510">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31"/>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31"/>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31"/>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2"/>
      <c r="C565" s="510">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31">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31"/>
      <c r="C567" s="510">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31"/>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31"/>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31"/>
      <c r="C570" s="510">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30">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31"/>
      <c r="C572" s="510">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31"/>
      <c r="C573" s="510">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31"/>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2"/>
      <c r="C575" s="510">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31">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31"/>
      <c r="C577" s="510">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31"/>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31"/>
      <c r="C579" s="510">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31"/>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31"/>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31"/>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31"/>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2"/>
      <c r="C584" s="510">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31">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31"/>
      <c r="C586" s="510">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31"/>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31"/>
      <c r="C588" s="510">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31"/>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31"/>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31"/>
      <c r="C591" s="510">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30">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31"/>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31"/>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31"/>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31"/>
      <c r="C596" s="510">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31"/>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31"/>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31"/>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31"/>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31"/>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31"/>
      <c r="C602" s="510">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31"/>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31"/>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31"/>
      <c r="C605" s="510">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30">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31"/>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31"/>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31"/>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31"/>
      <c r="C610" s="510">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31"/>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31"/>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31"/>
      <c r="C613" s="510">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30">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31"/>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31"/>
      <c r="C616" s="515">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31"/>
      <c r="C617" s="515">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31"/>
      <c r="C618" s="516">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31"/>
      <c r="C619" s="515">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31"/>
      <c r="C620" s="515">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31"/>
      <c r="C621" s="515">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31"/>
      <c r="C622" s="516">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31"/>
      <c r="C623" s="516">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30">
        <v>46049</v>
      </c>
      <c r="C624" s="515">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31"/>
      <c r="C625" s="515">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31"/>
      <c r="C626" s="515">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31"/>
      <c r="C627" s="516">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31"/>
      <c r="C628" s="515">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31"/>
      <c r="C629" s="515">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31"/>
      <c r="C630" s="515">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31"/>
      <c r="C631" s="515">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31"/>
      <c r="C632" s="516">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31"/>
      <c r="C633" s="516">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30">
        <v>46050</v>
      </c>
      <c r="C634" s="515">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31"/>
      <c r="C635" s="515">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31"/>
      <c r="C636" s="515">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31"/>
      <c r="C637" s="515">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31"/>
      <c r="C638" s="516">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31"/>
      <c r="C639" s="515">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31"/>
      <c r="C640" s="515">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31"/>
      <c r="C641" s="515">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31"/>
      <c r="C642" s="515">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31"/>
      <c r="C643" s="515">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31"/>
      <c r="C644" s="515">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31"/>
      <c r="C645" s="516">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31"/>
      <c r="C646" s="515">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31"/>
      <c r="C647" s="515">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31"/>
      <c r="C648" s="516">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30">
        <v>46051</v>
      </c>
      <c r="C649" s="515">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31"/>
      <c r="C650" s="515">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31"/>
      <c r="C651" s="516">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31"/>
      <c r="C652" s="515">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31"/>
      <c r="C653" s="515">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31"/>
      <c r="C654" s="515">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31"/>
      <c r="C655" s="515">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31"/>
      <c r="C656" s="515">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31"/>
      <c r="C657" s="516">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30">
        <v>46052</v>
      </c>
      <c r="C658" s="515">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31"/>
      <c r="C659" s="515">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31"/>
      <c r="C660" s="515">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31"/>
      <c r="C661" s="516">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31"/>
      <c r="C662" s="515">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31"/>
      <c r="C663" s="515">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31"/>
      <c r="C664" s="515">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31"/>
      <c r="C665" s="516">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31"/>
      <c r="C666" s="515">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31"/>
      <c r="C667" s="515">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31"/>
      <c r="C668" s="515">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2"/>
      <c r="C669" s="516">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31">
        <v>46053</v>
      </c>
      <c r="C670" s="515">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31"/>
      <c r="C671" s="515">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31"/>
      <c r="C672" s="516">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31"/>
      <c r="C673" s="515">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31"/>
      <c r="C674" s="516">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31"/>
      <c r="C675" s="516">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30">
        <v>46054</v>
      </c>
      <c r="C676" s="515">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31"/>
      <c r="C677" s="515">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31"/>
      <c r="C678" s="515">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31"/>
      <c r="C679" s="515">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31"/>
      <c r="C680" s="515">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31"/>
      <c r="C681" s="515">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31"/>
      <c r="C682" s="516">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31"/>
      <c r="C683" s="515">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31"/>
      <c r="C684" s="515">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31"/>
      <c r="C685" s="515">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31"/>
      <c r="C686" s="515">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31"/>
      <c r="C687" s="515">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31"/>
      <c r="C688" s="516">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31"/>
      <c r="C689" s="515">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31"/>
      <c r="C690" s="515">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31"/>
      <c r="C691" s="515">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31"/>
      <c r="C692" s="516">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30">
        <v>46055</v>
      </c>
      <c r="C693" s="516">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31"/>
      <c r="C694" s="515">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31"/>
      <c r="C695" s="516">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30">
        <v>46056</v>
      </c>
      <c r="C696" s="515">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31"/>
      <c r="C697" s="515">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31"/>
      <c r="C698" s="516">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31"/>
      <c r="C699" s="515">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31"/>
      <c r="C700" s="515">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31"/>
      <c r="C701" s="515">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31"/>
      <c r="C702" s="515">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31"/>
      <c r="C703" s="516">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31"/>
      <c r="C704" s="515">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31"/>
      <c r="C705" s="515">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31"/>
      <c r="C706" s="515">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31"/>
      <c r="C707" s="516">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30">
        <v>46057</v>
      </c>
      <c r="C708" s="515">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31"/>
      <c r="C709" s="515">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31"/>
      <c r="C710" s="516">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31"/>
      <c r="C711" s="516">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31"/>
      <c r="C712" s="515">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31"/>
      <c r="C713" s="515">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31"/>
      <c r="C714" s="515">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31"/>
      <c r="C715" s="515">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31"/>
      <c r="C716" s="515">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31"/>
      <c r="C717" s="516">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30">
        <v>46058</v>
      </c>
      <c r="C718" s="515">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31"/>
      <c r="C719" s="515">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31"/>
      <c r="C720" s="515">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31"/>
      <c r="C721" s="515">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31"/>
      <c r="C722" s="516">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31"/>
      <c r="C723" s="515">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31"/>
      <c r="C724" s="515">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31"/>
      <c r="C725" s="515">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31"/>
      <c r="C726" s="515">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31"/>
      <c r="C727" s="516">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31"/>
      <c r="C728" s="515">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31"/>
      <c r="C729" s="516">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30">
        <v>46059</v>
      </c>
      <c r="C730" s="515">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31"/>
      <c r="C731" s="515">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31"/>
      <c r="C732" s="516">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31"/>
      <c r="C733" s="515">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31"/>
      <c r="C734" s="515">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31"/>
      <c r="C735" s="516">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31"/>
      <c r="C736" s="515">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31"/>
      <c r="C737" s="515">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2"/>
      <c r="C738" s="516">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31">
        <v>46060</v>
      </c>
      <c r="C739" s="515">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31"/>
      <c r="C740" s="515">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31"/>
      <c r="C741" s="515">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31"/>
      <c r="C742" s="515">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31"/>
      <c r="C743" s="516">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31"/>
      <c r="C744" s="515">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31"/>
      <c r="C745" s="515">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31"/>
      <c r="C746" s="515">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31"/>
      <c r="C747" s="515">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31"/>
      <c r="C748" s="515">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31"/>
      <c r="C749" s="515">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31"/>
      <c r="C750" s="515">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31"/>
      <c r="C751" s="515">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31"/>
      <c r="C752" s="516">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31"/>
      <c r="C753" s="516">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30">
        <v>46061</v>
      </c>
      <c r="C754" s="515">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31"/>
      <c r="C755" s="516">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2"/>
      <c r="C756" s="516">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30">
        <v>46062</v>
      </c>
      <c r="C757" s="515">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31"/>
      <c r="C758" s="515">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31"/>
      <c r="C759" s="515">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31"/>
      <c r="C760" s="515">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31"/>
      <c r="C761" s="516">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31"/>
      <c r="C762" s="515">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31"/>
      <c r="C763" s="515">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31"/>
      <c r="C764" s="515">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31"/>
      <c r="C765" s="515">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31"/>
      <c r="C766" s="515">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31"/>
      <c r="C767" s="515">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31"/>
      <c r="C768" s="516">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31"/>
      <c r="C769" s="516">
        <v>1</v>
      </c>
      <c r="D769" s="478">
        <v>2.4700000000000002</v>
      </c>
      <c r="E769" s="478">
        <f t="shared" si="24"/>
        <v>1.4700000000000002</v>
      </c>
      <c r="F769" s="485">
        <f>SUM($E$2:E769)/SUM($C$2:C769)</f>
        <v>7.367035674066931E-2</v>
      </c>
      <c r="G769" s="521">
        <f t="shared" si="25"/>
        <v>56.578833976834026</v>
      </c>
      <c r="H769" s="486" t="s">
        <v>20</v>
      </c>
      <c r="I769" s="2">
        <f>SUM(E757:E769)</f>
        <v>5.4720000000000013</v>
      </c>
      <c r="L769" s="2">
        <f>I769/C769</f>
        <v>5.4720000000000013</v>
      </c>
      <c r="O769" s="58"/>
      <c r="P769" s="58"/>
    </row>
    <row r="770" spans="1:16">
      <c r="A770"/>
      <c r="B770" s="530">
        <v>46063</v>
      </c>
      <c r="C770" s="515">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31"/>
      <c r="C771" s="516">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31"/>
      <c r="C772" s="515">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31"/>
      <c r="C773" s="516">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31"/>
      <c r="C774" s="516">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30">
        <v>46064</v>
      </c>
      <c r="C775" s="515">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31"/>
      <c r="C776" s="515">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31"/>
      <c r="C777" s="515">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31"/>
      <c r="C778" s="515">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31"/>
      <c r="C779" s="515">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31"/>
      <c r="C780" s="515">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31"/>
      <c r="C781" s="515">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31"/>
      <c r="C782" s="515">
        <v>1</v>
      </c>
      <c r="D782" s="495"/>
      <c r="E782" s="479">
        <f t="shared" si="26"/>
        <v>-1</v>
      </c>
      <c r="F782" s="483">
        <f>SUM($E$2:E782)/SUM($C$2:C782)</f>
        <v>6.5465856564448172E-2</v>
      </c>
      <c r="G782" s="479">
        <f t="shared" si="25"/>
        <v>51.128833976834024</v>
      </c>
      <c r="H782" s="484" t="s">
        <v>21</v>
      </c>
      <c r="I782" s="2"/>
      <c r="J782" s="2"/>
      <c r="K782" s="2"/>
      <c r="L782" s="2"/>
      <c r="O782" s="58"/>
      <c r="P782" s="58"/>
    </row>
    <row r="783" spans="1:16">
      <c r="A783"/>
      <c r="B783" s="531"/>
      <c r="C783" s="515">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31"/>
      <c r="C784" s="516">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31"/>
      <c r="C785" s="515">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31"/>
      <c r="C786" s="515">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31"/>
      <c r="C787" s="515">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31"/>
      <c r="C788" s="515">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31"/>
      <c r="C789" s="515">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31"/>
      <c r="C790" s="515">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31"/>
      <c r="C791" s="515">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31"/>
      <c r="C792" s="515">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31"/>
      <c r="C793" s="515">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31"/>
      <c r="C794" s="516">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31"/>
      <c r="C795" s="515">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31"/>
      <c r="C796" s="515">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31"/>
      <c r="C797" s="515">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2"/>
      <c r="C798" s="516">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30">
        <v>46065</v>
      </c>
      <c r="C799" s="516">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31"/>
      <c r="C800" s="515">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31"/>
      <c r="C801" s="515">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31"/>
      <c r="C802" s="516">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31"/>
      <c r="C803" s="516">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30">
        <v>46072</v>
      </c>
      <c r="C804" s="515">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31"/>
      <c r="C805" s="515">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31"/>
      <c r="C806" s="515">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31"/>
      <c r="C807" s="515">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31"/>
      <c r="C808" s="515">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31"/>
      <c r="C809" s="515">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31"/>
      <c r="C810" s="516">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31"/>
      <c r="C811" s="515">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31"/>
      <c r="C812" s="515">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31"/>
      <c r="C813" s="515">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31"/>
      <c r="C814" s="515">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31"/>
      <c r="C815" s="515">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31"/>
      <c r="C816" s="515">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31"/>
      <c r="C817" s="515">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31"/>
      <c r="C818" s="515">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31"/>
      <c r="C819" s="515">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31"/>
      <c r="C820" s="516">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31"/>
      <c r="C821" s="515">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31"/>
      <c r="C822" s="515">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2"/>
      <c r="C823" s="516">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30">
        <v>46073</v>
      </c>
      <c r="C824" s="515">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31"/>
      <c r="C825" s="515">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31"/>
      <c r="C826" s="515">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31"/>
      <c r="C827" s="515">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31"/>
      <c r="C828" s="515">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31"/>
      <c r="C829" s="515">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31"/>
      <c r="C830" s="516">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31"/>
      <c r="C831" s="515">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31"/>
      <c r="C832" s="515">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31"/>
      <c r="C833" s="515">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31"/>
      <c r="C834" s="515">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31"/>
      <c r="C835" s="515">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31"/>
      <c r="C836" s="516">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31"/>
      <c r="C837" s="515">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31"/>
      <c r="C838" s="516">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30">
        <v>46074</v>
      </c>
      <c r="C839" s="515">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31"/>
      <c r="C840" s="515">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31"/>
      <c r="C841" s="516">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31"/>
      <c r="C842" s="515">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31"/>
      <c r="C843" s="515">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31"/>
      <c r="C844" s="515">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31"/>
      <c r="C845" s="515">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31"/>
      <c r="C846" s="516">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31"/>
      <c r="C847" s="515">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2"/>
      <c r="C848" s="516">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30">
        <v>46075</v>
      </c>
      <c r="C849" s="515">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31"/>
      <c r="C850" s="515">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31"/>
      <c r="C851" s="515">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31"/>
      <c r="C852" s="515">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31"/>
      <c r="C853" s="516">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31"/>
      <c r="C854" s="515">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31"/>
      <c r="C855" s="515">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31"/>
      <c r="C856" s="515">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31"/>
      <c r="C857" s="515">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31"/>
      <c r="C858" s="515">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31"/>
      <c r="C859" s="516">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31"/>
      <c r="C860" s="515">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31"/>
      <c r="C861" s="515">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31"/>
      <c r="C862" s="515">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31"/>
      <c r="C863" s="515">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31"/>
      <c r="C864" s="515">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31"/>
      <c r="C865" s="515">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31"/>
      <c r="C866" s="516">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30">
        <v>46076</v>
      </c>
      <c r="C867" s="515">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31"/>
      <c r="C868" s="515">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31"/>
      <c r="C869" s="516">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31"/>
      <c r="C870" s="516">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2"/>
      <c r="C871" s="516">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31">
        <v>46077</v>
      </c>
      <c r="C872" s="515">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31"/>
      <c r="C873" s="515">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31"/>
      <c r="C874" s="516">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31"/>
      <c r="C875" s="515">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31"/>
      <c r="C876" s="515">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31"/>
      <c r="C877" s="515">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31"/>
      <c r="C878" s="515">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31"/>
      <c r="C879" s="515">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31"/>
      <c r="C880" s="516">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31"/>
      <c r="C881" s="515">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31"/>
      <c r="C882" s="515">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31"/>
      <c r="C883" s="515">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31"/>
      <c r="C884" s="515">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31"/>
      <c r="C885" s="516">
        <v>1</v>
      </c>
      <c r="D885" s="496"/>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30">
        <v>46078</v>
      </c>
      <c r="C886" s="515">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31"/>
      <c r="C887" s="515">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31"/>
      <c r="C888" s="515">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31"/>
      <c r="C889" s="515">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31"/>
      <c r="C890" s="516">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31"/>
      <c r="C891" s="515">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31"/>
      <c r="C892" s="515">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31"/>
      <c r="C893" s="515">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31"/>
      <c r="C894" s="516">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31"/>
      <c r="C895" s="515">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31"/>
      <c r="C896" s="515">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2"/>
      <c r="C897" s="516">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31">
        <v>46079</v>
      </c>
      <c r="C898" s="515">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31"/>
      <c r="C899" s="515">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31"/>
      <c r="C900" s="515">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31"/>
      <c r="C901" s="516">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31"/>
      <c r="C902" s="515">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31"/>
      <c r="C903" s="515">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31"/>
      <c r="C904" s="515">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31"/>
      <c r="C905" s="515">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31"/>
      <c r="C906" s="515">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31"/>
      <c r="C907" s="516">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31"/>
      <c r="C908" s="515">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31"/>
      <c r="C909" s="515">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31"/>
      <c r="C910" s="515">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31"/>
      <c r="C911" s="516">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30">
        <v>46080</v>
      </c>
      <c r="C912" s="515">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31"/>
      <c r="C913" s="515">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31"/>
      <c r="C914" s="515">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31"/>
      <c r="C915" s="515">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31"/>
      <c r="C916" s="516">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31"/>
      <c r="C917" s="515">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31"/>
      <c r="C918" s="515">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31"/>
      <c r="C919" s="516">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31"/>
      <c r="C920" s="515">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31"/>
      <c r="C921" s="515">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2"/>
      <c r="C922" s="516">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30">
        <v>46081</v>
      </c>
      <c r="C923" s="515">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31"/>
      <c r="C924" s="516">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31"/>
      <c r="C925" s="515">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31"/>
      <c r="C926" s="515">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31"/>
      <c r="C927" s="515">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31"/>
      <c r="C928" s="516">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31"/>
      <c r="C929" s="515">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31"/>
      <c r="C930" s="515">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31"/>
      <c r="C931" s="516">
        <v>1</v>
      </c>
      <c r="D931" s="482"/>
      <c r="E931" s="482">
        <f t="shared" si="30"/>
        <v>-1</v>
      </c>
      <c r="F931" s="485">
        <f>SUM($E$2:E931)/SUM($C$2:C931)</f>
        <v>4.94116494374559E-2</v>
      </c>
      <c r="G931" s="478">
        <f t="shared" si="29"/>
        <v>45.952833976833986</v>
      </c>
      <c r="H931" s="500" t="s">
        <v>21</v>
      </c>
      <c r="I931" s="2">
        <f>SUM(E923:E931)</f>
        <v>2.6630000000000003</v>
      </c>
      <c r="K931" s="2">
        <f>SUM(E676:E931)</f>
        <v>-2.2589999999999981</v>
      </c>
      <c r="L931" s="2">
        <f>I931/C931</f>
        <v>2.6630000000000003</v>
      </c>
      <c r="O931" s="58"/>
      <c r="P931" s="58"/>
    </row>
    <row r="932" spans="1:16">
      <c r="A932"/>
      <c r="B932" s="530">
        <v>46082</v>
      </c>
      <c r="C932" s="515">
        <v>1</v>
      </c>
      <c r="D932" s="481">
        <v>1.784</v>
      </c>
      <c r="E932" s="481">
        <f t="shared" si="30"/>
        <v>0.78400000000000003</v>
      </c>
      <c r="F932" s="483">
        <f>SUM($E$2:E932)/SUM($C$2:C932)</f>
        <v>5.0200680963301811E-2</v>
      </c>
      <c r="G932" s="479">
        <f t="shared" si="29"/>
        <v>46.736833976833985</v>
      </c>
      <c r="H932" s="501" t="s">
        <v>77</v>
      </c>
      <c r="I932" s="2"/>
      <c r="J932" s="2"/>
      <c r="K932" s="2"/>
      <c r="L932" s="2"/>
      <c r="O932" s="58"/>
      <c r="P932" s="58"/>
    </row>
    <row r="933" spans="1:16">
      <c r="A933"/>
      <c r="B933" s="531"/>
      <c r="C933" s="515">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31"/>
      <c r="C934" s="515">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31"/>
      <c r="C935" s="515">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31"/>
      <c r="C936" s="515">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31"/>
      <c r="C937" s="516">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31"/>
      <c r="C938" s="515">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31"/>
      <c r="C939" s="515">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31"/>
      <c r="C940" s="515">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31"/>
      <c r="C941" s="515">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31"/>
      <c r="C942" s="515">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31"/>
      <c r="C943" s="515">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31"/>
      <c r="C944" s="515">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31"/>
      <c r="C945" s="516">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31"/>
      <c r="C946" s="516">
        <v>1</v>
      </c>
      <c r="D946" s="497">
        <v>1.984</v>
      </c>
      <c r="E946" s="497">
        <f t="shared" si="30"/>
        <v>0.98399999999999999</v>
      </c>
      <c r="F946" s="498">
        <f>SUM($E$2:E946)/SUM($C$2:C946)</f>
        <v>5.6456967171252898E-2</v>
      </c>
      <c r="G946" s="499">
        <f t="shared" si="29"/>
        <v>53.351833976833987</v>
      </c>
      <c r="H946" s="486" t="s">
        <v>49</v>
      </c>
      <c r="I946" s="440">
        <f>SUM(E932:E946)</f>
        <v>7.3990000000000009</v>
      </c>
      <c r="J946" s="440">
        <f>SUM(E867:E946)</f>
        <v>4.84</v>
      </c>
      <c r="L946" s="2">
        <f>I946/C946</f>
        <v>7.3990000000000009</v>
      </c>
      <c r="O946" s="58"/>
      <c r="P946" s="58"/>
    </row>
    <row r="947" spans="1:16">
      <c r="A947"/>
      <c r="B947" s="530">
        <v>46083</v>
      </c>
      <c r="C947" s="515">
        <v>1</v>
      </c>
      <c r="D947" s="502"/>
      <c r="E947" s="503">
        <f t="shared" si="30"/>
        <v>-1</v>
      </c>
      <c r="F947" s="504">
        <f>SUM($E$2:E947)/SUM($C$2:C947)</f>
        <v>5.5340205049507388E-2</v>
      </c>
      <c r="G947" s="505">
        <f t="shared" si="29"/>
        <v>52.351833976833987</v>
      </c>
      <c r="H947" s="506" t="s">
        <v>21</v>
      </c>
      <c r="I947" s="2"/>
      <c r="J947" s="2"/>
      <c r="K947" s="2"/>
      <c r="L947" s="2"/>
      <c r="O947" s="58"/>
      <c r="P947" s="58"/>
    </row>
    <row r="948" spans="1:16">
      <c r="A948"/>
      <c r="B948" s="531"/>
      <c r="C948" s="515">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31"/>
      <c r="C949" s="516">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2"/>
      <c r="C950" s="516">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30">
        <v>46084</v>
      </c>
      <c r="C951" s="515">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31"/>
      <c r="C952" s="515">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31"/>
      <c r="C953" s="515">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31"/>
      <c r="C954" s="515">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31"/>
      <c r="C955" s="515">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31"/>
      <c r="C956" s="515">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31"/>
      <c r="C957" s="516">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31"/>
      <c r="C958" s="515">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31"/>
      <c r="C959" s="515">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31"/>
      <c r="C960" s="515">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31"/>
      <c r="C961" s="515">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31"/>
      <c r="C962" s="515">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31"/>
      <c r="C963" s="516">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31"/>
      <c r="C964" s="515">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31"/>
      <c r="C965" s="516">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30">
        <v>46085</v>
      </c>
      <c r="C966" s="515">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31"/>
      <c r="C967" s="515">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31"/>
      <c r="C968" s="516">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31"/>
      <c r="C969" s="515">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31"/>
      <c r="C970" s="515">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31"/>
      <c r="C971" s="515">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31"/>
      <c r="C972" s="516">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31"/>
      <c r="C973" s="515">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2"/>
      <c r="C974" s="516">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30">
        <v>46086</v>
      </c>
      <c r="C975" s="515">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31"/>
      <c r="C976" s="515">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31"/>
      <c r="C977" s="515">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31"/>
      <c r="C978" s="507">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31"/>
      <c r="C979" s="507">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31"/>
      <c r="C980" s="508">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31"/>
      <c r="C981" s="507">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31"/>
      <c r="C982" s="507">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31"/>
      <c r="C983" s="507">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31"/>
      <c r="C984" s="507">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31"/>
      <c r="C985" s="507">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31"/>
      <c r="C986" s="507">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31"/>
      <c r="C987" s="508">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31"/>
      <c r="C988" s="507">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31"/>
      <c r="C989" s="507">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31"/>
      <c r="C990" s="508">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30">
        <v>46087</v>
      </c>
      <c r="C991" s="507">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31"/>
      <c r="C992" s="507">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31"/>
      <c r="C993" s="507">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31"/>
      <c r="C994" s="507">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31"/>
      <c r="C995" s="508">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31"/>
      <c r="C996" s="507">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31"/>
      <c r="C997" s="507">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31"/>
      <c r="C998" s="507">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31"/>
      <c r="C999" s="507">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31"/>
      <c r="C1000" s="507">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31"/>
      <c r="C1001" s="508">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30">
        <v>46088</v>
      </c>
      <c r="C1002" s="507">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31"/>
      <c r="C1003" s="507">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31"/>
      <c r="C1004" s="507">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31"/>
      <c r="C1005" s="508">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31"/>
      <c r="C1006" s="507">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31"/>
      <c r="C1007" s="507">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31"/>
      <c r="C1008" s="508">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31"/>
      <c r="C1009" s="507">
        <v>1</v>
      </c>
      <c r="D1009" s="481">
        <v>7.6</v>
      </c>
      <c r="E1009" s="481">
        <f t="shared" si="32"/>
        <v>6.6</v>
      </c>
      <c r="F1009" s="483">
        <f>SUM($E$2:E1009)/SUM($C$2:C1009)</f>
        <v>6.1248843230986089E-2</v>
      </c>
      <c r="G1009" s="522">
        <f t="shared" si="31"/>
        <v>61.73883397683398</v>
      </c>
      <c r="H1009" s="484" t="s">
        <v>20</v>
      </c>
      <c r="I1009" s="2"/>
      <c r="J1009" s="2"/>
      <c r="K1009" s="2"/>
      <c r="L1009" s="2"/>
      <c r="O1009" s="58"/>
      <c r="P1009" s="58"/>
    </row>
    <row r="1010" spans="1:16">
      <c r="A1010"/>
      <c r="B1010" s="531"/>
      <c r="C1010" s="508">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30">
        <v>46089</v>
      </c>
      <c r="C1011" s="507">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31"/>
      <c r="C1012" s="507">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31"/>
      <c r="C1013" s="507">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31"/>
      <c r="C1014" s="507">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31"/>
      <c r="C1015" s="507">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31"/>
      <c r="C1016" s="507">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31"/>
      <c r="C1017" s="508">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31"/>
      <c r="C1018" s="507">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31"/>
      <c r="C1019" s="507">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31"/>
      <c r="C1020" s="507">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31"/>
      <c r="C1021" s="507">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31"/>
      <c r="C1022" s="507">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31"/>
      <c r="C1023" s="508">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31"/>
      <c r="C1024" s="507">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31"/>
      <c r="C1025" s="507">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31"/>
      <c r="C1026" s="507">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31"/>
      <c r="C1027" s="507">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31"/>
      <c r="C1028" s="507">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31"/>
      <c r="C1029" s="508">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30">
        <v>46090</v>
      </c>
      <c r="C1030" s="507">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31"/>
      <c r="C1031" s="508">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31"/>
      <c r="C1032" s="508">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31"/>
      <c r="C1033" s="507">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31"/>
      <c r="C1034" s="508">
        <v>1</v>
      </c>
      <c r="D1034" s="482">
        <v>2.08</v>
      </c>
      <c r="E1034" s="482">
        <f t="shared" si="34"/>
        <v>1.08</v>
      </c>
      <c r="F1034" s="485">
        <f>SUM($E$2:E1034)/SUM($C$2:C1034)</f>
        <v>5.9261213917554678E-2</v>
      </c>
      <c r="G1034" s="478">
        <f t="shared" si="33"/>
        <v>61.216833976833982</v>
      </c>
      <c r="H1034" s="486" t="s">
        <v>12</v>
      </c>
      <c r="I1034" s="2">
        <f>SUM(E1030:E1034)</f>
        <v>0.9870000000000001</v>
      </c>
      <c r="J1034" s="2">
        <f>SUM(E1030:E1454)</f>
        <v>-49.379000000000026</v>
      </c>
      <c r="K1034" s="2">
        <f>SUM(E932:E1454)</f>
        <v>-35.102000000000018</v>
      </c>
      <c r="L1034" s="2">
        <f>I1034/C1034</f>
        <v>0.9870000000000001</v>
      </c>
      <c r="O1034" s="58"/>
      <c r="P1034" s="58"/>
    </row>
    <row r="1035" spans="1:16">
      <c r="A1035"/>
      <c r="B1035" s="530">
        <v>46091</v>
      </c>
      <c r="C1035" s="507">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31"/>
      <c r="C1036" s="507">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31"/>
      <c r="C1037" s="507">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31"/>
      <c r="C1038" s="507">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31"/>
      <c r="C1039" s="508">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31"/>
      <c r="C1040" s="507">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31"/>
      <c r="C1041" s="507">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31"/>
      <c r="C1042" s="507">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31"/>
      <c r="C1043" s="507">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31"/>
      <c r="C1044" s="507">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31"/>
      <c r="C1045" s="508">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31"/>
      <c r="C1046" s="507">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31"/>
      <c r="C1047" s="508">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30">
        <v>46092</v>
      </c>
      <c r="C1048" s="507">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31"/>
      <c r="C1049" s="507">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31"/>
      <c r="C1050" s="507">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31"/>
      <c r="C1051" s="507">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31"/>
      <c r="C1052" s="508">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31"/>
      <c r="C1053" s="507">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31"/>
      <c r="C1054" s="507">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31"/>
      <c r="C1055" s="507">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31"/>
      <c r="C1056" s="507">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31"/>
      <c r="C1057" s="508">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31"/>
      <c r="C1058" s="508">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30">
        <v>46093</v>
      </c>
      <c r="C1059" s="507">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31"/>
      <c r="C1060" s="507">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31"/>
      <c r="C1061" s="507">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31"/>
      <c r="C1062" s="507">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31"/>
      <c r="C1063" s="507">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31"/>
      <c r="C1064" s="507">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31"/>
      <c r="C1065" s="507">
        <v>1</v>
      </c>
      <c r="D1065" s="517">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31"/>
      <c r="C1066" s="508">
        <v>1</v>
      </c>
      <c r="D1066" s="518"/>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31"/>
      <c r="C1067" s="507">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31"/>
      <c r="C1068" s="507">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31"/>
      <c r="C1069" s="507">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31"/>
      <c r="C1070" s="507">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31"/>
      <c r="C1071" s="507">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31"/>
      <c r="C1072" s="508">
        <v>1</v>
      </c>
      <c r="D1072" s="519"/>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31"/>
      <c r="C1073" s="508">
        <v>1</v>
      </c>
      <c r="D1073" s="482"/>
      <c r="E1073" s="482">
        <f t="shared" si="34"/>
        <v>-1</v>
      </c>
      <c r="F1073" s="485">
        <f>SUM($E$2:E1073)/SUM($C$2:C1073)</f>
        <v>5.2525031694807829E-2</v>
      </c>
      <c r="G1073" s="478">
        <f t="shared" si="33"/>
        <v>56.306833976833992</v>
      </c>
      <c r="H1073" s="486" t="s">
        <v>32</v>
      </c>
      <c r="I1073" s="2">
        <f>SUM(E1059:E1073)</f>
        <v>-2.0339999999999998</v>
      </c>
      <c r="J1073" s="2">
        <f>SUM(E1030:E1459)</f>
        <v>-49.379000000000026</v>
      </c>
      <c r="K1073" s="2">
        <f>SUM(E932:E1459)</f>
        <v>-35.102000000000018</v>
      </c>
      <c r="L1073" s="2">
        <f>I1073/C1073</f>
        <v>-2.0339999999999998</v>
      </c>
      <c r="O1073" s="58"/>
      <c r="P1073" s="58"/>
    </row>
    <row r="1074" spans="1:16">
      <c r="A1074"/>
      <c r="B1074" s="530">
        <v>46094</v>
      </c>
      <c r="C1074" s="507">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31"/>
      <c r="C1075" s="507">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31"/>
      <c r="C1076" s="507">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31"/>
      <c r="C1077" s="507">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31"/>
      <c r="C1078" s="507">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31"/>
      <c r="C1079" s="507">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31"/>
      <c r="C1080" s="508">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31"/>
      <c r="C1081" s="507">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31"/>
      <c r="C1082" s="507">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31"/>
      <c r="C1083" s="507">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31"/>
      <c r="C1084" s="507">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31"/>
      <c r="C1085" s="507">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31"/>
      <c r="C1086" s="508">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31"/>
      <c r="C1087" s="507">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31"/>
      <c r="C1088" s="507">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31"/>
      <c r="C1089" s="507">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31"/>
      <c r="C1090" s="507">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31"/>
      <c r="C1091" s="508">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30">
        <v>46095</v>
      </c>
      <c r="C1092" s="507">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31"/>
      <c r="C1093" s="507">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31"/>
      <c r="C1094" s="507">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31"/>
      <c r="C1095" s="507">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31"/>
      <c r="C1096" s="507">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31"/>
      <c r="C1097" s="508">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31"/>
      <c r="C1098" s="507">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31"/>
      <c r="C1099" s="507">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31"/>
      <c r="C1100" s="507">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31"/>
      <c r="C1101" s="507">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31"/>
      <c r="C1102" s="508">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SUM(E1030:E1456)</f>
        <v>-49.379000000000026</v>
      </c>
      <c r="K1102" s="2">
        <f>SUM(E932:E1456)</f>
        <v>-35.102000000000018</v>
      </c>
      <c r="L1102" s="2">
        <f>I1102/C1102</f>
        <v>2.0700000000000003</v>
      </c>
      <c r="O1102" s="58"/>
      <c r="P1102" s="58"/>
    </row>
    <row r="1103" spans="1:16">
      <c r="A1103"/>
      <c r="B1103" s="530">
        <v>46096</v>
      </c>
      <c r="C1103" s="507">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31"/>
      <c r="C1104" s="507">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31"/>
      <c r="C1105" s="507">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31"/>
      <c r="C1106" s="507">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31"/>
      <c r="C1107" s="508">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31"/>
      <c r="C1108" s="507">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31"/>
      <c r="C1109" s="507">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31"/>
      <c r="C1110" s="507">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31"/>
      <c r="C1111" s="507">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31"/>
      <c r="C1112" s="507">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31"/>
      <c r="C1113" s="508">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31"/>
      <c r="C1114" s="507">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31"/>
      <c r="C1115" s="507">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31"/>
      <c r="C1116" s="507">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2"/>
      <c r="C1117" s="508">
        <v>1</v>
      </c>
      <c r="D1117" s="519"/>
      <c r="E1117" s="482">
        <f t="shared" si="36"/>
        <v>-1</v>
      </c>
      <c r="F1117" s="485">
        <f>SUM($E$2:E1117)/SUM($C$2:C1117)</f>
        <v>5.0620818975657692E-2</v>
      </c>
      <c r="G1117" s="478">
        <f t="shared" si="35"/>
        <v>56.492833976833985</v>
      </c>
      <c r="H1117" s="486" t="s">
        <v>21</v>
      </c>
      <c r="I1117" s="2">
        <f>SUM(E1103:E1117)</f>
        <v>3.2759999999999998</v>
      </c>
      <c r="J1117" s="2">
        <f>SUM(E1030:E1450)</f>
        <v>-49.379000000000026</v>
      </c>
      <c r="L1117" s="2">
        <f>I1117/C1117</f>
        <v>3.2759999999999998</v>
      </c>
      <c r="O1117" s="58"/>
      <c r="P1117" s="58"/>
    </row>
    <row r="1118" spans="1:16">
      <c r="A1118"/>
      <c r="B1118" s="530">
        <v>46097</v>
      </c>
      <c r="C1118" s="507">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31"/>
      <c r="C1119" s="507">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31"/>
      <c r="C1120" s="508">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31"/>
      <c r="C1121" s="507">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31"/>
      <c r="C1122" s="507">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31"/>
      <c r="C1123" s="508">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31"/>
      <c r="C1124" s="507">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31"/>
      <c r="C1125" s="507">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31"/>
      <c r="C1126" s="508">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30">
        <v>46098</v>
      </c>
      <c r="C1127" s="507">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31"/>
      <c r="C1128" s="507">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31"/>
      <c r="C1129" s="507">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31"/>
      <c r="C1130" s="508">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31"/>
      <c r="C1131" s="507">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31"/>
      <c r="C1132" s="507">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31"/>
      <c r="C1133" s="507">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31"/>
      <c r="C1134" s="508">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31"/>
      <c r="C1135" s="507">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2"/>
      <c r="C1136" s="508">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31">
        <v>46099</v>
      </c>
      <c r="C1137" s="507">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31"/>
      <c r="C1138" s="507">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31"/>
      <c r="C1139" s="507">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31"/>
      <c r="C1140" s="508">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31"/>
      <c r="C1141" s="507">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31"/>
      <c r="C1142" s="507">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31"/>
      <c r="C1143" s="507">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31"/>
      <c r="C1144" s="507">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31"/>
      <c r="C1145" s="507">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31"/>
      <c r="C1146" s="508">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31"/>
      <c r="C1147" s="507">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31"/>
      <c r="C1148" s="507">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31"/>
      <c r="C1149" s="507">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31"/>
      <c r="C1150" s="508">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30">
        <v>46100</v>
      </c>
      <c r="C1151" s="507">
        <v>1</v>
      </c>
      <c r="D1151" s="481"/>
      <c r="E1151" s="481">
        <f t="shared" si="36"/>
        <v>-1</v>
      </c>
      <c r="F1151" s="483">
        <f>SUM($E$2:E1151)/SUM($C$2:C1151)</f>
        <v>3.4372899110290414E-2</v>
      </c>
      <c r="G1151" s="479">
        <f t="shared" ref="G1151:G1214" si="37">G1150+E1151</f>
        <v>39.52883397683398</v>
      </c>
      <c r="H1151" s="484" t="s">
        <v>46</v>
      </c>
      <c r="I1151" s="2"/>
      <c r="J1151" s="2"/>
      <c r="K1151" s="2"/>
      <c r="L1151" s="2"/>
      <c r="O1151" s="58"/>
      <c r="P1151" s="58"/>
    </row>
    <row r="1152" spans="1:16">
      <c r="A1152"/>
      <c r="B1152" s="531"/>
      <c r="C1152" s="507">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31"/>
      <c r="C1153" s="507">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31"/>
      <c r="C1154" s="507">
        <v>1</v>
      </c>
      <c r="D1154" s="481">
        <v>1.83</v>
      </c>
      <c r="E1154" s="481">
        <f t="shared" ref="E1154:E1217"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31"/>
      <c r="C1155" s="508">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31"/>
      <c r="C1156" s="507">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31"/>
      <c r="C1157" s="507">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31"/>
      <c r="C1158" s="507">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31"/>
      <c r="C1159" s="507">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31"/>
      <c r="C1160" s="507">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31"/>
      <c r="C1161" s="508">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31"/>
      <c r="C1162" s="507">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31"/>
      <c r="C1163" s="507">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31"/>
      <c r="C1164" s="508">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30">
        <v>46101</v>
      </c>
      <c r="C1165" s="507">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31"/>
      <c r="C1166" s="508">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31"/>
      <c r="C1167" s="507">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31"/>
      <c r="C1168" s="507">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31"/>
      <c r="C1169" s="507">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32"/>
      <c r="C1170" s="508">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B1171" s="530">
        <v>46103</v>
      </c>
      <c r="C1171" s="507">
        <v>1</v>
      </c>
      <c r="D1171" s="481"/>
      <c r="E1171" s="481">
        <f t="shared" si="38"/>
        <v>-1</v>
      </c>
      <c r="F1171" s="483">
        <f>SUM($E$2:E1171)/SUM($C$2:C1171)</f>
        <v>3.3436610236610223E-2</v>
      </c>
      <c r="G1171" s="479">
        <f t="shared" si="37"/>
        <v>39.120833976833964</v>
      </c>
      <c r="H1171" s="484" t="s">
        <v>77</v>
      </c>
      <c r="I1171" s="2"/>
      <c r="J1171" s="2"/>
      <c r="K1171" s="2"/>
      <c r="L1171" s="2"/>
      <c r="O1171" s="58"/>
      <c r="P1171" s="58"/>
    </row>
    <row r="1172" spans="1:16">
      <c r="A1172"/>
      <c r="B1172" s="531"/>
      <c r="C1172" s="507">
        <v>1</v>
      </c>
      <c r="D1172" s="481"/>
      <c r="E1172" s="481">
        <f t="shared" si="38"/>
        <v>-1</v>
      </c>
      <c r="F1172" s="483">
        <f>SUM($E$2:E1172)/SUM($C$2:C1172)</f>
        <v>3.2554085377313378E-2</v>
      </c>
      <c r="G1172" s="479">
        <f t="shared" si="37"/>
        <v>38.120833976833964</v>
      </c>
      <c r="H1172" s="484" t="s">
        <v>47</v>
      </c>
      <c r="I1172" s="2"/>
      <c r="J1172" s="2"/>
      <c r="K1172" s="2"/>
      <c r="L1172" s="2"/>
      <c r="O1172" s="58"/>
      <c r="P1172" s="58"/>
    </row>
    <row r="1173" spans="1:16">
      <c r="A1173"/>
      <c r="B1173" s="531"/>
      <c r="C1173" s="507">
        <v>1</v>
      </c>
      <c r="D1173" s="481"/>
      <c r="E1173" s="481">
        <f t="shared" si="38"/>
        <v>-1</v>
      </c>
      <c r="F1173" s="483">
        <f>SUM($E$2:E1173)/SUM($C$2:C1173)</f>
        <v>3.1673066533134779E-2</v>
      </c>
      <c r="G1173" s="479">
        <f t="shared" si="37"/>
        <v>37.120833976833964</v>
      </c>
      <c r="H1173" s="484" t="s">
        <v>49</v>
      </c>
      <c r="I1173" s="2"/>
      <c r="J1173" s="2"/>
      <c r="K1173" s="2"/>
      <c r="L1173" s="2"/>
      <c r="O1173" s="58"/>
      <c r="P1173" s="58"/>
    </row>
    <row r="1174" spans="1:16">
      <c r="A1174"/>
      <c r="B1174" s="531"/>
      <c r="C1174" s="508">
        <v>1</v>
      </c>
      <c r="D1174" s="482">
        <v>1.91</v>
      </c>
      <c r="E1174" s="482">
        <f t="shared" si="38"/>
        <v>0.90999999999999992</v>
      </c>
      <c r="F1174" s="485">
        <f>SUM($E$2:E1174)/SUM($C$2:C1174)</f>
        <v>3.2421853347684534E-2</v>
      </c>
      <c r="G1174" s="478">
        <f t="shared" si="37"/>
        <v>38.030833976833961</v>
      </c>
      <c r="H1174" s="486" t="s">
        <v>36</v>
      </c>
      <c r="I1174" s="2"/>
      <c r="J1174" s="2"/>
      <c r="K1174" s="2"/>
      <c r="L1174" s="2"/>
      <c r="O1174" s="58"/>
      <c r="P1174" s="58"/>
    </row>
    <row r="1175" spans="1:16">
      <c r="A1175"/>
      <c r="B1175" s="531"/>
      <c r="C1175" s="507">
        <v>1</v>
      </c>
      <c r="D1175" s="481"/>
      <c r="E1175" s="481">
        <f t="shared" si="38"/>
        <v>-1</v>
      </c>
      <c r="F1175" s="483">
        <f>SUM($E$2:E1175)/SUM($C$2:C1175)</f>
        <v>3.1542448021153288E-2</v>
      </c>
      <c r="G1175" s="479">
        <f t="shared" si="37"/>
        <v>37.030833976833961</v>
      </c>
      <c r="H1175" s="484" t="s">
        <v>425</v>
      </c>
      <c r="I1175" s="2"/>
      <c r="J1175" s="2"/>
      <c r="K1175" s="2"/>
      <c r="L1175" s="2"/>
      <c r="O1175" s="58"/>
      <c r="P1175" s="58"/>
    </row>
    <row r="1176" spans="1:16">
      <c r="A1176"/>
      <c r="B1176" s="532"/>
      <c r="C1176" s="508">
        <v>1</v>
      </c>
      <c r="D1176" s="482"/>
      <c r="E1176" s="482">
        <f t="shared" si="38"/>
        <v>-1</v>
      </c>
      <c r="F1176" s="485">
        <f>SUM($E$2:E1176)/SUM($C$2:C1176)</f>
        <v>3.0664539554752308E-2</v>
      </c>
      <c r="G1176" s="478">
        <f t="shared" si="37"/>
        <v>36.030833976833961</v>
      </c>
      <c r="H1176" s="486" t="s">
        <v>426</v>
      </c>
      <c r="I1176" s="440">
        <f>SUM(E1171:E1176)</f>
        <v>-4.09</v>
      </c>
      <c r="J1176" s="440">
        <f>SUM(E1118:E1176)</f>
        <v>-20.462</v>
      </c>
      <c r="L1176" s="2">
        <f>I1176/C1176</f>
        <v>-4.09</v>
      </c>
      <c r="O1176" s="58"/>
      <c r="P1176" s="58"/>
    </row>
    <row r="1177" spans="1:16">
      <c r="A1177"/>
      <c r="B1177" s="531">
        <v>46104</v>
      </c>
      <c r="C1177" s="507">
        <v>1</v>
      </c>
      <c r="D1177" s="481"/>
      <c r="E1177" s="481">
        <f t="shared" si="38"/>
        <v>-1</v>
      </c>
      <c r="F1177" s="483">
        <f>SUM($E$2:E1177)/SUM($C$2:C1177)</f>
        <v>2.978812412996085E-2</v>
      </c>
      <c r="G1177" s="479">
        <f t="shared" si="37"/>
        <v>35.030833976833961</v>
      </c>
      <c r="H1177" s="484" t="s">
        <v>76</v>
      </c>
      <c r="I1177" s="2"/>
      <c r="J1177" s="2"/>
      <c r="K1177" s="2"/>
      <c r="L1177" s="2"/>
      <c r="O1177" s="58"/>
      <c r="P1177" s="58"/>
    </row>
    <row r="1178" spans="1:16">
      <c r="A1178"/>
      <c r="B1178" s="531"/>
      <c r="C1178" s="507">
        <v>1</v>
      </c>
      <c r="D1178" s="481">
        <v>1.83</v>
      </c>
      <c r="E1178" s="481">
        <f t="shared" si="38"/>
        <v>0.83000000000000007</v>
      </c>
      <c r="F1178" s="483">
        <f>SUM($E$2:E1178)/SUM($C$2:C1178)</f>
        <v>3.0467998281082379E-2</v>
      </c>
      <c r="G1178" s="479">
        <f t="shared" si="37"/>
        <v>35.860833976833959</v>
      </c>
      <c r="H1178" s="484" t="s">
        <v>48</v>
      </c>
      <c r="I1178" s="2"/>
      <c r="J1178" s="2"/>
      <c r="K1178" s="2"/>
      <c r="L1178" s="2"/>
      <c r="O1178" s="58"/>
      <c r="P1178" s="58"/>
    </row>
    <row r="1179" spans="1:16">
      <c r="A1179"/>
      <c r="B1179" s="531"/>
      <c r="C1179" s="507">
        <v>1</v>
      </c>
      <c r="D1179" s="481"/>
      <c r="E1179" s="481">
        <f t="shared" si="38"/>
        <v>-1</v>
      </c>
      <c r="F1179" s="483">
        <f>SUM($E$2:E1179)/SUM($C$2:C1179)</f>
        <v>2.9593237671336127E-2</v>
      </c>
      <c r="G1179" s="479">
        <f t="shared" si="37"/>
        <v>34.860833976833959</v>
      </c>
      <c r="H1179" s="484" t="s">
        <v>10</v>
      </c>
      <c r="I1179" s="2"/>
      <c r="J1179" s="2"/>
      <c r="K1179" s="2"/>
      <c r="L1179" s="2"/>
      <c r="O1179" s="58"/>
      <c r="P1179" s="58"/>
    </row>
    <row r="1180" spans="1:16">
      <c r="A1180"/>
      <c r="B1180" s="531"/>
      <c r="C1180" s="507">
        <v>1</v>
      </c>
      <c r="D1180" s="481"/>
      <c r="E1180" s="481">
        <f t="shared" si="38"/>
        <v>-1</v>
      </c>
      <c r="F1180" s="483">
        <f>SUM($E$2:E1180)/SUM($C$2:C1180)</f>
        <v>2.871996096423576E-2</v>
      </c>
      <c r="G1180" s="479">
        <f t="shared" si="37"/>
        <v>33.860833976833959</v>
      </c>
      <c r="H1180" s="484" t="s">
        <v>14</v>
      </c>
      <c r="I1180" s="2"/>
      <c r="J1180" s="2"/>
      <c r="K1180" s="2"/>
      <c r="L1180" s="2"/>
      <c r="O1180" s="58"/>
      <c r="P1180" s="58"/>
    </row>
    <row r="1181" spans="1:16">
      <c r="A1181"/>
      <c r="B1181" s="531"/>
      <c r="C1181" s="507">
        <v>1</v>
      </c>
      <c r="D1181" s="481"/>
      <c r="E1181" s="481">
        <f t="shared" si="38"/>
        <v>-1</v>
      </c>
      <c r="F1181" s="483">
        <f>SUM($E$2:E1181)/SUM($C$2:C1181)</f>
        <v>2.7848164387147423E-2</v>
      </c>
      <c r="G1181" s="479">
        <f t="shared" si="37"/>
        <v>32.860833976833959</v>
      </c>
      <c r="H1181" s="484" t="s">
        <v>30</v>
      </c>
      <c r="I1181" s="2"/>
      <c r="J1181" s="2"/>
      <c r="K1181" s="2"/>
      <c r="L1181" s="2"/>
      <c r="O1181" s="58"/>
      <c r="P1181" s="58"/>
    </row>
    <row r="1182" spans="1:16">
      <c r="A1182"/>
      <c r="B1182" s="531"/>
      <c r="C1182" s="508">
        <v>1</v>
      </c>
      <c r="D1182" s="482"/>
      <c r="E1182" s="482">
        <f t="shared" si="38"/>
        <v>-1</v>
      </c>
      <c r="F1182" s="485">
        <f>SUM($E$2:E1182)/SUM($C$2:C1182)</f>
        <v>2.6977844180215038E-2</v>
      </c>
      <c r="G1182" s="478">
        <f t="shared" si="37"/>
        <v>31.860833976833959</v>
      </c>
      <c r="H1182" s="486" t="s">
        <v>12</v>
      </c>
      <c r="I1182" s="2"/>
      <c r="J1182" s="2"/>
      <c r="K1182" s="2"/>
      <c r="L1182" s="2"/>
      <c r="O1182" s="58"/>
      <c r="P1182" s="58"/>
    </row>
    <row r="1183" spans="1:16">
      <c r="A1183"/>
      <c r="B1183" s="531"/>
      <c r="C1183" s="507">
        <v>1</v>
      </c>
      <c r="D1183" s="481"/>
      <c r="E1183" s="481">
        <f t="shared" si="38"/>
        <v>-1</v>
      </c>
      <c r="F1183" s="483">
        <f>SUM($E$2:E1183)/SUM($C$2:C1183)</f>
        <v>2.6108996596306226E-2</v>
      </c>
      <c r="G1183" s="479">
        <f t="shared" si="37"/>
        <v>30.860833976833959</v>
      </c>
      <c r="H1183" s="484" t="s">
        <v>189</v>
      </c>
      <c r="I1183" s="2"/>
      <c r="J1183" s="2"/>
      <c r="K1183" s="2"/>
      <c r="L1183" s="2"/>
      <c r="O1183" s="58"/>
      <c r="P1183" s="58"/>
    </row>
    <row r="1184" spans="1:16">
      <c r="A1184"/>
      <c r="B1184" s="531"/>
      <c r="C1184" s="507">
        <v>1</v>
      </c>
      <c r="D1184" s="481"/>
      <c r="E1184" s="481">
        <f t="shared" si="38"/>
        <v>-1</v>
      </c>
      <c r="F1184" s="483">
        <f>SUM($E$2:E1184)/SUM($C$2:C1184)</f>
        <v>2.5241617900958545E-2</v>
      </c>
      <c r="G1184" s="479">
        <f t="shared" si="37"/>
        <v>29.860833976833959</v>
      </c>
      <c r="H1184" s="484" t="s">
        <v>427</v>
      </c>
      <c r="I1184" s="2"/>
      <c r="J1184" s="2"/>
      <c r="K1184" s="2"/>
      <c r="L1184" s="2"/>
      <c r="O1184" s="58"/>
      <c r="P1184" s="58"/>
    </row>
    <row r="1185" spans="1:16">
      <c r="A1185"/>
      <c r="B1185" s="531"/>
      <c r="C1185" s="507">
        <v>1</v>
      </c>
      <c r="D1185" s="481"/>
      <c r="E1185" s="481">
        <f t="shared" si="38"/>
        <v>-1</v>
      </c>
      <c r="F1185" s="483">
        <f>SUM($E$2:E1185)/SUM($C$2:C1185)</f>
        <v>2.4375704372325981E-2</v>
      </c>
      <c r="G1185" s="479">
        <f t="shared" si="37"/>
        <v>28.860833976833959</v>
      </c>
      <c r="H1185" s="484" t="s">
        <v>428</v>
      </c>
      <c r="I1185" s="2"/>
      <c r="J1185" s="2"/>
      <c r="K1185" s="2"/>
      <c r="L1185" s="2"/>
      <c r="O1185" s="58"/>
      <c r="P1185" s="58"/>
    </row>
    <row r="1186" spans="1:16">
      <c r="A1186"/>
      <c r="B1186" s="531"/>
      <c r="C1186" s="507">
        <v>1</v>
      </c>
      <c r="D1186" s="481"/>
      <c r="E1186" s="481">
        <f t="shared" si="38"/>
        <v>-1</v>
      </c>
      <c r="F1186" s="483">
        <f>SUM($E$2:E1186)/SUM($C$2:C1186)</f>
        <v>2.3511252301125704E-2</v>
      </c>
      <c r="G1186" s="479">
        <f t="shared" si="37"/>
        <v>27.860833976833959</v>
      </c>
      <c r="H1186" s="484" t="s">
        <v>429</v>
      </c>
      <c r="I1186" s="2"/>
      <c r="J1186" s="2"/>
      <c r="K1186" s="2"/>
      <c r="L1186" s="2"/>
      <c r="O1186" s="58"/>
      <c r="P1186" s="58"/>
    </row>
    <row r="1187" spans="1:16">
      <c r="A1187"/>
      <c r="B1187" s="531"/>
      <c r="C1187" s="507">
        <v>1</v>
      </c>
      <c r="D1187" s="481"/>
      <c r="E1187" s="481">
        <f t="shared" si="38"/>
        <v>-1</v>
      </c>
      <c r="F1187" s="483">
        <f>SUM($E$2:E1187)/SUM($C$2:C1187)</f>
        <v>2.2648257990585126E-2</v>
      </c>
      <c r="G1187" s="479">
        <f t="shared" si="37"/>
        <v>26.860833976833959</v>
      </c>
      <c r="H1187" s="484" t="s">
        <v>430</v>
      </c>
      <c r="I1187" s="2"/>
      <c r="J1187" s="2"/>
      <c r="K1187" s="2"/>
      <c r="L1187" s="2"/>
      <c r="O1187" s="58"/>
      <c r="P1187" s="58"/>
    </row>
    <row r="1188" spans="1:16">
      <c r="A1188"/>
      <c r="B1188" s="531"/>
      <c r="C1188" s="507">
        <v>1</v>
      </c>
      <c r="D1188" s="481"/>
      <c r="E1188" s="481">
        <f t="shared" si="38"/>
        <v>-1</v>
      </c>
      <c r="F1188" s="483">
        <f>SUM($E$2:E1188)/SUM($C$2:C1188)</f>
        <v>2.1786717756389181E-2</v>
      </c>
      <c r="G1188" s="479">
        <f t="shared" si="37"/>
        <v>25.860833976833959</v>
      </c>
      <c r="H1188" s="484" t="s">
        <v>431</v>
      </c>
      <c r="I1188" s="2"/>
      <c r="J1188" s="2"/>
      <c r="K1188" s="2"/>
      <c r="L1188" s="2"/>
      <c r="O1188" s="58"/>
      <c r="P1188" s="58"/>
    </row>
    <row r="1189" spans="1:16">
      <c r="A1189"/>
      <c r="B1189" s="531"/>
      <c r="C1189" s="508">
        <v>1</v>
      </c>
      <c r="D1189" s="482"/>
      <c r="E1189" s="482">
        <f t="shared" si="38"/>
        <v>-1</v>
      </c>
      <c r="F1189" s="485">
        <f>SUM($E$2:E1189)/SUM($C$2:C1189)</f>
        <v>2.0926627926627913E-2</v>
      </c>
      <c r="G1189" s="478">
        <f t="shared" si="37"/>
        <v>24.860833976833959</v>
      </c>
      <c r="H1189" s="486" t="s">
        <v>432</v>
      </c>
      <c r="I1189" s="2"/>
      <c r="J1189" s="2"/>
      <c r="K1189" s="2"/>
      <c r="L1189" s="2"/>
      <c r="O1189" s="58"/>
      <c r="P1189" s="58"/>
    </row>
    <row r="1190" spans="1:16">
      <c r="A1190"/>
      <c r="B1190" s="531"/>
      <c r="C1190" s="507">
        <v>1</v>
      </c>
      <c r="D1190" s="481">
        <v>2.1429999999999998</v>
      </c>
      <c r="E1190" s="481">
        <f t="shared" si="38"/>
        <v>1.1429999999999998</v>
      </c>
      <c r="F1190" s="483">
        <f>SUM($E$2:E1190)/SUM($C$2:C1190)</f>
        <v>2.1870339761845214E-2</v>
      </c>
      <c r="G1190" s="479">
        <f t="shared" si="37"/>
        <v>26.00383397683396</v>
      </c>
      <c r="H1190" s="484" t="s">
        <v>17</v>
      </c>
      <c r="I1190" s="2"/>
      <c r="J1190" s="2"/>
      <c r="K1190" s="2"/>
      <c r="L1190" s="2"/>
      <c r="O1190" s="58"/>
      <c r="P1190" s="58"/>
    </row>
    <row r="1191" spans="1:16">
      <c r="A1191"/>
      <c r="B1191" s="531"/>
      <c r="C1191" s="507">
        <v>1</v>
      </c>
      <c r="D1191" s="481"/>
      <c r="E1191" s="481">
        <f t="shared" si="38"/>
        <v>-1</v>
      </c>
      <c r="F1191" s="483">
        <f>SUM($E$2:E1191)/SUM($C$2:C1191)</f>
        <v>2.1011625190616771E-2</v>
      </c>
      <c r="G1191" s="479">
        <f t="shared" si="37"/>
        <v>25.00383397683396</v>
      </c>
      <c r="H1191" s="484" t="s">
        <v>48</v>
      </c>
      <c r="I1191" s="2"/>
      <c r="J1191" s="2"/>
      <c r="K1191" s="2"/>
      <c r="L1191" s="2"/>
      <c r="O1191" s="58"/>
      <c r="P1191" s="58"/>
    </row>
    <row r="1192" spans="1:16">
      <c r="A1192"/>
      <c r="B1192" s="531"/>
      <c r="C1192" s="507">
        <v>1</v>
      </c>
      <c r="D1192" s="481">
        <v>3.6</v>
      </c>
      <c r="E1192" s="481">
        <f t="shared" si="38"/>
        <v>2.6</v>
      </c>
      <c r="F1192" s="483">
        <f>SUM($E$2:E1192)/SUM($C$2:C1192)</f>
        <v>2.3177022650574274E-2</v>
      </c>
      <c r="G1192" s="479">
        <f t="shared" si="37"/>
        <v>27.603833976833961</v>
      </c>
      <c r="H1192" s="484" t="s">
        <v>13</v>
      </c>
      <c r="I1192" s="2"/>
      <c r="J1192" s="2"/>
      <c r="K1192" s="2"/>
      <c r="L1192" s="2"/>
      <c r="O1192" s="58"/>
      <c r="P1192" s="58"/>
    </row>
    <row r="1193" spans="1:16">
      <c r="A1193"/>
      <c r="B1193" s="531"/>
      <c r="C1193" s="507">
        <v>1</v>
      </c>
      <c r="D1193" s="481"/>
      <c r="E1193" s="481">
        <f t="shared" si="38"/>
        <v>-1</v>
      </c>
      <c r="F1193" s="483">
        <f>SUM($E$2:E1193)/SUM($C$2:C1193)</f>
        <v>2.2318652665129161E-2</v>
      </c>
      <c r="G1193" s="479">
        <f t="shared" si="37"/>
        <v>26.603833976833961</v>
      </c>
      <c r="H1193" s="484" t="s">
        <v>21</v>
      </c>
      <c r="I1193" s="2"/>
      <c r="J1193" s="2"/>
      <c r="K1193" s="2"/>
      <c r="L1193" s="2"/>
      <c r="O1193" s="58"/>
      <c r="P1193" s="58"/>
    </row>
    <row r="1194" spans="1:16">
      <c r="A1194"/>
      <c r="B1194" s="531"/>
      <c r="C1194" s="507">
        <v>1</v>
      </c>
      <c r="D1194" s="481"/>
      <c r="E1194" s="481">
        <f t="shared" si="38"/>
        <v>-1</v>
      </c>
      <c r="F1194" s="483">
        <f>SUM($E$2:E1194)/SUM($C$2:C1194)</f>
        <v>2.1461721690556549E-2</v>
      </c>
      <c r="G1194" s="479">
        <f t="shared" si="37"/>
        <v>25.603833976833961</v>
      </c>
      <c r="H1194" s="484" t="s">
        <v>14</v>
      </c>
      <c r="I1194" s="2"/>
      <c r="J1194" s="2"/>
      <c r="K1194" s="2"/>
      <c r="L1194" s="2"/>
      <c r="O1194" s="58"/>
      <c r="P1194" s="58"/>
    </row>
    <row r="1195" spans="1:16">
      <c r="A1195"/>
      <c r="B1195" s="531"/>
      <c r="C1195" s="507">
        <v>1</v>
      </c>
      <c r="D1195" s="481"/>
      <c r="E1195" s="481">
        <f t="shared" si="38"/>
        <v>-1</v>
      </c>
      <c r="F1195" s="483">
        <f>SUM($E$2:E1195)/SUM($C$2:C1195)</f>
        <v>2.0606226111251225E-2</v>
      </c>
      <c r="G1195" s="479">
        <f t="shared" si="37"/>
        <v>24.603833976833961</v>
      </c>
      <c r="H1195" s="484" t="s">
        <v>20</v>
      </c>
      <c r="I1195" s="2"/>
      <c r="J1195" s="2"/>
      <c r="K1195" s="2"/>
      <c r="L1195" s="2"/>
      <c r="O1195" s="58"/>
      <c r="P1195" s="58"/>
    </row>
    <row r="1196" spans="1:16">
      <c r="A1196"/>
      <c r="B1196" s="531"/>
      <c r="C1196" s="508">
        <v>1</v>
      </c>
      <c r="D1196" s="482"/>
      <c r="E1196" s="482">
        <f t="shared" si="38"/>
        <v>-1</v>
      </c>
      <c r="F1196" s="485">
        <f>SUM($E$2:E1196)/SUM($C$2:C1196)</f>
        <v>1.9752162323710427E-2</v>
      </c>
      <c r="G1196" s="478">
        <f t="shared" si="37"/>
        <v>23.603833976833961</v>
      </c>
      <c r="H1196" s="486" t="s">
        <v>50</v>
      </c>
      <c r="I1196" s="2">
        <f>SUM(E1177:E1196)</f>
        <v>-12.427000000000001</v>
      </c>
      <c r="L1196" s="2">
        <f>I1196/C1196</f>
        <v>-12.427000000000001</v>
      </c>
      <c r="O1196" s="58"/>
      <c r="P1196" s="58"/>
    </row>
    <row r="1197" spans="1:16">
      <c r="A1197"/>
      <c r="B1197" s="530">
        <v>46105</v>
      </c>
      <c r="C1197" s="507">
        <v>1</v>
      </c>
      <c r="D1197" s="481"/>
      <c r="E1197" s="481">
        <f t="shared" si="38"/>
        <v>-1</v>
      </c>
      <c r="F1197" s="483">
        <f>SUM($E$2:E1197)/SUM($C$2:C1197)</f>
        <v>1.8899526736483246E-2</v>
      </c>
      <c r="G1197" s="479">
        <f t="shared" si="37"/>
        <v>22.603833976833961</v>
      </c>
      <c r="H1197" s="484" t="s">
        <v>46</v>
      </c>
      <c r="I1197" s="2"/>
      <c r="J1197" s="2"/>
      <c r="K1197" s="2"/>
      <c r="L1197" s="2"/>
      <c r="O1197" s="58"/>
      <c r="P1197" s="58"/>
    </row>
    <row r="1198" spans="1:16">
      <c r="A1198"/>
      <c r="B1198" s="531"/>
      <c r="C1198" s="507">
        <v>1</v>
      </c>
      <c r="D1198" s="481"/>
      <c r="E1198" s="481">
        <f t="shared" si="38"/>
        <v>-1</v>
      </c>
      <c r="F1198" s="483">
        <f>SUM($E$2:E1198)/SUM($C$2:C1198)</f>
        <v>1.8048315770120268E-2</v>
      </c>
      <c r="G1198" s="479">
        <f t="shared" si="37"/>
        <v>21.603833976833961</v>
      </c>
      <c r="H1198" s="484" t="s">
        <v>49</v>
      </c>
      <c r="I1198" s="2"/>
      <c r="J1198" s="2"/>
      <c r="K1198" s="2"/>
      <c r="L1198" s="2"/>
      <c r="O1198" s="58"/>
      <c r="P1198" s="58"/>
    </row>
    <row r="1199" spans="1:16">
      <c r="A1199"/>
      <c r="B1199" s="531"/>
      <c r="C1199" s="507">
        <v>1</v>
      </c>
      <c r="D1199" s="481"/>
      <c r="E1199" s="481">
        <f t="shared" si="38"/>
        <v>-1</v>
      </c>
      <c r="F1199" s="483">
        <f>SUM($E$2:E1199)/SUM($C$2:C1199)</f>
        <v>1.7198525857123507E-2</v>
      </c>
      <c r="G1199" s="479">
        <f t="shared" si="37"/>
        <v>20.603833976833961</v>
      </c>
      <c r="H1199" s="484" t="s">
        <v>11</v>
      </c>
      <c r="I1199" s="2"/>
      <c r="J1199" s="2"/>
      <c r="K1199" s="2"/>
      <c r="L1199" s="2"/>
      <c r="O1199" s="58"/>
      <c r="P1199" s="58"/>
    </row>
    <row r="1200" spans="1:16">
      <c r="A1200"/>
      <c r="B1200" s="531"/>
      <c r="C1200" s="508">
        <v>1</v>
      </c>
      <c r="D1200" s="482"/>
      <c r="E1200" s="482">
        <f t="shared" si="38"/>
        <v>-1</v>
      </c>
      <c r="F1200" s="485">
        <f>SUM($E$2:E1200)/SUM($C$2:C1200)</f>
        <v>1.6350153441896546E-2</v>
      </c>
      <c r="G1200" s="478">
        <f t="shared" si="37"/>
        <v>19.603833976833961</v>
      </c>
      <c r="H1200" s="486" t="s">
        <v>16</v>
      </c>
      <c r="I1200" s="2"/>
      <c r="J1200" s="2"/>
      <c r="K1200" s="2"/>
      <c r="L1200" s="2"/>
      <c r="O1200" s="58"/>
      <c r="P1200" s="58"/>
    </row>
    <row r="1201" spans="1:16">
      <c r="A1201"/>
      <c r="B1201" s="531"/>
      <c r="C1201" s="507">
        <v>1</v>
      </c>
      <c r="D1201" s="481">
        <v>1.9</v>
      </c>
      <c r="E1201" s="481">
        <f t="shared" si="38"/>
        <v>0.89999999999999991</v>
      </c>
      <c r="F1201" s="483">
        <f>SUM($E$2:E1201)/SUM($C$2:C1201)</f>
        <v>1.70865283140283E-2</v>
      </c>
      <c r="G1201" s="479">
        <f t="shared" si="37"/>
        <v>20.50383397683396</v>
      </c>
      <c r="H1201" s="484" t="s">
        <v>433</v>
      </c>
      <c r="I1201" s="2"/>
      <c r="J1201" s="2"/>
      <c r="K1201" s="2"/>
      <c r="L1201" s="2"/>
      <c r="O1201" s="58"/>
      <c r="P1201" s="58"/>
    </row>
    <row r="1202" spans="1:16">
      <c r="A1202"/>
      <c r="B1202" s="531"/>
      <c r="C1202" s="507">
        <v>1</v>
      </c>
      <c r="D1202" s="481"/>
      <c r="E1202" s="481">
        <f t="shared" si="38"/>
        <v>-1</v>
      </c>
      <c r="F1202" s="483">
        <f>SUM($E$2:E1202)/SUM($C$2:C1202)</f>
        <v>1.6239661929087393E-2</v>
      </c>
      <c r="G1202" s="479">
        <f t="shared" si="37"/>
        <v>19.50383397683396</v>
      </c>
      <c r="H1202" s="484" t="s">
        <v>434</v>
      </c>
      <c r="I1202" s="2"/>
      <c r="J1202" s="2"/>
      <c r="K1202" s="2"/>
      <c r="L1202" s="2"/>
      <c r="O1202" s="58"/>
      <c r="P1202" s="58"/>
    </row>
    <row r="1203" spans="1:16">
      <c r="A1203"/>
      <c r="B1203" s="531"/>
      <c r="C1203" s="507">
        <v>1</v>
      </c>
      <c r="D1203" s="481"/>
      <c r="E1203" s="481">
        <f t="shared" si="38"/>
        <v>-1</v>
      </c>
      <c r="F1203" s="483">
        <f>SUM($E$2:E1203)/SUM($C$2:C1203)</f>
        <v>1.5394204639628917E-2</v>
      </c>
      <c r="G1203" s="479">
        <f t="shared" si="37"/>
        <v>18.50383397683396</v>
      </c>
      <c r="H1203" s="484" t="s">
        <v>224</v>
      </c>
      <c r="I1203" s="2"/>
      <c r="J1203" s="2"/>
      <c r="K1203" s="2"/>
      <c r="L1203" s="2"/>
      <c r="O1203" s="58"/>
      <c r="P1203" s="58"/>
    </row>
    <row r="1204" spans="1:16">
      <c r="A1204"/>
      <c r="B1204" s="531"/>
      <c r="C1204" s="508">
        <v>1</v>
      </c>
      <c r="D1204" s="482"/>
      <c r="E1204" s="482">
        <f t="shared" si="38"/>
        <v>-1</v>
      </c>
      <c r="F1204" s="485">
        <f>SUM($E$2:E1204)/SUM($C$2:C1204)</f>
        <v>1.4550152931699051E-2</v>
      </c>
      <c r="G1204" s="478">
        <f t="shared" si="37"/>
        <v>17.50383397683396</v>
      </c>
      <c r="H1204" s="486" t="s">
        <v>435</v>
      </c>
      <c r="I1204" s="2">
        <f>SUM(E1197:E1204)</f>
        <v>-6.1</v>
      </c>
      <c r="L1204" s="2">
        <f>I1204/C1204</f>
        <v>-6.1</v>
      </c>
      <c r="O1204" s="58"/>
      <c r="P1204" s="58"/>
    </row>
    <row r="1205" spans="1:16">
      <c r="A1205"/>
      <c r="B1205" s="530">
        <v>46106</v>
      </c>
      <c r="C1205" s="507">
        <v>1</v>
      </c>
      <c r="D1205" s="481"/>
      <c r="E1205" s="481">
        <f t="shared" si="38"/>
        <v>-1</v>
      </c>
      <c r="F1205" s="483">
        <f>SUM($E$2:E1205)/SUM($C$2:C1205)</f>
        <v>1.3707503303018238E-2</v>
      </c>
      <c r="G1205" s="479">
        <f t="shared" si="37"/>
        <v>16.50383397683396</v>
      </c>
      <c r="H1205" s="484" t="s">
        <v>18</v>
      </c>
      <c r="I1205" s="2"/>
      <c r="J1205" s="2"/>
      <c r="K1205" s="2"/>
      <c r="L1205" s="2"/>
      <c r="O1205" s="58"/>
      <c r="P1205" s="58"/>
    </row>
    <row r="1206" spans="1:16">
      <c r="A1206"/>
      <c r="B1206" s="531"/>
      <c r="C1206" s="507">
        <v>1</v>
      </c>
      <c r="D1206" s="481"/>
      <c r="E1206" s="481">
        <f t="shared" si="38"/>
        <v>-1</v>
      </c>
      <c r="F1206" s="483">
        <f>SUM($E$2:E1206)/SUM($C$2:C1206)</f>
        <v>1.2866252262932747E-2</v>
      </c>
      <c r="G1206" s="479">
        <f t="shared" si="37"/>
        <v>15.50383397683396</v>
      </c>
      <c r="H1206" s="484" t="s">
        <v>34</v>
      </c>
      <c r="I1206" s="2"/>
      <c r="J1206" s="2"/>
      <c r="K1206" s="2"/>
      <c r="L1206" s="2"/>
      <c r="O1206" s="58"/>
      <c r="P1206" s="58"/>
    </row>
    <row r="1207" spans="1:16">
      <c r="A1207"/>
      <c r="B1207" s="531"/>
      <c r="C1207" s="507">
        <v>1</v>
      </c>
      <c r="D1207" s="481">
        <v>1.91</v>
      </c>
      <c r="E1207" s="481">
        <f t="shared" si="38"/>
        <v>0.90999999999999992</v>
      </c>
      <c r="F1207" s="483">
        <f>SUM($E$2:E1207)/SUM($C$2:C1207)</f>
        <v>1.3610144259397976E-2</v>
      </c>
      <c r="G1207" s="479">
        <f t="shared" si="37"/>
        <v>16.41383397683396</v>
      </c>
      <c r="H1207" s="484" t="s">
        <v>11</v>
      </c>
      <c r="I1207" s="2"/>
      <c r="J1207" s="2"/>
      <c r="K1207" s="2"/>
      <c r="L1207" s="2"/>
      <c r="O1207" s="58"/>
      <c r="P1207" s="58"/>
    </row>
    <row r="1208" spans="1:16">
      <c r="A1208"/>
      <c r="B1208" s="531"/>
      <c r="C1208" s="507">
        <v>1</v>
      </c>
      <c r="D1208" s="481"/>
      <c r="E1208" s="481">
        <f t="shared" si="38"/>
        <v>-1</v>
      </c>
      <c r="F1208" s="483">
        <f>SUM($E$2:E1208)/SUM($C$2:C1208)</f>
        <v>1.2770367834990854E-2</v>
      </c>
      <c r="G1208" s="479">
        <f t="shared" si="37"/>
        <v>15.41383397683396</v>
      </c>
      <c r="H1208" s="484" t="s">
        <v>77</v>
      </c>
      <c r="I1208" s="2"/>
      <c r="J1208" s="2"/>
      <c r="K1208" s="2"/>
      <c r="L1208" s="2"/>
      <c r="O1208" s="58"/>
      <c r="P1208" s="58"/>
    </row>
    <row r="1209" spans="1:16">
      <c r="A1209"/>
      <c r="B1209" s="531"/>
      <c r="C1209" s="507">
        <v>1</v>
      </c>
      <c r="D1209" s="481">
        <v>2</v>
      </c>
      <c r="E1209" s="481">
        <f t="shared" si="38"/>
        <v>1</v>
      </c>
      <c r="F1209" s="483">
        <f>SUM($E$2:E1209)/SUM($C$2:C1209)</f>
        <v>1.3587610907975133E-2</v>
      </c>
      <c r="G1209" s="479">
        <f t="shared" si="37"/>
        <v>16.41383397683396</v>
      </c>
      <c r="H1209" s="484" t="s">
        <v>39</v>
      </c>
      <c r="I1209" s="2"/>
      <c r="J1209" s="2"/>
      <c r="K1209" s="2"/>
      <c r="L1209" s="2"/>
      <c r="O1209" s="58"/>
      <c r="P1209" s="58"/>
    </row>
    <row r="1210" spans="1:16">
      <c r="A1210"/>
      <c r="B1210" s="531"/>
      <c r="C1210" s="507">
        <v>1</v>
      </c>
      <c r="D1210" s="481"/>
      <c r="E1210" s="481">
        <f t="shared" si="38"/>
        <v>-1</v>
      </c>
      <c r="F1210" s="483">
        <f>SUM($E$2:E1210)/SUM($C$2:C1210)</f>
        <v>1.2749242329887478E-2</v>
      </c>
      <c r="G1210" s="479">
        <f t="shared" si="37"/>
        <v>15.41383397683396</v>
      </c>
      <c r="H1210" s="484" t="s">
        <v>30</v>
      </c>
      <c r="I1210" s="2"/>
      <c r="J1210" s="2"/>
      <c r="K1210" s="2"/>
      <c r="L1210" s="2"/>
      <c r="O1210" s="58"/>
      <c r="P1210" s="58"/>
    </row>
    <row r="1211" spans="1:16">
      <c r="A1211"/>
      <c r="B1211" s="531"/>
      <c r="C1211" s="508">
        <v>1</v>
      </c>
      <c r="D1211" s="482"/>
      <c r="E1211" s="482">
        <f t="shared" si="38"/>
        <v>-1</v>
      </c>
      <c r="F1211" s="485">
        <f>SUM($E$2:E1211)/SUM($C$2:C1211)</f>
        <v>1.1912259484986743E-2</v>
      </c>
      <c r="G1211" s="478">
        <f t="shared" si="37"/>
        <v>14.41383397683396</v>
      </c>
      <c r="H1211" s="486" t="s">
        <v>12</v>
      </c>
      <c r="I1211" s="2"/>
      <c r="J1211" s="2"/>
      <c r="K1211" s="2"/>
      <c r="L1211" s="2"/>
      <c r="O1211" s="58"/>
      <c r="P1211" s="58"/>
    </row>
    <row r="1212" spans="1:16">
      <c r="A1212"/>
      <c r="B1212" s="531"/>
      <c r="C1212" s="507">
        <v>1</v>
      </c>
      <c r="D1212" s="481"/>
      <c r="E1212" s="481">
        <f t="shared" si="38"/>
        <v>-1</v>
      </c>
      <c r="F1212" s="483">
        <f>SUM($E$2:E1212)/SUM($C$2:C1212)</f>
        <v>1.1076658940407894E-2</v>
      </c>
      <c r="G1212" s="479">
        <f t="shared" si="37"/>
        <v>13.41383397683396</v>
      </c>
      <c r="H1212" s="484" t="s">
        <v>436</v>
      </c>
      <c r="I1212" s="2"/>
      <c r="J1212" s="2"/>
      <c r="K1212" s="2"/>
      <c r="L1212" s="2"/>
      <c r="O1212" s="58"/>
      <c r="P1212" s="58"/>
    </row>
    <row r="1213" spans="1:16">
      <c r="A1213"/>
      <c r="B1213" s="531"/>
      <c r="C1213" s="507">
        <v>1</v>
      </c>
      <c r="D1213" s="481"/>
      <c r="E1213" s="481">
        <f t="shared" si="38"/>
        <v>-1</v>
      </c>
      <c r="F1213" s="483">
        <f>SUM($E$2:E1213)/SUM($C$2:C1213)</f>
        <v>1.0242437274615478E-2</v>
      </c>
      <c r="G1213" s="479">
        <f t="shared" si="37"/>
        <v>12.41383397683396</v>
      </c>
      <c r="H1213" s="484" t="s">
        <v>437</v>
      </c>
      <c r="I1213" s="2"/>
      <c r="J1213" s="2"/>
      <c r="K1213" s="2"/>
      <c r="L1213" s="2"/>
      <c r="O1213" s="58"/>
      <c r="P1213" s="58"/>
    </row>
    <row r="1214" spans="1:16">
      <c r="A1214"/>
      <c r="B1214" s="531"/>
      <c r="C1214" s="507">
        <v>1</v>
      </c>
      <c r="D1214" s="481"/>
      <c r="E1214" s="481">
        <f t="shared" si="38"/>
        <v>-1</v>
      </c>
      <c r="F1214" s="483">
        <f>SUM($E$2:E1214)/SUM($C$2:C1214)</f>
        <v>9.4095910773569335E-3</v>
      </c>
      <c r="G1214" s="479">
        <f t="shared" si="37"/>
        <v>11.41383397683396</v>
      </c>
      <c r="H1214" s="484" t="s">
        <v>438</v>
      </c>
      <c r="I1214" s="2"/>
      <c r="J1214" s="2"/>
      <c r="K1214" s="2"/>
      <c r="L1214" s="2"/>
      <c r="O1214" s="58"/>
      <c r="P1214" s="58"/>
    </row>
    <row r="1215" spans="1:16">
      <c r="A1215"/>
      <c r="B1215" s="531"/>
      <c r="C1215" s="507">
        <v>1</v>
      </c>
      <c r="D1215" s="481">
        <v>1.89</v>
      </c>
      <c r="E1215" s="481">
        <f t="shared" si="38"/>
        <v>0.8899999999999999</v>
      </c>
      <c r="F1215" s="483">
        <f>SUM($E$2:E1215)/SUM($C$2:C1215)</f>
        <v>1.0134953852416771E-2</v>
      </c>
      <c r="G1215" s="479">
        <f t="shared" ref="G1215:G1278" si="39">G1214+E1215</f>
        <v>12.30383397683396</v>
      </c>
      <c r="H1215" s="484" t="s">
        <v>439</v>
      </c>
      <c r="I1215" s="2"/>
      <c r="J1215" s="2"/>
      <c r="K1215" s="2"/>
      <c r="L1215" s="2"/>
      <c r="O1215" s="58"/>
      <c r="P1215" s="58"/>
    </row>
    <row r="1216" spans="1:16">
      <c r="A1216"/>
      <c r="B1216" s="531"/>
      <c r="C1216" s="507">
        <v>1</v>
      </c>
      <c r="D1216" s="481">
        <v>1.89</v>
      </c>
      <c r="E1216" s="481">
        <f t="shared" si="38"/>
        <v>0.8899999999999999</v>
      </c>
      <c r="F1216" s="483">
        <f>SUM($E$2:E1216)/SUM($C$2:C1216)</f>
        <v>1.0859122614678158E-2</v>
      </c>
      <c r="G1216" s="479">
        <f t="shared" si="39"/>
        <v>13.193833976833961</v>
      </c>
      <c r="H1216" s="484" t="s">
        <v>440</v>
      </c>
      <c r="I1216" s="2"/>
      <c r="J1216" s="2"/>
      <c r="K1216" s="2"/>
      <c r="L1216" s="2"/>
      <c r="O1216" s="58"/>
      <c r="P1216" s="58"/>
    </row>
    <row r="1217" spans="1:16">
      <c r="A1217"/>
      <c r="B1217" s="531"/>
      <c r="C1217" s="507">
        <v>1</v>
      </c>
      <c r="D1217" s="481"/>
      <c r="E1217" s="481">
        <f t="shared" si="38"/>
        <v>-1</v>
      </c>
      <c r="F1217" s="483">
        <f>SUM($E$2:E1217)/SUM($C$2:C1217)</f>
        <v>1.0027823994106877E-2</v>
      </c>
      <c r="G1217" s="479">
        <f t="shared" si="39"/>
        <v>12.193833976833961</v>
      </c>
      <c r="H1217" s="484" t="s">
        <v>441</v>
      </c>
      <c r="I1217" s="2"/>
      <c r="J1217" s="2"/>
      <c r="K1217" s="2"/>
      <c r="L1217" s="2"/>
      <c r="O1217" s="58"/>
      <c r="P1217" s="58"/>
    </row>
    <row r="1218" spans="1:16">
      <c r="A1218"/>
      <c r="B1218" s="531"/>
      <c r="C1218" s="508">
        <v>1</v>
      </c>
      <c r="D1218" s="482">
        <v>1.9</v>
      </c>
      <c r="E1218" s="482">
        <f t="shared" ref="E1218:E1281" si="40">(C1218*D1218)-C1218</f>
        <v>0.89999999999999991</v>
      </c>
      <c r="F1218" s="485">
        <f>SUM($E$2:E1218)/SUM($C$2:C1218)</f>
        <v>1.0759107622706625E-2</v>
      </c>
      <c r="G1218" s="478">
        <f t="shared" si="39"/>
        <v>13.093833976833961</v>
      </c>
      <c r="H1218" s="486" t="s">
        <v>442</v>
      </c>
      <c r="I1218" s="2"/>
      <c r="J1218" s="2"/>
      <c r="K1218" s="2"/>
      <c r="L1218" s="2"/>
      <c r="O1218" s="58"/>
      <c r="P1218" s="58"/>
    </row>
    <row r="1219" spans="1:16">
      <c r="A1219"/>
      <c r="B1219" s="531"/>
      <c r="C1219" s="507">
        <v>1</v>
      </c>
      <c r="D1219" s="481">
        <v>2.23</v>
      </c>
      <c r="E1219" s="481">
        <f t="shared" si="40"/>
        <v>1.23</v>
      </c>
      <c r="F1219" s="483">
        <f>SUM($E$2:E1219)/SUM($C$2:C1219)</f>
        <v>1.1760126417761873E-2</v>
      </c>
      <c r="G1219" s="479">
        <f t="shared" si="39"/>
        <v>14.323833976833962</v>
      </c>
      <c r="H1219" s="484" t="s">
        <v>10</v>
      </c>
      <c r="I1219" s="2"/>
      <c r="J1219" s="2"/>
      <c r="K1219" s="2"/>
      <c r="L1219" s="2"/>
      <c r="O1219" s="58"/>
      <c r="P1219" s="58"/>
    </row>
    <row r="1220" spans="1:16">
      <c r="A1220"/>
      <c r="B1220" s="531"/>
      <c r="C1220" s="507">
        <v>1</v>
      </c>
      <c r="D1220" s="481">
        <v>2.16</v>
      </c>
      <c r="E1220" s="481">
        <f t="shared" si="40"/>
        <v>1.1600000000000001</v>
      </c>
      <c r="F1220" s="483">
        <f>SUM($E$2:E1220)/SUM($C$2:C1220)</f>
        <v>1.2702078734072159E-2</v>
      </c>
      <c r="G1220" s="479">
        <f t="shared" si="39"/>
        <v>15.483833976833962</v>
      </c>
      <c r="H1220" s="484" t="s">
        <v>36</v>
      </c>
      <c r="I1220" s="2"/>
      <c r="J1220" s="2"/>
      <c r="K1220" s="2"/>
      <c r="L1220" s="2"/>
      <c r="O1220" s="58"/>
      <c r="P1220" s="58"/>
    </row>
    <row r="1221" spans="1:16">
      <c r="A1221"/>
      <c r="B1221" s="531"/>
      <c r="C1221" s="507">
        <v>1</v>
      </c>
      <c r="D1221" s="481">
        <v>2.16</v>
      </c>
      <c r="E1221" s="481">
        <f t="shared" si="40"/>
        <v>1.1600000000000001</v>
      </c>
      <c r="F1221" s="483">
        <f>SUM($E$2:E1221)/SUM($C$2:C1221)</f>
        <v>1.3642486866257344E-2</v>
      </c>
      <c r="G1221" s="479">
        <f t="shared" si="39"/>
        <v>16.64383397683396</v>
      </c>
      <c r="H1221" s="484" t="s">
        <v>48</v>
      </c>
      <c r="I1221" s="2"/>
      <c r="J1221" s="2"/>
      <c r="K1221" s="2"/>
      <c r="L1221" s="2"/>
      <c r="O1221" s="58"/>
      <c r="P1221" s="58"/>
    </row>
    <row r="1222" spans="1:16">
      <c r="A1222"/>
      <c r="B1222" s="532"/>
      <c r="C1222" s="508">
        <v>1</v>
      </c>
      <c r="D1222" s="482">
        <v>1.8320000000000001</v>
      </c>
      <c r="E1222" s="482">
        <f t="shared" si="40"/>
        <v>0.83200000000000007</v>
      </c>
      <c r="F1222" s="485">
        <f>SUM($E$2:E1222)/SUM($C$2:C1222)</f>
        <v>1.4312722339749354E-2</v>
      </c>
      <c r="G1222" s="478">
        <f t="shared" si="39"/>
        <v>17.475833976833961</v>
      </c>
      <c r="H1222" s="486" t="s">
        <v>31</v>
      </c>
      <c r="I1222" s="2">
        <f>SUM(E1205:E1222)</f>
        <v>-2.7999999999999803E-2</v>
      </c>
      <c r="L1222" s="2">
        <f>I1222/C1222</f>
        <v>-2.7999999999999803E-2</v>
      </c>
      <c r="O1222" s="58"/>
      <c r="P1222" s="58"/>
    </row>
    <row r="1223" spans="1:16">
      <c r="A1223"/>
      <c r="B1223" s="530">
        <v>46107</v>
      </c>
      <c r="C1223" s="507">
        <v>1</v>
      </c>
      <c r="D1223" s="481"/>
      <c r="E1223" s="481">
        <f t="shared" si="40"/>
        <v>-1</v>
      </c>
      <c r="F1223" s="483">
        <f>SUM($E$2:E1223)/SUM($C$2:C1223)</f>
        <v>1.348267919544514E-2</v>
      </c>
      <c r="G1223" s="479">
        <f t="shared" si="39"/>
        <v>16.475833976833961</v>
      </c>
      <c r="H1223" s="484" t="s">
        <v>46</v>
      </c>
      <c r="I1223" s="2"/>
      <c r="J1223" s="2"/>
      <c r="K1223" s="2"/>
      <c r="L1223" s="2"/>
      <c r="O1223" s="58"/>
      <c r="P1223" s="58"/>
    </row>
    <row r="1224" spans="1:16">
      <c r="A1224"/>
      <c r="B1224" s="531"/>
      <c r="C1224" s="508">
        <v>1</v>
      </c>
      <c r="D1224" s="482">
        <v>1.86</v>
      </c>
      <c r="E1224" s="482">
        <f t="shared" si="40"/>
        <v>0.8600000000000001</v>
      </c>
      <c r="F1224" s="485">
        <f>SUM($E$2:E1224)/SUM($C$2:C1224)</f>
        <v>1.4174843807713786E-2</v>
      </c>
      <c r="G1224" s="478">
        <f t="shared" si="39"/>
        <v>17.33583397683396</v>
      </c>
      <c r="H1224" s="486" t="s">
        <v>76</v>
      </c>
      <c r="I1224" s="2"/>
      <c r="J1224" s="2"/>
      <c r="K1224" s="2"/>
      <c r="L1224" s="2"/>
      <c r="O1224" s="58"/>
      <c r="P1224" s="58"/>
    </row>
    <row r="1225" spans="1:16">
      <c r="A1225"/>
      <c r="B1225" s="531"/>
      <c r="C1225" s="507">
        <v>1</v>
      </c>
      <c r="D1225" s="481">
        <v>1.87</v>
      </c>
      <c r="E1225" s="481">
        <f t="shared" si="40"/>
        <v>0.87000000000000011</v>
      </c>
      <c r="F1225" s="483">
        <f>SUM($E$2:E1225)/SUM($C$2:C1225)</f>
        <v>1.4874047366694412E-2</v>
      </c>
      <c r="G1225" s="479">
        <f t="shared" si="39"/>
        <v>18.205833976833961</v>
      </c>
      <c r="H1225" s="484" t="s">
        <v>443</v>
      </c>
      <c r="I1225" s="2"/>
      <c r="J1225" s="2"/>
      <c r="K1225" s="2"/>
      <c r="L1225" s="2"/>
      <c r="O1225" s="58"/>
      <c r="P1225" s="58"/>
    </row>
    <row r="1226" spans="1:16">
      <c r="A1226"/>
      <c r="B1226" s="531"/>
      <c r="C1226" s="507">
        <v>1</v>
      </c>
      <c r="D1226" s="481">
        <v>1.9</v>
      </c>
      <c r="E1226" s="481">
        <f t="shared" si="40"/>
        <v>0.89999999999999991</v>
      </c>
      <c r="F1226" s="483">
        <f>SUM($E$2:E1226)/SUM($C$2:C1226)</f>
        <v>1.5596599164762416E-2</v>
      </c>
      <c r="G1226" s="479">
        <f t="shared" si="39"/>
        <v>19.10583397683396</v>
      </c>
      <c r="H1226" s="484" t="s">
        <v>444</v>
      </c>
      <c r="I1226" s="2"/>
      <c r="J1226" s="2"/>
      <c r="K1226" s="2"/>
      <c r="L1226" s="2"/>
      <c r="O1226" s="58"/>
      <c r="P1226" s="58"/>
    </row>
    <row r="1227" spans="1:16">
      <c r="A1227"/>
      <c r="B1227" s="531"/>
      <c r="C1227" s="508">
        <v>1</v>
      </c>
      <c r="D1227" s="482"/>
      <c r="E1227" s="482">
        <f t="shared" si="40"/>
        <v>-1</v>
      </c>
      <c r="F1227" s="485">
        <f>SUM($E$2:E1227)/SUM($C$2:C1227)</f>
        <v>1.4768216946846623E-2</v>
      </c>
      <c r="G1227" s="478">
        <f t="shared" si="39"/>
        <v>18.10583397683396</v>
      </c>
      <c r="H1227" s="486" t="s">
        <v>445</v>
      </c>
      <c r="I1227" s="2"/>
      <c r="J1227" s="2"/>
      <c r="K1227" s="2"/>
      <c r="L1227" s="2"/>
      <c r="O1227" s="58"/>
      <c r="P1227" s="58"/>
    </row>
    <row r="1228" spans="1:16">
      <c r="A1228"/>
      <c r="B1228" s="531"/>
      <c r="C1228" s="507">
        <v>1</v>
      </c>
      <c r="D1228" s="481"/>
      <c r="E1228" s="481">
        <f t="shared" si="40"/>
        <v>-1</v>
      </c>
      <c r="F1228" s="483">
        <f>SUM($E$2:E1228)/SUM($C$2:C1228)</f>
        <v>1.3941184985194751E-2</v>
      </c>
      <c r="G1228" s="479">
        <f t="shared" si="39"/>
        <v>17.10583397683396</v>
      </c>
      <c r="H1228" s="484" t="s">
        <v>49</v>
      </c>
      <c r="I1228" s="2"/>
      <c r="J1228" s="2"/>
      <c r="K1228" s="2"/>
      <c r="L1228" s="2"/>
      <c r="O1228" s="58"/>
      <c r="P1228" s="58"/>
    </row>
    <row r="1229" spans="1:16">
      <c r="A1229"/>
      <c r="B1229" s="531"/>
      <c r="C1229" s="508">
        <v>1</v>
      </c>
      <c r="D1229" s="482"/>
      <c r="E1229" s="482">
        <f t="shared" si="40"/>
        <v>-1</v>
      </c>
      <c r="F1229" s="485">
        <f>SUM($E$2:E1229)/SUM($C$2:C1229)</f>
        <v>1.3115499981135146E-2</v>
      </c>
      <c r="G1229" s="478">
        <f t="shared" si="39"/>
        <v>16.10583397683396</v>
      </c>
      <c r="H1229" s="486" t="s">
        <v>446</v>
      </c>
      <c r="I1229" s="2">
        <f>SUM(E1223:E1229)</f>
        <v>-1.3699999999999999</v>
      </c>
      <c r="L1229" s="2">
        <f>I1229/C1229</f>
        <v>-1.3699999999999999</v>
      </c>
      <c r="O1229" s="58"/>
      <c r="P1229" s="58"/>
    </row>
    <row r="1230" spans="1:16">
      <c r="A1230"/>
      <c r="B1230" s="530">
        <v>46108</v>
      </c>
      <c r="C1230" s="507">
        <v>1</v>
      </c>
      <c r="D1230" s="481">
        <v>1.84</v>
      </c>
      <c r="E1230" s="481">
        <f t="shared" si="40"/>
        <v>0.84000000000000008</v>
      </c>
      <c r="F1230" s="483">
        <f>SUM($E$2:E1230)/SUM($C$2:C1230)</f>
        <v>1.3788310802956843E-2</v>
      </c>
      <c r="G1230" s="479">
        <f t="shared" si="39"/>
        <v>16.94583397683396</v>
      </c>
      <c r="H1230" s="484" t="s">
        <v>18</v>
      </c>
      <c r="I1230" s="2"/>
      <c r="J1230" s="2"/>
      <c r="K1230" s="2"/>
      <c r="L1230" s="2"/>
      <c r="O1230" s="58"/>
      <c r="P1230" s="58"/>
    </row>
    <row r="1231" spans="1:16">
      <c r="A1231"/>
      <c r="B1231" s="531"/>
      <c r="C1231" s="507">
        <v>1</v>
      </c>
      <c r="D1231" s="481"/>
      <c r="E1231" s="481">
        <f t="shared" si="40"/>
        <v>-1</v>
      </c>
      <c r="F1231" s="483">
        <f>SUM($E$2:E1231)/SUM($C$2:C1231)</f>
        <v>1.2964092664092651E-2</v>
      </c>
      <c r="G1231" s="479">
        <f t="shared" si="39"/>
        <v>15.94583397683396</v>
      </c>
      <c r="H1231" s="520" t="s">
        <v>11</v>
      </c>
      <c r="I1231" s="2"/>
      <c r="J1231" s="2"/>
      <c r="K1231" s="2"/>
      <c r="L1231" s="2"/>
      <c r="O1231" s="58"/>
      <c r="P1231" s="58"/>
    </row>
    <row r="1232" spans="1:16">
      <c r="A1232"/>
      <c r="B1232" s="531"/>
      <c r="C1232" s="507">
        <v>1</v>
      </c>
      <c r="D1232" s="481"/>
      <c r="E1232" s="481">
        <f t="shared" si="40"/>
        <v>-1</v>
      </c>
      <c r="F1232" s="483">
        <f>SUM($E$2:E1232)/SUM($C$2:C1232)</f>
        <v>1.2141213628622225E-2</v>
      </c>
      <c r="G1232" s="479">
        <f t="shared" si="39"/>
        <v>14.94583397683396</v>
      </c>
      <c r="H1232" s="484" t="s">
        <v>33</v>
      </c>
      <c r="I1232" s="2"/>
      <c r="J1232" s="2"/>
      <c r="K1232" s="2"/>
      <c r="L1232" s="2"/>
      <c r="O1232" s="58"/>
      <c r="P1232" s="58"/>
    </row>
    <row r="1233" spans="1:16">
      <c r="A1233"/>
      <c r="B1233" s="531"/>
      <c r="C1233" s="507">
        <v>1</v>
      </c>
      <c r="D1233" s="481"/>
      <c r="E1233" s="481">
        <f t="shared" si="40"/>
        <v>-1</v>
      </c>
      <c r="F1233" s="483">
        <f>SUM($E$2:E1233)/SUM($C$2:C1233)</f>
        <v>1.1319670435741851E-2</v>
      </c>
      <c r="G1233" s="479">
        <f t="shared" si="39"/>
        <v>13.94583397683396</v>
      </c>
      <c r="H1233" s="484" t="s">
        <v>35</v>
      </c>
      <c r="I1233" s="2"/>
      <c r="J1233" s="2"/>
      <c r="K1233" s="2"/>
      <c r="L1233" s="2"/>
      <c r="O1233" s="58"/>
      <c r="P1233" s="58"/>
    </row>
    <row r="1234" spans="1:16">
      <c r="A1234"/>
      <c r="B1234" s="531"/>
      <c r="C1234" s="507">
        <v>1</v>
      </c>
      <c r="D1234" s="481"/>
      <c r="E1234" s="481">
        <f t="shared" si="40"/>
        <v>-1</v>
      </c>
      <c r="F1234" s="483">
        <f>SUM($E$2:E1234)/SUM($C$2:C1234)</f>
        <v>1.0499459835226245E-2</v>
      </c>
      <c r="G1234" s="479">
        <f t="shared" si="39"/>
        <v>12.94583397683396</v>
      </c>
      <c r="H1234" s="520" t="s">
        <v>77</v>
      </c>
      <c r="I1234" s="2"/>
      <c r="J1234" s="2"/>
      <c r="K1234" s="2"/>
      <c r="L1234" s="2"/>
      <c r="O1234" s="58"/>
      <c r="P1234" s="58"/>
    </row>
    <row r="1235" spans="1:16">
      <c r="A1235"/>
      <c r="B1235" s="531"/>
      <c r="C1235" s="507">
        <v>1</v>
      </c>
      <c r="D1235" s="481"/>
      <c r="E1235" s="481">
        <f t="shared" si="40"/>
        <v>-1</v>
      </c>
      <c r="F1235" s="483">
        <f>SUM($E$2:E1235)/SUM($C$2:C1235)</f>
        <v>9.6805785873857048E-3</v>
      </c>
      <c r="G1235" s="479">
        <f t="shared" si="39"/>
        <v>11.94583397683396</v>
      </c>
      <c r="H1235" s="484" t="s">
        <v>39</v>
      </c>
      <c r="I1235" s="2"/>
      <c r="J1235" s="2"/>
      <c r="K1235" s="2"/>
      <c r="L1235" s="2"/>
      <c r="O1235" s="58"/>
      <c r="P1235" s="58"/>
    </row>
    <row r="1236" spans="1:16">
      <c r="A1236"/>
      <c r="B1236" s="531"/>
      <c r="C1236" s="507">
        <v>1</v>
      </c>
      <c r="D1236" s="481">
        <v>1.89</v>
      </c>
      <c r="E1236" s="481">
        <f t="shared" si="40"/>
        <v>0.8899999999999999</v>
      </c>
      <c r="F1236" s="483">
        <f>SUM($E$2:E1236)/SUM($C$2:C1236)</f>
        <v>1.0393387835493085E-2</v>
      </c>
      <c r="G1236" s="479">
        <f t="shared" si="39"/>
        <v>12.83583397683396</v>
      </c>
      <c r="H1236" s="484" t="s">
        <v>30</v>
      </c>
      <c r="I1236" s="2"/>
      <c r="J1236" s="2"/>
      <c r="K1236" s="2"/>
      <c r="L1236" s="2"/>
      <c r="O1236" s="58"/>
      <c r="P1236" s="58"/>
    </row>
    <row r="1237" spans="1:16">
      <c r="A1237"/>
      <c r="B1237" s="531"/>
      <c r="C1237" s="508">
        <v>1</v>
      </c>
      <c r="D1237" s="482">
        <v>1.92</v>
      </c>
      <c r="E1237" s="482">
        <f t="shared" si="40"/>
        <v>0.91999999999999993</v>
      </c>
      <c r="F1237" s="485">
        <f>SUM($E$2:E1237)/SUM($C$2:C1237)</f>
        <v>1.1129315515237832E-2</v>
      </c>
      <c r="G1237" s="478">
        <f t="shared" si="39"/>
        <v>13.75583397683396</v>
      </c>
      <c r="H1237" s="486" t="s">
        <v>22</v>
      </c>
      <c r="I1237" s="2"/>
      <c r="J1237" s="2"/>
      <c r="K1237" s="2"/>
      <c r="L1237" s="2"/>
      <c r="O1237" s="58"/>
      <c r="P1237" s="58"/>
    </row>
    <row r="1238" spans="1:16">
      <c r="A1238"/>
      <c r="B1238" s="531"/>
      <c r="C1238" s="507">
        <v>1</v>
      </c>
      <c r="D1238" s="481">
        <v>1.9</v>
      </c>
      <c r="E1238" s="481">
        <f t="shared" si="40"/>
        <v>0.89999999999999991</v>
      </c>
      <c r="F1238" s="483">
        <f>SUM($E$2:E1238)/SUM($C$2:C1238)</f>
        <v>1.1847885187416298E-2</v>
      </c>
      <c r="G1238" s="479">
        <f t="shared" si="39"/>
        <v>14.655833976833961</v>
      </c>
      <c r="H1238" s="484" t="s">
        <v>447</v>
      </c>
      <c r="I1238" s="2"/>
      <c r="J1238" s="2"/>
      <c r="K1238" s="2"/>
      <c r="L1238" s="2"/>
      <c r="O1238" s="58"/>
      <c r="P1238" s="58"/>
    </row>
    <row r="1239" spans="1:16">
      <c r="A1239"/>
      <c r="B1239" s="531"/>
      <c r="C1239" s="507">
        <v>1</v>
      </c>
      <c r="D1239" s="481"/>
      <c r="E1239" s="481">
        <f t="shared" si="40"/>
        <v>-1</v>
      </c>
      <c r="F1239" s="483">
        <f>SUM($E$2:E1239)/SUM($C$2:C1239)</f>
        <v>1.1030560562870727E-2</v>
      </c>
      <c r="G1239" s="479">
        <f t="shared" si="39"/>
        <v>13.655833976833961</v>
      </c>
      <c r="H1239" s="484" t="s">
        <v>439</v>
      </c>
      <c r="I1239" s="2"/>
      <c r="J1239" s="2"/>
      <c r="K1239" s="2"/>
      <c r="L1239" s="2"/>
      <c r="O1239" s="58"/>
      <c r="P1239" s="58"/>
    </row>
    <row r="1240" spans="1:16">
      <c r="A1240"/>
      <c r="B1240" s="531"/>
      <c r="C1240" s="507">
        <v>1</v>
      </c>
      <c r="D1240" s="481"/>
      <c r="E1240" s="481">
        <f t="shared" si="40"/>
        <v>-1</v>
      </c>
      <c r="F1240" s="483">
        <f>SUM($E$2:E1240)/SUM($C$2:C1240)</f>
        <v>1.021455526782402E-2</v>
      </c>
      <c r="G1240" s="479">
        <f t="shared" si="39"/>
        <v>12.655833976833961</v>
      </c>
      <c r="H1240" s="484" t="s">
        <v>448</v>
      </c>
      <c r="I1240" s="2"/>
      <c r="J1240" s="2"/>
      <c r="K1240" s="2"/>
      <c r="L1240" s="2"/>
      <c r="O1240" s="58"/>
      <c r="P1240" s="58"/>
    </row>
    <row r="1241" spans="1:16">
      <c r="A1241"/>
      <c r="B1241" s="531"/>
      <c r="C1241" s="507">
        <v>1</v>
      </c>
      <c r="D1241" s="481"/>
      <c r="E1241" s="481">
        <f t="shared" si="40"/>
        <v>-1</v>
      </c>
      <c r="F1241" s="483">
        <f>SUM($E$2:E1241)/SUM($C$2:C1241)</f>
        <v>9.3998661103499685E-3</v>
      </c>
      <c r="G1241" s="479">
        <f t="shared" si="39"/>
        <v>11.655833976833961</v>
      </c>
      <c r="H1241" s="484" t="s">
        <v>449</v>
      </c>
      <c r="I1241" s="2"/>
      <c r="J1241" s="2"/>
      <c r="K1241" s="2"/>
      <c r="L1241" s="2"/>
      <c r="O1241" s="58"/>
      <c r="P1241" s="58"/>
    </row>
    <row r="1242" spans="1:16">
      <c r="A1242"/>
      <c r="B1242" s="531"/>
      <c r="C1242" s="507">
        <v>1</v>
      </c>
      <c r="D1242" s="481"/>
      <c r="E1242" s="481">
        <f t="shared" si="40"/>
        <v>-1</v>
      </c>
      <c r="F1242" s="483">
        <f>SUM($E$2:E1242)/SUM($C$2:C1242)</f>
        <v>8.5864899088106041E-3</v>
      </c>
      <c r="G1242" s="479">
        <f t="shared" si="39"/>
        <v>10.655833976833961</v>
      </c>
      <c r="H1242" s="484" t="s">
        <v>450</v>
      </c>
      <c r="I1242" s="2"/>
      <c r="J1242" s="2"/>
      <c r="K1242" s="2"/>
      <c r="L1242" s="2"/>
      <c r="O1242" s="58"/>
      <c r="P1242" s="58"/>
    </row>
    <row r="1243" spans="1:16">
      <c r="A1243"/>
      <c r="B1243" s="531"/>
      <c r="C1243" s="507">
        <v>1</v>
      </c>
      <c r="D1243" s="481"/>
      <c r="E1243" s="481">
        <f t="shared" si="40"/>
        <v>-1</v>
      </c>
      <c r="F1243" s="483">
        <f>SUM($E$2:E1243)/SUM($C$2:C1243)</f>
        <v>7.7744234918147833E-3</v>
      </c>
      <c r="G1243" s="479">
        <f t="shared" si="39"/>
        <v>9.6558339768339607</v>
      </c>
      <c r="H1243" s="484" t="s">
        <v>451</v>
      </c>
      <c r="I1243" s="2"/>
      <c r="J1243" s="2"/>
      <c r="K1243" s="2"/>
      <c r="L1243" s="2"/>
      <c r="O1243" s="58"/>
      <c r="P1243" s="58"/>
    </row>
    <row r="1244" spans="1:16">
      <c r="A1244"/>
      <c r="B1244" s="531"/>
      <c r="C1244" s="508">
        <v>1</v>
      </c>
      <c r="D1244" s="482">
        <v>1.8879999999999999</v>
      </c>
      <c r="E1244" s="482">
        <f t="shared" si="40"/>
        <v>0.8879999999999999</v>
      </c>
      <c r="F1244" s="485">
        <f>SUM($E$2:E1244)/SUM($C$2:C1244)</f>
        <v>8.4825695710651332E-3</v>
      </c>
      <c r="G1244" s="478">
        <f t="shared" si="39"/>
        <v>10.543833976833961</v>
      </c>
      <c r="H1244" s="486" t="s">
        <v>172</v>
      </c>
      <c r="I1244" s="2"/>
      <c r="J1244" s="2"/>
      <c r="K1244" s="2"/>
      <c r="L1244" s="2"/>
      <c r="O1244" s="58"/>
      <c r="P1244" s="58"/>
    </row>
    <row r="1245" spans="1:16">
      <c r="A1245"/>
      <c r="B1245" s="531"/>
      <c r="C1245" s="507">
        <v>1</v>
      </c>
      <c r="D1245" s="481"/>
      <c r="E1245" s="481">
        <f t="shared" si="40"/>
        <v>-1</v>
      </c>
      <c r="F1245" s="483">
        <f>SUM($E$2:E1245)/SUM($C$2:C1245)</f>
        <v>7.6718922643359815E-3</v>
      </c>
      <c r="G1245" s="479">
        <f t="shared" si="39"/>
        <v>9.5438339768339606</v>
      </c>
      <c r="H1245" s="484" t="s">
        <v>48</v>
      </c>
      <c r="I1245" s="2"/>
      <c r="J1245" s="2"/>
      <c r="K1245" s="2"/>
      <c r="L1245" s="2"/>
      <c r="O1245" s="58"/>
      <c r="P1245" s="58"/>
    </row>
    <row r="1246" spans="1:16">
      <c r="A1246"/>
      <c r="B1246" s="531"/>
      <c r="C1246" s="508">
        <v>1</v>
      </c>
      <c r="D1246" s="482"/>
      <c r="E1246" s="482">
        <f t="shared" si="40"/>
        <v>-1</v>
      </c>
      <c r="F1246" s="485">
        <f>SUM($E$2:E1246)/SUM($C$2:C1246)</f>
        <v>6.8625172504690451E-3</v>
      </c>
      <c r="G1246" s="478">
        <f t="shared" si="39"/>
        <v>8.5438339768339606</v>
      </c>
      <c r="H1246" s="486" t="s">
        <v>32</v>
      </c>
      <c r="I1246" s="2">
        <f>SUM(E1230:E1246)</f>
        <v>-7.5620000000000012</v>
      </c>
      <c r="L1246" s="2">
        <f>I1246/C1246</f>
        <v>-7.5620000000000012</v>
      </c>
      <c r="O1246" s="58"/>
      <c r="P1246" s="58"/>
    </row>
    <row r="1247" spans="1:16">
      <c r="A1247"/>
      <c r="B1247" s="530">
        <v>46109</v>
      </c>
      <c r="C1247" s="507">
        <v>1</v>
      </c>
      <c r="D1247" s="481"/>
      <c r="E1247" s="481">
        <f t="shared" si="40"/>
        <v>-1</v>
      </c>
      <c r="F1247" s="483">
        <f>SUM($E$2:E1247)/SUM($C$2:C1247)</f>
        <v>6.0544413939277375E-3</v>
      </c>
      <c r="G1247" s="479">
        <f t="shared" si="39"/>
        <v>7.5438339768339606</v>
      </c>
      <c r="H1247" s="484" t="s">
        <v>50</v>
      </c>
      <c r="I1247" s="2"/>
      <c r="J1247" s="2"/>
      <c r="K1247" s="2"/>
      <c r="L1247" s="2"/>
      <c r="O1247" s="58"/>
      <c r="P1247" s="58"/>
    </row>
    <row r="1248" spans="1:16">
      <c r="A1248"/>
      <c r="B1248" s="531"/>
      <c r="C1248" s="507">
        <v>1</v>
      </c>
      <c r="D1248" s="481">
        <v>1.88</v>
      </c>
      <c r="E1248" s="481">
        <f t="shared" si="40"/>
        <v>0.87999999999999989</v>
      </c>
      <c r="F1248" s="483">
        <f>SUM($E$2:E1248)/SUM($C$2:C1248)</f>
        <v>6.7552798531146444E-3</v>
      </c>
      <c r="G1248" s="479">
        <f t="shared" si="39"/>
        <v>8.4238339768339614</v>
      </c>
      <c r="H1248" s="484" t="s">
        <v>46</v>
      </c>
      <c r="I1248" s="2"/>
      <c r="J1248" s="2"/>
      <c r="K1248" s="2"/>
      <c r="L1248" s="2"/>
      <c r="O1248" s="58"/>
      <c r="P1248" s="58"/>
    </row>
    <row r="1249" spans="1:16">
      <c r="A1249"/>
      <c r="B1249" s="531"/>
      <c r="C1249" s="507">
        <v>1</v>
      </c>
      <c r="D1249" s="481">
        <v>1.9550000000000001</v>
      </c>
      <c r="E1249" s="481">
        <f t="shared" si="40"/>
        <v>0.95500000000000007</v>
      </c>
      <c r="F1249" s="483">
        <f>SUM($E$2:E1249)/SUM($C$2:C1249)</f>
        <v>7.515091327591315E-3</v>
      </c>
      <c r="G1249" s="479">
        <f t="shared" si="39"/>
        <v>9.3788339768339615</v>
      </c>
      <c r="H1249" s="484" t="s">
        <v>10</v>
      </c>
      <c r="I1249" s="2"/>
      <c r="J1249" s="2"/>
      <c r="K1249" s="2"/>
      <c r="L1249" s="2"/>
      <c r="O1249" s="58"/>
      <c r="P1249" s="58"/>
    </row>
    <row r="1250" spans="1:16">
      <c r="A1250"/>
      <c r="B1250" s="531"/>
      <c r="C1250" s="507">
        <v>1</v>
      </c>
      <c r="D1250" s="481"/>
      <c r="E1250" s="481">
        <f t="shared" si="40"/>
        <v>-1</v>
      </c>
      <c r="F1250" s="483">
        <f>SUM($E$2:E1250)/SUM($C$2:C1250)</f>
        <v>6.7084339286100575E-3</v>
      </c>
      <c r="G1250" s="479">
        <f t="shared" si="39"/>
        <v>8.3788339768339615</v>
      </c>
      <c r="H1250" s="484" t="s">
        <v>32</v>
      </c>
      <c r="I1250" s="2"/>
      <c r="J1250" s="2"/>
      <c r="K1250" s="2"/>
      <c r="L1250" s="2"/>
      <c r="O1250" s="58"/>
      <c r="P1250" s="58"/>
    </row>
    <row r="1251" spans="1:16">
      <c r="A1251"/>
      <c r="B1251" s="531"/>
      <c r="C1251" s="508">
        <v>1</v>
      </c>
      <c r="D1251" s="482"/>
      <c r="E1251" s="482">
        <f t="shared" si="40"/>
        <v>-1</v>
      </c>
      <c r="F1251" s="485">
        <f>SUM($E$2:E1251)/SUM($C$2:C1251)</f>
        <v>5.9030671814671691E-3</v>
      </c>
      <c r="G1251" s="478">
        <f t="shared" si="39"/>
        <v>7.3788339768339615</v>
      </c>
      <c r="H1251" s="486" t="s">
        <v>16</v>
      </c>
      <c r="I1251" s="2"/>
      <c r="J1251" s="2"/>
      <c r="K1251" s="2"/>
      <c r="L1251" s="2"/>
      <c r="O1251" s="58"/>
      <c r="P1251" s="58"/>
    </row>
    <row r="1252" spans="1:16">
      <c r="A1252"/>
      <c r="B1252" s="531"/>
      <c r="C1252" s="507">
        <v>1</v>
      </c>
      <c r="D1252" s="481">
        <v>1.9</v>
      </c>
      <c r="E1252" s="481">
        <f t="shared" si="40"/>
        <v>0.89999999999999991</v>
      </c>
      <c r="F1252" s="483">
        <f>SUM($E$2:E1252)/SUM($C$2:C1252)</f>
        <v>6.6177729630966919E-3</v>
      </c>
      <c r="G1252" s="479">
        <f t="shared" si="39"/>
        <v>8.2788339768339618</v>
      </c>
      <c r="H1252" s="484" t="s">
        <v>452</v>
      </c>
      <c r="I1252" s="2"/>
      <c r="J1252" s="2"/>
      <c r="K1252" s="2"/>
      <c r="L1252" s="2"/>
      <c r="O1252" s="58"/>
      <c r="P1252" s="58"/>
    </row>
    <row r="1253" spans="1:16">
      <c r="A1253"/>
      <c r="B1253" s="531"/>
      <c r="C1253" s="507">
        <v>1</v>
      </c>
      <c r="D1253" s="481">
        <v>1.89</v>
      </c>
      <c r="E1253" s="481">
        <f t="shared" si="40"/>
        <v>0.8899999999999999</v>
      </c>
      <c r="F1253" s="483">
        <f>SUM($E$2:E1253)/SUM($C$2:C1253)</f>
        <v>7.3233498217523665E-3</v>
      </c>
      <c r="G1253" s="479">
        <f t="shared" si="39"/>
        <v>9.1688339768339624</v>
      </c>
      <c r="H1253" s="484" t="s">
        <v>453</v>
      </c>
      <c r="I1253" s="2"/>
      <c r="J1253" s="2"/>
      <c r="K1253" s="2"/>
      <c r="L1253" s="2"/>
      <c r="O1253" s="58"/>
      <c r="P1253" s="58"/>
    </row>
    <row r="1254" spans="1:16">
      <c r="A1254"/>
      <c r="B1254" s="531"/>
      <c r="C1254" s="507">
        <v>1</v>
      </c>
      <c r="D1254" s="481"/>
      <c r="E1254" s="481">
        <f t="shared" si="40"/>
        <v>-1</v>
      </c>
      <c r="F1254" s="483">
        <f>SUM($E$2:E1254)/SUM($C$2:C1254)</f>
        <v>6.5194205720941444E-3</v>
      </c>
      <c r="G1254" s="479">
        <f t="shared" si="39"/>
        <v>8.1688339768339624</v>
      </c>
      <c r="H1254" s="484" t="s">
        <v>454</v>
      </c>
      <c r="I1254" s="2"/>
      <c r="J1254" s="2"/>
      <c r="K1254" s="2"/>
      <c r="L1254" s="2"/>
      <c r="O1254" s="58"/>
      <c r="P1254" s="58"/>
    </row>
    <row r="1255" spans="1:16">
      <c r="A1255"/>
      <c r="B1255" s="531"/>
      <c r="C1255" s="508">
        <v>1</v>
      </c>
      <c r="D1255" s="482"/>
      <c r="E1255" s="482">
        <f t="shared" si="40"/>
        <v>-1</v>
      </c>
      <c r="F1255" s="485">
        <f>SUM($E$2:E1255)/SUM($C$2:C1255)</f>
        <v>5.7167735062471792E-3</v>
      </c>
      <c r="G1255" s="478">
        <f t="shared" si="39"/>
        <v>7.1688339768339624</v>
      </c>
      <c r="H1255" s="486" t="s">
        <v>455</v>
      </c>
      <c r="I1255" s="2"/>
      <c r="J1255" s="2"/>
      <c r="K1255" s="2"/>
      <c r="L1255" s="2"/>
      <c r="O1255" s="58"/>
      <c r="P1255" s="58"/>
    </row>
    <row r="1256" spans="1:16">
      <c r="A1256"/>
      <c r="B1256" s="531"/>
      <c r="C1256" s="507">
        <v>1</v>
      </c>
      <c r="D1256" s="481">
        <v>2.7549999999999999</v>
      </c>
      <c r="E1256" s="481">
        <f t="shared" si="40"/>
        <v>1.7549999999999999</v>
      </c>
      <c r="F1256" s="483">
        <f>SUM($E$2:E1256)/SUM($C$2:C1256)</f>
        <v>7.1106246827362246E-3</v>
      </c>
      <c r="G1256" s="479">
        <f t="shared" si="39"/>
        <v>8.9238339768339614</v>
      </c>
      <c r="H1256" s="484" t="s">
        <v>34</v>
      </c>
      <c r="I1256" s="2"/>
      <c r="J1256" s="2"/>
      <c r="K1256" s="2"/>
      <c r="L1256" s="2"/>
      <c r="O1256" s="58"/>
      <c r="P1256" s="58"/>
    </row>
    <row r="1257" spans="1:16">
      <c r="A1257"/>
      <c r="B1257" s="531"/>
      <c r="C1257" s="507">
        <v>1</v>
      </c>
      <c r="D1257" s="481"/>
      <c r="E1257" s="481">
        <f t="shared" si="40"/>
        <v>-1</v>
      </c>
      <c r="F1257" s="483">
        <f>SUM($E$2:E1257)/SUM($C$2:C1257)</f>
        <v>6.3087850134028352E-3</v>
      </c>
      <c r="G1257" s="479">
        <f t="shared" si="39"/>
        <v>7.9238339768339614</v>
      </c>
      <c r="H1257" s="484" t="s">
        <v>47</v>
      </c>
      <c r="I1257" s="2"/>
      <c r="J1257" s="2"/>
      <c r="K1257" s="2"/>
      <c r="L1257" s="2"/>
      <c r="O1257" s="58"/>
      <c r="P1257" s="58"/>
    </row>
    <row r="1258" spans="1:16">
      <c r="A1258"/>
      <c r="B1258" s="531"/>
      <c r="C1258" s="508">
        <v>1</v>
      </c>
      <c r="D1258" s="482">
        <v>2.46</v>
      </c>
      <c r="E1258" s="482">
        <f t="shared" si="40"/>
        <v>1.46</v>
      </c>
      <c r="F1258" s="485">
        <f>SUM($E$2:E1258)/SUM($C$2:C1258)</f>
        <v>7.465261715858363E-3</v>
      </c>
      <c r="G1258" s="478">
        <f t="shared" si="39"/>
        <v>9.3838339768339623</v>
      </c>
      <c r="H1258" s="486" t="s">
        <v>32</v>
      </c>
      <c r="I1258" s="2">
        <f>SUM(E1247:E1258)</f>
        <v>0.83999999999999964</v>
      </c>
      <c r="L1258" s="2">
        <f>I1258/C1258</f>
        <v>0.83999999999999964</v>
      </c>
      <c r="O1258" s="58"/>
      <c r="P1258" s="58"/>
    </row>
    <row r="1259" spans="1:16">
      <c r="A1259"/>
      <c r="B1259" s="530">
        <v>46110</v>
      </c>
      <c r="C1259" s="507">
        <v>1</v>
      </c>
      <c r="D1259" s="481"/>
      <c r="E1259" s="481">
        <f t="shared" si="40"/>
        <v>-1</v>
      </c>
      <c r="F1259" s="483">
        <f>SUM($E$2:E1259)/SUM($C$2:C1259)</f>
        <v>6.6644149259411463E-3</v>
      </c>
      <c r="G1259" s="479">
        <f t="shared" si="39"/>
        <v>8.3838339768339623</v>
      </c>
      <c r="H1259" s="484" t="s">
        <v>18</v>
      </c>
      <c r="I1259" s="2"/>
      <c r="J1259" s="2"/>
      <c r="K1259" s="2"/>
      <c r="L1259" s="2"/>
      <c r="O1259" s="58"/>
      <c r="P1259" s="58"/>
    </row>
    <row r="1260" spans="1:16">
      <c r="A1260"/>
      <c r="B1260" s="531"/>
      <c r="C1260" s="507">
        <v>1</v>
      </c>
      <c r="D1260" s="481">
        <v>1.9</v>
      </c>
      <c r="E1260" s="481">
        <f t="shared" si="40"/>
        <v>0.89999999999999991</v>
      </c>
      <c r="F1260" s="483">
        <f>SUM($E$2:E1260)/SUM($C$2:C1260)</f>
        <v>7.3739745646020354E-3</v>
      </c>
      <c r="G1260" s="479">
        <f t="shared" si="39"/>
        <v>9.2838339768339626</v>
      </c>
      <c r="H1260" s="484" t="s">
        <v>46</v>
      </c>
      <c r="I1260" s="2"/>
      <c r="J1260" s="2"/>
      <c r="K1260" s="2"/>
      <c r="L1260" s="2"/>
      <c r="O1260" s="58"/>
      <c r="P1260" s="58"/>
    </row>
    <row r="1261" spans="1:16">
      <c r="A1261"/>
      <c r="B1261" s="531"/>
      <c r="C1261" s="507">
        <v>1</v>
      </c>
      <c r="D1261" s="481">
        <v>1.85</v>
      </c>
      <c r="E1261" s="481">
        <f t="shared" si="40"/>
        <v>0.85000000000000009</v>
      </c>
      <c r="F1261" s="483">
        <f>SUM($E$2:E1261)/SUM($C$2:C1261)</f>
        <v>8.0427253784396534E-3</v>
      </c>
      <c r="G1261" s="479">
        <f t="shared" si="39"/>
        <v>10.133833976833962</v>
      </c>
      <c r="H1261" s="484" t="s">
        <v>30</v>
      </c>
      <c r="I1261" s="2"/>
      <c r="J1261" s="2"/>
      <c r="K1261" s="2"/>
      <c r="L1261" s="2"/>
      <c r="O1261" s="58"/>
      <c r="P1261" s="58"/>
    </row>
    <row r="1262" spans="1:16">
      <c r="A1262"/>
      <c r="B1262" s="531"/>
      <c r="C1262" s="508">
        <v>1</v>
      </c>
      <c r="D1262" s="482">
        <v>1.9</v>
      </c>
      <c r="E1262" s="482">
        <f t="shared" si="40"/>
        <v>0.89999999999999991</v>
      </c>
      <c r="F1262" s="485">
        <f>SUM($E$2:E1262)/SUM($C$2:C1262)</f>
        <v>8.7500665954274096E-3</v>
      </c>
      <c r="G1262" s="478">
        <f t="shared" si="39"/>
        <v>11.033833976833963</v>
      </c>
      <c r="H1262" s="486" t="s">
        <v>77</v>
      </c>
      <c r="I1262" s="2"/>
      <c r="J1262" s="2"/>
      <c r="K1262" s="2"/>
      <c r="L1262" s="2"/>
      <c r="O1262" s="58"/>
      <c r="P1262" s="58"/>
    </row>
    <row r="1263" spans="1:16">
      <c r="A1263"/>
      <c r="B1263" s="531"/>
      <c r="C1263" s="507">
        <v>1</v>
      </c>
      <c r="D1263" s="481"/>
      <c r="E1263" s="481">
        <f t="shared" si="40"/>
        <v>-1</v>
      </c>
      <c r="F1263" s="483">
        <f>SUM($E$2:E1263)/SUM($C$2:C1263)</f>
        <v>7.9507400767305572E-3</v>
      </c>
      <c r="G1263" s="479">
        <f t="shared" si="39"/>
        <v>10.033833976833963</v>
      </c>
      <c r="H1263" s="484" t="s">
        <v>456</v>
      </c>
      <c r="I1263" s="2"/>
      <c r="J1263" s="2"/>
      <c r="K1263" s="2"/>
      <c r="L1263" s="2"/>
      <c r="O1263" s="58"/>
      <c r="P1263" s="58"/>
    </row>
    <row r="1264" spans="1:16">
      <c r="A1264"/>
      <c r="B1264" s="531"/>
      <c r="C1264" s="507">
        <v>1</v>
      </c>
      <c r="D1264" s="481"/>
      <c r="E1264" s="481">
        <f t="shared" si="40"/>
        <v>-1</v>
      </c>
      <c r="F1264" s="483">
        <f>SUM($E$2:E1264)/SUM($C$2:C1264)</f>
        <v>7.1526793165747919E-3</v>
      </c>
      <c r="G1264" s="479">
        <f t="shared" si="39"/>
        <v>9.0338339768339626</v>
      </c>
      <c r="H1264" s="484" t="s">
        <v>457</v>
      </c>
      <c r="I1264" s="2"/>
      <c r="J1264" s="2"/>
      <c r="K1264" s="2"/>
      <c r="L1264" s="2"/>
      <c r="O1264" s="58"/>
      <c r="P1264" s="58"/>
    </row>
    <row r="1265" spans="1:16">
      <c r="A1265"/>
      <c r="B1265" s="531"/>
      <c r="C1265" s="507">
        <v>1</v>
      </c>
      <c r="D1265" s="481"/>
      <c r="E1265" s="481">
        <f t="shared" si="40"/>
        <v>-1</v>
      </c>
      <c r="F1265" s="483">
        <f>SUM($E$2:E1265)/SUM($C$2:C1265)</f>
        <v>6.3558813107863626E-3</v>
      </c>
      <c r="G1265" s="479">
        <f t="shared" si="39"/>
        <v>8.0338339768339626</v>
      </c>
      <c r="H1265" s="484" t="s">
        <v>458</v>
      </c>
      <c r="I1265" s="2"/>
      <c r="J1265" s="2"/>
      <c r="K1265" s="2"/>
      <c r="L1265" s="2"/>
      <c r="O1265" s="58"/>
      <c r="P1265" s="58"/>
    </row>
    <row r="1266" spans="1:16">
      <c r="A1266"/>
      <c r="B1266" s="531"/>
      <c r="C1266" s="507">
        <v>1</v>
      </c>
      <c r="D1266" s="481">
        <v>1.88</v>
      </c>
      <c r="E1266" s="481">
        <f t="shared" si="40"/>
        <v>0.87999999999999989</v>
      </c>
      <c r="F1266" s="483">
        <f>SUM($E$2:E1266)/SUM($C$2:C1266)</f>
        <v>7.0465090725960189E-3</v>
      </c>
      <c r="G1266" s="479">
        <f t="shared" si="39"/>
        <v>8.9138339768339634</v>
      </c>
      <c r="H1266" s="484" t="s">
        <v>459</v>
      </c>
      <c r="I1266" s="2"/>
      <c r="J1266" s="2"/>
      <c r="K1266" s="2"/>
      <c r="L1266" s="2"/>
      <c r="O1266" s="58"/>
      <c r="P1266" s="58"/>
    </row>
    <row r="1267" spans="1:16">
      <c r="A1267"/>
      <c r="B1267" s="531"/>
      <c r="C1267" s="508">
        <v>1</v>
      </c>
      <c r="D1267" s="482">
        <v>1.9</v>
      </c>
      <c r="E1267" s="482">
        <f t="shared" si="40"/>
        <v>0.89999999999999991</v>
      </c>
      <c r="F1267" s="485">
        <f>SUM($E$2:E1267)/SUM($C$2:C1267)</f>
        <v>7.7518435835971277E-3</v>
      </c>
      <c r="G1267" s="478">
        <f t="shared" si="39"/>
        <v>9.8138339768339637</v>
      </c>
      <c r="H1267" s="486" t="s">
        <v>460</v>
      </c>
      <c r="I1267" s="2"/>
      <c r="J1267" s="2"/>
      <c r="K1267" s="2"/>
      <c r="L1267" s="2"/>
      <c r="O1267" s="58"/>
      <c r="P1267" s="58"/>
    </row>
    <row r="1268" spans="1:16">
      <c r="A1268"/>
      <c r="B1268" s="531"/>
      <c r="C1268" s="507">
        <v>1</v>
      </c>
      <c r="D1268" s="481">
        <v>1.9</v>
      </c>
      <c r="E1268" s="481">
        <f t="shared" si="40"/>
        <v>0.89999999999999991</v>
      </c>
      <c r="F1268" s="483">
        <f>SUM($E$2:E1268)/SUM($C$2:C1268)</f>
        <v>8.4560647015264126E-3</v>
      </c>
      <c r="G1268" s="479">
        <f t="shared" si="39"/>
        <v>10.713833976833964</v>
      </c>
      <c r="H1268" s="484" t="s">
        <v>20</v>
      </c>
      <c r="I1268" s="2"/>
      <c r="J1268" s="2"/>
      <c r="K1268" s="2"/>
      <c r="L1268" s="2"/>
      <c r="O1268" s="58"/>
      <c r="P1268" s="58"/>
    </row>
    <row r="1269" spans="1:16">
      <c r="A1269"/>
      <c r="B1269" s="532"/>
      <c r="C1269" s="508">
        <v>1</v>
      </c>
      <c r="D1269" s="482">
        <v>1.87</v>
      </c>
      <c r="E1269" s="482">
        <f t="shared" si="40"/>
        <v>0.87000000000000011</v>
      </c>
      <c r="F1269" s="485">
        <f>SUM($E$2:E1269)/SUM($C$2:C1269)</f>
        <v>9.1355157546009185E-3</v>
      </c>
      <c r="G1269" s="478">
        <f t="shared" si="39"/>
        <v>11.583833976833965</v>
      </c>
      <c r="H1269" s="486" t="s">
        <v>36</v>
      </c>
      <c r="I1269" s="2">
        <f>SUM(E1259:E1269)</f>
        <v>2.1999999999999997</v>
      </c>
      <c r="J1269" s="2">
        <f>SUM(E1177:E1269)</f>
        <v>-24.447000000000006</v>
      </c>
      <c r="L1269" s="2">
        <f>I1269/C1269</f>
        <v>2.1999999999999997</v>
      </c>
      <c r="O1269" s="58"/>
      <c r="P1269" s="58"/>
    </row>
    <row r="1270" spans="1:16">
      <c r="A1270"/>
      <c r="B1270" s="530">
        <v>46111</v>
      </c>
      <c r="C1270" s="507">
        <v>1</v>
      </c>
      <c r="D1270" s="481">
        <v>1.85</v>
      </c>
      <c r="E1270" s="481">
        <f t="shared" si="40"/>
        <v>0.85000000000000009</v>
      </c>
      <c r="F1270" s="483">
        <f>SUM($E$2:E1270)/SUM($C$2:C1270)</f>
        <v>9.7981355215397675E-3</v>
      </c>
      <c r="G1270" s="479">
        <f t="shared" si="39"/>
        <v>12.433833976833965</v>
      </c>
      <c r="H1270" s="484" t="s">
        <v>48</v>
      </c>
      <c r="I1270" s="2"/>
      <c r="J1270" s="2"/>
      <c r="K1270" s="2"/>
      <c r="L1270" s="2"/>
      <c r="O1270" s="58"/>
      <c r="P1270" s="58"/>
    </row>
    <row r="1271" spans="1:16">
      <c r="A1271"/>
      <c r="B1271" s="531"/>
      <c r="C1271" s="507">
        <v>1</v>
      </c>
      <c r="D1271" s="481">
        <v>1.85</v>
      </c>
      <c r="E1271" s="481">
        <f t="shared" si="40"/>
        <v>0.85000000000000009</v>
      </c>
      <c r="F1271" s="483">
        <f>SUM($E$2:E1271)/SUM($C$2:C1271)</f>
        <v>1.0459711792782649E-2</v>
      </c>
      <c r="G1271" s="479">
        <f t="shared" si="39"/>
        <v>13.283833976833964</v>
      </c>
      <c r="H1271" s="484" t="s">
        <v>10</v>
      </c>
      <c r="I1271" s="2"/>
      <c r="J1271" s="2"/>
      <c r="K1271" s="2"/>
      <c r="L1271" s="2"/>
      <c r="O1271" s="58"/>
      <c r="P1271" s="58"/>
    </row>
    <row r="1272" spans="1:16">
      <c r="A1272"/>
      <c r="B1272" s="531"/>
      <c r="C1272" s="507">
        <v>1</v>
      </c>
      <c r="D1272" s="481">
        <v>1.88</v>
      </c>
      <c r="E1272" s="481">
        <f t="shared" si="40"/>
        <v>0.87999999999999989</v>
      </c>
      <c r="F1272" s="483">
        <f>SUM($E$2:E1272)/SUM($C$2:C1272)</f>
        <v>1.1143850493181718E-2</v>
      </c>
      <c r="G1272" s="479">
        <f t="shared" si="39"/>
        <v>14.163833976833963</v>
      </c>
      <c r="H1272" s="484" t="s">
        <v>38</v>
      </c>
      <c r="I1272" s="2"/>
      <c r="J1272" s="2"/>
      <c r="K1272" s="2"/>
      <c r="L1272" s="2"/>
      <c r="O1272" s="58"/>
      <c r="P1272" s="58"/>
    </row>
    <row r="1273" spans="1:16">
      <c r="A1273"/>
      <c r="B1273" s="531"/>
      <c r="C1273" s="508">
        <v>1</v>
      </c>
      <c r="D1273" s="482">
        <v>1.89</v>
      </c>
      <c r="E1273" s="482">
        <f t="shared" si="40"/>
        <v>0.8899999999999999</v>
      </c>
      <c r="F1273" s="485">
        <f>SUM($E$2:E1273)/SUM($C$2:C1273)</f>
        <v>1.1834775139020412E-2</v>
      </c>
      <c r="G1273" s="478">
        <f t="shared" si="39"/>
        <v>15.053833976833964</v>
      </c>
      <c r="H1273" s="486" t="s">
        <v>22</v>
      </c>
      <c r="I1273" s="2"/>
      <c r="J1273" s="2"/>
      <c r="K1273" s="2"/>
      <c r="L1273" s="2"/>
      <c r="O1273" s="58"/>
      <c r="P1273" s="58"/>
    </row>
    <row r="1274" spans="1:16">
      <c r="A1274"/>
      <c r="B1274" s="531"/>
      <c r="C1274" s="507">
        <v>1</v>
      </c>
      <c r="D1274" s="481">
        <v>1.89</v>
      </c>
      <c r="E1274" s="481">
        <f t="shared" si="40"/>
        <v>0.8899999999999999</v>
      </c>
      <c r="F1274" s="483">
        <f>SUM($E$2:E1274)/SUM($C$2:C1274)</f>
        <v>1.2524614278738385E-2</v>
      </c>
      <c r="G1274" s="479">
        <f t="shared" si="39"/>
        <v>15.943833976833965</v>
      </c>
      <c r="H1274" s="484" t="s">
        <v>461</v>
      </c>
      <c r="I1274" s="2"/>
      <c r="J1274" s="2"/>
      <c r="K1274" s="2"/>
      <c r="L1274" s="2"/>
      <c r="O1274" s="58"/>
      <c r="P1274" s="58"/>
    </row>
    <row r="1275" spans="1:16">
      <c r="A1275"/>
      <c r="B1275" s="531"/>
      <c r="C1275" s="507">
        <v>1</v>
      </c>
      <c r="D1275" s="481">
        <v>1.89</v>
      </c>
      <c r="E1275" s="481">
        <f t="shared" si="40"/>
        <v>0.8899999999999999</v>
      </c>
      <c r="F1275" s="483">
        <f>SUM($E$2:E1275)/SUM($C$2:C1275)</f>
        <v>1.3213370468472501E-2</v>
      </c>
      <c r="G1275" s="479">
        <f t="shared" si="39"/>
        <v>16.833833976833965</v>
      </c>
      <c r="H1275" s="484" t="s">
        <v>462</v>
      </c>
      <c r="I1275" s="2"/>
      <c r="J1275" s="2"/>
      <c r="K1275" s="2"/>
      <c r="L1275" s="2"/>
      <c r="O1275" s="58"/>
      <c r="P1275" s="58"/>
    </row>
    <row r="1276" spans="1:16">
      <c r="A1276"/>
      <c r="B1276" s="531"/>
      <c r="C1276" s="507">
        <v>1</v>
      </c>
      <c r="D1276" s="481"/>
      <c r="E1276" s="481">
        <f t="shared" si="40"/>
        <v>-1</v>
      </c>
      <c r="F1276" s="483">
        <f>SUM($E$2:E1276)/SUM($C$2:C1276)</f>
        <v>1.2418693315163895E-2</v>
      </c>
      <c r="G1276" s="479">
        <f t="shared" si="39"/>
        <v>15.833833976833965</v>
      </c>
      <c r="H1276" s="484" t="s">
        <v>463</v>
      </c>
      <c r="I1276" s="2"/>
      <c r="J1276" s="2"/>
      <c r="K1276" s="2"/>
      <c r="L1276" s="2"/>
      <c r="O1276" s="58"/>
      <c r="P1276" s="58"/>
    </row>
    <row r="1277" spans="1:16">
      <c r="A1277"/>
      <c r="B1277" s="531"/>
      <c r="C1277" s="507">
        <v>1</v>
      </c>
      <c r="D1277" s="481">
        <v>1.88</v>
      </c>
      <c r="E1277" s="481">
        <f t="shared" si="40"/>
        <v>0.87999999999999989</v>
      </c>
      <c r="F1277" s="483">
        <f>SUM($E$2:E1277)/SUM($C$2:C1277)</f>
        <v>1.3098615969305614E-2</v>
      </c>
      <c r="G1277" s="479">
        <f t="shared" si="39"/>
        <v>16.713833976833964</v>
      </c>
      <c r="H1277" s="484" t="s">
        <v>464</v>
      </c>
      <c r="I1277" s="2"/>
      <c r="J1277" s="2"/>
      <c r="K1277" s="2"/>
      <c r="L1277" s="2"/>
      <c r="O1277" s="58"/>
      <c r="P1277" s="58"/>
    </row>
    <row r="1278" spans="1:16">
      <c r="A1278"/>
      <c r="B1278" s="531"/>
      <c r="C1278" s="507">
        <v>1</v>
      </c>
      <c r="D1278" s="481">
        <v>1.89</v>
      </c>
      <c r="E1278" s="481">
        <f t="shared" si="40"/>
        <v>0.8899999999999999</v>
      </c>
      <c r="F1278" s="483">
        <f>SUM($E$2:E1278)/SUM($C$2:C1278)</f>
        <v>1.3785304602062618E-2</v>
      </c>
      <c r="G1278" s="479">
        <f t="shared" si="39"/>
        <v>17.603833976833965</v>
      </c>
      <c r="H1278" s="484" t="s">
        <v>235</v>
      </c>
      <c r="I1278" s="2"/>
      <c r="J1278" s="2"/>
      <c r="K1278" s="2"/>
      <c r="L1278" s="2"/>
      <c r="O1278" s="58"/>
      <c r="P1278" s="58"/>
    </row>
    <row r="1279" spans="1:16">
      <c r="A1279"/>
      <c r="B1279" s="531"/>
      <c r="C1279" s="507">
        <v>1</v>
      </c>
      <c r="D1279" s="481">
        <v>1.9</v>
      </c>
      <c r="E1279" s="481">
        <f t="shared" si="40"/>
        <v>0.89999999999999991</v>
      </c>
      <c r="F1279" s="483">
        <f>SUM($E$2:E1279)/SUM($C$2:C1279)</f>
        <v>1.4478743330855996E-2</v>
      </c>
      <c r="G1279" s="479">
        <f t="shared" ref="G1279:G1342" si="41">G1278+E1279</f>
        <v>18.503833976833963</v>
      </c>
      <c r="H1279" s="484" t="s">
        <v>465</v>
      </c>
      <c r="I1279" s="2"/>
      <c r="J1279" s="2"/>
      <c r="K1279" s="2"/>
      <c r="L1279" s="2"/>
      <c r="O1279" s="58"/>
      <c r="P1279" s="58"/>
    </row>
    <row r="1280" spans="1:16">
      <c r="A1280"/>
      <c r="B1280" s="531"/>
      <c r="C1280" s="507">
        <v>1</v>
      </c>
      <c r="D1280" s="481">
        <v>1.9</v>
      </c>
      <c r="E1280" s="481">
        <f t="shared" si="40"/>
        <v>0.89999999999999991</v>
      </c>
      <c r="F1280" s="483">
        <f>SUM($E$2:E1280)/SUM($C$2:C1280)</f>
        <v>1.5171097714490978E-2</v>
      </c>
      <c r="G1280" s="479">
        <f t="shared" si="41"/>
        <v>19.403833976833962</v>
      </c>
      <c r="H1280" s="484" t="s">
        <v>466</v>
      </c>
      <c r="I1280" s="2"/>
      <c r="J1280" s="2"/>
      <c r="K1280" s="2"/>
      <c r="L1280" s="2"/>
      <c r="O1280" s="58"/>
      <c r="P1280" s="58"/>
    </row>
    <row r="1281" spans="1:16">
      <c r="A1281"/>
      <c r="B1281" s="531"/>
      <c r="C1281" s="508">
        <v>1</v>
      </c>
      <c r="D1281" s="482">
        <v>1.88</v>
      </c>
      <c r="E1281" s="482">
        <f t="shared" si="40"/>
        <v>0.87999999999999989</v>
      </c>
      <c r="F1281" s="485">
        <f>SUM($E$2:E1281)/SUM($C$2:C1281)</f>
        <v>1.5846745294401533E-2</v>
      </c>
      <c r="G1281" s="478">
        <f t="shared" si="41"/>
        <v>20.283833976833961</v>
      </c>
      <c r="H1281" s="486" t="s">
        <v>467</v>
      </c>
      <c r="I1281" s="2"/>
      <c r="J1281" s="2"/>
      <c r="K1281" s="2"/>
      <c r="L1281" s="2"/>
      <c r="O1281" s="58"/>
      <c r="P1281" s="58"/>
    </row>
    <row r="1282" spans="1:16">
      <c r="A1282"/>
      <c r="B1282" s="531"/>
      <c r="C1282" s="507">
        <v>1</v>
      </c>
      <c r="D1282" s="481">
        <v>2.0699999999999998</v>
      </c>
      <c r="E1282" s="481">
        <f t="shared" ref="E1282:E1345" si="42">(C1282*D1282)-C1282</f>
        <v>1.0699999999999998</v>
      </c>
      <c r="F1282" s="483">
        <f>SUM($E$2:E1282)/SUM($C$2:C1282)</f>
        <v>1.6669659622821204E-2</v>
      </c>
      <c r="G1282" s="479">
        <f t="shared" si="41"/>
        <v>21.353833976833961</v>
      </c>
      <c r="H1282" s="484" t="s">
        <v>48</v>
      </c>
      <c r="I1282" s="2"/>
      <c r="J1282" s="2"/>
      <c r="K1282" s="2"/>
      <c r="L1282" s="2"/>
      <c r="O1282" s="58"/>
      <c r="P1282" s="58"/>
    </row>
    <row r="1283" spans="1:16">
      <c r="A1283"/>
      <c r="B1283" s="531"/>
      <c r="C1283" s="507">
        <v>1</v>
      </c>
      <c r="D1283" s="481"/>
      <c r="E1283" s="481">
        <f t="shared" si="42"/>
        <v>-1</v>
      </c>
      <c r="F1283" s="483">
        <f>SUM($E$2:E1283)/SUM($C$2:C1283)</f>
        <v>1.5876625566953167E-2</v>
      </c>
      <c r="G1283" s="479">
        <f t="shared" si="41"/>
        <v>20.353833976833961</v>
      </c>
      <c r="H1283" s="484" t="s">
        <v>36</v>
      </c>
      <c r="I1283" s="2"/>
      <c r="J1283" s="2"/>
      <c r="K1283" s="2"/>
      <c r="L1283" s="2"/>
      <c r="O1283" s="58"/>
      <c r="P1283" s="58"/>
    </row>
    <row r="1284" spans="1:16">
      <c r="A1284"/>
      <c r="B1284" s="531"/>
      <c r="C1284" s="507">
        <v>1</v>
      </c>
      <c r="D1284" s="481"/>
      <c r="E1284" s="481">
        <f t="shared" si="42"/>
        <v>-1</v>
      </c>
      <c r="F1284" s="483">
        <f>SUM($E$2:E1284)/SUM($C$2:C1284)</f>
        <v>1.5084827729410727E-2</v>
      </c>
      <c r="G1284" s="479">
        <f t="shared" si="41"/>
        <v>19.353833976833961</v>
      </c>
      <c r="H1284" s="484" t="s">
        <v>32</v>
      </c>
      <c r="I1284" s="2"/>
      <c r="J1284" s="2"/>
      <c r="K1284" s="2"/>
      <c r="L1284" s="2"/>
      <c r="O1284" s="58"/>
      <c r="P1284" s="58"/>
    </row>
    <row r="1285" spans="1:16">
      <c r="A1285"/>
      <c r="B1285" s="531"/>
      <c r="C1285" s="507">
        <v>1</v>
      </c>
      <c r="D1285" s="481"/>
      <c r="E1285" s="481">
        <f t="shared" si="42"/>
        <v>-1</v>
      </c>
      <c r="F1285" s="483">
        <f>SUM($E$2:E1285)/SUM($C$2:C1285)</f>
        <v>1.4294263221833303E-2</v>
      </c>
      <c r="G1285" s="479">
        <f t="shared" si="41"/>
        <v>18.353833976833961</v>
      </c>
      <c r="H1285" s="484" t="s">
        <v>14</v>
      </c>
      <c r="I1285" s="2"/>
      <c r="J1285" s="2"/>
      <c r="K1285" s="2"/>
      <c r="L1285" s="2"/>
      <c r="O1285" s="58"/>
      <c r="P1285" s="58"/>
    </row>
    <row r="1286" spans="1:16">
      <c r="A1286"/>
      <c r="B1286" s="532"/>
      <c r="C1286" s="508">
        <v>1</v>
      </c>
      <c r="D1286" s="482">
        <v>1.825</v>
      </c>
      <c r="E1286" s="482">
        <f t="shared" si="42"/>
        <v>0.82499999999999996</v>
      </c>
      <c r="F1286" s="485">
        <f>SUM($E$2:E1286)/SUM($C$2:C1286)</f>
        <v>1.4925162627886351E-2</v>
      </c>
      <c r="G1286" s="478">
        <f t="shared" si="41"/>
        <v>19.17883397683396</v>
      </c>
      <c r="H1286" s="486" t="s">
        <v>21</v>
      </c>
      <c r="I1286" s="2">
        <f>SUM(E1270:E1286)</f>
        <v>7.5949999999999998</v>
      </c>
      <c r="J1286" s="2">
        <f>SUM(E1270:E1441)</f>
        <v>-0.73300000000000232</v>
      </c>
      <c r="K1286" s="2">
        <f>SUM(E932:E1441)</f>
        <v>-35.102000000000018</v>
      </c>
      <c r="L1286" s="2">
        <f>I1286/C1286</f>
        <v>7.5949999999999998</v>
      </c>
      <c r="O1286" s="58"/>
      <c r="P1286" s="58"/>
    </row>
    <row r="1287" spans="1:16">
      <c r="A1287"/>
      <c r="B1287" s="531">
        <v>46112</v>
      </c>
      <c r="C1287" s="507">
        <v>1</v>
      </c>
      <c r="D1287" s="481"/>
      <c r="E1287" s="481">
        <f t="shared" si="42"/>
        <v>-1</v>
      </c>
      <c r="F1287" s="483">
        <f>SUM($E$2:E1287)/SUM($C$2:C1287)</f>
        <v>1.4135951770477419E-2</v>
      </c>
      <c r="G1287" s="479">
        <f t="shared" si="41"/>
        <v>18.17883397683396</v>
      </c>
      <c r="H1287" s="484" t="s">
        <v>20</v>
      </c>
      <c r="I1287" s="2"/>
      <c r="J1287" s="2"/>
      <c r="K1287" s="2"/>
      <c r="L1287" s="2"/>
      <c r="O1287" s="58"/>
      <c r="P1287" s="58"/>
    </row>
    <row r="1288" spans="1:16">
      <c r="A1288"/>
      <c r="B1288" s="531"/>
      <c r="C1288" s="507">
        <v>1</v>
      </c>
      <c r="D1288" s="481"/>
      <c r="E1288" s="481">
        <f t="shared" si="42"/>
        <v>-1</v>
      </c>
      <c r="F1288" s="483">
        <f>SUM($E$2:E1288)/SUM($C$2:C1288)</f>
        <v>1.3347967347967336E-2</v>
      </c>
      <c r="G1288" s="479">
        <f t="shared" si="41"/>
        <v>17.17883397683396</v>
      </c>
      <c r="H1288" s="484" t="s">
        <v>15</v>
      </c>
      <c r="I1288" s="2"/>
      <c r="J1288" s="2"/>
      <c r="K1288" s="2"/>
      <c r="L1288" s="2"/>
      <c r="O1288" s="58"/>
      <c r="P1288" s="58"/>
    </row>
    <row r="1289" spans="1:16">
      <c r="A1289"/>
      <c r="B1289" s="531"/>
      <c r="C1289" s="508">
        <v>1</v>
      </c>
      <c r="D1289" s="482"/>
      <c r="E1289" s="482">
        <f t="shared" si="42"/>
        <v>-1</v>
      </c>
      <c r="F1289" s="485">
        <f>SUM($E$2:E1289)/SUM($C$2:C1289)</f>
        <v>1.2561206503753074E-2</v>
      </c>
      <c r="G1289" s="478">
        <f t="shared" si="41"/>
        <v>16.17883397683396</v>
      </c>
      <c r="H1289" s="486" t="s">
        <v>22</v>
      </c>
      <c r="I1289" s="2"/>
      <c r="J1289" s="2"/>
      <c r="K1289" s="2"/>
      <c r="L1289" s="2"/>
      <c r="O1289" s="58"/>
      <c r="P1289" s="58"/>
    </row>
    <row r="1290" spans="1:16">
      <c r="A1290"/>
      <c r="B1290" s="531"/>
      <c r="C1290" s="507">
        <v>1</v>
      </c>
      <c r="D1290" s="481"/>
      <c r="E1290" s="481">
        <f t="shared" si="42"/>
        <v>-1</v>
      </c>
      <c r="F1290" s="483">
        <f>SUM($E$2:E1290)/SUM($C$2:C1290)</f>
        <v>1.1775666390096168E-2</v>
      </c>
      <c r="G1290" s="479">
        <f t="shared" si="41"/>
        <v>15.17883397683396</v>
      </c>
      <c r="H1290" s="484" t="s">
        <v>468</v>
      </c>
      <c r="I1290" s="2"/>
      <c r="J1290" s="2"/>
      <c r="K1290" s="2"/>
      <c r="L1290" s="2"/>
      <c r="O1290" s="58"/>
      <c r="P1290" s="58"/>
    </row>
    <row r="1291" spans="1:16">
      <c r="A1291"/>
      <c r="B1291" s="531"/>
      <c r="C1291" s="507">
        <v>1</v>
      </c>
      <c r="D1291" s="481">
        <v>1.9</v>
      </c>
      <c r="E1291" s="481">
        <f t="shared" si="42"/>
        <v>0.89999999999999991</v>
      </c>
      <c r="F1291" s="483">
        <f>SUM($E$2:E1291)/SUM($C$2:C1291)</f>
        <v>1.2464212385142604E-2</v>
      </c>
      <c r="G1291" s="479">
        <f t="shared" si="41"/>
        <v>16.078833976833959</v>
      </c>
      <c r="H1291" s="484" t="s">
        <v>469</v>
      </c>
      <c r="I1291" s="2"/>
      <c r="J1291" s="2"/>
      <c r="K1291" s="2"/>
      <c r="L1291" s="2"/>
      <c r="O1291" s="58"/>
      <c r="P1291" s="58"/>
    </row>
    <row r="1292" spans="1:16">
      <c r="A1292"/>
      <c r="B1292" s="531"/>
      <c r="C1292" s="507">
        <v>1</v>
      </c>
      <c r="D1292" s="481">
        <v>1.89</v>
      </c>
      <c r="E1292" s="481">
        <f t="shared" si="42"/>
        <v>0.8899999999999999</v>
      </c>
      <c r="F1292" s="483">
        <f>SUM($E$2:E1292)/SUM($C$2:C1292)</f>
        <v>1.3143945760522045E-2</v>
      </c>
      <c r="G1292" s="479">
        <f t="shared" si="41"/>
        <v>16.96883397683396</v>
      </c>
      <c r="H1292" s="484" t="s">
        <v>470</v>
      </c>
      <c r="I1292" s="2"/>
      <c r="J1292" s="2"/>
      <c r="K1292" s="2"/>
      <c r="L1292" s="2"/>
      <c r="O1292" s="58"/>
      <c r="P1292" s="58"/>
    </row>
    <row r="1293" spans="1:16">
      <c r="A1293"/>
      <c r="B1293" s="531"/>
      <c r="C1293" s="508">
        <v>1</v>
      </c>
      <c r="D1293" s="482"/>
      <c r="E1293" s="482">
        <f t="shared" si="42"/>
        <v>-1</v>
      </c>
      <c r="F1293" s="485">
        <f>SUM($E$2:E1293)/SUM($C$2:C1293)</f>
        <v>1.2359778619840526E-2</v>
      </c>
      <c r="G1293" s="478">
        <f t="shared" si="41"/>
        <v>15.96883397683396</v>
      </c>
      <c r="H1293" s="486" t="s">
        <v>471</v>
      </c>
      <c r="I1293" s="2"/>
      <c r="J1293" s="2"/>
      <c r="K1293" s="2"/>
      <c r="L1293" s="2"/>
      <c r="O1293" s="58"/>
      <c r="P1293" s="58"/>
    </row>
    <row r="1294" spans="1:16">
      <c r="A1294"/>
      <c r="B1294" s="531"/>
      <c r="C1294" s="507">
        <v>1</v>
      </c>
      <c r="D1294" s="481"/>
      <c r="E1294" s="481">
        <f t="shared" si="42"/>
        <v>-1</v>
      </c>
      <c r="F1294" s="483">
        <f>SUM($E$2:E1294)/SUM($C$2:C1294)</f>
        <v>1.1576824421371971E-2</v>
      </c>
      <c r="G1294" s="479">
        <f t="shared" si="41"/>
        <v>14.96883397683396</v>
      </c>
      <c r="H1294" s="484" t="s">
        <v>16</v>
      </c>
      <c r="I1294" s="2"/>
      <c r="J1294" s="2"/>
      <c r="K1294" s="2"/>
      <c r="L1294" s="2"/>
      <c r="O1294" s="58"/>
      <c r="P1294" s="58"/>
    </row>
    <row r="1295" spans="1:16">
      <c r="A1295"/>
      <c r="B1295" s="531"/>
      <c r="C1295" s="507">
        <v>1</v>
      </c>
      <c r="D1295" s="481"/>
      <c r="E1295" s="481">
        <f t="shared" si="42"/>
        <v>-1</v>
      </c>
      <c r="F1295" s="483">
        <f>SUM($E$2:E1295)/SUM($C$2:C1295)</f>
        <v>1.0795080353040155E-2</v>
      </c>
      <c r="G1295" s="479">
        <f t="shared" si="41"/>
        <v>13.96883397683396</v>
      </c>
      <c r="H1295" s="484" t="s">
        <v>35</v>
      </c>
      <c r="I1295" s="2"/>
      <c r="J1295" s="2"/>
      <c r="K1295" s="2"/>
      <c r="L1295" s="2"/>
      <c r="O1295" s="58"/>
      <c r="P1295" s="58"/>
    </row>
    <row r="1296" spans="1:16">
      <c r="A1296"/>
      <c r="B1296" s="531"/>
      <c r="C1296" s="507">
        <v>1</v>
      </c>
      <c r="D1296" s="481"/>
      <c r="E1296" s="481">
        <f t="shared" si="42"/>
        <v>-1</v>
      </c>
      <c r="F1296" s="483">
        <f>SUM($E$2:E1296)/SUM($C$2:C1296)</f>
        <v>1.0014543611454796E-2</v>
      </c>
      <c r="G1296" s="479">
        <f t="shared" si="41"/>
        <v>12.96883397683396</v>
      </c>
      <c r="H1296" s="484" t="s">
        <v>49</v>
      </c>
      <c r="I1296" s="2"/>
      <c r="J1296" s="2"/>
      <c r="K1296" s="2"/>
      <c r="L1296" s="2"/>
      <c r="O1296" s="58"/>
      <c r="P1296" s="58"/>
    </row>
    <row r="1297" spans="1:16">
      <c r="A1297"/>
      <c r="B1297" s="531"/>
      <c r="C1297" s="508">
        <v>1</v>
      </c>
      <c r="D1297" s="482">
        <v>2.0030000000000001</v>
      </c>
      <c r="E1297" s="482">
        <f t="shared" si="42"/>
        <v>1.0030000000000001</v>
      </c>
      <c r="F1297" s="485">
        <f>SUM($E$2:E1297)/SUM($C$2:C1297)</f>
        <v>1.0780736093236079E-2</v>
      </c>
      <c r="G1297" s="478">
        <f t="shared" si="41"/>
        <v>13.97183397683396</v>
      </c>
      <c r="H1297" s="486" t="s">
        <v>50</v>
      </c>
      <c r="I1297" s="2">
        <f>SUM(E1287:E1297)</f>
        <v>-5.2069999999999999</v>
      </c>
      <c r="L1297" s="2">
        <f>I1297/C1297</f>
        <v>-5.2069999999999999</v>
      </c>
      <c r="O1297" s="58"/>
      <c r="P1297" s="58"/>
    </row>
    <row r="1298" spans="1:16">
      <c r="A1298"/>
      <c r="B1298" s="530">
        <v>46113</v>
      </c>
      <c r="C1298" s="507">
        <v>1</v>
      </c>
      <c r="D1298" s="481">
        <v>1.95</v>
      </c>
      <c r="E1298" s="481">
        <f t="shared" si="42"/>
        <v>0.95</v>
      </c>
      <c r="F1298" s="483">
        <f>SUM($E$2:E1298)/SUM($C$2:C1298)</f>
        <v>1.1504883559625258E-2</v>
      </c>
      <c r="G1298" s="479">
        <f t="shared" si="41"/>
        <v>14.921833976833959</v>
      </c>
      <c r="H1298" s="484" t="s">
        <v>19</v>
      </c>
      <c r="I1298" s="2"/>
      <c r="J1298" s="2"/>
      <c r="K1298" s="2"/>
      <c r="L1298" s="2"/>
      <c r="O1298" s="58"/>
      <c r="P1298" s="58"/>
    </row>
    <row r="1299" spans="1:16">
      <c r="A1299"/>
      <c r="B1299" s="531"/>
      <c r="C1299" s="507">
        <v>1</v>
      </c>
      <c r="D1299" s="481">
        <v>1.9</v>
      </c>
      <c r="E1299" s="481">
        <f t="shared" si="42"/>
        <v>0.89999999999999991</v>
      </c>
      <c r="F1299" s="483">
        <f>SUM($E$2:E1299)/SUM($C$2:C1299)</f>
        <v>1.2189394435157134E-2</v>
      </c>
      <c r="G1299" s="479">
        <f t="shared" si="41"/>
        <v>15.821833976833959</v>
      </c>
      <c r="H1299" s="484" t="s">
        <v>76</v>
      </c>
      <c r="I1299" s="2"/>
      <c r="J1299" s="2"/>
      <c r="K1299" s="2"/>
      <c r="L1299" s="2"/>
      <c r="O1299" s="58"/>
      <c r="P1299" s="58"/>
    </row>
    <row r="1300" spans="1:16">
      <c r="A1300"/>
      <c r="B1300" s="531"/>
      <c r="C1300" s="507">
        <v>1</v>
      </c>
      <c r="D1300" s="481"/>
      <c r="E1300" s="481">
        <f t="shared" si="42"/>
        <v>-1</v>
      </c>
      <c r="F1300" s="483">
        <f>SUM($E$2:E1300)/SUM($C$2:C1300)</f>
        <v>1.1410187818963788E-2</v>
      </c>
      <c r="G1300" s="479">
        <f t="shared" si="41"/>
        <v>14.821833976833959</v>
      </c>
      <c r="H1300" s="484" t="s">
        <v>48</v>
      </c>
      <c r="I1300" s="2"/>
      <c r="J1300" s="2"/>
      <c r="K1300" s="2"/>
      <c r="L1300" s="2"/>
      <c r="O1300" s="58"/>
      <c r="P1300" s="58"/>
    </row>
    <row r="1301" spans="1:16">
      <c r="A1301"/>
      <c r="B1301" s="531"/>
      <c r="C1301" s="507">
        <v>1</v>
      </c>
      <c r="D1301" s="481">
        <v>1.91</v>
      </c>
      <c r="E1301" s="481">
        <f t="shared" si="42"/>
        <v>0.90999999999999992</v>
      </c>
      <c r="F1301" s="483">
        <f>SUM($E$2:E1301)/SUM($C$2:C1301)</f>
        <v>1.2101410751410737E-2</v>
      </c>
      <c r="G1301" s="479">
        <f t="shared" si="41"/>
        <v>15.731833976833959</v>
      </c>
      <c r="H1301" s="484" t="s">
        <v>32</v>
      </c>
      <c r="I1301" s="2"/>
      <c r="J1301" s="2"/>
      <c r="K1301" s="2"/>
      <c r="L1301" s="2"/>
      <c r="O1301" s="58"/>
      <c r="P1301" s="58"/>
    </row>
    <row r="1302" spans="1:16">
      <c r="A1302"/>
      <c r="B1302" s="531"/>
      <c r="C1302" s="507">
        <v>1</v>
      </c>
      <c r="D1302" s="481">
        <v>1.9</v>
      </c>
      <c r="E1302" s="481">
        <f t="shared" si="42"/>
        <v>0.89999999999999991</v>
      </c>
      <c r="F1302" s="483">
        <f>SUM($E$2:E1302)/SUM($C$2:C1302)</f>
        <v>1.2783884686267455E-2</v>
      </c>
      <c r="G1302" s="479">
        <f t="shared" si="41"/>
        <v>16.63183397683396</v>
      </c>
      <c r="H1302" s="484" t="s">
        <v>35</v>
      </c>
      <c r="I1302" s="2"/>
      <c r="J1302" s="2"/>
      <c r="K1302" s="2"/>
      <c r="L1302" s="2"/>
      <c r="O1302" s="58"/>
      <c r="P1302" s="58"/>
    </row>
    <row r="1303" spans="1:16">
      <c r="A1303"/>
      <c r="B1303" s="531"/>
      <c r="C1303" s="507">
        <v>1</v>
      </c>
      <c r="D1303" s="481"/>
      <c r="E1303" s="481">
        <f t="shared" si="42"/>
        <v>-1</v>
      </c>
      <c r="F1303" s="483">
        <f>SUM($E$2:E1303)/SUM($C$2:C1303)</f>
        <v>1.2006016879288756E-2</v>
      </c>
      <c r="G1303" s="479">
        <f t="shared" si="41"/>
        <v>15.63183397683396</v>
      </c>
      <c r="H1303" s="484" t="s">
        <v>13</v>
      </c>
      <c r="I1303" s="2"/>
      <c r="J1303" s="2"/>
      <c r="K1303" s="2"/>
      <c r="L1303" s="2"/>
      <c r="O1303" s="58"/>
      <c r="P1303" s="58"/>
    </row>
    <row r="1304" spans="1:16">
      <c r="A1304"/>
      <c r="B1304" s="531"/>
      <c r="C1304" s="507">
        <v>1</v>
      </c>
      <c r="D1304" s="481">
        <v>1.9339999999999999</v>
      </c>
      <c r="E1304" s="481">
        <f t="shared" si="42"/>
        <v>0.93399999999999994</v>
      </c>
      <c r="F1304" s="483">
        <f>SUM($E$2:E1304)/SUM($C$2:C1304)</f>
        <v>1.2713610112689148E-2</v>
      </c>
      <c r="G1304" s="479">
        <f t="shared" si="41"/>
        <v>16.565833976833961</v>
      </c>
      <c r="H1304" s="484" t="s">
        <v>15</v>
      </c>
      <c r="I1304" s="2"/>
      <c r="J1304" s="2"/>
      <c r="K1304" s="2"/>
      <c r="L1304" s="2"/>
      <c r="O1304" s="58"/>
      <c r="P1304" s="58"/>
    </row>
    <row r="1305" spans="1:16">
      <c r="A1305"/>
      <c r="B1305" s="531"/>
      <c r="C1305" s="507">
        <v>1</v>
      </c>
      <c r="D1305" s="481"/>
      <c r="E1305" s="481">
        <f t="shared" si="42"/>
        <v>-1</v>
      </c>
      <c r="F1305" s="483">
        <f>SUM($E$2:E1305)/SUM($C$2:C1305)</f>
        <v>1.1936989246038313E-2</v>
      </c>
      <c r="G1305" s="479">
        <f t="shared" si="41"/>
        <v>15.565833976833961</v>
      </c>
      <c r="H1305" s="484" t="s">
        <v>21</v>
      </c>
      <c r="I1305" s="2"/>
      <c r="J1305" s="2"/>
      <c r="K1305" s="2"/>
      <c r="L1305" s="2"/>
      <c r="O1305" s="58"/>
      <c r="P1305" s="58"/>
    </row>
    <row r="1306" spans="1:16">
      <c r="A1306"/>
      <c r="B1306" s="531"/>
      <c r="C1306" s="508">
        <v>1</v>
      </c>
      <c r="D1306" s="482">
        <v>1.89</v>
      </c>
      <c r="E1306" s="482">
        <f t="shared" si="42"/>
        <v>0.8899999999999999</v>
      </c>
      <c r="F1306" s="485">
        <f>SUM($E$2:E1306)/SUM($C$2:C1306)</f>
        <v>1.2609834465006867E-2</v>
      </c>
      <c r="G1306" s="478">
        <f t="shared" si="41"/>
        <v>16.455833976833961</v>
      </c>
      <c r="H1306" s="486" t="s">
        <v>39</v>
      </c>
      <c r="I1306" s="2"/>
      <c r="J1306" s="2"/>
      <c r="K1306" s="2"/>
      <c r="L1306" s="2"/>
      <c r="O1306" s="58"/>
      <c r="P1306" s="58"/>
    </row>
    <row r="1307" spans="1:16">
      <c r="A1307"/>
      <c r="B1307" s="531"/>
      <c r="C1307" s="507">
        <v>1</v>
      </c>
      <c r="D1307" s="481"/>
      <c r="E1307" s="481">
        <f t="shared" si="42"/>
        <v>-1</v>
      </c>
      <c r="F1307" s="483">
        <f>SUM($E$2:E1307)/SUM($C$2:C1307)</f>
        <v>1.1834482371235805E-2</v>
      </c>
      <c r="G1307" s="479">
        <f t="shared" si="41"/>
        <v>15.455833976833961</v>
      </c>
      <c r="H1307" s="484" t="s">
        <v>472</v>
      </c>
      <c r="I1307" s="2"/>
      <c r="J1307" s="2"/>
      <c r="K1307" s="2"/>
      <c r="L1307" s="2"/>
      <c r="O1307" s="58"/>
      <c r="P1307" s="58"/>
    </row>
    <row r="1308" spans="1:16">
      <c r="A1308"/>
      <c r="B1308" s="531"/>
      <c r="C1308" s="507">
        <v>1</v>
      </c>
      <c r="D1308" s="481">
        <v>1.87</v>
      </c>
      <c r="E1308" s="481">
        <f t="shared" si="42"/>
        <v>0.87000000000000011</v>
      </c>
      <c r="F1308" s="483">
        <f>SUM($E$2:E1308)/SUM($C$2:C1308)</f>
        <v>1.2491074198036696E-2</v>
      </c>
      <c r="G1308" s="479">
        <f t="shared" si="41"/>
        <v>16.325833976833962</v>
      </c>
      <c r="H1308" s="484" t="s">
        <v>473</v>
      </c>
      <c r="I1308" s="2"/>
      <c r="J1308" s="2"/>
      <c r="K1308" s="2"/>
      <c r="L1308" s="2"/>
      <c r="O1308" s="58"/>
      <c r="P1308" s="58"/>
    </row>
    <row r="1309" spans="1:16">
      <c r="A1309"/>
      <c r="B1309" s="531"/>
      <c r="C1309" s="507">
        <v>1</v>
      </c>
      <c r="D1309" s="481"/>
      <c r="E1309" s="481">
        <f t="shared" si="42"/>
        <v>-1</v>
      </c>
      <c r="F1309" s="483">
        <f>SUM($E$2:E1309)/SUM($C$2:C1309)</f>
        <v>1.1716998453236975E-2</v>
      </c>
      <c r="G1309" s="479">
        <f t="shared" si="41"/>
        <v>15.325833976833962</v>
      </c>
      <c r="H1309" s="484" t="s">
        <v>202</v>
      </c>
      <c r="I1309" s="2"/>
      <c r="J1309" s="2"/>
      <c r="K1309" s="2"/>
      <c r="L1309" s="2"/>
      <c r="O1309" s="58"/>
      <c r="P1309" s="58"/>
    </row>
    <row r="1310" spans="1:16">
      <c r="A1310"/>
      <c r="B1310" s="531"/>
      <c r="C1310" s="507">
        <v>1</v>
      </c>
      <c r="D1310" s="481"/>
      <c r="E1310" s="481">
        <f t="shared" si="42"/>
        <v>-1</v>
      </c>
      <c r="F1310" s="483">
        <f>SUM($E$2:E1310)/SUM($C$2:C1310)</f>
        <v>1.094410540629027E-2</v>
      </c>
      <c r="G1310" s="479">
        <f t="shared" si="41"/>
        <v>14.325833976833962</v>
      </c>
      <c r="H1310" s="484" t="s">
        <v>474</v>
      </c>
      <c r="I1310" s="2"/>
      <c r="J1310" s="2"/>
      <c r="K1310" s="2"/>
      <c r="L1310" s="2"/>
      <c r="O1310" s="58"/>
      <c r="P1310" s="58"/>
    </row>
    <row r="1311" spans="1:16">
      <c r="A1311"/>
      <c r="B1311" s="531"/>
      <c r="C1311" s="507">
        <v>1</v>
      </c>
      <c r="D1311" s="481">
        <v>1.9</v>
      </c>
      <c r="E1311" s="481">
        <f t="shared" si="42"/>
        <v>0.89999999999999991</v>
      </c>
      <c r="F1311" s="483">
        <f>SUM($E$2:E1311)/SUM($C$2:C1311)</f>
        <v>1.1622774028117528E-2</v>
      </c>
      <c r="G1311" s="479">
        <f t="shared" si="41"/>
        <v>15.225833976833963</v>
      </c>
      <c r="H1311" s="484" t="s">
        <v>475</v>
      </c>
      <c r="I1311" s="2"/>
      <c r="J1311" s="2"/>
      <c r="K1311" s="2"/>
      <c r="L1311" s="2"/>
      <c r="O1311" s="58"/>
      <c r="P1311" s="58"/>
    </row>
    <row r="1312" spans="1:16">
      <c r="A1312"/>
      <c r="B1312" s="531"/>
      <c r="C1312" s="507">
        <v>1</v>
      </c>
      <c r="D1312" s="481"/>
      <c r="E1312" s="481">
        <f t="shared" si="42"/>
        <v>-1</v>
      </c>
      <c r="F1312" s="483">
        <f>SUM($E$2:E1312)/SUM($C$2:C1312)</f>
        <v>1.0851131942665113E-2</v>
      </c>
      <c r="G1312" s="479">
        <f t="shared" si="41"/>
        <v>14.225833976833963</v>
      </c>
      <c r="H1312" s="484" t="s">
        <v>476</v>
      </c>
      <c r="I1312" s="2"/>
      <c r="J1312" s="2"/>
      <c r="K1312" s="2"/>
      <c r="L1312" s="2"/>
      <c r="O1312" s="58"/>
      <c r="P1312" s="58"/>
    </row>
    <row r="1313" spans="1:16">
      <c r="A1313"/>
      <c r="B1313" s="531"/>
      <c r="C1313" s="507">
        <v>1</v>
      </c>
      <c r="D1313" s="481">
        <v>1.9</v>
      </c>
      <c r="E1313" s="481">
        <f t="shared" si="42"/>
        <v>0.89999999999999991</v>
      </c>
      <c r="F1313" s="483">
        <f>SUM($E$2:E1313)/SUM($C$2:C1313)</f>
        <v>1.1528836872586863E-2</v>
      </c>
      <c r="G1313" s="479">
        <f t="shared" si="41"/>
        <v>15.125833976833963</v>
      </c>
      <c r="H1313" s="484" t="s">
        <v>477</v>
      </c>
      <c r="I1313" s="2"/>
      <c r="J1313" s="2"/>
      <c r="K1313" s="2"/>
      <c r="L1313" s="2"/>
      <c r="O1313" s="58"/>
      <c r="P1313" s="58"/>
    </row>
    <row r="1314" spans="1:16">
      <c r="A1314"/>
      <c r="B1314" s="531"/>
      <c r="C1314" s="507">
        <v>1</v>
      </c>
      <c r="D1314" s="481">
        <v>1.9</v>
      </c>
      <c r="E1314" s="481">
        <f t="shared" si="42"/>
        <v>0.89999999999999991</v>
      </c>
      <c r="F1314" s="483">
        <f>SUM($E$2:E1314)/SUM($C$2:C1314)</f>
        <v>1.2205509502539194E-2</v>
      </c>
      <c r="G1314" s="479">
        <f t="shared" si="41"/>
        <v>16.025833976833962</v>
      </c>
      <c r="H1314" s="484" t="s">
        <v>351</v>
      </c>
      <c r="I1314" s="2"/>
      <c r="J1314" s="2"/>
      <c r="K1314" s="2"/>
      <c r="L1314" s="2"/>
      <c r="O1314" s="58"/>
      <c r="P1314" s="58"/>
    </row>
    <row r="1315" spans="1:16">
      <c r="A1315"/>
      <c r="B1315" s="531"/>
      <c r="C1315" s="508">
        <v>1</v>
      </c>
      <c r="D1315" s="482">
        <v>1.89</v>
      </c>
      <c r="E1315" s="482">
        <f t="shared" si="42"/>
        <v>0.8899999999999999</v>
      </c>
      <c r="F1315" s="485">
        <f>SUM($E$2:E1315)/SUM($C$2:C1315)</f>
        <v>1.2873541839295254E-2</v>
      </c>
      <c r="G1315" s="478">
        <f t="shared" si="41"/>
        <v>16.915833976833962</v>
      </c>
      <c r="H1315" s="486" t="s">
        <v>293</v>
      </c>
      <c r="I1315" s="2"/>
      <c r="J1315" s="2"/>
      <c r="K1315" s="2"/>
      <c r="L1315" s="2"/>
      <c r="O1315" s="58"/>
      <c r="P1315" s="58"/>
    </row>
    <row r="1316" spans="1:16">
      <c r="A1316"/>
      <c r="B1316" s="531"/>
      <c r="C1316" s="507">
        <v>1</v>
      </c>
      <c r="D1316" s="481"/>
      <c r="E1316" s="481">
        <f t="shared" si="42"/>
        <v>-1</v>
      </c>
      <c r="F1316" s="483">
        <f>SUM($E$2:E1316)/SUM($C$2:C1316)</f>
        <v>1.2103295799873735E-2</v>
      </c>
      <c r="G1316" s="479">
        <f t="shared" si="41"/>
        <v>15.915833976833962</v>
      </c>
      <c r="H1316" s="484" t="s">
        <v>32</v>
      </c>
      <c r="I1316" s="2"/>
      <c r="J1316" s="2"/>
      <c r="K1316" s="2"/>
      <c r="L1316" s="2"/>
      <c r="O1316" s="58"/>
      <c r="P1316" s="58"/>
    </row>
    <row r="1317" spans="1:16">
      <c r="A1317"/>
      <c r="B1317" s="531"/>
      <c r="C1317" s="507">
        <v>1</v>
      </c>
      <c r="D1317" s="481">
        <v>1.85</v>
      </c>
      <c r="E1317" s="481">
        <f t="shared" si="42"/>
        <v>0.85000000000000009</v>
      </c>
      <c r="F1317" s="483">
        <f>SUM($E$2:E1317)/SUM($C$2:C1317)</f>
        <v>1.2739995423126113E-2</v>
      </c>
      <c r="G1317" s="479">
        <f t="shared" si="41"/>
        <v>16.765833976833964</v>
      </c>
      <c r="H1317" s="484" t="s">
        <v>18</v>
      </c>
      <c r="I1317" s="2"/>
      <c r="J1317" s="2"/>
      <c r="K1317" s="2"/>
      <c r="L1317" s="2"/>
      <c r="O1317" s="58"/>
      <c r="P1317" s="58"/>
    </row>
    <row r="1318" spans="1:16">
      <c r="A1318"/>
      <c r="B1318" s="531"/>
      <c r="C1318" s="508">
        <v>1</v>
      </c>
      <c r="D1318" s="482"/>
      <c r="E1318" s="482">
        <f t="shared" si="42"/>
        <v>-1</v>
      </c>
      <c r="F1318" s="485">
        <f>SUM($E$2:E1318)/SUM($C$2:C1318)</f>
        <v>1.1971020483548948E-2</v>
      </c>
      <c r="G1318" s="478">
        <f t="shared" si="41"/>
        <v>15.765833976833964</v>
      </c>
      <c r="H1318" s="486" t="s">
        <v>39</v>
      </c>
      <c r="I1318" s="2">
        <f>SUM(E1298:E1318)</f>
        <v>1.7939999999999992</v>
      </c>
      <c r="L1318" s="2">
        <f>I1318/C1318</f>
        <v>1.7939999999999992</v>
      </c>
      <c r="O1318" s="58"/>
      <c r="P1318" s="58"/>
    </row>
    <row r="1319" spans="1:16">
      <c r="A1319"/>
      <c r="B1319" s="530">
        <v>46114</v>
      </c>
      <c r="C1319" s="507">
        <v>1</v>
      </c>
      <c r="D1319" s="481"/>
      <c r="E1319" s="481">
        <f t="shared" si="42"/>
        <v>-1</v>
      </c>
      <c r="F1319" s="483">
        <f>SUM($E$2:E1319)/SUM($C$2:C1319)</f>
        <v>1.120321242551894E-2</v>
      </c>
      <c r="G1319" s="479">
        <f t="shared" si="41"/>
        <v>14.765833976833964</v>
      </c>
      <c r="H1319" s="484" t="s">
        <v>46</v>
      </c>
      <c r="I1319" s="2"/>
      <c r="J1319" s="2"/>
      <c r="K1319" s="2"/>
      <c r="L1319" s="2"/>
      <c r="O1319" s="58"/>
      <c r="P1319" s="58"/>
    </row>
    <row r="1320" spans="1:16">
      <c r="A1320"/>
      <c r="B1320" s="531"/>
      <c r="C1320" s="507">
        <v>1</v>
      </c>
      <c r="D1320" s="481"/>
      <c r="E1320" s="481">
        <f t="shared" si="42"/>
        <v>-1</v>
      </c>
      <c r="F1320" s="483">
        <f>SUM($E$2:E1320)/SUM($C$2:C1320)</f>
        <v>1.0436568595021959E-2</v>
      </c>
      <c r="G1320" s="479">
        <f t="shared" si="41"/>
        <v>13.765833976833964</v>
      </c>
      <c r="H1320" s="484" t="s">
        <v>33</v>
      </c>
      <c r="I1320" s="2"/>
      <c r="J1320" s="2"/>
      <c r="K1320" s="2"/>
      <c r="L1320" s="2"/>
      <c r="O1320" s="58"/>
      <c r="P1320" s="58"/>
    </row>
    <row r="1321" spans="1:16">
      <c r="A1321"/>
      <c r="B1321" s="531"/>
      <c r="C1321" s="507">
        <v>1</v>
      </c>
      <c r="D1321" s="481">
        <v>1.85</v>
      </c>
      <c r="E1321" s="481">
        <f t="shared" si="42"/>
        <v>0.85000000000000009</v>
      </c>
      <c r="F1321" s="483">
        <f>SUM($E$2:E1321)/SUM($C$2:C1321)</f>
        <v>1.1072601497601487E-2</v>
      </c>
      <c r="G1321" s="479">
        <f t="shared" si="41"/>
        <v>14.615833976833963</v>
      </c>
      <c r="H1321" s="484" t="s">
        <v>39</v>
      </c>
      <c r="I1321" s="2"/>
      <c r="J1321" s="2"/>
      <c r="K1321" s="2"/>
      <c r="L1321" s="2"/>
      <c r="O1321" s="58"/>
      <c r="P1321" s="58"/>
    </row>
    <row r="1322" spans="1:16">
      <c r="A1322"/>
      <c r="B1322" s="531"/>
      <c r="C1322" s="508">
        <v>1</v>
      </c>
      <c r="D1322" s="482">
        <v>1.9</v>
      </c>
      <c r="E1322" s="482">
        <f t="shared" si="42"/>
        <v>0.89999999999999991</v>
      </c>
      <c r="F1322" s="485">
        <f>SUM($E$2:E1322)/SUM($C$2:C1322)</f>
        <v>1.1745521557027981E-2</v>
      </c>
      <c r="G1322" s="478">
        <f t="shared" si="41"/>
        <v>15.515833976833964</v>
      </c>
      <c r="H1322" s="486" t="s">
        <v>30</v>
      </c>
      <c r="I1322" s="2"/>
      <c r="J1322" s="2"/>
      <c r="K1322" s="2"/>
      <c r="L1322" s="2"/>
      <c r="O1322" s="58"/>
      <c r="P1322" s="58"/>
    </row>
    <row r="1323" spans="1:16">
      <c r="A1323"/>
      <c r="B1323" s="531"/>
      <c r="C1323" s="507">
        <v>1</v>
      </c>
      <c r="D1323" s="481">
        <v>1.91</v>
      </c>
      <c r="E1323" s="481">
        <f t="shared" si="42"/>
        <v>0.90999999999999992</v>
      </c>
      <c r="F1323" s="483">
        <f>SUM($E$2:E1323)/SUM($C$2:C1323)</f>
        <v>1.2424987879602091E-2</v>
      </c>
      <c r="G1323" s="479">
        <f t="shared" si="41"/>
        <v>16.425833976833964</v>
      </c>
      <c r="H1323" s="484" t="s">
        <v>478</v>
      </c>
      <c r="I1323" s="2"/>
      <c r="J1323" s="2"/>
      <c r="K1323" s="2"/>
      <c r="L1323" s="2"/>
      <c r="O1323" s="58"/>
      <c r="P1323" s="58"/>
    </row>
    <row r="1324" spans="1:16">
      <c r="A1324"/>
      <c r="B1324" s="531"/>
      <c r="C1324" s="507">
        <v>1</v>
      </c>
      <c r="D1324" s="481"/>
      <c r="E1324" s="481">
        <f t="shared" si="42"/>
        <v>-1</v>
      </c>
      <c r="F1324" s="483">
        <f>SUM($E$2:E1324)/SUM($C$2:C1324)</f>
        <v>1.1659738455656814E-2</v>
      </c>
      <c r="G1324" s="479">
        <f t="shared" si="41"/>
        <v>15.425833976833964</v>
      </c>
      <c r="H1324" s="484" t="s">
        <v>479</v>
      </c>
      <c r="I1324" s="2"/>
      <c r="J1324" s="2"/>
      <c r="K1324" s="2"/>
      <c r="L1324" s="2"/>
      <c r="O1324" s="58"/>
      <c r="P1324" s="58"/>
    </row>
    <row r="1325" spans="1:16">
      <c r="A1325"/>
      <c r="B1325" s="531"/>
      <c r="C1325" s="507">
        <v>1</v>
      </c>
      <c r="D1325" s="481">
        <v>1.91</v>
      </c>
      <c r="E1325" s="481">
        <f t="shared" si="42"/>
        <v>0.90999999999999992</v>
      </c>
      <c r="F1325" s="483">
        <f>SUM($E$2:E1325)/SUM($C$2:C1325)</f>
        <v>1.2338243184919913E-2</v>
      </c>
      <c r="G1325" s="479">
        <f t="shared" si="41"/>
        <v>16.335833976833964</v>
      </c>
      <c r="H1325" s="484" t="s">
        <v>480</v>
      </c>
      <c r="I1325" s="2"/>
      <c r="J1325" s="2"/>
      <c r="K1325" s="2"/>
      <c r="L1325" s="2"/>
      <c r="O1325" s="58"/>
      <c r="P1325" s="58"/>
    </row>
    <row r="1326" spans="1:16">
      <c r="A1326"/>
      <c r="B1326" s="531"/>
      <c r="C1326" s="507">
        <v>1</v>
      </c>
      <c r="D1326" s="481">
        <v>1.89</v>
      </c>
      <c r="E1326" s="481">
        <f t="shared" si="42"/>
        <v>0.8899999999999999</v>
      </c>
      <c r="F1326" s="483">
        <f>SUM($E$2:E1326)/SUM($C$2:C1326)</f>
        <v>1.3000629416478464E-2</v>
      </c>
      <c r="G1326" s="479">
        <f t="shared" si="41"/>
        <v>17.225833976833965</v>
      </c>
      <c r="H1326" s="484" t="s">
        <v>481</v>
      </c>
      <c r="I1326" s="2"/>
      <c r="J1326" s="2"/>
      <c r="K1326" s="2"/>
      <c r="L1326" s="2"/>
      <c r="O1326" s="58"/>
      <c r="P1326" s="58"/>
    </row>
    <row r="1327" spans="1:16">
      <c r="A1327"/>
      <c r="B1327" s="531"/>
      <c r="C1327" s="507">
        <v>1</v>
      </c>
      <c r="D1327" s="481"/>
      <c r="E1327" s="481">
        <f t="shared" si="42"/>
        <v>-1</v>
      </c>
      <c r="F1327" s="483">
        <f>SUM($E$2:E1327)/SUM($C$2:C1327)</f>
        <v>1.2236677207265434E-2</v>
      </c>
      <c r="G1327" s="479">
        <f t="shared" si="41"/>
        <v>16.225833976833965</v>
      </c>
      <c r="H1327" s="484" t="s">
        <v>482</v>
      </c>
      <c r="I1327" s="2"/>
      <c r="J1327" s="2"/>
      <c r="K1327" s="2"/>
      <c r="L1327" s="2"/>
      <c r="O1327" s="58"/>
      <c r="P1327" s="58"/>
    </row>
    <row r="1328" spans="1:16">
      <c r="A1328"/>
      <c r="B1328" s="531"/>
      <c r="C1328" s="508">
        <v>1</v>
      </c>
      <c r="D1328" s="482">
        <v>1.89</v>
      </c>
      <c r="E1328" s="482">
        <f t="shared" si="42"/>
        <v>0.8899999999999999</v>
      </c>
      <c r="F1328" s="485">
        <f>SUM($E$2:E1328)/SUM($C$2:C1328)</f>
        <v>1.2898141655489047E-2</v>
      </c>
      <c r="G1328" s="478">
        <f t="shared" si="41"/>
        <v>17.115833976833965</v>
      </c>
      <c r="H1328" s="486" t="s">
        <v>483</v>
      </c>
      <c r="I1328" s="2"/>
      <c r="J1328" s="2"/>
      <c r="K1328" s="2"/>
      <c r="L1328" s="2"/>
      <c r="O1328" s="58"/>
      <c r="P1328" s="58"/>
    </row>
    <row r="1329" spans="1:16">
      <c r="A1329"/>
      <c r="B1329" s="531"/>
      <c r="C1329" s="507">
        <v>1</v>
      </c>
      <c r="D1329" s="481"/>
      <c r="E1329" s="481">
        <f t="shared" si="42"/>
        <v>-1</v>
      </c>
      <c r="F1329" s="483">
        <f>SUM($E$2:E1329)/SUM($C$2:C1329)</f>
        <v>1.2135417151230395E-2</v>
      </c>
      <c r="G1329" s="479">
        <f t="shared" si="41"/>
        <v>16.115833976833965</v>
      </c>
      <c r="H1329" s="484" t="s">
        <v>16</v>
      </c>
      <c r="I1329" s="2"/>
      <c r="J1329" s="2"/>
      <c r="K1329" s="2"/>
      <c r="L1329" s="2"/>
      <c r="O1329" s="58"/>
      <c r="P1329" s="58"/>
    </row>
    <row r="1330" spans="1:16">
      <c r="A1330"/>
      <c r="B1330" s="531"/>
      <c r="C1330" s="507">
        <v>1</v>
      </c>
      <c r="D1330" s="481"/>
      <c r="E1330" s="481">
        <f t="shared" si="42"/>
        <v>-1</v>
      </c>
      <c r="F1330" s="483">
        <f>SUM($E$2:E1330)/SUM($C$2:C1330)</f>
        <v>1.137384046413391E-2</v>
      </c>
      <c r="G1330" s="479">
        <f t="shared" si="41"/>
        <v>15.115833976833965</v>
      </c>
      <c r="H1330" s="484" t="s">
        <v>31</v>
      </c>
      <c r="I1330" s="2"/>
      <c r="J1330" s="2"/>
      <c r="K1330" s="2"/>
      <c r="L1330" s="2"/>
      <c r="O1330" s="58"/>
      <c r="P1330" s="58"/>
    </row>
    <row r="1331" spans="1:16">
      <c r="A1331"/>
      <c r="B1331" s="531"/>
      <c r="C1331" s="507">
        <v>1</v>
      </c>
      <c r="D1331" s="481"/>
      <c r="E1331" s="481">
        <f t="shared" si="42"/>
        <v>-1</v>
      </c>
      <c r="F1331" s="483">
        <f>SUM($E$2:E1331)/SUM($C$2:C1331)</f>
        <v>1.0613409005138319E-2</v>
      </c>
      <c r="G1331" s="479">
        <f t="shared" si="41"/>
        <v>14.115833976833965</v>
      </c>
      <c r="H1331" s="484" t="s">
        <v>39</v>
      </c>
      <c r="I1331" s="2"/>
      <c r="J1331" s="2"/>
      <c r="K1331" s="2"/>
      <c r="L1331" s="2"/>
      <c r="O1331" s="58"/>
      <c r="P1331" s="58"/>
    </row>
    <row r="1332" spans="1:16">
      <c r="A1332"/>
      <c r="B1332" s="531"/>
      <c r="C1332" s="507">
        <v>1</v>
      </c>
      <c r="D1332" s="481"/>
      <c r="E1332" s="481">
        <f t="shared" si="42"/>
        <v>-1</v>
      </c>
      <c r="F1332" s="483">
        <f>SUM($E$2:E1332)/SUM($C$2:C1332)</f>
        <v>9.8541201929631585E-3</v>
      </c>
      <c r="G1332" s="479">
        <f t="shared" si="41"/>
        <v>13.115833976833965</v>
      </c>
      <c r="H1332" s="484" t="s">
        <v>37</v>
      </c>
      <c r="I1332" s="2"/>
      <c r="J1332" s="2"/>
      <c r="K1332" s="2"/>
      <c r="L1332" s="2"/>
      <c r="O1332" s="58"/>
      <c r="P1332" s="58"/>
    </row>
    <row r="1333" spans="1:16">
      <c r="A1333"/>
      <c r="B1333" s="532"/>
      <c r="C1333" s="508">
        <v>1</v>
      </c>
      <c r="D1333" s="482"/>
      <c r="E1333" s="482">
        <f t="shared" si="42"/>
        <v>-1</v>
      </c>
      <c r="F1333" s="485">
        <f>SUM($E$2:E1333)/SUM($C$2:C1333)</f>
        <v>9.095971454079553E-3</v>
      </c>
      <c r="G1333" s="478">
        <f t="shared" si="41"/>
        <v>12.115833976833965</v>
      </c>
      <c r="H1333" s="486" t="s">
        <v>12</v>
      </c>
      <c r="I1333" s="2">
        <f>SUM(E1319:E1333)</f>
        <v>-3.6500000000000004</v>
      </c>
      <c r="L1333" s="2">
        <f>I1333/C1333</f>
        <v>-3.6500000000000004</v>
      </c>
      <c r="O1333" s="58"/>
      <c r="P1333" s="58"/>
    </row>
    <row r="1334" spans="1:16">
      <c r="A1334"/>
      <c r="B1334" s="530">
        <v>46115</v>
      </c>
      <c r="C1334" s="507">
        <v>1</v>
      </c>
      <c r="D1334" s="481"/>
      <c r="E1334" s="481">
        <f t="shared" si="42"/>
        <v>-1</v>
      </c>
      <c r="F1334" s="483">
        <f>SUM($E$2:E1334)/SUM($C$2:C1334)</f>
        <v>8.3389602226811438E-3</v>
      </c>
      <c r="G1334" s="479">
        <f t="shared" si="41"/>
        <v>11.115833976833965</v>
      </c>
      <c r="H1334" s="484" t="s">
        <v>46</v>
      </c>
      <c r="I1334" s="2"/>
      <c r="J1334" s="2"/>
      <c r="K1334" s="2"/>
      <c r="L1334" s="2"/>
      <c r="O1334" s="58"/>
      <c r="P1334" s="58"/>
    </row>
    <row r="1335" spans="1:16">
      <c r="A1335"/>
      <c r="B1335" s="531"/>
      <c r="C1335" s="507">
        <v>1</v>
      </c>
      <c r="D1335" s="481">
        <v>1.871</v>
      </c>
      <c r="E1335" s="481">
        <f t="shared" si="42"/>
        <v>0.871</v>
      </c>
      <c r="F1335" s="483">
        <f>SUM($E$2:E1335)/SUM($C$2:C1335)</f>
        <v>8.9856326662923272E-3</v>
      </c>
      <c r="G1335" s="479">
        <f t="shared" si="41"/>
        <v>11.986833976833966</v>
      </c>
      <c r="H1335" s="484" t="s">
        <v>34</v>
      </c>
      <c r="I1335" s="2"/>
      <c r="J1335" s="2"/>
      <c r="K1335" s="2"/>
      <c r="L1335" s="2"/>
      <c r="O1335" s="58"/>
      <c r="P1335" s="58"/>
    </row>
    <row r="1336" spans="1:16">
      <c r="A1336"/>
      <c r="B1336" s="531"/>
      <c r="C1336" s="507">
        <v>1</v>
      </c>
      <c r="D1336" s="481">
        <v>1.91</v>
      </c>
      <c r="E1336" s="481">
        <f t="shared" si="42"/>
        <v>0.90999999999999992</v>
      </c>
      <c r="F1336" s="483">
        <f>SUM($E$2:E1336)/SUM($C$2:C1336)</f>
        <v>9.6605497953812479E-3</v>
      </c>
      <c r="G1336" s="479">
        <f t="shared" si="41"/>
        <v>12.896833976833966</v>
      </c>
      <c r="H1336" s="484" t="s">
        <v>20</v>
      </c>
      <c r="I1336" s="2"/>
      <c r="J1336" s="2"/>
      <c r="K1336" s="2"/>
      <c r="L1336" s="2"/>
      <c r="O1336" s="58"/>
      <c r="P1336" s="58"/>
    </row>
    <row r="1337" spans="1:16">
      <c r="A1337"/>
      <c r="B1337" s="531"/>
      <c r="C1337" s="507">
        <v>1</v>
      </c>
      <c r="D1337" s="481"/>
      <c r="E1337" s="481">
        <f t="shared" si="42"/>
        <v>-1</v>
      </c>
      <c r="F1337" s="483">
        <f>SUM($E$2:E1337)/SUM($C$2:C1337)</f>
        <v>8.9048158509236267E-3</v>
      </c>
      <c r="G1337" s="479">
        <f t="shared" si="41"/>
        <v>11.896833976833966</v>
      </c>
      <c r="H1337" s="484" t="s">
        <v>49</v>
      </c>
      <c r="I1337" s="2"/>
      <c r="J1337" s="2"/>
      <c r="K1337" s="2"/>
      <c r="L1337" s="2"/>
      <c r="O1337" s="58"/>
      <c r="P1337" s="58"/>
    </row>
    <row r="1338" spans="1:16">
      <c r="A1338"/>
      <c r="B1338" s="531"/>
      <c r="C1338" s="507">
        <v>1</v>
      </c>
      <c r="D1338" s="481"/>
      <c r="E1338" s="481">
        <f t="shared" si="42"/>
        <v>-1</v>
      </c>
      <c r="F1338" s="483">
        <f>SUM($E$2:E1338)/SUM($C$2:C1338)</f>
        <v>8.1502123985295188E-3</v>
      </c>
      <c r="G1338" s="479">
        <f t="shared" si="41"/>
        <v>10.896833976833966</v>
      </c>
      <c r="H1338" s="484" t="s">
        <v>15</v>
      </c>
      <c r="I1338" s="2"/>
      <c r="J1338" s="2"/>
      <c r="K1338" s="2"/>
      <c r="L1338" s="2"/>
      <c r="O1338" s="58"/>
      <c r="P1338" s="58"/>
    </row>
    <row r="1339" spans="1:16">
      <c r="A1339"/>
      <c r="B1339" s="531"/>
      <c r="C1339" s="508">
        <v>1</v>
      </c>
      <c r="D1339" s="482"/>
      <c r="E1339" s="482">
        <f t="shared" si="42"/>
        <v>-1</v>
      </c>
      <c r="F1339" s="485">
        <f>SUM($E$2:E1339)/SUM($C$2:C1339)</f>
        <v>7.3967369034633529E-3</v>
      </c>
      <c r="G1339" s="478">
        <f t="shared" si="41"/>
        <v>9.8968339768339657</v>
      </c>
      <c r="H1339" s="486" t="s">
        <v>14</v>
      </c>
      <c r="I1339" s="2"/>
      <c r="J1339" s="2"/>
      <c r="K1339" s="2"/>
      <c r="L1339" s="2"/>
      <c r="O1339" s="58"/>
      <c r="P1339" s="58"/>
    </row>
    <row r="1340" spans="1:16">
      <c r="A1340"/>
      <c r="B1340" s="531"/>
      <c r="C1340" s="507">
        <v>1</v>
      </c>
      <c r="D1340" s="481">
        <v>1.91</v>
      </c>
      <c r="E1340" s="481">
        <f t="shared" si="42"/>
        <v>0.90999999999999992</v>
      </c>
      <c r="F1340" s="483">
        <f>SUM($E$2:E1340)/SUM($C$2:C1340)</f>
        <v>8.0708244785914606E-3</v>
      </c>
      <c r="G1340" s="479">
        <f t="shared" si="41"/>
        <v>10.806833976833966</v>
      </c>
      <c r="H1340" s="484" t="s">
        <v>484</v>
      </c>
      <c r="I1340" s="2"/>
      <c r="J1340" s="2"/>
      <c r="K1340" s="2"/>
      <c r="L1340" s="2"/>
      <c r="O1340" s="58"/>
      <c r="P1340" s="58"/>
    </row>
    <row r="1341" spans="1:16">
      <c r="A1341"/>
      <c r="B1341" s="531"/>
      <c r="C1341" s="507">
        <v>1</v>
      </c>
      <c r="D1341" s="481">
        <v>1.89</v>
      </c>
      <c r="E1341" s="481">
        <f t="shared" si="42"/>
        <v>0.8899999999999999</v>
      </c>
      <c r="F1341" s="483">
        <f>SUM($E$2:E1341)/SUM($C$2:C1341)</f>
        <v>8.7289805797268402E-3</v>
      </c>
      <c r="G1341" s="479">
        <f t="shared" si="41"/>
        <v>11.696833976833966</v>
      </c>
      <c r="H1341" s="484" t="s">
        <v>485</v>
      </c>
      <c r="I1341" s="2"/>
      <c r="J1341" s="2"/>
      <c r="K1341" s="2"/>
      <c r="L1341" s="2"/>
      <c r="O1341" s="58"/>
      <c r="P1341" s="58"/>
    </row>
    <row r="1342" spans="1:16">
      <c r="A1342"/>
      <c r="B1342" s="531"/>
      <c r="C1342" s="507">
        <v>1</v>
      </c>
      <c r="D1342" s="481">
        <v>1.9</v>
      </c>
      <c r="E1342" s="481">
        <f t="shared" si="42"/>
        <v>0.89999999999999991</v>
      </c>
      <c r="F1342" s="483">
        <f>SUM($E$2:E1342)/SUM($C$2:C1342)</f>
        <v>9.3936122124041507E-3</v>
      </c>
      <c r="G1342" s="479">
        <f t="shared" si="41"/>
        <v>12.596833976833967</v>
      </c>
      <c r="H1342" s="484" t="s">
        <v>486</v>
      </c>
      <c r="I1342" s="2"/>
      <c r="J1342" s="2"/>
      <c r="K1342" s="2"/>
      <c r="L1342" s="2"/>
      <c r="O1342" s="58"/>
      <c r="P1342" s="58"/>
    </row>
    <row r="1343" spans="1:16">
      <c r="A1343"/>
      <c r="B1343" s="531"/>
      <c r="C1343" s="507">
        <v>1</v>
      </c>
      <c r="D1343" s="481">
        <v>1.89</v>
      </c>
      <c r="E1343" s="481">
        <f t="shared" si="42"/>
        <v>0.8899999999999999</v>
      </c>
      <c r="F1343" s="483">
        <f>SUM($E$2:E1343)/SUM($C$2:C1343)</f>
        <v>1.004980177111324E-2</v>
      </c>
      <c r="G1343" s="479">
        <f t="shared" ref="G1343:G1425" si="43">G1342+E1343</f>
        <v>13.486833976833967</v>
      </c>
      <c r="H1343" s="484" t="s">
        <v>487</v>
      </c>
      <c r="I1343" s="2"/>
      <c r="J1343" s="2"/>
      <c r="K1343" s="2"/>
      <c r="L1343" s="2"/>
      <c r="O1343" s="58"/>
      <c r="P1343" s="58"/>
    </row>
    <row r="1344" spans="1:16">
      <c r="A1344"/>
      <c r="B1344" s="531"/>
      <c r="C1344" s="507">
        <v>1</v>
      </c>
      <c r="D1344" s="481"/>
      <c r="E1344" s="481">
        <f t="shared" si="42"/>
        <v>-1</v>
      </c>
      <c r="F1344" s="483">
        <f>SUM($E$2:E1344)/SUM($C$2:C1344)</f>
        <v>9.2977170341280464E-3</v>
      </c>
      <c r="G1344" s="479">
        <f t="shared" si="43"/>
        <v>12.486833976833967</v>
      </c>
      <c r="H1344" s="484" t="s">
        <v>488</v>
      </c>
      <c r="I1344" s="2"/>
      <c r="J1344" s="2"/>
      <c r="K1344" s="2"/>
      <c r="L1344" s="2"/>
      <c r="O1344" s="58"/>
      <c r="P1344" s="58"/>
    </row>
    <row r="1345" spans="1:16">
      <c r="A1345"/>
      <c r="B1345" s="531"/>
      <c r="C1345" s="507">
        <v>1</v>
      </c>
      <c r="D1345" s="481">
        <v>1.9</v>
      </c>
      <c r="E1345" s="481">
        <f t="shared" si="42"/>
        <v>0.89999999999999991</v>
      </c>
      <c r="F1345" s="483">
        <f>SUM($E$2:E1345)/SUM($C$2:C1345)</f>
        <v>9.9604419470490837E-3</v>
      </c>
      <c r="G1345" s="479">
        <f t="shared" si="43"/>
        <v>13.386833976833968</v>
      </c>
      <c r="H1345" s="484" t="s">
        <v>489</v>
      </c>
      <c r="I1345" s="2"/>
      <c r="J1345" s="2"/>
      <c r="K1345" s="2"/>
      <c r="L1345" s="2"/>
      <c r="O1345" s="58"/>
      <c r="P1345" s="58"/>
    </row>
    <row r="1346" spans="1:16">
      <c r="A1346"/>
      <c r="B1346" s="531"/>
      <c r="C1346" s="507">
        <v>1</v>
      </c>
      <c r="D1346" s="481">
        <v>1.91</v>
      </c>
      <c r="E1346" s="481">
        <f t="shared" ref="E1346:E1425" si="44">(C1346*D1346)-C1346</f>
        <v>0.90999999999999992</v>
      </c>
      <c r="F1346" s="483">
        <f>SUM($E$2:E1346)/SUM($C$2:C1346)</f>
        <v>1.0629616339653508E-2</v>
      </c>
      <c r="G1346" s="479">
        <f t="shared" si="43"/>
        <v>14.296833976833968</v>
      </c>
      <c r="H1346" s="484" t="s">
        <v>89</v>
      </c>
      <c r="I1346" s="2"/>
      <c r="J1346" s="2"/>
      <c r="K1346" s="2"/>
      <c r="L1346" s="2"/>
      <c r="O1346" s="58"/>
      <c r="P1346" s="58"/>
    </row>
    <row r="1347" spans="1:16">
      <c r="A1347"/>
      <c r="B1347" s="531"/>
      <c r="C1347" s="507">
        <v>1</v>
      </c>
      <c r="D1347" s="481"/>
      <c r="E1347" s="481">
        <f t="shared" si="44"/>
        <v>-1</v>
      </c>
      <c r="F1347" s="483">
        <f>SUM($E$2:E1347)/SUM($C$2:C1347)</f>
        <v>9.8787771001738241E-3</v>
      </c>
      <c r="G1347" s="479">
        <f t="shared" si="43"/>
        <v>13.296833976833968</v>
      </c>
      <c r="H1347" s="484" t="s">
        <v>490</v>
      </c>
      <c r="I1347" s="2"/>
      <c r="J1347" s="2"/>
      <c r="K1347" s="2"/>
      <c r="L1347" s="2"/>
      <c r="O1347" s="58"/>
      <c r="P1347" s="58"/>
    </row>
    <row r="1348" spans="1:16">
      <c r="A1348"/>
      <c r="B1348" s="531"/>
      <c r="C1348" s="508">
        <v>1</v>
      </c>
      <c r="D1348" s="482"/>
      <c r="E1348" s="482">
        <f t="shared" si="44"/>
        <v>-1</v>
      </c>
      <c r="F1348" s="485">
        <f>SUM($E$2:E1348)/SUM($C$2:C1348)</f>
        <v>9.1290526925270742E-3</v>
      </c>
      <c r="G1348" s="478">
        <f t="shared" si="43"/>
        <v>12.296833976833968</v>
      </c>
      <c r="H1348" s="486" t="s">
        <v>364</v>
      </c>
      <c r="I1348" s="2"/>
      <c r="J1348" s="2"/>
      <c r="K1348" s="2"/>
      <c r="L1348" s="2"/>
      <c r="O1348" s="58"/>
      <c r="P1348" s="58"/>
    </row>
    <row r="1349" spans="1:16">
      <c r="A1349"/>
      <c r="B1349" s="531"/>
      <c r="C1349" s="507">
        <v>1</v>
      </c>
      <c r="D1349" s="481"/>
      <c r="E1349" s="481">
        <f t="shared" si="44"/>
        <v>-1</v>
      </c>
      <c r="F1349" s="483">
        <f>SUM($E$2:E1349)/SUM($C$2:C1349)</f>
        <v>8.3804406356335071E-3</v>
      </c>
      <c r="G1349" s="479">
        <f t="shared" si="43"/>
        <v>11.296833976833968</v>
      </c>
      <c r="H1349" s="484" t="s">
        <v>18</v>
      </c>
      <c r="I1349" s="2"/>
      <c r="J1349" s="2"/>
      <c r="K1349" s="2"/>
      <c r="L1349" s="2"/>
      <c r="O1349" s="58"/>
      <c r="P1349" s="58"/>
    </row>
    <row r="1350" spans="1:16">
      <c r="A1350"/>
      <c r="B1350" s="531"/>
      <c r="C1350" s="507">
        <v>1</v>
      </c>
      <c r="D1350" s="481"/>
      <c r="E1350" s="481">
        <f t="shared" si="44"/>
        <v>-1</v>
      </c>
      <c r="F1350" s="483">
        <f>SUM($E$2:E1350)/SUM($C$2:C1350)</f>
        <v>7.6329384557701765E-3</v>
      </c>
      <c r="G1350" s="479">
        <f t="shared" si="43"/>
        <v>10.296833976833968</v>
      </c>
      <c r="H1350" s="484" t="s">
        <v>32</v>
      </c>
      <c r="I1350" s="2"/>
      <c r="J1350" s="2"/>
      <c r="K1350" s="2"/>
      <c r="L1350" s="2"/>
      <c r="O1350" s="58"/>
      <c r="P1350" s="58"/>
    </row>
    <row r="1351" spans="1:16">
      <c r="A1351"/>
      <c r="B1351" s="531"/>
      <c r="C1351" s="507">
        <v>1</v>
      </c>
      <c r="D1351" s="481"/>
      <c r="E1351" s="481">
        <f t="shared" si="44"/>
        <v>-1</v>
      </c>
      <c r="F1351" s="483">
        <f>SUM($E$2:E1351)/SUM($C$2:C1351)</f>
        <v>6.8865436865436797E-3</v>
      </c>
      <c r="G1351" s="479">
        <f t="shared" si="43"/>
        <v>9.2968339768339678</v>
      </c>
      <c r="H1351" s="484" t="s">
        <v>14</v>
      </c>
      <c r="I1351" s="2"/>
      <c r="J1351" s="2"/>
      <c r="K1351" s="2"/>
      <c r="L1351" s="2"/>
      <c r="O1351" s="58"/>
      <c r="P1351" s="58"/>
    </row>
    <row r="1352" spans="1:16">
      <c r="A1352"/>
      <c r="B1352" s="531"/>
      <c r="C1352" s="508">
        <v>1</v>
      </c>
      <c r="D1352" s="482">
        <v>2.81</v>
      </c>
      <c r="E1352" s="482">
        <f t="shared" si="44"/>
        <v>1.81</v>
      </c>
      <c r="F1352" s="485">
        <f>SUM($E$2:E1352)/SUM($C$2:C1352)</f>
        <v>8.2211946534670385E-3</v>
      </c>
      <c r="G1352" s="478">
        <f t="shared" si="43"/>
        <v>11.106833976833968</v>
      </c>
      <c r="H1352" s="486" t="s">
        <v>47</v>
      </c>
      <c r="I1352" s="2">
        <f>SUM(E1334:E1352)</f>
        <v>-1.0090000000000008</v>
      </c>
      <c r="L1352" s="2">
        <f>I1352/C1352</f>
        <v>-1.0090000000000008</v>
      </c>
      <c r="O1352" s="58"/>
      <c r="P1352" s="58"/>
    </row>
    <row r="1353" spans="1:16">
      <c r="A1353"/>
      <c r="B1353" s="530">
        <v>46116</v>
      </c>
      <c r="C1353" s="507">
        <v>1</v>
      </c>
      <c r="D1353" s="481"/>
      <c r="E1353" s="481">
        <f>(C1353*D1353)-C1353</f>
        <v>-1</v>
      </c>
      <c r="F1353" s="483">
        <f>SUM($E$2:E1353)/SUM($C$2:C1353)</f>
        <v>7.4754689177766037E-3</v>
      </c>
      <c r="G1353" s="479">
        <f>G1352+E1353</f>
        <v>10.106833976833968</v>
      </c>
      <c r="H1353" s="484" t="s">
        <v>48</v>
      </c>
      <c r="I1353" s="2"/>
      <c r="J1353" s="2"/>
      <c r="K1353" s="2"/>
      <c r="L1353" s="2"/>
      <c r="O1353" s="58"/>
      <c r="P1353" s="58"/>
    </row>
    <row r="1354" spans="1:16">
      <c r="A1354"/>
      <c r="B1354" s="531"/>
      <c r="C1354" s="507">
        <v>1</v>
      </c>
      <c r="D1354" s="481"/>
      <c r="E1354" s="481">
        <f>(C1354*D1354)-C1354</f>
        <v>-1</v>
      </c>
      <c r="F1354" s="483">
        <f>SUM($E$2:E1354)/SUM($C$2:C1354)</f>
        <v>6.73084551133331E-3</v>
      </c>
      <c r="G1354" s="479">
        <f>G1353+E1354</f>
        <v>9.1068339768339683</v>
      </c>
      <c r="H1354" s="484" t="s">
        <v>77</v>
      </c>
      <c r="I1354" s="2"/>
      <c r="J1354" s="2"/>
      <c r="K1354" s="2"/>
      <c r="L1354" s="2"/>
      <c r="O1354" s="58"/>
      <c r="P1354" s="58"/>
    </row>
    <row r="1355" spans="1:16">
      <c r="A1355"/>
      <c r="B1355" s="531"/>
      <c r="C1355" s="508">
        <v>1</v>
      </c>
      <c r="D1355" s="482">
        <v>1.89</v>
      </c>
      <c r="E1355" s="482">
        <f>(C1355*D1355)-C1355</f>
        <v>0.8899999999999999</v>
      </c>
      <c r="F1355" s="485">
        <f>SUM($E$2:E1355)/SUM($C$2:C1355)</f>
        <v>7.3831860981048514E-3</v>
      </c>
      <c r="G1355" s="478">
        <f>G1354+E1355</f>
        <v>9.9968339768339689</v>
      </c>
      <c r="H1355" s="486" t="s">
        <v>34</v>
      </c>
      <c r="I1355" s="2"/>
      <c r="J1355" s="2"/>
      <c r="K1355" s="2"/>
      <c r="L1355" s="2"/>
      <c r="O1355" s="58"/>
      <c r="P1355" s="58"/>
    </row>
    <row r="1356" spans="1:16">
      <c r="A1356"/>
      <c r="B1356" s="531"/>
      <c r="C1356" s="507">
        <v>1</v>
      </c>
      <c r="D1356" s="481"/>
      <c r="E1356" s="481">
        <f>(C1356*D1356)-C1356</f>
        <v>-1</v>
      </c>
      <c r="F1356" s="483">
        <f>SUM($E$2:E1356)/SUM($C$2:C1356)</f>
        <v>6.6397298722021911E-3</v>
      </c>
      <c r="G1356" s="479">
        <f>G1355+E1356</f>
        <v>8.9968339768339689</v>
      </c>
      <c r="H1356" s="484" t="s">
        <v>380</v>
      </c>
      <c r="I1356" s="2"/>
      <c r="J1356" s="2"/>
      <c r="K1356" s="2"/>
      <c r="L1356" s="2"/>
      <c r="O1356" s="58"/>
      <c r="P1356" s="58"/>
    </row>
    <row r="1357" spans="1:16">
      <c r="A1357"/>
      <c r="B1357" s="531"/>
      <c r="C1357" s="507">
        <v>1</v>
      </c>
      <c r="D1357" s="481"/>
      <c r="E1357" s="481">
        <f>(C1357*D1357)-C1357</f>
        <v>-1</v>
      </c>
      <c r="F1357" s="483">
        <f>SUM($E$2:E1357)/SUM($C$2:C1357)</f>
        <v>5.8973701894055814E-3</v>
      </c>
      <c r="G1357" s="479">
        <f>G1356+E1357</f>
        <v>7.9968339768339689</v>
      </c>
      <c r="H1357" s="484" t="s">
        <v>491</v>
      </c>
      <c r="I1357" s="2"/>
      <c r="J1357" s="2"/>
      <c r="K1357" s="2"/>
      <c r="L1357" s="2"/>
      <c r="O1357" s="58"/>
      <c r="P1357" s="58"/>
    </row>
    <row r="1358" spans="1:16">
      <c r="A1358"/>
      <c r="B1358" s="531"/>
      <c r="C1358" s="508">
        <v>1</v>
      </c>
      <c r="D1358" s="482">
        <v>1.91</v>
      </c>
      <c r="E1358" s="482">
        <f>(C1358*D1358)-C1358</f>
        <v>0.90999999999999992</v>
      </c>
      <c r="F1358" s="485">
        <f>SUM($E$2:E1358)/SUM($C$2:C1358)</f>
        <v>6.5636212062151573E-3</v>
      </c>
      <c r="G1358" s="478">
        <f>G1357+E1358</f>
        <v>8.906833976833969</v>
      </c>
      <c r="H1358" s="486" t="s">
        <v>492</v>
      </c>
      <c r="I1358" s="2"/>
      <c r="J1358" s="2"/>
      <c r="K1358" s="2"/>
      <c r="L1358" s="2"/>
      <c r="O1358" s="58"/>
      <c r="P1358" s="58"/>
    </row>
    <row r="1359" spans="1:16">
      <c r="A1359"/>
      <c r="B1359" s="532"/>
      <c r="C1359" s="508">
        <v>1</v>
      </c>
      <c r="D1359" s="482">
        <v>2.085</v>
      </c>
      <c r="E1359" s="482">
        <f>(C1359*D1359)-C1359</f>
        <v>1.085</v>
      </c>
      <c r="F1359" s="485">
        <f>SUM($E$2:E1381)/SUM($C$2:C1381)</f>
        <v>7.9056767948072273E-3</v>
      </c>
      <c r="G1359" s="478">
        <f>G1358+E1359</f>
        <v>9.9918339768339699</v>
      </c>
      <c r="H1359" s="486" t="s">
        <v>77</v>
      </c>
      <c r="I1359" s="2">
        <f>SUM(E1353:E1359)</f>
        <v>-1.1150000000000002</v>
      </c>
      <c r="L1359" s="2">
        <f>I1359/C1359</f>
        <v>-1.1150000000000002</v>
      </c>
      <c r="O1359" s="58"/>
      <c r="P1359" s="58"/>
    </row>
    <row r="1360" spans="1:16">
      <c r="A1360"/>
      <c r="B1360" s="530">
        <v>46117</v>
      </c>
      <c r="C1360" s="507">
        <v>1</v>
      </c>
      <c r="D1360" s="481"/>
      <c r="E1360" s="481">
        <f>(C1360*D1360)-C1360</f>
        <v>-1</v>
      </c>
      <c r="F1360" s="483">
        <f>SUM($E$2:E1360)/SUM($C$2:C1360)</f>
        <v>6.6165077092229362E-3</v>
      </c>
      <c r="G1360" s="479">
        <f>G1352+E1360</f>
        <v>10.106833976833968</v>
      </c>
      <c r="H1360" s="484" t="s">
        <v>20</v>
      </c>
      <c r="I1360" s="2"/>
      <c r="J1360" s="2"/>
      <c r="K1360" s="2"/>
      <c r="L1360" s="2"/>
      <c r="O1360" s="58"/>
      <c r="P1360" s="58"/>
    </row>
    <row r="1361" spans="1:16">
      <c r="A1361"/>
      <c r="B1361" s="531"/>
      <c r="C1361" s="507">
        <v>1</v>
      </c>
      <c r="D1361" s="481">
        <v>2</v>
      </c>
      <c r="E1361" s="481">
        <f>(C1361*D1361)-C1361</f>
        <v>1</v>
      </c>
      <c r="F1361" s="483">
        <f>SUM($E$2:E1361)/SUM($C$2:C1361)</f>
        <v>7.3469367476720364E-3</v>
      </c>
      <c r="G1361" s="479">
        <f>G1360+E1361</f>
        <v>11.106833976833968</v>
      </c>
      <c r="H1361" s="484" t="s">
        <v>16</v>
      </c>
      <c r="I1361" s="2"/>
      <c r="J1361" s="2"/>
      <c r="K1361" s="2"/>
      <c r="L1361" s="2"/>
      <c r="O1361" s="58"/>
      <c r="P1361" s="58"/>
    </row>
    <row r="1362" spans="1:16">
      <c r="A1362"/>
      <c r="B1362" s="531"/>
      <c r="C1362" s="507">
        <v>1</v>
      </c>
      <c r="D1362" s="481">
        <v>1.944</v>
      </c>
      <c r="E1362" s="481">
        <f>(C1362*D1362)-C1362</f>
        <v>0.94399999999999995</v>
      </c>
      <c r="F1362" s="483">
        <f>SUM($E$2:E1362)/SUM($C$2:C1362)</f>
        <v>8.0351461989963038E-3</v>
      </c>
      <c r="G1362" s="479">
        <f>G1361+E1362</f>
        <v>12.050833976833967</v>
      </c>
      <c r="H1362" s="484" t="s">
        <v>13</v>
      </c>
      <c r="I1362" s="2"/>
      <c r="J1362" s="2"/>
      <c r="K1362" s="2"/>
      <c r="L1362" s="2"/>
      <c r="O1362" s="58"/>
      <c r="P1362" s="58"/>
    </row>
    <row r="1363" spans="1:16">
      <c r="A1363"/>
      <c r="B1363" s="531"/>
      <c r="C1363" s="507">
        <v>1</v>
      </c>
      <c r="D1363" s="481">
        <v>1.87</v>
      </c>
      <c r="E1363" s="481">
        <f>(C1363*D1363)-C1363</f>
        <v>0.87000000000000011</v>
      </c>
      <c r="F1363" s="483">
        <f>SUM($E$2:E1363)/SUM($C$2:C1363)</f>
        <v>8.6680131988501989E-3</v>
      </c>
      <c r="G1363" s="479">
        <f>G1362+E1363</f>
        <v>12.920833976833968</v>
      </c>
      <c r="H1363" s="484" t="s">
        <v>11</v>
      </c>
      <c r="I1363" s="2"/>
      <c r="J1363" s="2"/>
      <c r="K1363" s="2"/>
      <c r="L1363" s="2"/>
      <c r="O1363" s="58"/>
      <c r="P1363" s="58"/>
    </row>
    <row r="1364" spans="1:16">
      <c r="A1364"/>
      <c r="B1364" s="531"/>
      <c r="C1364" s="507">
        <v>1</v>
      </c>
      <c r="D1364" s="481">
        <v>1.87</v>
      </c>
      <c r="E1364" s="481">
        <f>(C1364*D1364)-C1364</f>
        <v>0.87000000000000011</v>
      </c>
      <c r="F1364" s="483">
        <f>SUM($E$2:E1364)/SUM($C$2:C1364)</f>
        <v>9.2999515604064355E-3</v>
      </c>
      <c r="G1364" s="479">
        <f>G1363+E1364</f>
        <v>13.790833976833969</v>
      </c>
      <c r="H1364" s="484" t="s">
        <v>37</v>
      </c>
      <c r="I1364" s="2"/>
      <c r="J1364" s="2"/>
      <c r="K1364" s="2"/>
      <c r="L1364" s="2"/>
      <c r="O1364" s="58"/>
      <c r="P1364" s="58"/>
    </row>
    <row r="1365" spans="1:16">
      <c r="A1365"/>
      <c r="B1365" s="531"/>
      <c r="C1365" s="507">
        <v>1</v>
      </c>
      <c r="D1365" s="481"/>
      <c r="E1365" s="481">
        <f>(C1365*D1365)-C1365</f>
        <v>-1</v>
      </c>
      <c r="F1365" s="483">
        <f>SUM($E$2:E1365)/SUM($C$2:C1365)</f>
        <v>8.5599955841891284E-3</v>
      </c>
      <c r="G1365" s="479">
        <f>G1364+E1365</f>
        <v>12.790833976833969</v>
      </c>
      <c r="H1365" s="484" t="s">
        <v>33</v>
      </c>
      <c r="I1365" s="2"/>
      <c r="J1365" s="2"/>
      <c r="K1365" s="2"/>
      <c r="L1365" s="2"/>
      <c r="O1365" s="58"/>
      <c r="P1365" s="58"/>
    </row>
    <row r="1366" spans="1:16">
      <c r="A1366"/>
      <c r="B1366" s="531"/>
      <c r="C1366" s="507">
        <v>1</v>
      </c>
      <c r="D1366" s="481"/>
      <c r="E1366" s="481">
        <f>(C1366*D1366)-C1366</f>
        <v>-1</v>
      </c>
      <c r="F1366" s="483">
        <f>SUM($E$2:E1366)/SUM($C$2:C1366)</f>
        <v>7.8211237925523598E-3</v>
      </c>
      <c r="G1366" s="479">
        <f>G1365+E1366</f>
        <v>11.790833976833969</v>
      </c>
      <c r="H1366" s="484" t="s">
        <v>14</v>
      </c>
      <c r="I1366" s="2"/>
      <c r="J1366" s="2"/>
      <c r="K1366" s="2"/>
      <c r="L1366" s="2"/>
      <c r="O1366" s="58"/>
      <c r="P1366" s="58"/>
    </row>
    <row r="1367" spans="1:16">
      <c r="A1367"/>
      <c r="B1367" s="531"/>
      <c r="C1367" s="508">
        <v>1</v>
      </c>
      <c r="D1367" s="482">
        <v>1.89</v>
      </c>
      <c r="E1367" s="482">
        <f>(C1367*D1367)-C1367</f>
        <v>0.8899999999999999</v>
      </c>
      <c r="F1367" s="485">
        <f>SUM($E$2:E1367)/SUM($C$2:C1367)</f>
        <v>8.4669355613718675E-3</v>
      </c>
      <c r="G1367" s="478">
        <f>G1366+E1367</f>
        <v>12.68083397683397</v>
      </c>
      <c r="H1367" s="486" t="s">
        <v>47</v>
      </c>
      <c r="I1367" s="2"/>
      <c r="J1367" s="2"/>
      <c r="K1367" s="2"/>
      <c r="L1367" s="2"/>
      <c r="O1367" s="58"/>
      <c r="P1367" s="58"/>
    </row>
    <row r="1368" spans="1:16">
      <c r="A1368"/>
      <c r="B1368" s="531"/>
      <c r="C1368" s="507">
        <v>1</v>
      </c>
      <c r="D1368" s="481"/>
      <c r="E1368" s="481">
        <f t="shared" si="44"/>
        <v>-1</v>
      </c>
      <c r="F1368" s="483">
        <f>SUM($E$2:E1368)/SUM($C$2:C1368)</f>
        <v>7.7292128579619394E-3</v>
      </c>
      <c r="G1368" s="479">
        <f>G1367+E1368</f>
        <v>11.68083397683397</v>
      </c>
      <c r="H1368" s="484" t="s">
        <v>493</v>
      </c>
      <c r="I1368" s="2"/>
      <c r="J1368" s="2"/>
      <c r="K1368" s="2"/>
      <c r="L1368" s="2"/>
      <c r="O1368" s="58"/>
      <c r="P1368" s="58"/>
    </row>
    <row r="1369" spans="1:16">
      <c r="A1369"/>
      <c r="B1369" s="531"/>
      <c r="C1369" s="507">
        <v>1</v>
      </c>
      <c r="D1369" s="481"/>
      <c r="E1369" s="481">
        <f t="shared" si="44"/>
        <v>-1</v>
      </c>
      <c r="F1369" s="483">
        <f>SUM($E$2:E1369)/SUM($C$2:C1369)</f>
        <v>6.9925686965160612E-3</v>
      </c>
      <c r="G1369" s="479">
        <f t="shared" si="43"/>
        <v>10.68083397683397</v>
      </c>
      <c r="H1369" s="484" t="s">
        <v>268</v>
      </c>
      <c r="I1369" s="2"/>
      <c r="J1369" s="2"/>
      <c r="K1369" s="2"/>
      <c r="L1369" s="2"/>
      <c r="O1369" s="58"/>
      <c r="P1369" s="58"/>
    </row>
    <row r="1370" spans="1:16">
      <c r="A1370"/>
      <c r="B1370" s="531"/>
      <c r="C1370" s="507">
        <v>1</v>
      </c>
      <c r="D1370" s="481">
        <v>1.94</v>
      </c>
      <c r="E1370" s="481">
        <f t="shared" si="44"/>
        <v>0.94</v>
      </c>
      <c r="F1370" s="483">
        <f>SUM($E$2:E1370)/SUM($C$2:C1370)</f>
        <v>7.6740934819824478E-3</v>
      </c>
      <c r="G1370" s="479">
        <f t="shared" si="43"/>
        <v>11.620833976833969</v>
      </c>
      <c r="H1370" s="484" t="s">
        <v>494</v>
      </c>
      <c r="I1370" s="2"/>
      <c r="J1370" s="2"/>
      <c r="K1370" s="2"/>
      <c r="L1370" s="2"/>
      <c r="O1370" s="58"/>
      <c r="P1370" s="58"/>
    </row>
    <row r="1371" spans="1:16">
      <c r="A1371"/>
      <c r="B1371" s="531"/>
      <c r="C1371" s="507">
        <v>1</v>
      </c>
      <c r="D1371" s="481">
        <v>1.9</v>
      </c>
      <c r="E1371" s="481">
        <f t="shared" si="44"/>
        <v>0.89999999999999991</v>
      </c>
      <c r="F1371" s="483">
        <f>SUM($E$2:E1371)/SUM($C$2:C1371)</f>
        <v>8.3254262604627524E-3</v>
      </c>
      <c r="G1371" s="479">
        <f t="shared" si="43"/>
        <v>12.52083397683397</v>
      </c>
      <c r="H1371" s="484" t="s">
        <v>495</v>
      </c>
      <c r="I1371" s="2"/>
      <c r="J1371" s="2"/>
      <c r="K1371" s="2"/>
      <c r="L1371" s="2"/>
      <c r="O1371" s="58"/>
      <c r="P1371" s="58"/>
    </row>
    <row r="1372" spans="1:16">
      <c r="A1372"/>
      <c r="B1372" s="531"/>
      <c r="C1372" s="507">
        <v>1</v>
      </c>
      <c r="D1372" s="481">
        <v>1.9</v>
      </c>
      <c r="E1372" s="481">
        <f t="shared" si="44"/>
        <v>0.89999999999999991</v>
      </c>
      <c r="F1372" s="483">
        <f>SUM($E$2:E1372)/SUM($C$2:C1372)</f>
        <v>8.9758088817169738E-3</v>
      </c>
      <c r="G1372" s="479">
        <f t="shared" si="43"/>
        <v>13.42083397683397</v>
      </c>
      <c r="H1372" s="484" t="s">
        <v>496</v>
      </c>
      <c r="I1372" s="2"/>
      <c r="J1372" s="2"/>
      <c r="K1372" s="2"/>
      <c r="L1372" s="2"/>
      <c r="O1372" s="58"/>
      <c r="P1372" s="58"/>
    </row>
    <row r="1373" spans="1:16">
      <c r="A1373"/>
      <c r="B1373" s="531"/>
      <c r="C1373" s="507">
        <v>1</v>
      </c>
      <c r="D1373" s="481">
        <v>1.88</v>
      </c>
      <c r="E1373" s="481">
        <f t="shared" si="44"/>
        <v>0.87999999999999989</v>
      </c>
      <c r="F1373" s="483">
        <f>SUM($E$2:E1373)/SUM($C$2:C1373)</f>
        <v>9.6106661638731584E-3</v>
      </c>
      <c r="G1373" s="479">
        <f t="shared" si="43"/>
        <v>14.300833976833971</v>
      </c>
      <c r="H1373" s="484" t="s">
        <v>497</v>
      </c>
      <c r="I1373" s="2"/>
      <c r="J1373" s="2"/>
      <c r="K1373" s="2"/>
      <c r="L1373" s="2"/>
      <c r="O1373" s="58"/>
      <c r="P1373" s="58"/>
    </row>
    <row r="1374" spans="1:16">
      <c r="A1374"/>
      <c r="B1374" s="531"/>
      <c r="C1374" s="507">
        <v>1</v>
      </c>
      <c r="D1374" s="481">
        <v>1.93</v>
      </c>
      <c r="E1374" s="481">
        <f t="shared" si="44"/>
        <v>0.92999999999999994</v>
      </c>
      <c r="F1374" s="483">
        <f>SUM($E$2:E1374)/SUM($C$2:C1374)</f>
        <v>1.0281015278101947E-2</v>
      </c>
      <c r="G1374" s="479">
        <f t="shared" si="43"/>
        <v>15.230833976833971</v>
      </c>
      <c r="H1374" s="484" t="s">
        <v>498</v>
      </c>
      <c r="I1374" s="2"/>
      <c r="J1374" s="2"/>
      <c r="K1374" s="2"/>
      <c r="L1374" s="2"/>
      <c r="O1374" s="58"/>
      <c r="P1374" s="58"/>
    </row>
    <row r="1375" spans="1:16">
      <c r="A1375"/>
      <c r="B1375" s="531"/>
      <c r="C1375" s="507">
        <v>1</v>
      </c>
      <c r="D1375" s="481"/>
      <c r="E1375" s="481">
        <f t="shared" si="44"/>
        <v>-1</v>
      </c>
      <c r="F1375" s="483">
        <f>SUM($E$2:E1375)/SUM($C$2:C1375)</f>
        <v>9.5457306963857153E-3</v>
      </c>
      <c r="G1375" s="479">
        <f t="shared" si="43"/>
        <v>14.230833976833971</v>
      </c>
      <c r="H1375" s="484" t="s">
        <v>499</v>
      </c>
      <c r="I1375" s="2"/>
      <c r="J1375" s="2"/>
      <c r="K1375" s="2"/>
      <c r="L1375" s="2"/>
      <c r="O1375" s="58"/>
      <c r="P1375" s="58"/>
    </row>
    <row r="1376" spans="1:16">
      <c r="A1376"/>
      <c r="B1376" s="531"/>
      <c r="C1376" s="507">
        <v>1</v>
      </c>
      <c r="D1376" s="481"/>
      <c r="E1376" s="481">
        <f t="shared" si="44"/>
        <v>-1</v>
      </c>
      <c r="F1376" s="483">
        <f>SUM($E$2:E1376)/SUM($C$2:C1376)</f>
        <v>8.8115156195156166E-3</v>
      </c>
      <c r="G1376" s="479">
        <f t="shared" si="43"/>
        <v>13.230833976833971</v>
      </c>
      <c r="H1376" s="484" t="s">
        <v>218</v>
      </c>
      <c r="I1376" s="2"/>
      <c r="J1376" s="2"/>
      <c r="K1376" s="2"/>
      <c r="L1376" s="2"/>
      <c r="O1376" s="58"/>
      <c r="P1376" s="58"/>
    </row>
    <row r="1377" spans="1:16">
      <c r="A1377"/>
      <c r="B1377" s="531"/>
      <c r="C1377" s="507">
        <v>1</v>
      </c>
      <c r="D1377" s="481">
        <v>1.8939999999999999</v>
      </c>
      <c r="E1377" s="481">
        <f t="shared" si="44"/>
        <v>0.89399999999999991</v>
      </c>
      <c r="F1377" s="483">
        <f>SUM($E$2:E1377)/SUM($C$2:C1377)</f>
        <v>9.454821204094457E-3</v>
      </c>
      <c r="G1377" s="479">
        <f t="shared" si="43"/>
        <v>14.124833976833971</v>
      </c>
      <c r="H1377" s="484" t="s">
        <v>267</v>
      </c>
      <c r="I1377" s="2"/>
      <c r="J1377" s="2"/>
      <c r="K1377" s="2"/>
      <c r="L1377" s="2"/>
      <c r="O1377" s="58"/>
      <c r="P1377" s="58"/>
    </row>
    <row r="1378" spans="1:16">
      <c r="A1378"/>
      <c r="B1378" s="531"/>
      <c r="C1378" s="508">
        <v>1</v>
      </c>
      <c r="D1378" s="482">
        <v>1.9</v>
      </c>
      <c r="E1378" s="482">
        <f t="shared" si="44"/>
        <v>0.89999999999999991</v>
      </c>
      <c r="F1378" s="485">
        <f>SUM($E$2:E1378)/SUM($C$2:C1378)</f>
        <v>1.0101549729000707E-2</v>
      </c>
      <c r="G1378" s="478">
        <f t="shared" si="43"/>
        <v>15.024833976833971</v>
      </c>
      <c r="H1378" s="486" t="s">
        <v>500</v>
      </c>
      <c r="I1378" s="2"/>
      <c r="J1378" s="2"/>
      <c r="K1378" s="2"/>
      <c r="L1378" s="2"/>
      <c r="O1378" s="58"/>
      <c r="P1378" s="58"/>
    </row>
    <row r="1379" spans="1:16">
      <c r="A1379"/>
      <c r="B1379" s="531"/>
      <c r="C1379" s="507">
        <v>1</v>
      </c>
      <c r="D1379" s="481"/>
      <c r="E1379" s="481">
        <f t="shared" si="44"/>
        <v>-1</v>
      </c>
      <c r="F1379" s="483">
        <f>SUM($E$2:E1379)/SUM($C$2:C1379)</f>
        <v>9.3685297364542626E-3</v>
      </c>
      <c r="G1379" s="479">
        <f t="shared" si="43"/>
        <v>14.024833976833971</v>
      </c>
      <c r="H1379" s="484" t="s">
        <v>31</v>
      </c>
      <c r="I1379" s="2"/>
      <c r="J1379" s="2"/>
      <c r="K1379" s="2"/>
      <c r="L1379" s="2"/>
      <c r="O1379" s="58"/>
      <c r="P1379" s="58"/>
    </row>
    <row r="1380" spans="1:16">
      <c r="A1380"/>
      <c r="B1380" s="531"/>
      <c r="C1380" s="507">
        <v>1</v>
      </c>
      <c r="D1380" s="481"/>
      <c r="E1380" s="481">
        <f t="shared" si="44"/>
        <v>-1</v>
      </c>
      <c r="F1380" s="483">
        <f>SUM($E$2:E1380)/SUM($C$2:C1380)</f>
        <v>8.6365728620986029E-3</v>
      </c>
      <c r="G1380" s="479">
        <f t="shared" si="43"/>
        <v>13.024833976833971</v>
      </c>
      <c r="H1380" s="484" t="s">
        <v>37</v>
      </c>
      <c r="I1380" s="2"/>
      <c r="J1380" s="2"/>
      <c r="K1380" s="2"/>
      <c r="L1380" s="2"/>
      <c r="O1380" s="58"/>
      <c r="P1380" s="58"/>
    </row>
    <row r="1381" spans="1:16">
      <c r="A1381"/>
      <c r="B1381" s="532"/>
      <c r="C1381" s="508">
        <v>1</v>
      </c>
      <c r="D1381" s="482"/>
      <c r="E1381" s="482">
        <f t="shared" si="44"/>
        <v>-1</v>
      </c>
      <c r="F1381" s="485">
        <f>SUM($E$2:E1381)/SUM($C$2:C1381)</f>
        <v>7.9056767948072273E-3</v>
      </c>
      <c r="G1381" s="478">
        <f t="shared" si="43"/>
        <v>12.024833976833971</v>
      </c>
      <c r="H1381" s="486" t="s">
        <v>39</v>
      </c>
      <c r="I1381" s="2">
        <f>SUM(E1353:E1381)</f>
        <v>-0.19700000000000095</v>
      </c>
      <c r="J1381" s="2">
        <f>SUM(E1263:E1381)</f>
        <v>-0.12400000000000055</v>
      </c>
      <c r="L1381" s="2">
        <f>I1381/C1381</f>
        <v>-0.19700000000000095</v>
      </c>
      <c r="O1381" s="58"/>
      <c r="P1381" s="58"/>
    </row>
    <row r="1382" spans="1:16">
      <c r="A1382"/>
      <c r="B1382" s="530">
        <v>46118</v>
      </c>
      <c r="C1382" s="507">
        <v>1</v>
      </c>
      <c r="D1382" s="481">
        <v>1.85</v>
      </c>
      <c r="E1382" s="481">
        <f t="shared" si="44"/>
        <v>0.85000000000000009</v>
      </c>
      <c r="F1382" s="483">
        <f>SUM($E$2:E1382)/SUM($C$2:C1382)</f>
        <v>8.5154482091484227E-3</v>
      </c>
      <c r="G1382" s="479">
        <f>G1359+E1382</f>
        <v>10.84183397683397</v>
      </c>
      <c r="H1382" s="484" t="s">
        <v>10</v>
      </c>
      <c r="I1382" s="2"/>
      <c r="J1382" s="2"/>
      <c r="K1382" s="2"/>
      <c r="L1382" s="2"/>
      <c r="O1382" s="58"/>
      <c r="P1382" s="58"/>
    </row>
    <row r="1383" spans="1:16">
      <c r="A1383"/>
      <c r="B1383" s="531"/>
      <c r="C1383" s="507">
        <v>1</v>
      </c>
      <c r="D1383" s="481"/>
      <c r="E1383" s="481">
        <f t="shared" si="44"/>
        <v>-1</v>
      </c>
      <c r="F1383" s="483">
        <f>SUM($E$2:E1383)/SUM($C$2:C1383)</f>
        <v>7.7856975230347122E-3</v>
      </c>
      <c r="G1383" s="479">
        <f t="shared" si="43"/>
        <v>9.8418339768339695</v>
      </c>
      <c r="H1383" s="484" t="s">
        <v>38</v>
      </c>
      <c r="I1383" s="2"/>
      <c r="J1383" s="2"/>
      <c r="K1383" s="2"/>
      <c r="L1383" s="2"/>
      <c r="O1383" s="58"/>
      <c r="P1383" s="58"/>
    </row>
    <row r="1384" spans="1:16">
      <c r="A1384"/>
      <c r="B1384" s="531"/>
      <c r="C1384" s="508">
        <v>1</v>
      </c>
      <c r="D1384" s="482"/>
      <c r="E1384" s="482">
        <f t="shared" si="44"/>
        <v>-1</v>
      </c>
      <c r="F1384" s="485">
        <f>SUM($E$2:E1384)/SUM($C$2:C1384)</f>
        <v>7.0570021524468344E-3</v>
      </c>
      <c r="G1384" s="478">
        <f t="shared" si="43"/>
        <v>8.8418339768339695</v>
      </c>
      <c r="H1384" s="486" t="s">
        <v>77</v>
      </c>
      <c r="I1384" s="2"/>
      <c r="J1384" s="2"/>
      <c r="K1384" s="2"/>
      <c r="L1384" s="2"/>
      <c r="O1384" s="58"/>
      <c r="P1384" s="58"/>
    </row>
    <row r="1385" spans="1:16">
      <c r="A1385"/>
      <c r="B1385" s="531"/>
      <c r="C1385" s="507">
        <v>1</v>
      </c>
      <c r="D1385" s="481"/>
      <c r="E1385" s="481">
        <f t="shared" si="44"/>
        <v>-1</v>
      </c>
      <c r="F1385" s="483">
        <f>SUM($E$2:E1385)/SUM($C$2:C1385)</f>
        <v>6.3293598098511364E-3</v>
      </c>
      <c r="G1385" s="479">
        <f t="shared" si="43"/>
        <v>7.8418339768339695</v>
      </c>
      <c r="H1385" s="484" t="s">
        <v>156</v>
      </c>
      <c r="I1385" s="2"/>
      <c r="J1385" s="2"/>
      <c r="K1385" s="2"/>
      <c r="L1385" s="2"/>
      <c r="O1385" s="58"/>
      <c r="P1385" s="58"/>
    </row>
    <row r="1386" spans="1:16">
      <c r="A1386"/>
      <c r="B1386" s="531"/>
      <c r="C1386" s="507">
        <v>1</v>
      </c>
      <c r="D1386" s="481">
        <v>1.89</v>
      </c>
      <c r="E1386" s="481">
        <f t="shared" si="44"/>
        <v>0.8899999999999999</v>
      </c>
      <c r="F1386" s="483">
        <f>SUM($E$2:E1386)/SUM($C$2:C1386)</f>
        <v>6.9673891529487171E-3</v>
      </c>
      <c r="G1386" s="479">
        <f t="shared" si="43"/>
        <v>8.7318339768339701</v>
      </c>
      <c r="H1386" s="484" t="s">
        <v>348</v>
      </c>
      <c r="I1386" s="2"/>
      <c r="J1386" s="2"/>
      <c r="K1386" s="2"/>
      <c r="L1386" s="2"/>
      <c r="O1386" s="58"/>
      <c r="P1386" s="58"/>
    </row>
    <row r="1387" spans="1:16">
      <c r="A1387"/>
      <c r="B1387" s="531"/>
      <c r="C1387" s="507">
        <v>1</v>
      </c>
      <c r="D1387" s="481">
        <v>1.88</v>
      </c>
      <c r="E1387" s="481">
        <f t="shared" si="44"/>
        <v>0.87999999999999989</v>
      </c>
      <c r="F1387" s="483">
        <f>SUM($E$2:E1387)/SUM($C$2:C1387)</f>
        <v>7.5972828115685237E-3</v>
      </c>
      <c r="G1387" s="479">
        <f t="shared" si="43"/>
        <v>9.6118339768339709</v>
      </c>
      <c r="H1387" s="484" t="s">
        <v>501</v>
      </c>
      <c r="I1387" s="2"/>
      <c r="J1387" s="2"/>
      <c r="K1387" s="2"/>
      <c r="L1387" s="2"/>
      <c r="O1387" s="58"/>
      <c r="P1387" s="58"/>
    </row>
    <row r="1388" spans="1:16">
      <c r="A1388"/>
      <c r="B1388" s="531"/>
      <c r="C1388" s="507">
        <v>1</v>
      </c>
      <c r="D1388" s="481">
        <v>1.95</v>
      </c>
      <c r="E1388" s="481">
        <f t="shared" si="44"/>
        <v>0.95</v>
      </c>
      <c r="F1388" s="483">
        <f>SUM($E$2:E1388)/SUM($C$2:C1388)</f>
        <v>8.2767368254030079E-3</v>
      </c>
      <c r="G1388" s="479">
        <f t="shared" si="43"/>
        <v>10.56183397683397</v>
      </c>
      <c r="H1388" s="484" t="s">
        <v>502</v>
      </c>
      <c r="I1388" s="2"/>
      <c r="J1388" s="2"/>
      <c r="K1388" s="2"/>
      <c r="L1388" s="2"/>
      <c r="O1388" s="58"/>
      <c r="P1388" s="58"/>
    </row>
    <row r="1389" spans="1:16">
      <c r="A1389"/>
      <c r="B1389" s="531"/>
      <c r="C1389" s="508">
        <v>1</v>
      </c>
      <c r="D1389" s="482">
        <v>1.8819999999999999</v>
      </c>
      <c r="E1389" s="482">
        <f t="shared" si="44"/>
        <v>0.8819999999999999</v>
      </c>
      <c r="F1389" s="485">
        <f>SUM($E$2:E1389)/SUM($C$2:C1389)</f>
        <v>8.9062204444048786E-3</v>
      </c>
      <c r="G1389" s="478">
        <f t="shared" si="43"/>
        <v>11.44383397683397</v>
      </c>
      <c r="H1389" s="486" t="s">
        <v>425</v>
      </c>
      <c r="I1389" s="2"/>
      <c r="J1389" s="2"/>
      <c r="K1389" s="2"/>
      <c r="L1389" s="2"/>
      <c r="O1389" s="58"/>
      <c r="P1389" s="58"/>
    </row>
    <row r="1390" spans="1:16">
      <c r="A1390"/>
      <c r="B1390" s="531"/>
      <c r="C1390" s="507">
        <v>1</v>
      </c>
      <c r="D1390" s="481"/>
      <c r="E1390" s="481">
        <f t="shared" si="44"/>
        <v>-1</v>
      </c>
      <c r="F1390" s="483">
        <f>SUM($E$2:E1390)/SUM($C$2:C1390)</f>
        <v>8.1798660740345381E-3</v>
      </c>
      <c r="G1390" s="479">
        <f t="shared" si="43"/>
        <v>10.44383397683397</v>
      </c>
      <c r="H1390" s="484" t="s">
        <v>10</v>
      </c>
      <c r="I1390" s="2"/>
      <c r="J1390" s="2"/>
      <c r="K1390" s="2"/>
      <c r="L1390" s="2"/>
      <c r="O1390" s="58"/>
      <c r="P1390" s="58"/>
    </row>
    <row r="1391" spans="1:16">
      <c r="A1391"/>
      <c r="B1391" s="531"/>
      <c r="C1391" s="508">
        <v>1</v>
      </c>
      <c r="D1391" s="482"/>
      <c r="E1391" s="482">
        <f t="shared" si="44"/>
        <v>-1</v>
      </c>
      <c r="F1391" s="485">
        <f>SUM($E$2:E1391)/SUM($C$2:C1391)</f>
        <v>7.4545568178661674E-3</v>
      </c>
      <c r="G1391" s="478">
        <f t="shared" si="43"/>
        <v>9.4438339768339699</v>
      </c>
      <c r="H1391" s="486" t="s">
        <v>32</v>
      </c>
      <c r="I1391" s="2">
        <f>SUM(E1382:E1391)</f>
        <v>-0.54800000000000026</v>
      </c>
      <c r="L1391" s="2">
        <f>I1391/C1391</f>
        <v>-0.54800000000000026</v>
      </c>
      <c r="O1391" s="58"/>
      <c r="P1391" s="58"/>
    </row>
    <row r="1392" spans="1:16">
      <c r="A1392"/>
      <c r="B1392" s="530">
        <v>46119</v>
      </c>
      <c r="C1392" s="507">
        <v>1</v>
      </c>
      <c r="D1392" s="481">
        <v>1.88</v>
      </c>
      <c r="E1392" s="481">
        <f t="shared" si="44"/>
        <v>0.87999999999999989</v>
      </c>
      <c r="F1392" s="483">
        <f>SUM($E$2:E1392)/SUM($C$2:C1392)</f>
        <v>8.0818360724902762E-3</v>
      </c>
      <c r="G1392" s="479">
        <f t="shared" si="43"/>
        <v>10.323833976833971</v>
      </c>
      <c r="H1392" s="484" t="s">
        <v>19</v>
      </c>
      <c r="I1392" s="2"/>
      <c r="J1392" s="2"/>
      <c r="K1392" s="2"/>
      <c r="L1392" s="2"/>
      <c r="O1392" s="58"/>
      <c r="P1392" s="58"/>
    </row>
    <row r="1393" spans="1:16">
      <c r="A1393"/>
      <c r="B1393" s="531"/>
      <c r="C1393" s="507">
        <v>1</v>
      </c>
      <c r="D1393" s="481">
        <v>1.8</v>
      </c>
      <c r="E1393" s="481">
        <f t="shared" si="44"/>
        <v>0.8</v>
      </c>
      <c r="F1393" s="483">
        <f>SUM($E$2:E1393)/SUM($C$2:C1393)</f>
        <v>8.6507427994496934E-3</v>
      </c>
      <c r="G1393" s="479">
        <f t="shared" si="43"/>
        <v>11.123833976833971</v>
      </c>
      <c r="H1393" s="484" t="s">
        <v>35</v>
      </c>
      <c r="I1393" s="2"/>
      <c r="J1393" s="2"/>
      <c r="K1393" s="2"/>
      <c r="L1393" s="2"/>
      <c r="O1393" s="58"/>
      <c r="P1393" s="58"/>
    </row>
    <row r="1394" spans="1:16">
      <c r="A1394"/>
      <c r="B1394" s="531"/>
      <c r="C1394" s="507">
        <v>1</v>
      </c>
      <c r="D1394" s="481"/>
      <c r="E1394" s="481">
        <f t="shared" si="44"/>
        <v>-1</v>
      </c>
      <c r="F1394" s="483">
        <f>SUM($E$2:E1394)/SUM($C$2:C1394)</f>
        <v>7.9266575569518841E-3</v>
      </c>
      <c r="G1394" s="479">
        <f t="shared" si="43"/>
        <v>10.123833976833971</v>
      </c>
      <c r="H1394" s="484" t="s">
        <v>37</v>
      </c>
      <c r="I1394" s="2"/>
      <c r="J1394" s="2"/>
      <c r="K1394" s="2"/>
      <c r="L1394" s="2"/>
      <c r="O1394" s="58"/>
      <c r="P1394" s="58"/>
    </row>
    <row r="1395" spans="1:16">
      <c r="A1395"/>
      <c r="B1395" s="531"/>
      <c r="C1395" s="507">
        <v>1</v>
      </c>
      <c r="D1395" s="481">
        <v>1.9</v>
      </c>
      <c r="E1395" s="481">
        <f t="shared" si="44"/>
        <v>0.89999999999999991</v>
      </c>
      <c r="F1395" s="483">
        <f>SUM($E$2:E1395)/SUM($C$2:C1395)</f>
        <v>8.5665953922768826E-3</v>
      </c>
      <c r="G1395" s="479">
        <f t="shared" si="43"/>
        <v>11.023833976833972</v>
      </c>
      <c r="H1395" s="484" t="s">
        <v>39</v>
      </c>
      <c r="I1395" s="2"/>
      <c r="J1395" s="2"/>
      <c r="K1395" s="2"/>
      <c r="L1395" s="2"/>
      <c r="O1395" s="58"/>
      <c r="P1395" s="58"/>
    </row>
    <row r="1396" spans="1:16">
      <c r="A1396"/>
      <c r="B1396" s="531"/>
      <c r="C1396" s="507">
        <v>1</v>
      </c>
      <c r="D1396" s="481"/>
      <c r="E1396" s="481">
        <f t="shared" si="44"/>
        <v>-1</v>
      </c>
      <c r="F1396" s="483">
        <f>SUM($E$2:E1396)/SUM($C$2:C1396)</f>
        <v>7.8436085855440683E-3</v>
      </c>
      <c r="G1396" s="479">
        <f t="shared" si="43"/>
        <v>10.023833976833972</v>
      </c>
      <c r="H1396" s="484" t="s">
        <v>22</v>
      </c>
      <c r="I1396" s="2"/>
      <c r="J1396" s="2"/>
      <c r="K1396" s="2"/>
      <c r="L1396" s="2"/>
      <c r="O1396" s="58"/>
      <c r="P1396" s="58"/>
    </row>
    <row r="1397" spans="1:16">
      <c r="A1397"/>
      <c r="B1397" s="531"/>
      <c r="C1397" s="507">
        <v>1</v>
      </c>
      <c r="D1397" s="481">
        <v>1.93</v>
      </c>
      <c r="E1397" s="481">
        <f t="shared" si="44"/>
        <v>0.92999999999999994</v>
      </c>
      <c r="F1397" s="483">
        <f>SUM($E$2:E1397)/SUM($C$2:C1397)</f>
        <v>8.5041790664999815E-3</v>
      </c>
      <c r="G1397" s="479">
        <f t="shared" si="43"/>
        <v>10.953833976833971</v>
      </c>
      <c r="H1397" s="484" t="s">
        <v>12</v>
      </c>
      <c r="I1397" s="2"/>
      <c r="J1397" s="2"/>
      <c r="K1397" s="2"/>
      <c r="L1397" s="2"/>
      <c r="O1397" s="58"/>
      <c r="P1397" s="58"/>
    </row>
    <row r="1398" spans="1:16">
      <c r="A1398"/>
      <c r="B1398" s="531"/>
      <c r="C1398" s="508">
        <v>1</v>
      </c>
      <c r="D1398" s="482">
        <v>1.92</v>
      </c>
      <c r="E1398" s="482">
        <f t="shared" si="44"/>
        <v>0.91999999999999993</v>
      </c>
      <c r="F1398" s="485">
        <f>SUM($E$2:E1398)/SUM($C$2:C1398)</f>
        <v>9.1566456527086421E-3</v>
      </c>
      <c r="G1398" s="478">
        <f t="shared" si="43"/>
        <v>11.873833976833971</v>
      </c>
      <c r="H1398" s="486" t="s">
        <v>16</v>
      </c>
      <c r="I1398" s="2"/>
      <c r="J1398" s="2"/>
      <c r="K1398" s="2"/>
      <c r="L1398" s="2"/>
      <c r="O1398" s="58"/>
      <c r="P1398" s="58"/>
    </row>
    <row r="1399" spans="1:16">
      <c r="A1399"/>
      <c r="B1399" s="531"/>
      <c r="C1399" s="507">
        <v>1</v>
      </c>
      <c r="D1399" s="481">
        <v>1.92</v>
      </c>
      <c r="E1399" s="481">
        <f t="shared" si="44"/>
        <v>0.91999999999999993</v>
      </c>
      <c r="F1399" s="483">
        <f>SUM($E$2:E1399)/SUM($C$2:C1399)</f>
        <v>9.8081788103247317E-3</v>
      </c>
      <c r="G1399" s="479">
        <f t="shared" si="43"/>
        <v>12.793833976833971</v>
      </c>
      <c r="H1399" s="484" t="s">
        <v>503</v>
      </c>
      <c r="I1399" s="2"/>
      <c r="J1399" s="2"/>
      <c r="K1399" s="2"/>
      <c r="L1399" s="2"/>
      <c r="O1399" s="58"/>
      <c r="P1399" s="58"/>
    </row>
    <row r="1400" spans="1:16">
      <c r="A1400"/>
      <c r="B1400" s="531"/>
      <c r="C1400" s="507">
        <v>1</v>
      </c>
      <c r="D1400" s="481"/>
      <c r="E1400" s="481">
        <f t="shared" si="44"/>
        <v>-1</v>
      </c>
      <c r="F1400" s="483">
        <f>SUM($E$2:E1400)/SUM($C$2:C1400)</f>
        <v>9.0863716775082017E-3</v>
      </c>
      <c r="G1400" s="479">
        <f t="shared" si="43"/>
        <v>11.793833976833971</v>
      </c>
      <c r="H1400" s="484" t="s">
        <v>504</v>
      </c>
      <c r="I1400" s="2"/>
      <c r="J1400" s="2"/>
      <c r="K1400" s="2"/>
      <c r="L1400" s="2"/>
      <c r="O1400" s="58"/>
      <c r="P1400" s="58"/>
    </row>
    <row r="1401" spans="1:16">
      <c r="A1401"/>
      <c r="B1401" s="531"/>
      <c r="C1401" s="507">
        <v>1</v>
      </c>
      <c r="D1401" s="481"/>
      <c r="E1401" s="481">
        <f t="shared" si="44"/>
        <v>-1</v>
      </c>
      <c r="F1401" s="483">
        <f>SUM($E$2:E1401)/SUM($C$2:C1401)</f>
        <v>8.3655956977385527E-3</v>
      </c>
      <c r="G1401" s="479">
        <f t="shared" si="43"/>
        <v>10.793833976833971</v>
      </c>
      <c r="H1401" s="484" t="s">
        <v>98</v>
      </c>
      <c r="I1401" s="2"/>
      <c r="J1401" s="2"/>
      <c r="K1401" s="2"/>
      <c r="L1401" s="2"/>
      <c r="O1401" s="58"/>
      <c r="P1401" s="58"/>
    </row>
    <row r="1402" spans="1:16">
      <c r="A1402"/>
      <c r="B1402" s="531"/>
      <c r="C1402" s="507">
        <v>1</v>
      </c>
      <c r="D1402" s="481">
        <v>1.93</v>
      </c>
      <c r="E1402" s="481">
        <f t="shared" si="44"/>
        <v>0.92999999999999994</v>
      </c>
      <c r="F1402" s="483">
        <f>SUM($E$2:E1402)/SUM($C$2:C1402)</f>
        <v>9.0234361005238923E-3</v>
      </c>
      <c r="G1402" s="479">
        <f t="shared" si="43"/>
        <v>11.723833976833971</v>
      </c>
      <c r="H1402" s="484" t="s">
        <v>505</v>
      </c>
      <c r="I1402" s="2"/>
      <c r="J1402" s="2"/>
      <c r="K1402" s="2"/>
      <c r="L1402" s="2"/>
      <c r="O1402" s="58"/>
      <c r="P1402" s="58"/>
    </row>
    <row r="1403" spans="1:16">
      <c r="A1403"/>
      <c r="B1403" s="531"/>
      <c r="C1403" s="507">
        <v>1</v>
      </c>
      <c r="D1403" s="481">
        <v>1.92</v>
      </c>
      <c r="E1403" s="481">
        <f t="shared" si="44"/>
        <v>0.91999999999999993</v>
      </c>
      <c r="F1403" s="483">
        <f>SUM($E$2:E1403)/SUM($C$2:C1403)</f>
        <v>9.6732054043038324E-3</v>
      </c>
      <c r="G1403" s="479">
        <f t="shared" si="43"/>
        <v>12.643833976833971</v>
      </c>
      <c r="H1403" s="484" t="s">
        <v>506</v>
      </c>
      <c r="I1403" s="2"/>
      <c r="J1403" s="2"/>
      <c r="K1403" s="2"/>
      <c r="L1403" s="2"/>
      <c r="O1403" s="58"/>
      <c r="P1403" s="58"/>
    </row>
    <row r="1404" spans="1:16">
      <c r="A1404"/>
      <c r="B1404" s="531"/>
      <c r="C1404" s="507">
        <v>1</v>
      </c>
      <c r="D1404" s="481"/>
      <c r="E1404" s="481">
        <f t="shared" si="44"/>
        <v>-1</v>
      </c>
      <c r="F1404" s="483">
        <f>SUM($E$2:E1404)/SUM($C$2:C1404)</f>
        <v>8.9535523712287769E-3</v>
      </c>
      <c r="G1404" s="479">
        <f t="shared" si="43"/>
        <v>11.643833976833971</v>
      </c>
      <c r="H1404" s="484" t="s">
        <v>507</v>
      </c>
      <c r="I1404" s="2"/>
      <c r="J1404" s="2"/>
      <c r="K1404" s="2"/>
      <c r="L1404" s="2"/>
      <c r="O1404" s="58"/>
      <c r="P1404" s="58"/>
    </row>
    <row r="1405" spans="1:16">
      <c r="A1405"/>
      <c r="B1405" s="531"/>
      <c r="C1405" s="507">
        <v>1</v>
      </c>
      <c r="D1405" s="481">
        <v>1.92</v>
      </c>
      <c r="E1405" s="481">
        <f t="shared" si="44"/>
        <v>0.91999999999999993</v>
      </c>
      <c r="F1405" s="483">
        <f>SUM($E$2:E1405)/SUM($C$2:C1405)</f>
        <v>9.6024458524458494E-3</v>
      </c>
      <c r="G1405" s="479">
        <f t="shared" si="43"/>
        <v>12.563833976833971</v>
      </c>
      <c r="H1405" s="484" t="s">
        <v>508</v>
      </c>
      <c r="I1405" s="2"/>
      <c r="J1405" s="2"/>
      <c r="K1405" s="2"/>
      <c r="L1405" s="2"/>
      <c r="O1405" s="58"/>
      <c r="P1405" s="58"/>
    </row>
    <row r="1406" spans="1:16">
      <c r="A1406"/>
      <c r="B1406" s="531"/>
      <c r="C1406" s="507">
        <v>1</v>
      </c>
      <c r="D1406" s="481"/>
      <c r="E1406" s="481">
        <f t="shared" si="44"/>
        <v>-1</v>
      </c>
      <c r="F1406" s="483">
        <f>SUM($E$2:E1406)/SUM($C$2:C1406)</f>
        <v>8.8838675991700887E-3</v>
      </c>
      <c r="G1406" s="479">
        <f t="shared" si="43"/>
        <v>11.563833976833971</v>
      </c>
      <c r="H1406" s="484" t="s">
        <v>284</v>
      </c>
      <c r="I1406" s="2"/>
      <c r="J1406" s="2"/>
      <c r="K1406" s="2"/>
      <c r="L1406" s="2"/>
      <c r="O1406" s="58"/>
      <c r="P1406" s="58"/>
    </row>
    <row r="1407" spans="1:16">
      <c r="A1407"/>
      <c r="B1407" s="531"/>
      <c r="C1407" s="507">
        <v>1</v>
      </c>
      <c r="D1407" s="481">
        <v>1.93</v>
      </c>
      <c r="E1407" s="481">
        <f t="shared" si="44"/>
        <v>0.92999999999999994</v>
      </c>
      <c r="F1407" s="483">
        <f>SUM($E$2:E1407)/SUM($C$2:C1407)</f>
        <v>9.5389999835234513E-3</v>
      </c>
      <c r="G1407" s="479">
        <f t="shared" si="43"/>
        <v>12.493833976833971</v>
      </c>
      <c r="H1407" s="484" t="s">
        <v>509</v>
      </c>
      <c r="I1407" s="2"/>
      <c r="J1407" s="2"/>
      <c r="K1407" s="2"/>
      <c r="L1407" s="2"/>
      <c r="O1407" s="58"/>
      <c r="P1407" s="58"/>
    </row>
    <row r="1408" spans="1:16">
      <c r="A1408"/>
      <c r="B1408" s="531"/>
      <c r="C1408" s="508">
        <v>1</v>
      </c>
      <c r="D1408" s="482">
        <v>1.88</v>
      </c>
      <c r="E1408" s="482">
        <f t="shared" si="44"/>
        <v>0.87999999999999989</v>
      </c>
      <c r="F1408" s="485">
        <f>SUM($E$2:E1408)/SUM($C$2:C1408)</f>
        <v>1.0157664518005668E-2</v>
      </c>
      <c r="G1408" s="478">
        <f t="shared" si="43"/>
        <v>13.373833976833971</v>
      </c>
      <c r="H1408" s="486" t="s">
        <v>510</v>
      </c>
      <c r="I1408" s="2"/>
      <c r="J1408" s="2"/>
      <c r="K1408" s="2"/>
      <c r="L1408" s="2"/>
      <c r="O1408" s="58"/>
      <c r="P1408" s="58"/>
    </row>
    <row r="1409" spans="1:16">
      <c r="A1409"/>
      <c r="B1409" s="531"/>
      <c r="C1409" s="507">
        <v>1</v>
      </c>
      <c r="D1409" s="481"/>
      <c r="E1409" s="481">
        <f t="shared" si="44"/>
        <v>-1</v>
      </c>
      <c r="F1409" s="483">
        <f>SUM($E$2:E1409)/SUM($C$2:C1409)</f>
        <v>9.4402229949104924E-3</v>
      </c>
      <c r="G1409" s="479">
        <f t="shared" si="43"/>
        <v>12.373833976833971</v>
      </c>
      <c r="H1409" s="484" t="s">
        <v>19</v>
      </c>
      <c r="I1409" s="2"/>
      <c r="J1409" s="2"/>
      <c r="K1409" s="2"/>
      <c r="L1409" s="2"/>
      <c r="O1409" s="58"/>
      <c r="P1409" s="58"/>
    </row>
    <row r="1410" spans="1:16">
      <c r="A1410"/>
      <c r="B1410" s="531"/>
      <c r="C1410" s="507">
        <v>1</v>
      </c>
      <c r="D1410" s="481">
        <v>2.1440000000000001</v>
      </c>
      <c r="E1410" s="481">
        <f t="shared" si="44"/>
        <v>1.1440000000000001</v>
      </c>
      <c r="F1410" s="483">
        <f>SUM($E$2:E1410)/SUM($C$2:C1410)</f>
        <v>1.0245446399456334E-2</v>
      </c>
      <c r="G1410" s="479">
        <f t="shared" si="43"/>
        <v>13.517833976833971</v>
      </c>
      <c r="H1410" s="484" t="s">
        <v>20</v>
      </c>
      <c r="I1410" s="2"/>
      <c r="J1410" s="2"/>
      <c r="K1410" s="2"/>
      <c r="L1410" s="2"/>
      <c r="O1410" s="58"/>
      <c r="P1410" s="58"/>
    </row>
    <row r="1411" spans="1:16">
      <c r="A1411"/>
      <c r="B1411" s="532"/>
      <c r="C1411" s="508">
        <v>1</v>
      </c>
      <c r="D1411" s="482">
        <v>1.954</v>
      </c>
      <c r="E1411" s="482">
        <f t="shared" si="44"/>
        <v>0.95399999999999996</v>
      </c>
      <c r="F1411" s="485">
        <f>SUM($E$2:E1411)/SUM($C$2:C1411)</f>
        <v>1.0914775870095018E-2</v>
      </c>
      <c r="G1411" s="478">
        <f t="shared" si="43"/>
        <v>14.471833976833972</v>
      </c>
      <c r="H1411" s="486" t="s">
        <v>15</v>
      </c>
      <c r="I1411" s="2">
        <f>SUM(E1392:E1411)</f>
        <v>5.0279999999999987</v>
      </c>
      <c r="L1411" s="2">
        <f>I1411/C1411</f>
        <v>5.0279999999999987</v>
      </c>
      <c r="O1411" s="58"/>
      <c r="P1411" s="58"/>
    </row>
    <row r="1412" spans="1:16">
      <c r="A1412"/>
      <c r="B1412" s="531">
        <v>46120</v>
      </c>
      <c r="C1412" s="507">
        <v>1</v>
      </c>
      <c r="D1412" s="481"/>
      <c r="E1412" s="481">
        <f t="shared" si="44"/>
        <v>-1</v>
      </c>
      <c r="F1412" s="483">
        <f>SUM($E$2:E1412)/SUM($C$2:C1412)</f>
        <v>1.0198323158634993E-2</v>
      </c>
      <c r="G1412" s="479">
        <f t="shared" si="43"/>
        <v>13.471833976833972</v>
      </c>
      <c r="H1412" s="484" t="s">
        <v>76</v>
      </c>
      <c r="I1412" s="2"/>
      <c r="J1412" s="2"/>
      <c r="K1412" s="2"/>
      <c r="L1412" s="2"/>
      <c r="O1412" s="58"/>
      <c r="P1412" s="58"/>
    </row>
    <row r="1413" spans="1:16">
      <c r="A1413"/>
      <c r="B1413" s="531"/>
      <c r="C1413" s="507">
        <v>1</v>
      </c>
      <c r="D1413" s="481"/>
      <c r="E1413" s="481">
        <f t="shared" si="44"/>
        <v>-1</v>
      </c>
      <c r="F1413" s="483">
        <f>SUM($E$2:E1413)/SUM($C$2:C1413)</f>
        <v>9.4828852527152792E-3</v>
      </c>
      <c r="G1413" s="479">
        <f t="shared" si="43"/>
        <v>12.471833976833972</v>
      </c>
      <c r="H1413" s="484" t="s">
        <v>50</v>
      </c>
      <c r="I1413" s="2"/>
      <c r="J1413" s="2"/>
      <c r="K1413" s="2"/>
      <c r="L1413" s="2"/>
      <c r="O1413" s="58"/>
      <c r="P1413" s="58"/>
    </row>
    <row r="1414" spans="1:16">
      <c r="A1414"/>
      <c r="B1414" s="531"/>
      <c r="C1414" s="507">
        <v>1</v>
      </c>
      <c r="D1414" s="481">
        <v>1.94</v>
      </c>
      <c r="E1414" s="481">
        <f t="shared" si="44"/>
        <v>0.94</v>
      </c>
      <c r="F1414" s="483">
        <f>SUM($E$2:E1414)/SUM($C$2:C1414)</f>
        <v>1.0141425319769267E-2</v>
      </c>
      <c r="G1414" s="479">
        <f t="shared" si="43"/>
        <v>13.411833976833972</v>
      </c>
      <c r="H1414" s="484" t="s">
        <v>17</v>
      </c>
      <c r="I1414" s="2"/>
      <c r="J1414" s="2"/>
      <c r="K1414" s="2"/>
      <c r="L1414" s="2"/>
      <c r="O1414" s="58"/>
      <c r="P1414" s="58"/>
    </row>
    <row r="1415" spans="1:16">
      <c r="A1415"/>
      <c r="B1415" s="531"/>
      <c r="C1415" s="507">
        <v>1</v>
      </c>
      <c r="D1415" s="481"/>
      <c r="E1415" s="481">
        <f t="shared" si="44"/>
        <v>-1</v>
      </c>
      <c r="F1415" s="483">
        <f>SUM($E$2:E1415)/SUM($C$2:C1415)</f>
        <v>9.4270395875770685E-3</v>
      </c>
      <c r="G1415" s="479">
        <f t="shared" si="43"/>
        <v>12.411833976833972</v>
      </c>
      <c r="H1415" s="484" t="s">
        <v>77</v>
      </c>
      <c r="I1415" s="2"/>
      <c r="J1415" s="2"/>
      <c r="K1415" s="2"/>
      <c r="L1415" s="2"/>
      <c r="O1415" s="58"/>
      <c r="P1415" s="58"/>
    </row>
    <row r="1416" spans="1:16">
      <c r="A1416"/>
      <c r="B1416" s="531"/>
      <c r="C1416" s="508">
        <v>1</v>
      </c>
      <c r="D1416" s="482">
        <v>1.86</v>
      </c>
      <c r="E1416" s="482">
        <f t="shared" si="44"/>
        <v>0.8600000000000001</v>
      </c>
      <c r="F1416" s="485">
        <f>SUM($E$2:E1416)/SUM($C$2:C1416)</f>
        <v>1.0028151220377366E-2</v>
      </c>
      <c r="G1416" s="478">
        <f t="shared" si="43"/>
        <v>13.271833976833971</v>
      </c>
      <c r="H1416" s="486" t="s">
        <v>16</v>
      </c>
      <c r="I1416" s="2"/>
      <c r="J1416" s="2"/>
      <c r="K1416" s="2"/>
      <c r="L1416" s="2"/>
      <c r="O1416" s="58"/>
      <c r="P1416" s="58"/>
    </row>
    <row r="1417" spans="1:16">
      <c r="A1417"/>
      <c r="B1417" s="531"/>
      <c r="C1417" s="507">
        <v>1</v>
      </c>
      <c r="D1417" s="481">
        <v>1.9</v>
      </c>
      <c r="E1417" s="481">
        <f t="shared" si="44"/>
        <v>0.89999999999999991</v>
      </c>
      <c r="F1417" s="483">
        <f>SUM($E$2:E1417)/SUM($C$2:C1417)</f>
        <v>1.0656662413018343E-2</v>
      </c>
      <c r="G1417" s="479">
        <f t="shared" si="43"/>
        <v>14.171833976833971</v>
      </c>
      <c r="H1417" s="484" t="s">
        <v>511</v>
      </c>
      <c r="I1417" s="2"/>
      <c r="J1417" s="2"/>
      <c r="K1417" s="2"/>
      <c r="L1417" s="2"/>
      <c r="O1417" s="58"/>
      <c r="P1417" s="58"/>
    </row>
    <row r="1418" spans="1:16">
      <c r="A1418"/>
      <c r="B1418" s="531"/>
      <c r="C1418" s="507">
        <v>1</v>
      </c>
      <c r="D1418" s="481">
        <v>1.9</v>
      </c>
      <c r="E1418" s="481">
        <f t="shared" si="44"/>
        <v>0.89999999999999991</v>
      </c>
      <c r="F1418" s="483">
        <f>SUM($E$2:E1418)/SUM($C$2:C1418)</f>
        <v>1.1284286504469989E-2</v>
      </c>
      <c r="G1418" s="479">
        <f t="shared" si="43"/>
        <v>15.071833976833972</v>
      </c>
      <c r="H1418" s="484" t="s">
        <v>512</v>
      </c>
      <c r="I1418" s="2"/>
      <c r="J1418" s="2"/>
      <c r="K1418" s="2"/>
      <c r="L1418" s="2"/>
      <c r="O1418" s="58"/>
      <c r="P1418" s="58"/>
    </row>
    <row r="1419" spans="1:16">
      <c r="A1419"/>
      <c r="B1419" s="531"/>
      <c r="C1419" s="507">
        <v>1</v>
      </c>
      <c r="D1419" s="481">
        <v>1.889</v>
      </c>
      <c r="E1419" s="481">
        <f t="shared" si="44"/>
        <v>0.88900000000000001</v>
      </c>
      <c r="F1419" s="483">
        <f>SUM($E$2:E1419)/SUM($C$2:C1419)</f>
        <v>1.190326796673764E-2</v>
      </c>
      <c r="G1419" s="479">
        <f t="shared" si="43"/>
        <v>15.960833976833971</v>
      </c>
      <c r="H1419" s="484" t="s">
        <v>73</v>
      </c>
      <c r="I1419" s="2"/>
      <c r="J1419" s="2"/>
      <c r="K1419" s="2"/>
      <c r="L1419" s="2"/>
      <c r="O1419" s="58"/>
      <c r="P1419" s="58"/>
    </row>
    <row r="1420" spans="1:16">
      <c r="A1420"/>
      <c r="B1420" s="531"/>
      <c r="C1420" s="507">
        <v>1</v>
      </c>
      <c r="D1420" s="481"/>
      <c r="E1420" s="481">
        <f t="shared" si="44"/>
        <v>-1</v>
      </c>
      <c r="F1420" s="483">
        <f>SUM($E$2:E1420)/SUM($C$2:C1420)</f>
        <v>1.119015784132063E-2</v>
      </c>
      <c r="G1420" s="479">
        <f t="shared" si="43"/>
        <v>14.960833976833971</v>
      </c>
      <c r="H1420" s="484" t="s">
        <v>292</v>
      </c>
      <c r="I1420" s="2"/>
      <c r="J1420" s="2"/>
      <c r="K1420" s="2"/>
      <c r="L1420" s="2"/>
      <c r="O1420" s="58"/>
      <c r="P1420" s="58"/>
    </row>
    <row r="1421" spans="1:16">
      <c r="A1421"/>
      <c r="B1421" s="531"/>
      <c r="C1421" s="507">
        <v>1</v>
      </c>
      <c r="D1421" s="481"/>
      <c r="E1421" s="481">
        <f t="shared" si="44"/>
        <v>-1</v>
      </c>
      <c r="F1421" s="483">
        <f>SUM($E$2:E1421)/SUM($C$2:C1421)</f>
        <v>1.0478052096361953E-2</v>
      </c>
      <c r="G1421" s="479">
        <f t="shared" si="43"/>
        <v>13.960833976833971</v>
      </c>
      <c r="H1421" s="484" t="s">
        <v>186</v>
      </c>
      <c r="I1421" s="2"/>
      <c r="J1421" s="2"/>
      <c r="K1421" s="2"/>
      <c r="L1421" s="2"/>
      <c r="O1421" s="58"/>
      <c r="P1421" s="58"/>
    </row>
    <row r="1422" spans="1:16">
      <c r="A1422"/>
      <c r="B1422" s="531"/>
      <c r="C1422" s="507">
        <v>1</v>
      </c>
      <c r="D1422" s="481"/>
      <c r="E1422" s="481">
        <f t="shared" si="44"/>
        <v>-1</v>
      </c>
      <c r="F1422" s="483">
        <f>SUM($E$2:E1422)/SUM($C$2:C1422)</f>
        <v>9.7669486114243306E-3</v>
      </c>
      <c r="G1422" s="479">
        <f t="shared" si="43"/>
        <v>12.960833976833971</v>
      </c>
      <c r="H1422" s="484" t="s">
        <v>513</v>
      </c>
      <c r="I1422" s="2"/>
      <c r="J1422" s="2"/>
      <c r="K1422" s="2"/>
      <c r="L1422" s="2"/>
      <c r="O1422" s="58"/>
      <c r="P1422" s="58"/>
    </row>
    <row r="1423" spans="1:16">
      <c r="A1423"/>
      <c r="B1423" s="531"/>
      <c r="C1423" s="508">
        <v>1</v>
      </c>
      <c r="D1423" s="482">
        <v>1.9</v>
      </c>
      <c r="E1423" s="482">
        <f t="shared" si="44"/>
        <v>0.89999999999999991</v>
      </c>
      <c r="F1423" s="485">
        <f>SUM($E$2:E1423)/SUM($C$2:C1423)</f>
        <v>1.0392991544890278E-2</v>
      </c>
      <c r="G1423" s="478">
        <f t="shared" si="43"/>
        <v>13.860833976833971</v>
      </c>
      <c r="H1423" s="486" t="s">
        <v>285</v>
      </c>
      <c r="I1423" s="2"/>
      <c r="J1423" s="2"/>
      <c r="K1423" s="2"/>
      <c r="L1423" s="2"/>
      <c r="O1423" s="58"/>
      <c r="P1423" s="58"/>
    </row>
    <row r="1424" spans="1:16">
      <c r="A1424"/>
      <c r="B1424" s="531"/>
      <c r="C1424" s="507">
        <v>1</v>
      </c>
      <c r="D1424" s="481">
        <v>1.79</v>
      </c>
      <c r="E1424" s="481">
        <f t="shared" si="44"/>
        <v>0.79</v>
      </c>
      <c r="F1424" s="483">
        <f>SUM($E$2:E1424)/SUM($C$2:C1424)</f>
        <v>1.0940853110916356E-2</v>
      </c>
      <c r="G1424" s="479">
        <f t="shared" si="43"/>
        <v>14.650833976833972</v>
      </c>
      <c r="H1424" s="484" t="s">
        <v>11</v>
      </c>
      <c r="I1424" s="2"/>
      <c r="J1424" s="2"/>
      <c r="K1424" s="2"/>
      <c r="L1424" s="2"/>
      <c r="O1424" s="58"/>
      <c r="P1424" s="58"/>
    </row>
    <row r="1425" spans="1:16">
      <c r="A1425"/>
      <c r="B1425" s="531"/>
      <c r="C1425" s="508">
        <v>1</v>
      </c>
      <c r="D1425" s="482"/>
      <c r="E1425" s="482">
        <f t="shared" si="44"/>
        <v>-1</v>
      </c>
      <c r="F1425" s="485">
        <f>SUM($E$2:E1425)/SUM($C$2:C1425)</f>
        <v>1.0230922736540714E-2</v>
      </c>
      <c r="G1425" s="478">
        <f t="shared" si="43"/>
        <v>13.650833976833972</v>
      </c>
      <c r="H1425" s="486" t="s">
        <v>31</v>
      </c>
      <c r="I1425" s="2">
        <f>SUM(E1412:E1425)</f>
        <v>-0.82100000000000017</v>
      </c>
      <c r="L1425" s="2">
        <f>I1425/C1425</f>
        <v>-0.82100000000000017</v>
      </c>
      <c r="O1425" s="58"/>
      <c r="P1425" s="58"/>
    </row>
    <row r="1426" spans="1:16">
      <c r="A1426"/>
      <c r="B1426" s="530">
        <v>46121</v>
      </c>
      <c r="C1426" s="507">
        <v>1</v>
      </c>
      <c r="D1426" s="481"/>
      <c r="E1426" s="481">
        <f>(C1426*D1426)-C1426</f>
        <v>-1</v>
      </c>
      <c r="F1426" s="483">
        <f>SUM($E$2:E1426)/SUM($C$2:C1426)</f>
        <v>9.5219887556729655E-3</v>
      </c>
      <c r="G1426" s="479">
        <f>G1425+E1426</f>
        <v>12.650833976833972</v>
      </c>
      <c r="H1426" s="484" t="s">
        <v>35</v>
      </c>
      <c r="I1426" s="2"/>
      <c r="J1426" s="2"/>
      <c r="K1426" s="2"/>
      <c r="L1426" s="2"/>
      <c r="O1426" s="58"/>
      <c r="P1426" s="58"/>
    </row>
    <row r="1427" spans="1:16">
      <c r="A1427"/>
      <c r="B1427" s="531"/>
      <c r="C1427" s="507">
        <v>1</v>
      </c>
      <c r="D1427" s="481">
        <v>1.88</v>
      </c>
      <c r="E1427" s="481">
        <f>(C1427*D1427)-C1427</f>
        <v>0.87999999999999989</v>
      </c>
      <c r="F1427" s="483">
        <f>SUM($E$2:E1427)/SUM($C$2:C1427)</f>
        <v>1.0132422143642338E-2</v>
      </c>
      <c r="G1427" s="479">
        <f>G1426+E1427</f>
        <v>13.530833976833971</v>
      </c>
      <c r="H1427" s="484" t="s">
        <v>19</v>
      </c>
      <c r="I1427" s="2"/>
      <c r="J1427" s="2"/>
      <c r="K1427" s="2"/>
      <c r="L1427" s="2"/>
      <c r="O1427" s="58"/>
      <c r="P1427" s="58"/>
    </row>
    <row r="1428" spans="1:16">
      <c r="A1428"/>
      <c r="B1428" s="531"/>
      <c r="C1428" s="507">
        <v>1</v>
      </c>
      <c r="D1428" s="481">
        <v>1.85</v>
      </c>
      <c r="E1428" s="481">
        <f>(C1428*D1428)-C1428</f>
        <v>0.85000000000000009</v>
      </c>
      <c r="F1428" s="483">
        <f>SUM($E$2:E1428)/SUM($C$2:C1428)</f>
        <v>1.0720976858327942E-2</v>
      </c>
      <c r="G1428" s="479">
        <f>G1427+E1428</f>
        <v>14.380833976833971</v>
      </c>
      <c r="H1428" s="484" t="s">
        <v>13</v>
      </c>
      <c r="I1428" s="2"/>
      <c r="J1428" s="2"/>
      <c r="K1428" s="2"/>
      <c r="L1428" s="2"/>
      <c r="O1428" s="58"/>
      <c r="P1428" s="58"/>
    </row>
    <row r="1429" spans="1:16">
      <c r="A1429"/>
      <c r="B1429" s="531"/>
      <c r="C1429" s="507">
        <v>1</v>
      </c>
      <c r="D1429" s="481"/>
      <c r="E1429" s="481">
        <f>(C1429*D1429)-C1429</f>
        <v>-1</v>
      </c>
      <c r="F1429" s="483">
        <f>SUM($E$2:E1429)/SUM($C$2:C1429)</f>
        <v>1.0013189059407545E-2</v>
      </c>
      <c r="G1429" s="479">
        <f>G1428+E1429</f>
        <v>13.380833976833971</v>
      </c>
      <c r="H1429" s="484" t="s">
        <v>49</v>
      </c>
      <c r="I1429" s="2"/>
      <c r="J1429" s="2"/>
      <c r="K1429" s="2"/>
      <c r="L1429" s="2"/>
      <c r="O1429" s="58"/>
      <c r="P1429" s="58"/>
    </row>
    <row r="1430" spans="1:16">
      <c r="A1430"/>
      <c r="B1430" s="531"/>
      <c r="C1430" s="507">
        <v>1</v>
      </c>
      <c r="D1430" s="481">
        <v>1.88</v>
      </c>
      <c r="E1430" s="481">
        <f>(C1430*D1430)-C1430</f>
        <v>0.87999999999999989</v>
      </c>
      <c r="F1430" s="483">
        <f>SUM($E$2:E1430)/SUM($C$2:C1430)</f>
        <v>1.0621997184628394E-2</v>
      </c>
      <c r="G1430" s="479">
        <f>G1429+E1430</f>
        <v>14.260833976833972</v>
      </c>
      <c r="H1430" s="484" t="s">
        <v>15</v>
      </c>
      <c r="I1430" s="2"/>
      <c r="J1430" s="2"/>
      <c r="K1430" s="2"/>
      <c r="L1430" s="2"/>
      <c r="O1430" s="58"/>
      <c r="P1430" s="58"/>
    </row>
    <row r="1431" spans="1:16">
      <c r="A1431"/>
      <c r="B1431" s="531"/>
      <c r="C1431" s="508">
        <v>1</v>
      </c>
      <c r="D1431" s="482">
        <v>1.8620000000000001</v>
      </c>
      <c r="E1431" s="482">
        <f>(C1431*D1431)-C1431</f>
        <v>0.8620000000000001</v>
      </c>
      <c r="F1431" s="485">
        <f>SUM($E$2:E1431)/SUM($C$2:C1431)</f>
        <v>1.1217366417366415E-2</v>
      </c>
      <c r="G1431" s="478">
        <f>G1430+E1431</f>
        <v>15.122833976833972</v>
      </c>
      <c r="H1431" s="486" t="s">
        <v>39</v>
      </c>
      <c r="I1431" s="2"/>
      <c r="J1431" s="2"/>
      <c r="K1431" s="2"/>
      <c r="L1431" s="2"/>
      <c r="O1431" s="58"/>
      <c r="P1431" s="58"/>
    </row>
    <row r="1432" spans="1:16">
      <c r="A1432"/>
      <c r="B1432" s="531"/>
      <c r="C1432" s="507">
        <v>1</v>
      </c>
      <c r="D1432" s="481"/>
      <c r="E1432" s="481">
        <f>(C1432*D1432)-C1432</f>
        <v>-1</v>
      </c>
      <c r="F1432" s="483">
        <f>SUM($E$2:E1432)/SUM($C$2:C1432)</f>
        <v>1.0510715567319338E-2</v>
      </c>
      <c r="G1432" s="479">
        <f>G1431+E1432</f>
        <v>14.122833976833972</v>
      </c>
      <c r="H1432" s="484" t="s">
        <v>505</v>
      </c>
      <c r="I1432" s="2"/>
      <c r="J1432" s="2"/>
      <c r="K1432" s="2"/>
      <c r="L1432" s="2"/>
      <c r="O1432" s="58"/>
      <c r="P1432" s="58"/>
    </row>
    <row r="1433" spans="1:16">
      <c r="A1433"/>
      <c r="B1433" s="531"/>
      <c r="C1433" s="507">
        <v>1</v>
      </c>
      <c r="D1433" s="481">
        <v>1.91</v>
      </c>
      <c r="E1433" s="481">
        <f>(C1433*D1433)-C1433</f>
        <v>0.90999999999999992</v>
      </c>
      <c r="F1433" s="483">
        <f>SUM($E$2:E1433)/SUM($C$2:C1433)</f>
        <v>1.1138850542481826E-2</v>
      </c>
      <c r="G1433" s="479">
        <f>G1432+E1433</f>
        <v>15.032833976833972</v>
      </c>
      <c r="H1433" s="484" t="s">
        <v>503</v>
      </c>
      <c r="I1433" s="2"/>
      <c r="J1433" s="2"/>
      <c r="K1433" s="2"/>
      <c r="L1433" s="2"/>
      <c r="O1433" s="58"/>
      <c r="P1433" s="58"/>
    </row>
    <row r="1434" spans="1:16">
      <c r="A1434"/>
      <c r="B1434" s="531"/>
      <c r="C1434" s="507">
        <v>1</v>
      </c>
      <c r="D1434" s="481"/>
      <c r="E1434" s="481">
        <f>(C1434*D1434)-C1434</f>
        <v>-1</v>
      </c>
      <c r="F1434" s="483">
        <f>SUM($E$2:E1434)/SUM($C$2:C1434)</f>
        <v>1.0433240737497539E-2</v>
      </c>
      <c r="G1434" s="479">
        <f>G1433+E1434</f>
        <v>14.032833976833972</v>
      </c>
      <c r="H1434" s="484" t="s">
        <v>288</v>
      </c>
      <c r="I1434" s="2"/>
      <c r="J1434" s="2"/>
      <c r="K1434" s="2"/>
      <c r="L1434" s="2"/>
      <c r="O1434" s="58"/>
      <c r="P1434" s="58"/>
    </row>
    <row r="1435" spans="1:16">
      <c r="A1435"/>
      <c r="B1435" s="531"/>
      <c r="C1435" s="507">
        <v>1</v>
      </c>
      <c r="D1435" s="481">
        <v>1.9</v>
      </c>
      <c r="E1435" s="481">
        <f>(C1435*D1435)-C1435</f>
        <v>0.89999999999999991</v>
      </c>
      <c r="F1435" s="483">
        <f>SUM($E$2:E1435)/SUM($C$2:C1435)</f>
        <v>1.1053580179103189E-2</v>
      </c>
      <c r="G1435" s="479">
        <f>G1434+E1435</f>
        <v>14.932833976833972</v>
      </c>
      <c r="H1435" s="484" t="s">
        <v>514</v>
      </c>
      <c r="I1435" s="2"/>
      <c r="J1435" s="2"/>
      <c r="K1435" s="2"/>
      <c r="L1435" s="2"/>
      <c r="O1435" s="58"/>
      <c r="P1435" s="58"/>
    </row>
    <row r="1436" spans="1:16">
      <c r="A1436"/>
      <c r="B1436" s="531"/>
      <c r="C1436" s="507">
        <v>1</v>
      </c>
      <c r="D1436" s="481"/>
      <c r="E1436" s="481">
        <f>(C1436*D1436)-C1436</f>
        <v>-1</v>
      </c>
      <c r="F1436" s="483">
        <f>SUM($E$2:E1436)/SUM($C$2:C1436)</f>
        <v>1.0349013224274546E-2</v>
      </c>
      <c r="G1436" s="479">
        <f>G1435+E1436</f>
        <v>13.932833976833972</v>
      </c>
      <c r="H1436" s="484" t="s">
        <v>515</v>
      </c>
      <c r="I1436" s="2"/>
      <c r="J1436" s="2"/>
      <c r="K1436" s="2"/>
      <c r="L1436" s="2"/>
      <c r="O1436" s="58"/>
      <c r="P1436" s="58"/>
    </row>
    <row r="1437" spans="1:16">
      <c r="A1437"/>
      <c r="B1437" s="531"/>
      <c r="C1437" s="508">
        <v>1</v>
      </c>
      <c r="D1437" s="482"/>
      <c r="E1437" s="482">
        <f>(C1437*D1437)-C1437</f>
        <v>-1</v>
      </c>
      <c r="F1437" s="485">
        <f>SUM($E$2:E1437)/SUM($C$2:C1437)</f>
        <v>9.6454275604693409E-3</v>
      </c>
      <c r="G1437" s="478">
        <f>G1436+E1437</f>
        <v>12.932833976833972</v>
      </c>
      <c r="H1437" s="486" t="s">
        <v>516</v>
      </c>
      <c r="I1437" s="2"/>
      <c r="J1437" s="2"/>
      <c r="K1437" s="2"/>
      <c r="L1437" s="2"/>
      <c r="O1437" s="58"/>
      <c r="P1437" s="58"/>
    </row>
    <row r="1438" spans="1:16">
      <c r="A1438"/>
      <c r="B1438" s="531"/>
      <c r="C1438" s="507">
        <v>1</v>
      </c>
      <c r="D1438" s="481"/>
      <c r="E1438" s="481">
        <f>(C1438*D1438)-C1438</f>
        <v>-1</v>
      </c>
      <c r="F1438" s="483">
        <f>SUM($E$2:E1438)/SUM($C$2:C1438)</f>
        <v>8.9428211390633078E-3</v>
      </c>
      <c r="G1438" s="479">
        <f>G1437+E1438</f>
        <v>11.932833976833972</v>
      </c>
      <c r="H1438" s="484" t="s">
        <v>19</v>
      </c>
      <c r="I1438" s="2"/>
      <c r="J1438" s="2"/>
      <c r="K1438" s="2"/>
      <c r="L1438" s="2"/>
      <c r="O1438" s="58"/>
      <c r="P1438" s="58"/>
    </row>
    <row r="1439" spans="1:16">
      <c r="A1439"/>
      <c r="B1439" s="531"/>
      <c r="C1439" s="507">
        <v>1</v>
      </c>
      <c r="D1439" s="481"/>
      <c r="E1439" s="481">
        <f>(C1439*D1439)-C1439</f>
        <v>-1</v>
      </c>
      <c r="F1439" s="483">
        <f>SUM($E$2:E1439)/SUM($C$2:C1439)</f>
        <v>8.2411919171307187E-3</v>
      </c>
      <c r="G1439" s="479">
        <f>G1438+E1439</f>
        <v>10.932833976833972</v>
      </c>
      <c r="H1439" s="484" t="s">
        <v>20</v>
      </c>
      <c r="I1439" s="2"/>
      <c r="J1439" s="2"/>
      <c r="K1439" s="2"/>
      <c r="L1439" s="2"/>
      <c r="O1439" s="58"/>
      <c r="P1439" s="58"/>
    </row>
    <row r="1440" spans="1:16">
      <c r="A1440"/>
      <c r="B1440" s="532"/>
      <c r="C1440" s="508">
        <v>1</v>
      </c>
      <c r="D1440" s="482"/>
      <c r="E1440" s="482">
        <f>(C1440*D1440)-C1440</f>
        <v>-1</v>
      </c>
      <c r="F1440" s="485">
        <f>SUM($E$2:E1440)/SUM($C$2:C1440)</f>
        <v>7.5405378574245818E-3</v>
      </c>
      <c r="G1440" s="478">
        <f>G1439+E1440</f>
        <v>9.9328339768339724</v>
      </c>
      <c r="H1440" s="486" t="s">
        <v>36</v>
      </c>
      <c r="I1440" s="2">
        <f>SUM(E1426:E1440)</f>
        <v>-3.718</v>
      </c>
      <c r="L1440" s="2">
        <f>I1440/C1440</f>
        <v>-3.718</v>
      </c>
      <c r="O1440" s="58"/>
      <c r="P1440" s="58"/>
    </row>
    <row r="1441" spans="1:16">
      <c r="A1441"/>
      <c r="D1441"/>
      <c r="E1441"/>
      <c r="F1441"/>
      <c r="G1441"/>
      <c r="L1441" s="2"/>
      <c r="N1441" s="19"/>
      <c r="O1441" s="58"/>
      <c r="P1441" s="58"/>
    </row>
    <row r="1442" spans="1:16">
      <c r="A1442"/>
      <c r="D1442"/>
      <c r="E1442"/>
      <c r="F1442"/>
      <c r="G1442"/>
      <c r="L1442" s="18"/>
      <c r="N1442" s="19"/>
      <c r="O1442" s="58"/>
      <c r="P1442" s="58"/>
    </row>
    <row r="1443" spans="1:16">
      <c r="A1443"/>
      <c r="D1443"/>
      <c r="E1443"/>
      <c r="F1443"/>
      <c r="G1443"/>
      <c r="O1443" s="58"/>
      <c r="P1443" s="58"/>
    </row>
    <row r="1444" spans="1:16">
      <c r="A1444"/>
      <c r="D1444"/>
      <c r="E1444"/>
      <c r="F1444"/>
      <c r="G1444"/>
      <c r="P1444" s="58"/>
    </row>
    <row r="1445" spans="1:16">
      <c r="A1445"/>
      <c r="D1445"/>
      <c r="E1445"/>
      <c r="F1445"/>
      <c r="G1445"/>
      <c r="P1445" s="58"/>
    </row>
    <row r="1446" spans="1:16">
      <c r="A1446"/>
      <c r="D1446"/>
      <c r="E1446"/>
      <c r="F1446"/>
      <c r="G1446"/>
      <c r="P1446" s="58"/>
    </row>
    <row r="1447" spans="1:16">
      <c r="A1447"/>
      <c r="D1447"/>
      <c r="E1447"/>
      <c r="F1447"/>
      <c r="G1447"/>
      <c r="P1447" s="58"/>
    </row>
    <row r="1448" spans="1:16">
      <c r="A1448"/>
      <c r="D1448"/>
      <c r="E1448"/>
      <c r="F1448"/>
      <c r="G1448"/>
    </row>
    <row r="1449" spans="1:16">
      <c r="A1449"/>
      <c r="D1449"/>
      <c r="E1449"/>
      <c r="F1449"/>
      <c r="G1449"/>
    </row>
    <row r="1450" spans="1:16">
      <c r="A1450"/>
      <c r="D1450"/>
      <c r="E1450"/>
      <c r="F1450"/>
      <c r="G1450"/>
    </row>
    <row r="1451" spans="1:16">
      <c r="A1451"/>
      <c r="D1451"/>
      <c r="E1451"/>
      <c r="F1451"/>
      <c r="G1451"/>
    </row>
    <row r="1452" spans="1:16">
      <c r="A1452"/>
      <c r="D1452"/>
      <c r="E1452"/>
      <c r="F1452"/>
      <c r="G1452"/>
    </row>
    <row r="1453" spans="1:16">
      <c r="A1453"/>
      <c r="D1453"/>
      <c r="E1453"/>
      <c r="F1453"/>
      <c r="G1453"/>
    </row>
    <row r="1454" spans="1:16">
      <c r="A1454"/>
      <c r="D1454"/>
      <c r="E1454"/>
      <c r="F1454"/>
      <c r="G1454"/>
    </row>
    <row r="1455" spans="1:16">
      <c r="A1455"/>
      <c r="D1455"/>
      <c r="E1455"/>
      <c r="F1455"/>
      <c r="G1455"/>
    </row>
    <row r="1456" spans="1:16">
      <c r="A1456"/>
      <c r="D1456"/>
      <c r="E1456"/>
      <c r="F1456"/>
      <c r="G1456"/>
    </row>
    <row r="1457" spans="1:13">
      <c r="A1457"/>
      <c r="D1457"/>
      <c r="E1457"/>
      <c r="F1457"/>
      <c r="G1457"/>
    </row>
    <row r="1458" spans="1:13">
      <c r="A1458"/>
      <c r="D1458"/>
      <c r="E1458"/>
      <c r="F1458"/>
      <c r="G1458"/>
    </row>
    <row r="1459" spans="1:13">
      <c r="A1459"/>
      <c r="D1459"/>
      <c r="E1459"/>
      <c r="F1459"/>
      <c r="G1459"/>
    </row>
    <row r="1460" spans="1:13">
      <c r="A1460"/>
      <c r="D1460"/>
      <c r="E1460"/>
      <c r="F1460"/>
      <c r="G1460"/>
    </row>
    <row r="1461" spans="1:13">
      <c r="A1461"/>
      <c r="D1461"/>
      <c r="E1461"/>
      <c r="F1461"/>
      <c r="G1461"/>
    </row>
    <row r="1462" spans="1:13">
      <c r="A1462"/>
      <c r="D1462"/>
      <c r="E1462"/>
      <c r="F1462"/>
      <c r="G1462"/>
    </row>
    <row r="1463" spans="1:13">
      <c r="A1463"/>
      <c r="D1463"/>
      <c r="E1463"/>
      <c r="F1463"/>
      <c r="G1463"/>
    </row>
    <row r="1464" spans="1:13">
      <c r="A1464"/>
      <c r="B1464" s="457" t="s">
        <v>517</v>
      </c>
      <c r="C1464" s="458" t="s">
        <v>1</v>
      </c>
      <c r="D1464" s="488"/>
      <c r="E1464" s="489" t="s">
        <v>3</v>
      </c>
      <c r="F1464" s="490" t="s">
        <v>4</v>
      </c>
      <c r="G1464"/>
      <c r="H1464" s="533" t="s">
        <v>518</v>
      </c>
      <c r="I1464" s="533"/>
    </row>
    <row r="1465" spans="1:13">
      <c r="A1465"/>
      <c r="B1465" s="145" t="s">
        <v>519</v>
      </c>
      <c r="C1465" s="146" t="e">
        <f>SUM(#REF!)</f>
        <v>#REF!</v>
      </c>
      <c r="D1465" s="146"/>
      <c r="E1465" s="146" t="e">
        <f>SUM(#REF!)</f>
        <v>#REF!</v>
      </c>
      <c r="F1465" s="491" t="e">
        <f>E1465/C1465</f>
        <v>#REF!</v>
      </c>
      <c r="G1465" s="138"/>
      <c r="H1465" s="362"/>
    </row>
    <row r="1466" spans="1:13">
      <c r="A1466"/>
      <c r="B1466" s="145" t="s">
        <v>520</v>
      </c>
      <c r="C1466" s="146" t="e">
        <f>SUM(#REF!)</f>
        <v>#REF!</v>
      </c>
      <c r="D1466" s="146"/>
      <c r="E1466" s="146" t="e">
        <f>SUM(#REF!)</f>
        <v>#REF!</v>
      </c>
      <c r="F1466" s="491" t="e">
        <f>E1466/C1466</f>
        <v>#REF!</v>
      </c>
      <c r="G1466" s="138"/>
      <c r="H1466" s="362"/>
      <c r="I1466" s="525"/>
    </row>
    <row r="1467" spans="1:13">
      <c r="A1467"/>
      <c r="B1467" s="145" t="s">
        <v>521</v>
      </c>
      <c r="C1467" s="146" t="e">
        <f>SUM(#REF!)</f>
        <v>#REF!</v>
      </c>
      <c r="D1467" s="146"/>
      <c r="E1467" s="452" t="e">
        <f>SUM(#REF!)</f>
        <v>#REF!</v>
      </c>
      <c r="F1467" s="152" t="e">
        <f>E1467/C1467</f>
        <v>#REF!</v>
      </c>
      <c r="G1467" s="535" t="s">
        <v>522</v>
      </c>
      <c r="H1467" s="536"/>
    </row>
    <row r="1468" spans="1:13">
      <c r="A1468"/>
      <c r="B1468" s="145" t="s">
        <v>523</v>
      </c>
      <c r="C1468" s="146">
        <f>SUM(C2:C125)</f>
        <v>124</v>
      </c>
      <c r="D1468" s="146"/>
      <c r="E1468" s="146">
        <f>SUM(E2:E125)</f>
        <v>-1.5479999999999898</v>
      </c>
      <c r="F1468" s="491">
        <f>E1468/C1468</f>
        <v>-1.2483870967741853E-2</v>
      </c>
      <c r="G1468"/>
    </row>
    <row r="1469" spans="1:13">
      <c r="A1469"/>
      <c r="B1469" s="145" t="s">
        <v>524</v>
      </c>
      <c r="C1469" s="146">
        <f>SUM(C126:C180)</f>
        <v>55</v>
      </c>
      <c r="D1469" s="146"/>
      <c r="E1469" s="146">
        <f>SUM(E126:E180)</f>
        <v>4.5710000000000006</v>
      </c>
      <c r="F1469" s="491">
        <f>E1469/C1469</f>
        <v>8.3109090909090924E-2</v>
      </c>
      <c r="G1469"/>
    </row>
    <row r="1470" spans="1:13">
      <c r="A1470"/>
      <c r="B1470" s="145" t="s">
        <v>525</v>
      </c>
      <c r="C1470" s="146">
        <f>SUM(C181:C263)</f>
        <v>83</v>
      </c>
      <c r="D1470" s="146"/>
      <c r="E1470" s="146">
        <f>SUM(E181:E263)</f>
        <v>6.3589999999999991</v>
      </c>
      <c r="F1470" s="491">
        <f>E1470/C1470</f>
        <v>7.6614457831325297E-2</v>
      </c>
      <c r="G1470"/>
    </row>
    <row r="1471" spans="1:13">
      <c r="A1471"/>
      <c r="B1471" s="145" t="s">
        <v>526</v>
      </c>
      <c r="C1471" s="146">
        <f>SUM(C264:C357)</f>
        <v>94</v>
      </c>
      <c r="D1471" s="146"/>
      <c r="E1471" s="146">
        <f>SUM(E264:E357)</f>
        <v>3.7619999999999987</v>
      </c>
      <c r="F1471" s="491">
        <f>E1471/C1471</f>
        <v>4.0021276595744663E-2</v>
      </c>
      <c r="G1471"/>
      <c r="M1471" s="454"/>
    </row>
    <row r="1472" spans="1:13">
      <c r="A1472"/>
      <c r="B1472" s="145" t="s">
        <v>527</v>
      </c>
      <c r="C1472" s="146">
        <f>SUM(C358:C454)</f>
        <v>97</v>
      </c>
      <c r="D1472" s="146"/>
      <c r="E1472" s="146">
        <f>SUM(E358:E454)</f>
        <v>4.6408339768339824</v>
      </c>
      <c r="F1472" s="491">
        <f>E1472/C1472</f>
        <v>4.7843649245711162E-2</v>
      </c>
      <c r="G1472"/>
      <c r="I1472" s="453">
        <v>-50.734390000000062</v>
      </c>
      <c r="J1472" s="454">
        <v>46.224360000000004</v>
      </c>
      <c r="K1472" s="454">
        <f>I1472+J1472</f>
        <v>-4.5100300000000573</v>
      </c>
      <c r="L1472" s="453"/>
      <c r="M1472" s="454"/>
    </row>
    <row r="1473" spans="1:14">
      <c r="A1473"/>
      <c r="B1473" s="145" t="s">
        <v>528</v>
      </c>
      <c r="C1473" s="146">
        <f>SUM(C455:C519)</f>
        <v>65</v>
      </c>
      <c r="D1473" s="146"/>
      <c r="E1473" s="146">
        <f>SUM(E455:E519)</f>
        <v>-8.9409999999999989</v>
      </c>
      <c r="F1473" s="491">
        <f>E1473/C1473</f>
        <v>-0.13755384615384614</v>
      </c>
      <c r="G1473"/>
      <c r="I1473" s="453">
        <v>-31.943870000000008</v>
      </c>
      <c r="J1473" s="455">
        <v>45.426540000000003</v>
      </c>
      <c r="K1473" s="454">
        <f>I1473+J1473</f>
        <v>13.482669999999995</v>
      </c>
      <c r="L1473" s="453"/>
      <c r="M1473" s="454"/>
    </row>
    <row r="1474" spans="1:14">
      <c r="A1474"/>
      <c r="B1474" s="145" t="s">
        <v>529</v>
      </c>
      <c r="C1474" s="146">
        <f>SUM(C520:C556)</f>
        <v>37</v>
      </c>
      <c r="D1474" s="146"/>
      <c r="E1474" s="146">
        <f>SUM(E520:E556)</f>
        <v>9.789000000000005</v>
      </c>
      <c r="F1474" s="152">
        <f>E1474/C1474</f>
        <v>0.26456756756756772</v>
      </c>
      <c r="G1474"/>
      <c r="I1474" s="453">
        <v>-27.048020000000008</v>
      </c>
      <c r="J1474" s="454">
        <v>38.596669999999996</v>
      </c>
      <c r="K1474" s="454">
        <f>I1474+J1474</f>
        <v>11.548649999999988</v>
      </c>
      <c r="L1474" s="453"/>
      <c r="M1474" s="454"/>
      <c r="N1474" s="454"/>
    </row>
    <row r="1475" spans="1:14">
      <c r="A1475"/>
      <c r="B1475" s="145" t="s">
        <v>530</v>
      </c>
      <c r="C1475" s="146">
        <f>SUM(C557:C613)</f>
        <v>57</v>
      </c>
      <c r="D1475" s="146"/>
      <c r="E1475" s="452">
        <f>SUM(E557:E613)</f>
        <v>15.689000000000005</v>
      </c>
      <c r="F1475" s="491">
        <f>E1475/C1475</f>
        <v>0.27524561403508779</v>
      </c>
      <c r="G1475"/>
      <c r="I1475" s="453">
        <v>-9.4171099999999885</v>
      </c>
      <c r="J1475" s="454">
        <v>24.18810999999998</v>
      </c>
      <c r="K1475" s="454">
        <f>I1475+J1475</f>
        <v>14.770999999999992</v>
      </c>
      <c r="L1475" s="453"/>
      <c r="M1475" s="454"/>
    </row>
    <row r="1476" spans="1:14">
      <c r="A1476"/>
      <c r="B1476" s="145" t="s">
        <v>531</v>
      </c>
      <c r="C1476" s="146">
        <f>SUM(C614:C692)</f>
        <v>79</v>
      </c>
      <c r="D1476" s="146"/>
      <c r="E1476" s="146">
        <f>SUM(E614:E692)</f>
        <v>15.838000000000001</v>
      </c>
      <c r="F1476" s="491">
        <f>E1476/C1476</f>
        <v>0.20048101265822785</v>
      </c>
      <c r="G1476"/>
      <c r="I1476" s="453">
        <f>SUM(I1472:I1475)</f>
        <v>-119.14339000000007</v>
      </c>
      <c r="J1476" s="453">
        <f>SUM(J1472:J1475)</f>
        <v>154.43567999999999</v>
      </c>
      <c r="K1476" s="454">
        <f>SUM(K1472:K1475)</f>
        <v>35.292289999999916</v>
      </c>
      <c r="L1476" s="453"/>
      <c r="M1476" s="454"/>
    </row>
    <row r="1477" spans="1:14">
      <c r="A1477"/>
      <c r="B1477" s="145" t="s">
        <v>532</v>
      </c>
      <c r="C1477" s="146">
        <f>SUM(C693:C756)</f>
        <v>64</v>
      </c>
      <c r="D1477" s="146"/>
      <c r="E1477" s="146">
        <f>SUM(E693:E756)</f>
        <v>0.9469999999999994</v>
      </c>
      <c r="F1477" s="491">
        <f>E1477/C1477</f>
        <v>1.4796874999999991E-2</v>
      </c>
      <c r="G1477"/>
      <c r="I1477" s="453"/>
      <c r="J1477" s="453"/>
      <c r="K1477" s="454"/>
      <c r="M1477" s="454"/>
    </row>
    <row r="1478" spans="1:14">
      <c r="A1478"/>
      <c r="B1478" s="145" t="s">
        <v>533</v>
      </c>
      <c r="C1478" s="146">
        <f>SUM(C898:C898)</f>
        <v>1</v>
      </c>
      <c r="D1478" s="146"/>
      <c r="E1478" s="146">
        <f>SUM(E898:E898)</f>
        <v>-1</v>
      </c>
      <c r="F1478" s="491">
        <f>E1478/C1478</f>
        <v>-1</v>
      </c>
      <c r="G1478" s="138">
        <v>-117.22220276640927</v>
      </c>
      <c r="H1478" s="362">
        <v>156.29627035521236</v>
      </c>
      <c r="I1478" s="453"/>
      <c r="J1478" s="453"/>
      <c r="K1478" s="454"/>
      <c r="M1478" s="454"/>
    </row>
    <row r="1479" spans="1:14">
      <c r="A1479"/>
      <c r="B1479" s="142"/>
      <c r="C1479" s="143"/>
      <c r="D1479" s="143"/>
      <c r="E1479" s="143"/>
      <c r="F1479" s="144"/>
      <c r="G1479" s="492"/>
      <c r="H1479" s="229"/>
    </row>
    <row r="1480" spans="1:14">
      <c r="A1480"/>
      <c r="D1480"/>
      <c r="E1480" s="137"/>
      <c r="F1480"/>
      <c r="G1480" s="227"/>
      <c r="H1480" s="227"/>
    </row>
    <row r="1481" spans="1:14">
      <c r="A1481"/>
      <c r="C1481" s="43" t="e">
        <f>SUM(C1465:C1480)</f>
        <v>#REF!</v>
      </c>
      <c r="D1481" s="42"/>
      <c r="E1481" s="43" t="e">
        <f>SUM(E1465:E1480)</f>
        <v>#REF!</v>
      </c>
      <c r="F1481" s="44" t="e">
        <f>E1481/C1481</f>
        <v>#REF!</v>
      </c>
      <c r="G1481" s="42" t="s">
        <v>534</v>
      </c>
      <c r="H1481" s="228"/>
    </row>
    <row r="1482" spans="1:14">
      <c r="A1482"/>
      <c r="C1482" s="43">
        <f>SUM(C1468:C1479)</f>
        <v>756</v>
      </c>
      <c r="D1482" s="42"/>
      <c r="E1482" s="43">
        <f>SUM(E1468:E1479)</f>
        <v>50.106833976834004</v>
      </c>
      <c r="F1482" s="44">
        <f>E1482/C1482</f>
        <v>6.6278880921738101E-2</v>
      </c>
      <c r="G1482" s="42" t="s">
        <v>535</v>
      </c>
      <c r="H1482" s="57"/>
      <c r="I1482" s="236">
        <v>40</v>
      </c>
      <c r="J1482" s="236">
        <v>21062</v>
      </c>
    </row>
    <row r="1483" spans="1:14">
      <c r="A1483"/>
      <c r="C1483" s="43">
        <f>SUM(C704:C756)</f>
        <v>53</v>
      </c>
      <c r="D1483" s="42"/>
      <c r="E1483" s="43">
        <f>SUM(E704:E756)</f>
        <v>-0.38900000000000112</v>
      </c>
      <c r="F1483" s="44">
        <f>E1483/C1483</f>
        <v>-7.3396226415094554E-3</v>
      </c>
      <c r="G1483" s="493">
        <v>100</v>
      </c>
      <c r="I1483" s="456">
        <f>J1483*I1482/J1482</f>
        <v>40.831829835723106</v>
      </c>
      <c r="J1483" s="236">
        <v>21500</v>
      </c>
    </row>
    <row r="1484" spans="1:14">
      <c r="A1484"/>
      <c r="D1484"/>
      <c r="E1484"/>
      <c r="F1484"/>
      <c r="G1484"/>
    </row>
    <row r="1485" spans="1:14">
      <c r="A1485"/>
      <c r="D1485"/>
      <c r="E1485"/>
      <c r="F1485"/>
      <c r="G1485"/>
    </row>
    <row r="1486" spans="1:14">
      <c r="A1486"/>
      <c r="D1486"/>
      <c r="E1486"/>
      <c r="F1486"/>
      <c r="G1486"/>
      <c r="H1486" s="57"/>
    </row>
    <row r="1487" spans="1:14">
      <c r="A1487"/>
      <c r="D1487"/>
      <c r="E1487"/>
      <c r="F1487"/>
      <c r="G1487"/>
      <c r="H1487" s="57"/>
    </row>
    <row r="1488" spans="1:14">
      <c r="A1488"/>
      <c r="D1488"/>
      <c r="E1488">
        <v>4.2</v>
      </c>
      <c r="F1488">
        <v>18.899999999999999</v>
      </c>
      <c r="G1488"/>
      <c r="H1488" s="57"/>
    </row>
    <row r="1489" spans="1:8">
      <c r="A1489"/>
      <c r="D1489"/>
      <c r="E1489">
        <v>100</v>
      </c>
      <c r="F1489">
        <f>E1489*F1488/E1488</f>
        <v>449.99999999999994</v>
      </c>
      <c r="G1489"/>
      <c r="H1489" s="57"/>
    </row>
    <row r="1490" spans="1:8">
      <c r="A1490"/>
      <c r="D1490"/>
      <c r="E1490"/>
      <c r="F1490"/>
      <c r="G1490"/>
      <c r="H1490" s="57"/>
    </row>
    <row r="1491" spans="1:8">
      <c r="A1491"/>
      <c r="D1491"/>
      <c r="E1491"/>
      <c r="F1491"/>
      <c r="G1491"/>
      <c r="H1491" s="57"/>
    </row>
    <row r="1492" spans="1:8">
      <c r="A1492"/>
      <c r="D1492"/>
      <c r="E1492"/>
      <c r="F1492"/>
      <c r="G1492"/>
      <c r="H1492" s="57"/>
    </row>
    <row r="1493" spans="1:8">
      <c r="A1493"/>
      <c r="D1493"/>
      <c r="E1493"/>
      <c r="F1493"/>
      <c r="G1493"/>
      <c r="H1493" s="57"/>
    </row>
    <row r="1494" spans="1:8">
      <c r="A1494"/>
      <c r="D1494"/>
      <c r="E1494"/>
      <c r="F1494"/>
      <c r="G1494"/>
      <c r="H1494" s="57"/>
    </row>
    <row r="1495" spans="1:8">
      <c r="A1495"/>
      <c r="D1495"/>
      <c r="E1495"/>
      <c r="F1495"/>
      <c r="G1495"/>
      <c r="H1495" s="57"/>
    </row>
    <row r="1496" spans="1:8">
      <c r="A1496"/>
      <c r="D1496"/>
      <c r="E1496"/>
      <c r="F1496"/>
      <c r="G1496"/>
      <c r="H1496" s="57"/>
    </row>
    <row r="1497" spans="1:8">
      <c r="A1497"/>
      <c r="D1497"/>
      <c r="E1497"/>
      <c r="F1497"/>
      <c r="G1497"/>
    </row>
  </sheetData>
  <sortState xmlns:xlrd2="http://schemas.microsoft.com/office/spreadsheetml/2017/richdata2" ref="I555:K558">
    <sortCondition ref="I555:I558"/>
  </sortState>
  <mergeCells count="120">
    <mergeCell ref="B1360:B1381"/>
    <mergeCell ref="G1467:H1467"/>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1382:B1391"/>
    <mergeCell ref="B1392:B1411"/>
    <mergeCell ref="B1412:B1425"/>
    <mergeCell ref="B1426:B1440"/>
    <mergeCell ref="B427:B440"/>
    <mergeCell ref="B441:B454"/>
    <mergeCell ref="B165:B180"/>
    <mergeCell ref="B1165:B1170"/>
    <mergeCell ref="B1334:B1352"/>
    <mergeCell ref="B1353:B1359"/>
    <mergeCell ref="B1151:B1164"/>
    <mergeCell ref="B1205:B1222"/>
    <mergeCell ref="B1270:B1286"/>
    <mergeCell ref="B358:B378"/>
    <mergeCell ref="B303:B314"/>
    <mergeCell ref="B315:B331"/>
    <mergeCell ref="B332:B343"/>
    <mergeCell ref="B1197:B1204"/>
    <mergeCell ref="H1464:I1464"/>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221:B230"/>
    <mergeCell ref="B150:B164"/>
    <mergeCell ref="B693:B695"/>
    <mergeCell ref="B696:B707"/>
    <mergeCell ref="B708:B717"/>
    <mergeCell ref="B718:B729"/>
    <mergeCell ref="B730:B738"/>
    <mergeCell ref="B181:B190"/>
    <mergeCell ref="B191:B196"/>
    <mergeCell ref="B197:B220"/>
    <mergeCell ref="B670:B675"/>
    <mergeCell ref="B676:B692"/>
    <mergeCell ref="B538:B547"/>
    <mergeCell ref="B548:B552"/>
    <mergeCell ref="B553:B556"/>
    <mergeCell ref="B557:B565"/>
    <mergeCell ref="B566:B570"/>
    <mergeCell ref="B571:B575"/>
    <mergeCell ref="B231:B249"/>
    <mergeCell ref="B250:B263"/>
    <mergeCell ref="B264:B276"/>
    <mergeCell ref="B277:B302"/>
    <mergeCell ref="B379:B387"/>
    <mergeCell ref="B344:B357"/>
    <mergeCell ref="B1137:B1150"/>
    <mergeCell ref="B739:B753"/>
    <mergeCell ref="B754:B756"/>
    <mergeCell ref="B757:B769"/>
    <mergeCell ref="B799:B803"/>
    <mergeCell ref="B1287:B1297"/>
    <mergeCell ref="B1298:B1318"/>
    <mergeCell ref="B1103:B1117"/>
    <mergeCell ref="B1030:B1034"/>
    <mergeCell ref="B1035:B1047"/>
    <mergeCell ref="B1048:B1058"/>
    <mergeCell ref="B775:B798"/>
    <mergeCell ref="B1059:B1073"/>
    <mergeCell ref="B1074:B1091"/>
    <mergeCell ref="B1092:B1102"/>
    <mergeCell ref="B1319:B1333"/>
    <mergeCell ref="B93:B110"/>
    <mergeCell ref="B111:B125"/>
    <mergeCell ref="B126:B134"/>
    <mergeCell ref="B135:B139"/>
    <mergeCell ref="B140:B149"/>
    <mergeCell ref="B1223:B1229"/>
    <mergeCell ref="B1230:B1246"/>
    <mergeCell ref="B1247:B1258"/>
    <mergeCell ref="B1259:B1269"/>
    <mergeCell ref="B576:B584"/>
    <mergeCell ref="B585:B591"/>
    <mergeCell ref="B592:B605"/>
    <mergeCell ref="B606:B613"/>
    <mergeCell ref="B614:B623"/>
    <mergeCell ref="B624:B633"/>
    <mergeCell ref="B634:B648"/>
    <mergeCell ref="B1171:B1176"/>
    <mergeCell ref="B1177:B1196"/>
    <mergeCell ref="B649:B657"/>
    <mergeCell ref="B658:B669"/>
    <mergeCell ref="B770:B774"/>
    <mergeCell ref="B1118:B1126"/>
    <mergeCell ref="B1127:B1136"/>
  </mergeCells>
  <conditionalFormatting sqref="F1465:F1479 F2 F1353:F1381">
    <cfRule type="cellIs" dxfId="116" priority="47" stopIfTrue="1" operator="greaterThan">
      <formula>5</formula>
    </cfRule>
  </conditionalFormatting>
  <conditionalFormatting sqref="F1481:F1483">
    <cfRule type="cellIs" dxfId="115" priority="37" operator="equal">
      <formula>$B$906</formula>
    </cfRule>
  </conditionalFormatting>
  <conditionalFormatting sqref="N1441:N1442">
    <cfRule type="cellIs" dxfId="114" priority="44" operator="greaterThan">
      <formula>0.5</formula>
    </cfRule>
  </conditionalFormatting>
  <conditionalFormatting sqref="F3:F1029">
    <cfRule type="cellIs" dxfId="113" priority="18" stopIfTrue="1" operator="greaterThan">
      <formula>5</formula>
    </cfRule>
  </conditionalFormatting>
  <conditionalFormatting sqref="F1030:F1034">
    <cfRule type="cellIs" dxfId="112" priority="17" stopIfTrue="1" operator="greaterThan">
      <formula>5</formula>
    </cfRule>
  </conditionalFormatting>
  <conditionalFormatting sqref="F1035:F1047">
    <cfRule type="cellIs" dxfId="111" priority="16" stopIfTrue="1" operator="greaterThan">
      <formula>5</formula>
    </cfRule>
  </conditionalFormatting>
  <conditionalFormatting sqref="F1048:F1058">
    <cfRule type="cellIs" dxfId="110" priority="15" stopIfTrue="1" operator="greaterThan">
      <formula>5</formula>
    </cfRule>
  </conditionalFormatting>
  <conditionalFormatting sqref="F1059:F1073">
    <cfRule type="cellIs" dxfId="109" priority="14" stopIfTrue="1" operator="greaterThan">
      <formula>5</formula>
    </cfRule>
  </conditionalFormatting>
  <conditionalFormatting sqref="F1074:F1091">
    <cfRule type="cellIs" dxfId="108" priority="13" stopIfTrue="1" operator="greaterThan">
      <formula>5</formula>
    </cfRule>
  </conditionalFormatting>
  <conditionalFormatting sqref="F1092:F1102">
    <cfRule type="cellIs" dxfId="107" priority="12" stopIfTrue="1" operator="greaterThan">
      <formula>5</formula>
    </cfRule>
  </conditionalFormatting>
  <conditionalFormatting sqref="F1103:F1117">
    <cfRule type="cellIs" dxfId="106" priority="11" stopIfTrue="1" operator="greaterThan">
      <formula>5</formula>
    </cfRule>
  </conditionalFormatting>
  <conditionalFormatting sqref="F1118:F1136">
    <cfRule type="cellIs" dxfId="105" priority="10" stopIfTrue="1" operator="greaterThan">
      <formula>5</formula>
    </cfRule>
  </conditionalFormatting>
  <conditionalFormatting sqref="F1137:F1170">
    <cfRule type="cellIs" dxfId="104" priority="9" stopIfTrue="1" operator="greaterThan">
      <formula>5</formula>
    </cfRule>
  </conditionalFormatting>
  <conditionalFormatting sqref="F1171:F1204">
    <cfRule type="cellIs" dxfId="103" priority="8" stopIfTrue="1" operator="greaterThan">
      <formula>5</formula>
    </cfRule>
  </conditionalFormatting>
  <conditionalFormatting sqref="F1205:F1222">
    <cfRule type="cellIs" dxfId="102" priority="7" stopIfTrue="1" operator="greaterThan">
      <formula>5</formula>
    </cfRule>
  </conditionalFormatting>
  <conditionalFormatting sqref="F1223:F1269">
    <cfRule type="cellIs" dxfId="101" priority="6" stopIfTrue="1" operator="greaterThan">
      <formula>5</formula>
    </cfRule>
  </conditionalFormatting>
  <conditionalFormatting sqref="F1270:F1286">
    <cfRule type="cellIs" dxfId="100" priority="5" stopIfTrue="1" operator="greaterThan">
      <formula>5</formula>
    </cfRule>
  </conditionalFormatting>
  <conditionalFormatting sqref="F1287:F1333">
    <cfRule type="cellIs" dxfId="99" priority="4" stopIfTrue="1" operator="greaterThan">
      <formula>5</formula>
    </cfRule>
  </conditionalFormatting>
  <conditionalFormatting sqref="F1334:F1367">
    <cfRule type="cellIs" dxfId="98" priority="3" stopIfTrue="1" operator="greaterThan">
      <formula>5</formula>
    </cfRule>
  </conditionalFormatting>
  <conditionalFormatting sqref="F1382:F1440">
    <cfRule type="cellIs" dxfId="97" priority="2"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536</v>
      </c>
      <c r="C1" s="379" t="s">
        <v>537</v>
      </c>
      <c r="D1" s="379" t="s">
        <v>538</v>
      </c>
      <c r="E1" s="399" t="s">
        <v>539</v>
      </c>
      <c r="F1" s="379" t="s">
        <v>540</v>
      </c>
      <c r="G1" s="379" t="s">
        <v>541</v>
      </c>
      <c r="H1" s="379" t="s">
        <v>542</v>
      </c>
      <c r="I1" s="400" t="s">
        <v>543</v>
      </c>
      <c r="J1" s="398" t="s">
        <v>544</v>
      </c>
      <c r="K1" s="379" t="s">
        <v>545</v>
      </c>
      <c r="L1" s="379" t="s">
        <v>546</v>
      </c>
      <c r="M1" s="379" t="s">
        <v>547</v>
      </c>
      <c r="N1" s="379" t="s">
        <v>548</v>
      </c>
      <c r="O1" s="401" t="s">
        <v>549</v>
      </c>
      <c r="P1" s="378" t="s">
        <v>550</v>
      </c>
      <c r="Q1" s="379" t="s">
        <v>517</v>
      </c>
      <c r="R1" s="379" t="s">
        <v>551</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552</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553</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554</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555</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556</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557</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558</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559</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473</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560</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514</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561</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562</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563</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564</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565</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566</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567</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568</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569</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570</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571</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572</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573</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574</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575</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576</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577</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578</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579</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580</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581</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582</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583</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584</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585</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586</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472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587</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588</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589</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590</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591</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592</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486</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593</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594</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595</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596</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597</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598</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599</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600</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601</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602</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603</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604</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605</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606</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607</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608</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609</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610</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611</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612</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511</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613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487</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614</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615</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616</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617</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426</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618</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619</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620</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621</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622</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559</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623</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624</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625</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513</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626</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627</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628</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629</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448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630</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631</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632</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633</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634</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635</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554</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636</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587</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637</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638</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460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639</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640</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641</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642</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643</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644</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645</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646</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647</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635</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648</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492</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649</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650</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651</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652</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653</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654</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655</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656</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657</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658</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659</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602</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660</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661</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662</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663</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654</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664</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665</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666</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480</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667</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603</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668</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669</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670</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671</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672</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673</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674</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675</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665</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676</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677</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678</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679</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585</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680</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681</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682</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683</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684</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685</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572</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686</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687</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573</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688</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689</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690</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691</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692</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693</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694</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695</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641</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696</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697</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698</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589</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699</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700</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701</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702</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496</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703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704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630</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705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706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707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708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709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710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711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712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620</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713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714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715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614</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716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717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718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719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720</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721</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510</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650</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579</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722</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443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723</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724</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500</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725</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726</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727</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611</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592</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728</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729</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491</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730</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731</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732</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733</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435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509</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734</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735</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633</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736</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522</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737</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441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738</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712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739</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476</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740</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741</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742</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743</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729</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632</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744</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745</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709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565</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746</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747</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748</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749</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750</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751</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670</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450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752</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746</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753</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754</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624</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755</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756</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757</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758</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759</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760</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458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761</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762</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763</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764</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765</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766</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767</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768</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769</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770</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771</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673</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555</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772</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773</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774</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775</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776</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772</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773</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440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777</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674</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731</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662</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778</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779</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780</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781</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463</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499</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782</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783</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784</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484</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785</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493</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786</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787</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788</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648</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789</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790</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508</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784</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791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792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457</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793</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794</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795</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796</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797</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798</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799</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800</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736</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801</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802</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803</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804</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799</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578</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805</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806</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807</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808</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698</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809</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707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678</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810</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811</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812</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813</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814</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815</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816</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817</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818</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819</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820</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821</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822</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823</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817</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462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686</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824</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825</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826</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827</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828</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621</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829</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830</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831</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832</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833</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834</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744</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835</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836</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837</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838</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839</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657</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840</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647</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841</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842</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843</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754</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844</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845</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432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846</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847</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848</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691</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849</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850</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851</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852</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853</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854</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452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855</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856</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857</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858</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859</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839</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860</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861</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862</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863</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864</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865</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866</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601</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867</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618</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868</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869</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870</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871</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867</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872</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873</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637</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874</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875</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876</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877</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878</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879</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880</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652</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881</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882</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552</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723</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883</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884</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885</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632</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776</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3">
        <f>F819/E819</f>
        <v>0.48714810281517745</v>
      </c>
      <c r="F820" s="544"/>
      <c r="G820" s="546">
        <f>(J819+F819)/(E819+I819)</f>
        <v>0.46572827417380663</v>
      </c>
      <c r="H820" s="547"/>
      <c r="I820" s="545">
        <f>J819/I819</f>
        <v>0.44430844553243576</v>
      </c>
      <c r="J820" s="542"/>
      <c r="L820" s="541">
        <f>M819/L819</f>
        <v>0.45654834761321911</v>
      </c>
      <c r="M820" s="542"/>
      <c r="P820" s="449">
        <f>P819/I819</f>
        <v>0.52264381884944922</v>
      </c>
    </row>
    <row r="821" spans="1:18">
      <c r="A821" s="418"/>
      <c r="E821" s="537">
        <f>1/E820</f>
        <v>2.0527638190954773</v>
      </c>
      <c r="F821" s="538"/>
      <c r="I821" s="539">
        <f>1/I820</f>
        <v>2.2506887052341598</v>
      </c>
      <c r="J821" s="540"/>
      <c r="L821" s="539">
        <f>1/L820</f>
        <v>2.1903485254691688</v>
      </c>
      <c r="M821" s="540"/>
      <c r="P821" s="450">
        <f>1/P820</f>
        <v>1.9133489461358313</v>
      </c>
      <c r="Q821" s="359"/>
    </row>
    <row r="822" spans="1:18">
      <c r="A822" s="418"/>
      <c r="E822" s="543">
        <f>1-E820</f>
        <v>0.5128518971848226</v>
      </c>
      <c r="F822" s="544"/>
      <c r="I822" s="552">
        <f>1-I820</f>
        <v>0.55569155446756424</v>
      </c>
      <c r="J822" s="553"/>
      <c r="L822" s="552">
        <f>1-L820</f>
        <v>0.54345165238678095</v>
      </c>
      <c r="M822" s="553"/>
      <c r="P822" s="359"/>
      <c r="Q822" s="359"/>
    </row>
    <row r="823" spans="1:18">
      <c r="A823" s="418"/>
      <c r="E823" s="548">
        <f>1/(1-E820)</f>
        <v>1.9498806682577563</v>
      </c>
      <c r="F823" s="549"/>
      <c r="I823" s="550">
        <f>1/(1-I820)</f>
        <v>1.7995594713656389</v>
      </c>
      <c r="J823" s="551"/>
      <c r="L823" s="550">
        <f>1/(1-L820)</f>
        <v>1.8400900900900901</v>
      </c>
      <c r="M823" s="551"/>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4" t="s">
        <v>886</v>
      </c>
      <c r="B1" s="554"/>
      <c r="C1" s="554"/>
    </row>
    <row r="2" spans="1:8">
      <c r="A2" s="422" t="s">
        <v>887</v>
      </c>
      <c r="B2" s="433">
        <f ca="1">TODAY()-1</f>
        <v>46121</v>
      </c>
    </row>
    <row r="4" spans="1:8">
      <c r="A4" s="422" t="s">
        <v>888</v>
      </c>
      <c r="B4" s="422" t="s">
        <v>889</v>
      </c>
      <c r="C4" s="438">
        <f>_xlfn.XLOOKUP(B4,Referencia!B2:B60,Referencia!A2:A60)</f>
        <v>7</v>
      </c>
    </row>
    <row r="6" spans="1:8">
      <c r="A6" t="s">
        <v>890</v>
      </c>
      <c r="B6">
        <f>COUNTIFS(Jornada!Q2:Q818, C4, Jornada!E2:E818, "&lt;&gt;")</f>
        <v>28</v>
      </c>
    </row>
    <row r="7" spans="1:8">
      <c r="A7" t="s">
        <v>891</v>
      </c>
      <c r="B7" s="524">
        <f>COUNTIFS(Jornada!Q2:Q818,C4,Jornada!F2:F818,1)</f>
        <v>16</v>
      </c>
      <c r="C7" s="424">
        <f>COUNTIFS(Jornada!Q2:Q818,C4,Jornada!F2:F818,1) / COUNTIFS(Jornada!Q2:Q818, C4, Jornada!E2:E818, "&lt;&gt;")</f>
        <v>0.5714285714285714</v>
      </c>
      <c r="D7" s="416">
        <f>1-C7</f>
        <v>0.4285714285714286</v>
      </c>
      <c r="E7" s="18"/>
    </row>
    <row r="8" spans="1:8">
      <c r="A8" t="s">
        <v>892</v>
      </c>
      <c r="B8" s="524">
        <f>COUNTIFS(Jornada!Q2:Q818,C4,Jornada!J2:J818,1)</f>
        <v>12</v>
      </c>
      <c r="C8" s="459">
        <f>COUNTIFS(Jornada!Q2:Q818,C4,Jornada!J2:J818,1) / COUNTIFS(Jornada!Q2:Q818, C4, Jornada!E2:E818, "&lt;&gt;")</f>
        <v>0.42857142857142855</v>
      </c>
      <c r="D8" s="416">
        <f t="shared" ref="D8:D10" si="0">1-C8</f>
        <v>0.5714285714285714</v>
      </c>
      <c r="E8" s="18"/>
      <c r="H8" s="18"/>
    </row>
    <row r="9" spans="1:8">
      <c r="A9" t="s">
        <v>893</v>
      </c>
      <c r="B9">
        <f>COUNTIFS(Jornada!Q2:Q818,C4,Jornada!M2:M818,1)</f>
        <v>15</v>
      </c>
      <c r="C9" s="460">
        <f>COUNTIFS(Jornada!Q2:Q818,C4,Jornada!M2:M818,1) / COUNTIFS(Jornada!Q2:Q818, C4, Jornada!E2:E818, "&lt;&gt;")</f>
        <v>0.5357142857142857</v>
      </c>
      <c r="D9" s="416">
        <f t="shared" si="0"/>
        <v>0.4642857142857143</v>
      </c>
      <c r="E9" s="18"/>
      <c r="H9" s="18"/>
    </row>
    <row r="10" spans="1:8">
      <c r="A10" t="s">
        <v>894</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895</v>
      </c>
      <c r="B12" s="422" t="s">
        <v>896</v>
      </c>
    </row>
    <row r="14" spans="1:8">
      <c r="A14" t="s">
        <v>890</v>
      </c>
      <c r="B14">
        <f>COUNTIFS(Jornada!R2:R818,B12, Jornada!E2:E818, "&lt;&gt;")</f>
        <v>87</v>
      </c>
    </row>
    <row r="15" spans="1:8">
      <c r="A15" t="s">
        <v>891</v>
      </c>
      <c r="B15">
        <f>COUNTIFS(Jornada!R2:R818,B12,Jornada!F2:F818,1)</f>
        <v>50</v>
      </c>
      <c r="C15" s="417">
        <f>B15/$B$14</f>
        <v>0.57471264367816088</v>
      </c>
      <c r="D15" s="416">
        <f>1-C15</f>
        <v>0.42528735632183912</v>
      </c>
    </row>
    <row r="16" spans="1:8">
      <c r="A16" t="s">
        <v>892</v>
      </c>
      <c r="B16">
        <f>COUNTIFS(Jornada!R2:R818,B12,Jornada!J2:J818,1)</f>
        <v>40</v>
      </c>
      <c r="C16" s="462">
        <f t="shared" ref="C16:C18" si="1">B16/$B$14</f>
        <v>0.45977011494252873</v>
      </c>
      <c r="D16" s="416">
        <f t="shared" ref="D16:D18" si="2">1-C16</f>
        <v>0.54022988505747127</v>
      </c>
    </row>
    <row r="17" spans="1:8">
      <c r="A17" t="s">
        <v>893</v>
      </c>
      <c r="B17">
        <f>COUNTIFS(Jornada!R2:R818,B12,Jornada!M2:M818,1)</f>
        <v>46</v>
      </c>
      <c r="C17" s="463">
        <f t="shared" si="1"/>
        <v>0.52873563218390807</v>
      </c>
      <c r="D17" s="416">
        <f t="shared" si="2"/>
        <v>0.47126436781609193</v>
      </c>
    </row>
    <row r="18" spans="1:8">
      <c r="A18" t="s">
        <v>894</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897</v>
      </c>
      <c r="C1" t="s">
        <v>898</v>
      </c>
      <c r="D1" t="s">
        <v>899</v>
      </c>
      <c r="E1" s="18" t="s">
        <v>900</v>
      </c>
      <c r="F1" t="s">
        <v>901</v>
      </c>
      <c r="G1" s="18" t="s">
        <v>902</v>
      </c>
      <c r="H1" t="s">
        <v>903</v>
      </c>
      <c r="I1" s="18" t="s">
        <v>904</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905</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906</v>
      </c>
      <c r="B1" s="42" t="s">
        <v>907</v>
      </c>
      <c r="C1" s="42" t="s">
        <v>551</v>
      </c>
    </row>
    <row r="2" spans="1:3">
      <c r="A2">
        <v>43</v>
      </c>
      <c r="B2" t="s">
        <v>519</v>
      </c>
      <c r="C2" t="str">
        <f>TEXT(tblResultadosNBA[[#This Row],[Fecha]],"mmm")</f>
        <v>oct</v>
      </c>
    </row>
    <row r="3" spans="1:3">
      <c r="A3">
        <v>44</v>
      </c>
      <c r="B3" t="s">
        <v>520</v>
      </c>
      <c r="C3" t="s">
        <v>908</v>
      </c>
    </row>
    <row r="4" spans="1:3">
      <c r="A4">
        <v>45</v>
      </c>
      <c r="B4" t="s">
        <v>521</v>
      </c>
      <c r="C4" t="s">
        <v>909</v>
      </c>
    </row>
    <row r="5" spans="1:3">
      <c r="A5">
        <v>46</v>
      </c>
      <c r="B5" t="s">
        <v>523</v>
      </c>
      <c r="C5" t="s">
        <v>910</v>
      </c>
    </row>
    <row r="6" spans="1:3">
      <c r="A6">
        <v>47</v>
      </c>
      <c r="B6" t="s">
        <v>524</v>
      </c>
      <c r="C6" t="s">
        <v>896</v>
      </c>
    </row>
    <row r="7" spans="1:3">
      <c r="A7">
        <v>48</v>
      </c>
      <c r="B7" t="s">
        <v>525</v>
      </c>
      <c r="C7" t="s">
        <v>911</v>
      </c>
    </row>
    <row r="8" spans="1:3">
      <c r="A8">
        <v>49</v>
      </c>
      <c r="B8" t="s">
        <v>526</v>
      </c>
      <c r="C8" t="s">
        <v>912</v>
      </c>
    </row>
    <row r="9" spans="1:3">
      <c r="A9">
        <v>50</v>
      </c>
      <c r="B9" t="s">
        <v>527</v>
      </c>
      <c r="C9" t="s">
        <v>913</v>
      </c>
    </row>
    <row r="10" spans="1:3">
      <c r="A10">
        <v>51</v>
      </c>
      <c r="B10" t="s">
        <v>528</v>
      </c>
      <c r="C10" t="s">
        <v>914</v>
      </c>
    </row>
    <row r="11" spans="1:3">
      <c r="A11">
        <v>52</v>
      </c>
      <c r="B11" t="s">
        <v>529</v>
      </c>
      <c r="C11" t="s">
        <v>915</v>
      </c>
    </row>
    <row r="12" spans="1:3">
      <c r="A12">
        <v>1</v>
      </c>
      <c r="B12" t="s">
        <v>530</v>
      </c>
      <c r="C12" t="s">
        <v>916</v>
      </c>
    </row>
    <row r="13" spans="1:3">
      <c r="A13">
        <v>2</v>
      </c>
      <c r="B13" t="s">
        <v>531</v>
      </c>
      <c r="C13" t="s">
        <v>917</v>
      </c>
    </row>
    <row r="14" spans="1:3">
      <c r="A14">
        <v>3</v>
      </c>
      <c r="B14" t="s">
        <v>532</v>
      </c>
    </row>
    <row r="15" spans="1:3">
      <c r="A15">
        <v>4</v>
      </c>
      <c r="B15" t="s">
        <v>533</v>
      </c>
    </row>
    <row r="16" spans="1:3">
      <c r="A16">
        <v>5</v>
      </c>
      <c r="B16" t="s">
        <v>918</v>
      </c>
    </row>
    <row r="17" spans="1:2">
      <c r="A17">
        <v>6</v>
      </c>
      <c r="B17" t="s">
        <v>919</v>
      </c>
    </row>
    <row r="18" spans="1:2">
      <c r="A18">
        <v>7</v>
      </c>
      <c r="B18" t="s">
        <v>889</v>
      </c>
    </row>
    <row r="19" spans="1:2">
      <c r="A19">
        <v>8</v>
      </c>
      <c r="B19" t="s">
        <v>920</v>
      </c>
    </row>
    <row r="20" spans="1:2">
      <c r="A20">
        <v>9</v>
      </c>
      <c r="B20" t="s">
        <v>921</v>
      </c>
    </row>
    <row r="21" spans="1:2">
      <c r="A21">
        <v>10</v>
      </c>
      <c r="B21" t="s">
        <v>922</v>
      </c>
    </row>
    <row r="22" spans="1:2">
      <c r="A22">
        <v>11</v>
      </c>
      <c r="B22" t="s">
        <v>923</v>
      </c>
    </row>
    <row r="23" spans="1:2">
      <c r="A23">
        <v>12</v>
      </c>
      <c r="B23" t="s">
        <v>924</v>
      </c>
    </row>
    <row r="24" spans="1:2">
      <c r="A24">
        <v>13</v>
      </c>
      <c r="B24" t="s">
        <v>925</v>
      </c>
    </row>
    <row r="25" spans="1:2">
      <c r="A25">
        <v>14</v>
      </c>
      <c r="B25" t="s">
        <v>926</v>
      </c>
    </row>
    <row r="26" spans="1:2">
      <c r="A26">
        <v>15</v>
      </c>
      <c r="B26" t="s">
        <v>927</v>
      </c>
    </row>
    <row r="27" spans="1:2">
      <c r="A27">
        <v>16</v>
      </c>
      <c r="B27" t="s">
        <v>928</v>
      </c>
    </row>
    <row r="28" spans="1:2">
      <c r="A28">
        <v>17</v>
      </c>
      <c r="B28" t="s">
        <v>929</v>
      </c>
    </row>
    <row r="29" spans="1:2">
      <c r="A29">
        <v>18</v>
      </c>
      <c r="B29" t="s">
        <v>930</v>
      </c>
    </row>
    <row r="30" spans="1:2">
      <c r="A30">
        <v>19</v>
      </c>
      <c r="B30" t="s">
        <v>931</v>
      </c>
    </row>
    <row r="31" spans="1:2">
      <c r="A31">
        <v>20</v>
      </c>
      <c r="B31" t="s">
        <v>932</v>
      </c>
    </row>
    <row r="32" spans="1:2">
      <c r="A32">
        <v>21</v>
      </c>
      <c r="B32" t="s">
        <v>933</v>
      </c>
    </row>
    <row r="33" spans="1:2">
      <c r="A33">
        <v>22</v>
      </c>
      <c r="B33" t="s">
        <v>934</v>
      </c>
    </row>
    <row r="34" spans="1:2">
      <c r="A34">
        <v>23</v>
      </c>
      <c r="B34" t="s">
        <v>935</v>
      </c>
    </row>
    <row r="35" spans="1:2">
      <c r="A35">
        <v>24</v>
      </c>
      <c r="B35" t="s">
        <v>936</v>
      </c>
    </row>
    <row r="36" spans="1:2">
      <c r="A36">
        <v>25</v>
      </c>
      <c r="B36" t="s">
        <v>937</v>
      </c>
    </row>
    <row r="37" spans="1:2">
      <c r="A37">
        <v>26</v>
      </c>
      <c r="B37" t="s">
        <v>938</v>
      </c>
    </row>
    <row r="38" spans="1:2">
      <c r="A38">
        <v>27</v>
      </c>
      <c r="B38" t="s">
        <v>939</v>
      </c>
    </row>
    <row r="39" spans="1:2">
      <c r="A39">
        <v>28</v>
      </c>
      <c r="B39" t="s">
        <v>940</v>
      </c>
    </row>
    <row r="40" spans="1:2">
      <c r="A40">
        <v>29</v>
      </c>
      <c r="B40" t="s">
        <v>941</v>
      </c>
    </row>
    <row r="41" spans="1:2">
      <c r="A41">
        <v>30</v>
      </c>
      <c r="B41" t="s">
        <v>942</v>
      </c>
    </row>
    <row r="42" spans="1:2">
      <c r="A42">
        <v>31</v>
      </c>
      <c r="B42" t="s">
        <v>943</v>
      </c>
    </row>
    <row r="43" spans="1:2">
      <c r="A43">
        <v>32</v>
      </c>
      <c r="B43" t="s">
        <v>944</v>
      </c>
    </row>
    <row r="44" spans="1:2">
      <c r="A44">
        <v>33</v>
      </c>
      <c r="B44" t="s">
        <v>945</v>
      </c>
    </row>
    <row r="45" spans="1:2">
      <c r="A45">
        <v>34</v>
      </c>
      <c r="B45" t="s">
        <v>946</v>
      </c>
    </row>
    <row r="46" spans="1:2">
      <c r="A46">
        <v>35</v>
      </c>
      <c r="B46" t="s">
        <v>947</v>
      </c>
    </row>
    <row r="47" spans="1:2">
      <c r="A47">
        <v>36</v>
      </c>
      <c r="B47" t="s">
        <v>948</v>
      </c>
    </row>
    <row r="48" spans="1:2">
      <c r="A48">
        <v>37</v>
      </c>
      <c r="B48" t="s">
        <v>949</v>
      </c>
    </row>
    <row r="49" spans="1:2">
      <c r="A49">
        <v>38</v>
      </c>
      <c r="B49" t="s">
        <v>950</v>
      </c>
    </row>
    <row r="50" spans="1:2">
      <c r="A50">
        <v>39</v>
      </c>
      <c r="B50" t="s">
        <v>951</v>
      </c>
    </row>
    <row r="51" spans="1:2">
      <c r="A51">
        <v>40</v>
      </c>
      <c r="B51" t="s">
        <v>952</v>
      </c>
    </row>
    <row r="52" spans="1:2">
      <c r="A52">
        <v>41</v>
      </c>
      <c r="B52" t="s">
        <v>953</v>
      </c>
    </row>
    <row r="53" spans="1:2">
      <c r="A53">
        <v>42</v>
      </c>
      <c r="B53" t="s">
        <v>954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9" t="s">
        <v>955</v>
      </c>
      <c r="N1" s="569"/>
      <c r="O1" s="569"/>
      <c r="P1" s="569"/>
      <c r="Q1"/>
    </row>
    <row r="2" spans="1:17" ht="15.75" thickBot="1">
      <c r="A2" s="565">
        <v>45905</v>
      </c>
      <c r="B2" s="179">
        <v>1</v>
      </c>
      <c r="C2" s="162">
        <v>3.04</v>
      </c>
      <c r="D2" s="162">
        <f>(B2*C2)-B2</f>
        <v>2.04</v>
      </c>
      <c r="E2" s="213">
        <f>SUM($D$2:D2)/SUM($B$2:B2)</f>
        <v>2.04</v>
      </c>
      <c r="F2" s="162">
        <f>D2</f>
        <v>2.04</v>
      </c>
      <c r="G2" s="214" t="s">
        <v>956</v>
      </c>
      <c r="H2" s="183"/>
      <c r="I2" s="184"/>
      <c r="J2" s="184"/>
      <c r="Q2"/>
    </row>
    <row r="3" spans="1:17">
      <c r="A3" s="566"/>
      <c r="B3" s="165">
        <v>1</v>
      </c>
      <c r="C3" s="161">
        <v>1.93</v>
      </c>
      <c r="D3" s="161">
        <f t="shared" ref="D3:D66" si="0">(B3*C3)-B3</f>
        <v>0.92999999999999994</v>
      </c>
      <c r="E3" s="191">
        <f>SUM($D$2:D3)/SUM($B$2:B3)</f>
        <v>1.4849999999999999</v>
      </c>
      <c r="F3" s="161">
        <f>F2+D3</f>
        <v>2.9699999999999998</v>
      </c>
      <c r="G3" s="169" t="s">
        <v>957</v>
      </c>
      <c r="H3" s="183"/>
      <c r="I3" s="184"/>
      <c r="J3" s="184"/>
      <c r="Q3"/>
    </row>
    <row r="4" spans="1:17">
      <c r="A4" s="566"/>
      <c r="B4" s="168">
        <v>1</v>
      </c>
      <c r="C4" s="151">
        <v>1.86</v>
      </c>
      <c r="D4" s="151">
        <f t="shared" si="0"/>
        <v>0.8600000000000001</v>
      </c>
      <c r="E4" s="190">
        <f>SUM($D$2:D4)/SUM($B$2:B4)</f>
        <v>1.2766666666666666</v>
      </c>
      <c r="F4" s="151">
        <f t="shared" ref="F4:F67" si="1">F3+D4</f>
        <v>3.83</v>
      </c>
      <c r="G4" s="192" t="s">
        <v>958</v>
      </c>
      <c r="H4" s="183"/>
      <c r="I4" s="184"/>
      <c r="J4" s="184"/>
      <c r="Q4"/>
    </row>
    <row r="5" spans="1:17">
      <c r="A5" s="566"/>
      <c r="B5" s="167">
        <v>1</v>
      </c>
      <c r="C5" s="150">
        <v>2.0099999999999998</v>
      </c>
      <c r="D5" s="150">
        <f t="shared" si="0"/>
        <v>1.0099999999999998</v>
      </c>
      <c r="E5" s="154">
        <f>SUM($D$2:D5)/SUM($B$2:B5)</f>
        <v>1.21</v>
      </c>
      <c r="F5" s="150">
        <f t="shared" si="1"/>
        <v>4.84</v>
      </c>
      <c r="G5" s="189" t="s">
        <v>959</v>
      </c>
      <c r="H5" s="183"/>
      <c r="I5" s="184"/>
      <c r="J5" s="184"/>
      <c r="Q5"/>
    </row>
    <row r="6" spans="1:17" ht="15.75" thickBot="1">
      <c r="A6" s="566"/>
      <c r="B6" s="170">
        <v>1</v>
      </c>
      <c r="C6" s="163"/>
      <c r="D6" s="163">
        <f t="shared" si="0"/>
        <v>-1</v>
      </c>
      <c r="E6" s="193">
        <f>SUM($D$2:D6)/SUM($B$2:B6)</f>
        <v>0.76800000000000002</v>
      </c>
      <c r="F6" s="163">
        <f t="shared" si="1"/>
        <v>3.84</v>
      </c>
      <c r="G6" s="194" t="s">
        <v>960</v>
      </c>
      <c r="H6" s="183"/>
      <c r="I6" s="184"/>
      <c r="J6" s="184"/>
      <c r="Q6"/>
    </row>
    <row r="7" spans="1:17" ht="15.75" thickBot="1">
      <c r="A7" s="565">
        <v>45906</v>
      </c>
      <c r="B7" s="231">
        <v>1</v>
      </c>
      <c r="C7" s="231"/>
      <c r="D7" s="231">
        <f t="shared" si="0"/>
        <v>-1</v>
      </c>
      <c r="E7" s="249">
        <f>SUM($D$2:D7)/SUM($B$2:B7)</f>
        <v>0.47333333333333333</v>
      </c>
      <c r="F7" s="232">
        <f t="shared" si="1"/>
        <v>2.84</v>
      </c>
      <c r="G7" s="250" t="s">
        <v>961</v>
      </c>
      <c r="H7" s="183"/>
      <c r="I7" s="184"/>
      <c r="J7" s="184"/>
      <c r="K7" s="58"/>
      <c r="M7" s="2"/>
      <c r="Q7"/>
    </row>
    <row r="8" spans="1:17">
      <c r="A8" s="567"/>
      <c r="B8" s="165">
        <v>1</v>
      </c>
      <c r="C8" s="204"/>
      <c r="D8" s="204">
        <f t="shared" si="0"/>
        <v>-1</v>
      </c>
      <c r="E8" s="191">
        <f>SUM($D$2:D8)/SUM($B$2:B8)</f>
        <v>0.26285714285714284</v>
      </c>
      <c r="F8" s="161">
        <f t="shared" si="1"/>
        <v>1.8399999999999999</v>
      </c>
      <c r="G8" s="210" t="s">
        <v>958</v>
      </c>
      <c r="H8" s="183"/>
      <c r="I8" s="184"/>
      <c r="J8" s="184"/>
      <c r="K8" s="18"/>
      <c r="M8" s="2"/>
      <c r="N8" s="18"/>
      <c r="Q8"/>
    </row>
    <row r="9" spans="1:17">
      <c r="A9" s="567"/>
      <c r="B9" s="167">
        <v>1</v>
      </c>
      <c r="C9" s="205"/>
      <c r="D9" s="205">
        <f t="shared" si="0"/>
        <v>-1</v>
      </c>
      <c r="E9" s="154">
        <f>SUM($D$2:D9)/SUM($B$2:B9)</f>
        <v>0.10499999999999998</v>
      </c>
      <c r="F9" s="150">
        <f t="shared" si="1"/>
        <v>0.83999999999999986</v>
      </c>
      <c r="G9" s="201" t="s">
        <v>962</v>
      </c>
      <c r="H9" s="183"/>
      <c r="I9" s="184"/>
      <c r="J9" s="184"/>
      <c r="K9" s="18"/>
      <c r="M9" s="2"/>
      <c r="N9" s="18"/>
      <c r="Q9"/>
    </row>
    <row r="10" spans="1:17">
      <c r="A10" s="567"/>
      <c r="B10" s="167">
        <v>1</v>
      </c>
      <c r="C10" s="205"/>
      <c r="D10" s="205">
        <f t="shared" si="0"/>
        <v>-1</v>
      </c>
      <c r="E10" s="154">
        <f>SUM($D$2:D10)/SUM($B$2:B10)</f>
        <v>-1.7777777777777795E-2</v>
      </c>
      <c r="F10" s="150">
        <f t="shared" si="1"/>
        <v>-0.16000000000000014</v>
      </c>
      <c r="G10" s="201" t="s">
        <v>963</v>
      </c>
      <c r="H10" s="183"/>
      <c r="I10" s="184"/>
      <c r="J10" s="184"/>
      <c r="K10" s="18"/>
      <c r="M10" s="2"/>
      <c r="N10" s="18"/>
      <c r="Q10"/>
    </row>
    <row r="11" spans="1:17">
      <c r="A11" s="567"/>
      <c r="B11" s="167">
        <v>1</v>
      </c>
      <c r="C11" s="205"/>
      <c r="D11" s="205">
        <f t="shared" si="0"/>
        <v>-1</v>
      </c>
      <c r="E11" s="154">
        <f>SUM($D$2:D11)/SUM($B$2:B11)</f>
        <v>-0.11600000000000002</v>
      </c>
      <c r="F11" s="150">
        <f t="shared" si="1"/>
        <v>-1.1600000000000001</v>
      </c>
      <c r="G11" s="201" t="s">
        <v>957</v>
      </c>
      <c r="H11" s="183"/>
      <c r="I11" s="184"/>
      <c r="J11" s="184"/>
      <c r="K11" s="18"/>
      <c r="M11" s="2"/>
      <c r="N11" s="18"/>
      <c r="Q11"/>
    </row>
    <row r="12" spans="1:17">
      <c r="A12" s="567"/>
      <c r="B12" s="167">
        <v>1</v>
      </c>
      <c r="C12" s="205"/>
      <c r="D12" s="205">
        <f t="shared" si="0"/>
        <v>-1</v>
      </c>
      <c r="E12" s="154">
        <f>SUM($D$2:D12)/SUM($B$2:B12)</f>
        <v>-0.19636363636363638</v>
      </c>
      <c r="F12" s="150">
        <f t="shared" si="1"/>
        <v>-2.16</v>
      </c>
      <c r="G12" s="201" t="s">
        <v>964</v>
      </c>
      <c r="H12" s="183"/>
      <c r="I12" s="184"/>
      <c r="J12" s="184"/>
      <c r="K12" s="18"/>
      <c r="M12" s="2"/>
      <c r="N12" s="18"/>
      <c r="Q12"/>
    </row>
    <row r="13" spans="1:17" ht="15.75" thickBot="1">
      <c r="A13" s="567"/>
      <c r="B13" s="170">
        <v>1</v>
      </c>
      <c r="C13" s="206">
        <v>1.97</v>
      </c>
      <c r="D13" s="206">
        <f t="shared" si="0"/>
        <v>0.97</v>
      </c>
      <c r="E13" s="193">
        <f>SUM($D$2:D13)/SUM($B$2:B13)</f>
        <v>-9.9166666666666681E-2</v>
      </c>
      <c r="F13" s="163">
        <f t="shared" si="1"/>
        <v>-1.1900000000000002</v>
      </c>
      <c r="G13" s="203" t="s">
        <v>965</v>
      </c>
      <c r="H13" s="183"/>
      <c r="I13" s="184"/>
      <c r="J13" s="184"/>
      <c r="K13" s="18"/>
      <c r="M13" s="2"/>
      <c r="N13" s="18"/>
      <c r="Q13"/>
    </row>
    <row r="14" spans="1:17" ht="15.75" thickBot="1">
      <c r="A14" s="565">
        <v>45907</v>
      </c>
      <c r="B14" s="207">
        <v>1</v>
      </c>
      <c r="C14" s="207"/>
      <c r="D14" s="207">
        <f t="shared" si="0"/>
        <v>-1</v>
      </c>
      <c r="E14" s="213">
        <f>SUM($D$2:D14)/SUM($B$2:B14)</f>
        <v>-0.1684615384615385</v>
      </c>
      <c r="F14" s="162">
        <f t="shared" si="1"/>
        <v>-2.1900000000000004</v>
      </c>
      <c r="G14" s="215" t="s">
        <v>966</v>
      </c>
      <c r="H14" s="183"/>
      <c r="I14" s="184"/>
      <c r="J14" s="184"/>
      <c r="K14" s="58"/>
      <c r="M14" s="2"/>
      <c r="Q14"/>
    </row>
    <row r="15" spans="1:17">
      <c r="A15" s="566"/>
      <c r="B15" s="204">
        <v>1</v>
      </c>
      <c r="C15" s="204"/>
      <c r="D15" s="204">
        <f t="shared" si="0"/>
        <v>-1</v>
      </c>
      <c r="E15" s="191">
        <f>SUM($D$2:D15)/SUM($B$2:B15)</f>
        <v>-0.2278571428571429</v>
      </c>
      <c r="F15" s="161">
        <f t="shared" si="1"/>
        <v>-3.1900000000000004</v>
      </c>
      <c r="G15" s="210" t="s">
        <v>967</v>
      </c>
      <c r="H15" s="183"/>
      <c r="I15" s="184"/>
      <c r="J15" s="184"/>
      <c r="K15" s="18"/>
      <c r="M15" s="2"/>
      <c r="N15" s="18"/>
      <c r="Q15"/>
    </row>
    <row r="16" spans="1:17">
      <c r="A16" s="566"/>
      <c r="B16" s="205">
        <v>1</v>
      </c>
      <c r="C16" s="205"/>
      <c r="D16" s="205">
        <f t="shared" si="0"/>
        <v>-1</v>
      </c>
      <c r="E16" s="154">
        <f>SUM($D$2:D16)/SUM($B$2:B16)</f>
        <v>-0.27933333333333338</v>
      </c>
      <c r="F16" s="150">
        <f t="shared" si="1"/>
        <v>-4.1900000000000004</v>
      </c>
      <c r="G16" s="201" t="s">
        <v>962</v>
      </c>
      <c r="H16" s="183"/>
      <c r="I16" s="184"/>
      <c r="J16" s="184"/>
      <c r="K16" s="18"/>
      <c r="M16" s="2"/>
      <c r="N16" s="18"/>
      <c r="Q16"/>
    </row>
    <row r="17" spans="1:17">
      <c r="A17" s="566"/>
      <c r="B17" s="205">
        <v>1</v>
      </c>
      <c r="C17" s="205">
        <v>1.9</v>
      </c>
      <c r="D17" s="205">
        <f t="shared" si="0"/>
        <v>0.89999999999999991</v>
      </c>
      <c r="E17" s="154">
        <f>SUM($D$2:D17)/SUM($B$2:B17)</f>
        <v>-0.20562500000000003</v>
      </c>
      <c r="F17" s="150">
        <f t="shared" si="1"/>
        <v>-3.2900000000000005</v>
      </c>
      <c r="G17" s="201" t="s">
        <v>958</v>
      </c>
      <c r="H17" s="183"/>
      <c r="I17" s="184"/>
      <c r="J17" s="184"/>
      <c r="K17" s="18"/>
      <c r="M17" s="2"/>
      <c r="N17" s="18"/>
      <c r="Q17"/>
    </row>
    <row r="18" spans="1:17">
      <c r="A18" s="566"/>
      <c r="B18" s="205">
        <v>1</v>
      </c>
      <c r="C18" s="205">
        <v>1.88</v>
      </c>
      <c r="D18" s="205">
        <f t="shared" si="0"/>
        <v>0.87999999999999989</v>
      </c>
      <c r="E18" s="154">
        <f>SUM($D$2:D18)/SUM($B$2:B18)</f>
        <v>-0.14176470588235299</v>
      </c>
      <c r="F18" s="150">
        <f t="shared" si="1"/>
        <v>-2.4100000000000006</v>
      </c>
      <c r="G18" s="201" t="s">
        <v>968</v>
      </c>
      <c r="H18" s="183"/>
      <c r="I18" s="184"/>
      <c r="J18" s="184"/>
      <c r="K18" s="18"/>
      <c r="M18" s="2"/>
      <c r="N18" s="18"/>
      <c r="Q18"/>
    </row>
    <row r="19" spans="1:17" ht="15.75" thickBot="1">
      <c r="A19" s="566"/>
      <c r="B19" s="153">
        <v>1</v>
      </c>
      <c r="C19" s="153"/>
      <c r="D19" s="153">
        <f t="shared" si="0"/>
        <v>-1</v>
      </c>
      <c r="E19" s="190">
        <f>SUM($D$2:D19)/SUM($B$2:B19)</f>
        <v>-0.18944444444444447</v>
      </c>
      <c r="F19" s="151">
        <f t="shared" si="1"/>
        <v>-3.4100000000000006</v>
      </c>
      <c r="G19" s="211" t="s">
        <v>964</v>
      </c>
      <c r="H19" s="183"/>
      <c r="I19" s="184"/>
      <c r="J19" s="184"/>
      <c r="K19" s="58"/>
      <c r="M19" s="2"/>
      <c r="N19" s="18"/>
      <c r="Q19"/>
    </row>
    <row r="20" spans="1:17">
      <c r="A20" s="530">
        <v>45908</v>
      </c>
      <c r="B20" s="204">
        <v>1</v>
      </c>
      <c r="C20" s="204"/>
      <c r="D20" s="204">
        <f t="shared" si="0"/>
        <v>-1</v>
      </c>
      <c r="E20" s="191">
        <f>SUM($D$2:D20)/SUM($B$2:B20)</f>
        <v>-0.23210526315789473</v>
      </c>
      <c r="F20" s="161">
        <f t="shared" si="1"/>
        <v>-4.41</v>
      </c>
      <c r="G20" s="210" t="s">
        <v>969</v>
      </c>
      <c r="H20" s="183"/>
      <c r="I20" s="184"/>
      <c r="J20" s="184"/>
      <c r="K20" s="18"/>
      <c r="M20" s="2"/>
      <c r="N20" s="18"/>
      <c r="Q20"/>
    </row>
    <row r="21" spans="1:17">
      <c r="A21" s="531"/>
      <c r="B21" s="205">
        <v>1</v>
      </c>
      <c r="C21" s="205"/>
      <c r="D21" s="205">
        <f t="shared" si="0"/>
        <v>-1</v>
      </c>
      <c r="E21" s="154">
        <f>SUM($D$2:D21)/SUM($B$2:B21)</f>
        <v>-0.27050000000000002</v>
      </c>
      <c r="F21" s="150">
        <f t="shared" si="1"/>
        <v>-5.41</v>
      </c>
      <c r="G21" s="201" t="s">
        <v>970</v>
      </c>
      <c r="H21" s="183"/>
      <c r="I21" s="184"/>
      <c r="J21" s="184"/>
      <c r="K21" s="18"/>
      <c r="M21" s="2"/>
      <c r="N21" s="18"/>
      <c r="Q21"/>
    </row>
    <row r="22" spans="1:17">
      <c r="A22" s="531"/>
      <c r="B22" s="205">
        <v>1</v>
      </c>
      <c r="C22" s="205">
        <v>1.909</v>
      </c>
      <c r="D22" s="205">
        <f t="shared" si="0"/>
        <v>0.90900000000000003</v>
      </c>
      <c r="E22" s="154">
        <f>SUM($D$2:D22)/SUM($B$2:B22)</f>
        <v>-0.21433333333333335</v>
      </c>
      <c r="F22" s="150">
        <f t="shared" si="1"/>
        <v>-4.5010000000000003</v>
      </c>
      <c r="G22" s="201" t="s">
        <v>971</v>
      </c>
      <c r="H22" s="183"/>
      <c r="I22" s="184"/>
      <c r="J22" s="184"/>
      <c r="K22" s="18"/>
      <c r="M22" s="2"/>
      <c r="N22" s="18"/>
      <c r="Q22"/>
    </row>
    <row r="23" spans="1:17" ht="15.75" thickBot="1">
      <c r="A23" s="531"/>
      <c r="B23" s="153">
        <v>1</v>
      </c>
      <c r="C23" s="153"/>
      <c r="D23" s="153">
        <f t="shared" si="0"/>
        <v>-1</v>
      </c>
      <c r="E23" s="190">
        <f>SUM($D$2:D23)/SUM($B$2:B23)</f>
        <v>-0.25004545454545457</v>
      </c>
      <c r="F23" s="151">
        <f t="shared" si="1"/>
        <v>-5.5010000000000003</v>
      </c>
      <c r="G23" s="211" t="s">
        <v>972</v>
      </c>
      <c r="H23" s="183"/>
      <c r="I23" s="184"/>
      <c r="J23" s="184"/>
      <c r="K23" s="18"/>
      <c r="M23" s="2"/>
      <c r="N23" s="18"/>
      <c r="Q23"/>
    </row>
    <row r="24" spans="1:17">
      <c r="A24" s="568">
        <v>45909</v>
      </c>
      <c r="B24" s="165">
        <v>1</v>
      </c>
      <c r="C24" s="204">
        <v>1.74</v>
      </c>
      <c r="D24" s="204">
        <f t="shared" si="0"/>
        <v>0.74</v>
      </c>
      <c r="E24" s="191">
        <f>SUM($D$2:D24)/SUM($B$2:B24)</f>
        <v>-0.20700000000000002</v>
      </c>
      <c r="F24" s="161">
        <f t="shared" si="1"/>
        <v>-4.7610000000000001</v>
      </c>
      <c r="G24" s="210" t="s">
        <v>973</v>
      </c>
      <c r="H24" s="183"/>
      <c r="I24" s="184"/>
      <c r="J24" s="184"/>
      <c r="K24" s="18"/>
      <c r="M24" s="2"/>
      <c r="N24" s="18"/>
      <c r="Q24"/>
    </row>
    <row r="25" spans="1:17">
      <c r="A25" s="534"/>
      <c r="B25" s="167">
        <v>1</v>
      </c>
      <c r="C25" s="205">
        <v>1.89</v>
      </c>
      <c r="D25" s="205">
        <f t="shared" si="0"/>
        <v>0.8899999999999999</v>
      </c>
      <c r="E25" s="154">
        <f>SUM($D$2:D25)/SUM($B$2:B25)</f>
        <v>-0.16129166666666669</v>
      </c>
      <c r="F25" s="150">
        <f t="shared" si="1"/>
        <v>-3.8710000000000004</v>
      </c>
      <c r="G25" s="201" t="s">
        <v>974</v>
      </c>
      <c r="H25" s="183"/>
      <c r="I25" s="184"/>
      <c r="J25" s="184"/>
      <c r="K25" s="18"/>
      <c r="M25" s="2"/>
      <c r="N25" s="18"/>
      <c r="Q25"/>
    </row>
    <row r="26" spans="1:17" ht="15.75" thickBot="1">
      <c r="A26" s="534"/>
      <c r="B26" s="170">
        <v>1</v>
      </c>
      <c r="C26" s="206"/>
      <c r="D26" s="206">
        <f t="shared" si="0"/>
        <v>-1</v>
      </c>
      <c r="E26" s="193">
        <f>SUM($D$2:D26)/SUM($B$2:B26)</f>
        <v>-0.19484000000000001</v>
      </c>
      <c r="F26" s="163">
        <f t="shared" si="1"/>
        <v>-4.8710000000000004</v>
      </c>
      <c r="G26" s="203" t="s">
        <v>972</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975</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973</v>
      </c>
      <c r="H28" s="183"/>
      <c r="I28" s="184"/>
      <c r="J28" s="184"/>
      <c r="K28" s="18"/>
      <c r="Q28"/>
    </row>
    <row r="29" spans="1:17">
      <c r="A29" s="556"/>
      <c r="B29" s="205">
        <v>1</v>
      </c>
      <c r="C29" s="205"/>
      <c r="D29" s="205">
        <f t="shared" si="0"/>
        <v>-1</v>
      </c>
      <c r="E29" s="154">
        <f>SUM($D$2:D29)/SUM($B$2:B29)</f>
        <v>-0.11764285714285716</v>
      </c>
      <c r="F29" s="150">
        <f t="shared" si="1"/>
        <v>-3.2940000000000005</v>
      </c>
      <c r="G29" s="201" t="s">
        <v>971</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974</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976</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977</v>
      </c>
      <c r="H32" s="183"/>
      <c r="I32" s="184"/>
      <c r="J32" s="184"/>
      <c r="K32" s="18"/>
      <c r="Q32"/>
    </row>
    <row r="33" spans="1:17" ht="15.75" thickBot="1">
      <c r="A33" s="564"/>
      <c r="B33" s="206">
        <v>1</v>
      </c>
      <c r="C33" s="206">
        <v>1.98</v>
      </c>
      <c r="D33" s="206">
        <f t="shared" si="0"/>
        <v>0.98</v>
      </c>
      <c r="E33" s="193">
        <f>SUM($D$2:D33)/SUM($B$2:B33)</f>
        <v>-1.2625000000000011E-2</v>
      </c>
      <c r="F33" s="163">
        <f t="shared" si="1"/>
        <v>-0.40400000000000036</v>
      </c>
      <c r="G33" s="211" t="s">
        <v>978</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979</v>
      </c>
      <c r="H34" s="183"/>
      <c r="I34" s="184"/>
      <c r="J34" s="184"/>
      <c r="K34" s="18"/>
      <c r="Q34"/>
    </row>
    <row r="35" spans="1:17">
      <c r="A35" s="556"/>
      <c r="B35" s="205">
        <v>1</v>
      </c>
      <c r="C35" s="205"/>
      <c r="D35" s="205">
        <f t="shared" si="0"/>
        <v>-1</v>
      </c>
      <c r="E35" s="154">
        <f>SUM($D$2:D35)/SUM($B$2:B35)</f>
        <v>-1.8941176470588246E-2</v>
      </c>
      <c r="F35" s="150">
        <f t="shared" si="1"/>
        <v>-0.64400000000000035</v>
      </c>
      <c r="G35" s="201" t="s">
        <v>980</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981</v>
      </c>
      <c r="H36" s="183"/>
      <c r="I36" s="184"/>
      <c r="J36" s="184"/>
      <c r="K36" s="18"/>
      <c r="Q36"/>
    </row>
    <row r="37" spans="1:17">
      <c r="A37" s="556"/>
      <c r="B37" s="205">
        <v>1</v>
      </c>
      <c r="C37" s="205"/>
      <c r="D37" s="205">
        <f t="shared" si="0"/>
        <v>-1</v>
      </c>
      <c r="E37" s="154">
        <f>SUM($D$2:D37)/SUM($B$2:B37)</f>
        <v>-1.9833333333333345E-2</v>
      </c>
      <c r="F37" s="150">
        <f t="shared" si="1"/>
        <v>-0.71400000000000041</v>
      </c>
      <c r="G37" s="201" t="s">
        <v>982</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983</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984</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985</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983</v>
      </c>
      <c r="H41" s="183"/>
      <c r="I41" s="184"/>
      <c r="J41" s="184"/>
      <c r="K41" s="18"/>
      <c r="Q41"/>
    </row>
    <row r="42" spans="1:17">
      <c r="A42" s="556"/>
      <c r="B42" s="205">
        <v>1</v>
      </c>
      <c r="C42" s="205"/>
      <c r="D42" s="205">
        <f t="shared" si="0"/>
        <v>-1</v>
      </c>
      <c r="E42" s="154">
        <f>SUM($D$2:D42)/SUM($B$2:B42)</f>
        <v>4.8926829268292664E-2</v>
      </c>
      <c r="F42" s="150">
        <f t="shared" si="1"/>
        <v>2.0059999999999993</v>
      </c>
      <c r="G42" s="201" t="s">
        <v>979</v>
      </c>
      <c r="H42" s="183"/>
      <c r="I42" s="184"/>
      <c r="J42" s="184"/>
      <c r="K42" s="18"/>
      <c r="Q42"/>
    </row>
    <row r="43" spans="1:17">
      <c r="A43" s="556"/>
      <c r="B43" s="205">
        <v>1</v>
      </c>
      <c r="C43" s="205"/>
      <c r="D43" s="205">
        <f t="shared" si="0"/>
        <v>-1</v>
      </c>
      <c r="E43" s="154">
        <f>SUM($D$2:D43)/SUM($B$2:B43)</f>
        <v>2.3952380952380937E-2</v>
      </c>
      <c r="F43" s="150">
        <f t="shared" si="1"/>
        <v>1.0059999999999993</v>
      </c>
      <c r="G43" s="201" t="s">
        <v>986</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987</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988</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988</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989</v>
      </c>
      <c r="H47" s="183"/>
      <c r="I47" s="184"/>
      <c r="J47" s="184"/>
      <c r="K47" s="18"/>
      <c r="Q47"/>
    </row>
    <row r="48" spans="1:17">
      <c r="A48" s="556"/>
      <c r="B48" s="205">
        <v>1</v>
      </c>
      <c r="C48" s="205">
        <v>2</v>
      </c>
      <c r="D48" s="205">
        <f t="shared" si="0"/>
        <v>1</v>
      </c>
      <c r="E48" s="154">
        <f>SUM($D$2:D48)/SUM($B$2:B48)</f>
        <v>8.012765957446806E-2</v>
      </c>
      <c r="F48" s="150">
        <f t="shared" si="1"/>
        <v>3.7659999999999991</v>
      </c>
      <c r="G48" s="201" t="s">
        <v>983</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979</v>
      </c>
      <c r="H49" s="183"/>
      <c r="I49" s="184"/>
      <c r="J49" s="184"/>
      <c r="K49" s="18"/>
      <c r="Q49"/>
    </row>
    <row r="50" spans="1:17">
      <c r="A50" s="556"/>
      <c r="B50" s="205">
        <v>1</v>
      </c>
      <c r="C50" s="205"/>
      <c r="D50" s="205">
        <f t="shared" si="0"/>
        <v>-1</v>
      </c>
      <c r="E50" s="154">
        <f>SUM($D$2:D50)/SUM($B$2:B50)</f>
        <v>7.2979591836734664E-2</v>
      </c>
      <c r="F50" s="150">
        <f t="shared" si="1"/>
        <v>3.5759999999999987</v>
      </c>
      <c r="G50" s="201" t="s">
        <v>982</v>
      </c>
      <c r="H50" s="183"/>
      <c r="I50" s="184"/>
      <c r="J50" s="184"/>
      <c r="K50" s="18"/>
      <c r="Q50"/>
    </row>
    <row r="51" spans="1:17" ht="15.75" thickBot="1">
      <c r="A51" s="564"/>
      <c r="B51" s="206">
        <v>1</v>
      </c>
      <c r="C51" s="206"/>
      <c r="D51" s="206">
        <f t="shared" si="0"/>
        <v>-1</v>
      </c>
      <c r="E51" s="193">
        <f>SUM($D$2:D51)/SUM($B$2:B51)</f>
        <v>5.1519999999999976E-2</v>
      </c>
      <c r="F51" s="163">
        <f t="shared" si="1"/>
        <v>2.5759999999999987</v>
      </c>
      <c r="G51" s="202" t="s">
        <v>987</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990</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991</v>
      </c>
      <c r="H53" s="183"/>
      <c r="I53" s="184"/>
      <c r="J53" s="184"/>
      <c r="K53" s="18"/>
      <c r="Q53"/>
    </row>
    <row r="54" spans="1:17" ht="15.75" thickBot="1">
      <c r="A54" s="564"/>
      <c r="B54" s="206">
        <v>1</v>
      </c>
      <c r="C54" s="206">
        <v>1.909</v>
      </c>
      <c r="D54" s="206">
        <f t="shared" si="0"/>
        <v>0.90900000000000003</v>
      </c>
      <c r="E54" s="193">
        <f>SUM($D$2:D54)/SUM($B$2:B54)</f>
        <v>9.9905660377358457E-2</v>
      </c>
      <c r="F54" s="163">
        <f t="shared" si="1"/>
        <v>5.2949999999999982</v>
      </c>
      <c r="G54" s="202" t="s">
        <v>992</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990</v>
      </c>
      <c r="H55" s="183"/>
      <c r="I55" s="184"/>
      <c r="J55" s="184"/>
      <c r="K55" s="18"/>
      <c r="Q55"/>
    </row>
    <row r="56" spans="1:17">
      <c r="A56" s="556"/>
      <c r="B56" s="205">
        <v>1</v>
      </c>
      <c r="C56" s="205"/>
      <c r="D56" s="205">
        <f t="shared" si="0"/>
        <v>-1</v>
      </c>
      <c r="E56" s="154">
        <f>SUM($D$2:D56)/SUM($B$2:B56)</f>
        <v>9.3727272727272701E-2</v>
      </c>
      <c r="F56" s="150">
        <f t="shared" si="1"/>
        <v>5.1549999999999985</v>
      </c>
      <c r="G56" s="201" t="s">
        <v>993</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992</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991</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994</v>
      </c>
      <c r="H59" s="183"/>
      <c r="I59" s="184"/>
      <c r="J59" s="184"/>
      <c r="K59" s="18"/>
      <c r="Q59"/>
    </row>
    <row r="60" spans="1:17" ht="15.75" thickBot="1">
      <c r="A60" s="564"/>
      <c r="B60" s="206">
        <v>1</v>
      </c>
      <c r="C60" s="206"/>
      <c r="D60" s="206">
        <f t="shared" si="0"/>
        <v>-1</v>
      </c>
      <c r="E60" s="193">
        <f>SUM($D$2:D60)/SUM($B$2:B60)</f>
        <v>0.11788135593220338</v>
      </c>
      <c r="F60" s="163">
        <f t="shared" si="1"/>
        <v>6.9549999999999992</v>
      </c>
      <c r="G60" s="202" t="s">
        <v>995</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996</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997</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998</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999</v>
      </c>
      <c r="H64" s="183"/>
      <c r="I64" s="184"/>
      <c r="J64" s="184"/>
      <c r="K64" s="18"/>
      <c r="Q64"/>
    </row>
    <row r="65" spans="1:17">
      <c r="A65" s="556"/>
      <c r="B65" s="205">
        <v>1</v>
      </c>
      <c r="C65" s="205"/>
      <c r="D65" s="205">
        <f t="shared" si="0"/>
        <v>-1</v>
      </c>
      <c r="E65" s="154">
        <f>SUM($D$2:D65)/SUM($B$2:B65)</f>
        <v>0.184140625</v>
      </c>
      <c r="F65" s="150">
        <f t="shared" si="1"/>
        <v>11.785</v>
      </c>
      <c r="G65" s="201" t="s">
        <v>990</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1000</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1001</v>
      </c>
      <c r="H67" s="183"/>
      <c r="I67" s="184"/>
      <c r="J67" s="184"/>
      <c r="K67" s="18"/>
      <c r="Q67"/>
    </row>
    <row r="68" spans="1:17" ht="15.75" thickBot="1">
      <c r="A68" s="564"/>
      <c r="B68" s="206">
        <v>1</v>
      </c>
      <c r="C68" s="206">
        <v>1.87</v>
      </c>
      <c r="D68" s="206">
        <f t="shared" si="2"/>
        <v>0.87000000000000011</v>
      </c>
      <c r="E68" s="193">
        <f>SUM($D$2:D68)/SUM($B$2:B68)</f>
        <v>0.18783582089552239</v>
      </c>
      <c r="F68" s="163">
        <f t="shared" ref="F68:F119" si="3">F67+D68</f>
        <v>12.585000000000001</v>
      </c>
      <c r="G68" s="202" t="s">
        <v>994</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992</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1002</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1003</v>
      </c>
      <c r="H71" s="183"/>
      <c r="I71" s="184"/>
      <c r="J71" s="184"/>
      <c r="K71" s="18"/>
      <c r="Q71"/>
    </row>
    <row r="72" spans="1:17">
      <c r="A72" s="556"/>
      <c r="B72" s="205">
        <v>1</v>
      </c>
      <c r="C72" s="205"/>
      <c r="D72" s="205">
        <f t="shared" si="2"/>
        <v>-1</v>
      </c>
      <c r="E72" s="154">
        <f>SUM($D$2:D72)/SUM($B$2:B72)</f>
        <v>0.17401408450704228</v>
      </c>
      <c r="F72" s="150">
        <f t="shared" si="3"/>
        <v>12.355000000000002</v>
      </c>
      <c r="G72" s="201" t="s">
        <v>1004</v>
      </c>
      <c r="H72" s="183"/>
      <c r="I72" s="184"/>
      <c r="J72" s="184"/>
      <c r="K72" s="18"/>
      <c r="Q72"/>
    </row>
    <row r="73" spans="1:17">
      <c r="A73" s="556"/>
      <c r="B73" s="205">
        <v>1</v>
      </c>
      <c r="C73" s="205"/>
      <c r="D73" s="205">
        <f t="shared" si="2"/>
        <v>-1</v>
      </c>
      <c r="E73" s="154">
        <f>SUM($D$2:D73)/SUM($B$2:B73)</f>
        <v>0.15770833333333337</v>
      </c>
      <c r="F73" s="150">
        <f t="shared" si="3"/>
        <v>11.355000000000002</v>
      </c>
      <c r="G73" s="201" t="s">
        <v>1005</v>
      </c>
      <c r="H73" s="183"/>
      <c r="I73" s="184"/>
      <c r="J73" s="184"/>
      <c r="K73" s="18"/>
      <c r="Q73"/>
    </row>
    <row r="74" spans="1:17" ht="15.75" thickBot="1">
      <c r="A74" s="564"/>
      <c r="B74" s="206">
        <v>1</v>
      </c>
      <c r="C74" s="206"/>
      <c r="D74" s="206">
        <f t="shared" si="2"/>
        <v>-1</v>
      </c>
      <c r="E74" s="193">
        <f>SUM($D$2:D74)/SUM($B$2:B74)</f>
        <v>0.14184931506849319</v>
      </c>
      <c r="F74" s="163">
        <f t="shared" si="3"/>
        <v>10.355000000000002</v>
      </c>
      <c r="G74" s="202" t="s">
        <v>1006</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1007</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1008</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1005</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1009</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1010</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1011</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1006</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1012</v>
      </c>
      <c r="H82" s="183"/>
      <c r="I82" s="184"/>
      <c r="J82" s="184"/>
      <c r="K82" s="18"/>
      <c r="Q82"/>
    </row>
    <row r="83" spans="1:17">
      <c r="A83" s="556"/>
      <c r="B83" s="205">
        <v>1</v>
      </c>
      <c r="C83" s="205"/>
      <c r="D83" s="205">
        <f t="shared" si="2"/>
        <v>-1</v>
      </c>
      <c r="E83" s="154">
        <f>SUM($D$2:D83)/SUM($B$2:B83)</f>
        <v>0.2024146341463415</v>
      </c>
      <c r="F83" s="150">
        <f t="shared" si="3"/>
        <v>16.598000000000003</v>
      </c>
      <c r="G83" s="201" t="s">
        <v>1003</v>
      </c>
      <c r="H83" s="183"/>
      <c r="I83" s="184"/>
      <c r="J83" s="184"/>
      <c r="K83" s="18"/>
      <c r="Q83"/>
    </row>
    <row r="84" spans="1:17" ht="15.75" thickBot="1">
      <c r="A84" s="564"/>
      <c r="B84" s="206">
        <v>1</v>
      </c>
      <c r="C84" s="206">
        <v>2.13</v>
      </c>
      <c r="D84" s="206">
        <f t="shared" si="2"/>
        <v>1.1299999999999999</v>
      </c>
      <c r="E84" s="193">
        <f>SUM($D$2:D84)/SUM($B$2:B84)</f>
        <v>0.21359036144578314</v>
      </c>
      <c r="F84" s="163">
        <f t="shared" si="3"/>
        <v>17.728000000000002</v>
      </c>
      <c r="G84" s="202" t="s">
        <v>1013</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1011</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1003</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1009</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1006</v>
      </c>
      <c r="H88" s="183"/>
      <c r="I88" s="184"/>
      <c r="J88" s="184"/>
      <c r="K88" s="18"/>
      <c r="Q88"/>
    </row>
    <row r="89" spans="1:17">
      <c r="A89" s="556"/>
      <c r="B89" s="205">
        <v>1</v>
      </c>
      <c r="C89" s="205"/>
      <c r="D89" s="205">
        <f t="shared" si="2"/>
        <v>-1</v>
      </c>
      <c r="E89" s="154">
        <f>SUM($D$2:D89)/SUM($B$2:B89)</f>
        <v>0.23043181818181821</v>
      </c>
      <c r="F89" s="150">
        <f t="shared" si="3"/>
        <v>20.278000000000002</v>
      </c>
      <c r="G89" s="201" t="s">
        <v>1014</v>
      </c>
      <c r="H89" s="183"/>
      <c r="I89" s="184"/>
      <c r="J89" s="184"/>
      <c r="K89" s="18"/>
      <c r="Q89"/>
    </row>
    <row r="90" spans="1:17">
      <c r="A90" s="556"/>
      <c r="B90" s="205">
        <v>1</v>
      </c>
      <c r="C90" s="205"/>
      <c r="D90" s="205">
        <f t="shared" si="2"/>
        <v>-1</v>
      </c>
      <c r="E90" s="154">
        <f>SUM($D$2:D90)/SUM($B$2:B90)</f>
        <v>0.21660674157303372</v>
      </c>
      <c r="F90" s="150">
        <f t="shared" si="3"/>
        <v>19.278000000000002</v>
      </c>
      <c r="G90" s="201" t="s">
        <v>1005</v>
      </c>
      <c r="H90" s="183"/>
      <c r="I90" s="184"/>
      <c r="J90" s="184"/>
      <c r="K90" s="18"/>
      <c r="Q90"/>
    </row>
    <row r="91" spans="1:17">
      <c r="A91" s="556"/>
      <c r="B91" s="205">
        <v>1</v>
      </c>
      <c r="C91" s="205"/>
      <c r="D91" s="205">
        <f t="shared" si="2"/>
        <v>-1</v>
      </c>
      <c r="E91" s="154">
        <f>SUM($D$2:D91)/SUM($B$2:B91)</f>
        <v>0.2030888888888889</v>
      </c>
      <c r="F91" s="150">
        <f t="shared" si="3"/>
        <v>18.278000000000002</v>
      </c>
      <c r="G91" s="201" t="s">
        <v>1010</v>
      </c>
      <c r="H91" s="183"/>
      <c r="I91" s="184"/>
      <c r="J91" s="184"/>
      <c r="K91" s="18"/>
      <c r="Q91"/>
    </row>
    <row r="92" spans="1:17" ht="15.75" thickBot="1">
      <c r="A92" s="564"/>
      <c r="B92" s="206">
        <v>1</v>
      </c>
      <c r="C92" s="206">
        <v>2</v>
      </c>
      <c r="D92" s="206">
        <f t="shared" si="2"/>
        <v>1</v>
      </c>
      <c r="E92" s="193">
        <f>SUM($D$2:D92)/SUM($B$2:B92)</f>
        <v>0.21184615384615388</v>
      </c>
      <c r="F92" s="163">
        <f t="shared" si="3"/>
        <v>19.278000000000002</v>
      </c>
      <c r="G92" s="202" t="s">
        <v>1012</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1015</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1016</v>
      </c>
      <c r="H94" s="183"/>
      <c r="I94" s="184"/>
      <c r="J94" s="184"/>
      <c r="K94" s="18"/>
      <c r="Q94"/>
    </row>
    <row r="95" spans="1:17">
      <c r="A95" s="563"/>
      <c r="B95" s="165">
        <v>1</v>
      </c>
      <c r="C95" s="204"/>
      <c r="D95" s="204">
        <f t="shared" si="2"/>
        <v>-1</v>
      </c>
      <c r="E95" s="191">
        <f>SUM($D$2:D95)/SUM($B$2:B95)</f>
        <v>0.17317021276595748</v>
      </c>
      <c r="F95" s="161">
        <f t="shared" si="3"/>
        <v>16.278000000000002</v>
      </c>
      <c r="G95" s="200" t="s">
        <v>1003</v>
      </c>
      <c r="H95" s="183"/>
      <c r="I95" s="184"/>
      <c r="J95" s="184"/>
      <c r="K95" s="18"/>
      <c r="Q95"/>
    </row>
    <row r="96" spans="1:17">
      <c r="A96" s="563"/>
      <c r="B96" s="167">
        <v>1</v>
      </c>
      <c r="C96" s="205"/>
      <c r="D96" s="205">
        <f t="shared" si="2"/>
        <v>-1</v>
      </c>
      <c r="E96" s="154">
        <f>SUM($D$2:D96)/SUM($B$2:B96)</f>
        <v>0.16082105263157898</v>
      </c>
      <c r="F96" s="150">
        <f t="shared" si="3"/>
        <v>15.278000000000002</v>
      </c>
      <c r="G96" s="201" t="s">
        <v>1017</v>
      </c>
      <c r="H96" s="183"/>
      <c r="I96" s="184"/>
      <c r="J96" s="184"/>
      <c r="K96" s="18"/>
      <c r="Q96"/>
    </row>
    <row r="97" spans="1:17">
      <c r="A97" s="563"/>
      <c r="B97" s="167">
        <v>1</v>
      </c>
      <c r="C97" s="205"/>
      <c r="D97" s="205">
        <f t="shared" si="2"/>
        <v>-1</v>
      </c>
      <c r="E97" s="154">
        <f>SUM($D$2:D97)/SUM($B$2:B97)</f>
        <v>0.14872916666666669</v>
      </c>
      <c r="F97" s="150">
        <f t="shared" si="3"/>
        <v>14.278000000000002</v>
      </c>
      <c r="G97" s="201" t="s">
        <v>1011</v>
      </c>
      <c r="H97" s="183"/>
      <c r="I97" s="184"/>
      <c r="J97" s="184"/>
      <c r="K97" s="18"/>
      <c r="Q97"/>
    </row>
    <row r="98" spans="1:17">
      <c r="A98" s="563"/>
      <c r="B98" s="167">
        <v>1</v>
      </c>
      <c r="C98" s="205">
        <v>1.87</v>
      </c>
      <c r="D98" s="205">
        <f t="shared" si="2"/>
        <v>0.87000000000000011</v>
      </c>
      <c r="E98" s="154">
        <f>SUM($D$2:D98)/SUM($B$2:B98)</f>
        <v>0.15616494845360829</v>
      </c>
      <c r="F98" s="150">
        <f t="shared" si="3"/>
        <v>15.148000000000003</v>
      </c>
      <c r="G98" s="201" t="s">
        <v>1009</v>
      </c>
      <c r="H98" s="183"/>
      <c r="I98" s="184"/>
      <c r="J98" s="184"/>
      <c r="K98" s="18"/>
      <c r="Q98"/>
    </row>
    <row r="99" spans="1:17" ht="15.75" thickBot="1">
      <c r="A99" s="563"/>
      <c r="B99" s="168">
        <v>1</v>
      </c>
      <c r="C99" s="153">
        <v>1.64</v>
      </c>
      <c r="D99" s="153">
        <f t="shared" si="2"/>
        <v>0.6399999999999999</v>
      </c>
      <c r="E99" s="190">
        <f>SUM($D$2:D99)/SUM($B$2:B99)</f>
        <v>0.16110204081632656</v>
      </c>
      <c r="F99" s="151">
        <f t="shared" si="3"/>
        <v>15.788000000000004</v>
      </c>
      <c r="G99" s="209" t="s">
        <v>1008</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1018</v>
      </c>
      <c r="H100" s="183"/>
      <c r="I100" s="184"/>
      <c r="J100" s="184"/>
      <c r="K100" s="18"/>
      <c r="Q100"/>
    </row>
    <row r="101" spans="1:17">
      <c r="A101" s="562">
        <v>45923</v>
      </c>
      <c r="B101" s="165">
        <v>1</v>
      </c>
      <c r="C101" s="204">
        <v>2.81</v>
      </c>
      <c r="D101" s="204">
        <f t="shared" si="2"/>
        <v>1.81</v>
      </c>
      <c r="E101" s="191">
        <f>SUM($D$2:D101)/SUM($B$2:B101)</f>
        <v>0.18578000000000003</v>
      </c>
      <c r="F101" s="161">
        <f t="shared" si="3"/>
        <v>18.578000000000003</v>
      </c>
      <c r="G101" s="200" t="s">
        <v>975</v>
      </c>
      <c r="H101" s="183"/>
      <c r="I101" s="184"/>
      <c r="J101" s="184"/>
      <c r="K101" s="18"/>
      <c r="Q101"/>
    </row>
    <row r="102" spans="1:17" ht="15.75" thickBot="1">
      <c r="A102" s="563"/>
      <c r="B102" s="170">
        <v>1</v>
      </c>
      <c r="C102" s="206">
        <v>2.85</v>
      </c>
      <c r="D102" s="206">
        <f t="shared" si="2"/>
        <v>1.85</v>
      </c>
      <c r="E102" s="193">
        <f>SUM($D$2:D102)/SUM($B$2:B102)</f>
        <v>0.2022574257425743</v>
      </c>
      <c r="F102" s="163">
        <f t="shared" si="3"/>
        <v>20.428000000000004</v>
      </c>
      <c r="G102" s="202" t="s">
        <v>1019</v>
      </c>
      <c r="H102" s="183"/>
      <c r="I102" s="184"/>
      <c r="J102" s="184"/>
      <c r="K102" s="18"/>
      <c r="Q102"/>
    </row>
    <row r="103" spans="1:17">
      <c r="A103" s="563"/>
      <c r="B103" s="167">
        <v>1</v>
      </c>
      <c r="C103" s="205">
        <v>1.75</v>
      </c>
      <c r="D103" s="205">
        <f t="shared" si="2"/>
        <v>0.75</v>
      </c>
      <c r="E103" s="154">
        <f>SUM($D$2:D103)/SUM($B$2:B103)</f>
        <v>0.2076274509803922</v>
      </c>
      <c r="F103" s="150">
        <f t="shared" si="3"/>
        <v>21.178000000000004</v>
      </c>
      <c r="G103" s="201" t="s">
        <v>1020</v>
      </c>
      <c r="H103" s="183"/>
      <c r="I103" s="184"/>
      <c r="J103" s="184"/>
      <c r="K103" s="18"/>
      <c r="Q103"/>
    </row>
    <row r="104" spans="1:17">
      <c r="A104" s="563"/>
      <c r="B104" s="167">
        <v>1</v>
      </c>
      <c r="C104" s="205"/>
      <c r="D104" s="205">
        <f t="shared" si="2"/>
        <v>-1</v>
      </c>
      <c r="E104" s="154">
        <f>SUM($D$2:D104)/SUM($B$2:B104)</f>
        <v>0.19590291262135925</v>
      </c>
      <c r="F104" s="150">
        <f t="shared" si="3"/>
        <v>20.178000000000004</v>
      </c>
      <c r="G104" s="201" t="s">
        <v>1021</v>
      </c>
      <c r="H104" s="183"/>
      <c r="I104" s="184"/>
      <c r="J104" s="184"/>
      <c r="K104" s="18"/>
      <c r="Q104"/>
    </row>
    <row r="105" spans="1:17">
      <c r="A105" s="563"/>
      <c r="B105" s="167">
        <v>1</v>
      </c>
      <c r="C105" s="205">
        <v>1.95</v>
      </c>
      <c r="D105" s="205">
        <f t="shared" si="2"/>
        <v>0.95</v>
      </c>
      <c r="E105" s="154">
        <f>SUM($D$2:D105)/SUM($B$2:B105)</f>
        <v>0.20315384615384618</v>
      </c>
      <c r="F105" s="150">
        <f t="shared" si="3"/>
        <v>21.128000000000004</v>
      </c>
      <c r="G105" s="201" t="s">
        <v>1022</v>
      </c>
      <c r="H105" s="183"/>
      <c r="I105" s="184"/>
      <c r="J105" s="184"/>
      <c r="K105" s="18"/>
      <c r="Q105"/>
    </row>
    <row r="106" spans="1:17">
      <c r="A106" s="563"/>
      <c r="B106" s="167">
        <v>1</v>
      </c>
      <c r="C106" s="205"/>
      <c r="D106" s="205">
        <f t="shared" si="2"/>
        <v>-1</v>
      </c>
      <c r="E106" s="154">
        <f>SUM($D$2:D106)/SUM($B$2:B106)</f>
        <v>0.19169523809523814</v>
      </c>
      <c r="F106" s="150">
        <f t="shared" si="3"/>
        <v>20.128000000000004</v>
      </c>
      <c r="G106" s="272" t="s">
        <v>1023</v>
      </c>
      <c r="H106" s="183"/>
      <c r="I106" s="184"/>
      <c r="J106" s="184"/>
      <c r="K106" s="18"/>
      <c r="Q106"/>
    </row>
    <row r="107" spans="1:17">
      <c r="A107" s="563"/>
      <c r="B107" s="167">
        <v>1</v>
      </c>
      <c r="C107" s="205"/>
      <c r="D107" s="205">
        <f t="shared" si="2"/>
        <v>-1</v>
      </c>
      <c r="E107" s="154">
        <f>SUM($D$2:D107)/SUM($B$2:B107)</f>
        <v>0.18045283018867928</v>
      </c>
      <c r="F107" s="150">
        <f t="shared" si="3"/>
        <v>19.128000000000004</v>
      </c>
      <c r="G107" s="201" t="s">
        <v>1024</v>
      </c>
      <c r="H107" s="183"/>
      <c r="I107" s="184"/>
      <c r="J107" s="184"/>
      <c r="K107" s="18"/>
      <c r="Q107"/>
    </row>
    <row r="108" spans="1:17" ht="15.75" thickBot="1">
      <c r="A108" s="576"/>
      <c r="B108" s="168">
        <v>1</v>
      </c>
      <c r="C108" s="153"/>
      <c r="D108" s="153">
        <f t="shared" si="2"/>
        <v>-1</v>
      </c>
      <c r="E108" s="190">
        <f>SUM($D$2:D108)/SUM($B$2:B108)</f>
        <v>0.1694205607476636</v>
      </c>
      <c r="F108" s="151">
        <f t="shared" si="3"/>
        <v>18.128000000000004</v>
      </c>
      <c r="G108" s="209" t="s">
        <v>1025</v>
      </c>
      <c r="H108" s="183"/>
      <c r="I108" s="184"/>
      <c r="J108" s="184"/>
      <c r="K108" s="18"/>
      <c r="Q108"/>
    </row>
    <row r="109" spans="1:17">
      <c r="A109" s="562">
        <v>45924</v>
      </c>
      <c r="B109" s="165">
        <v>1</v>
      </c>
      <c r="C109" s="204"/>
      <c r="D109" s="204">
        <f t="shared" si="2"/>
        <v>-1</v>
      </c>
      <c r="E109" s="191">
        <f>SUM($D$2:D109)/SUM($B$2:B109)</f>
        <v>0.15859259259259262</v>
      </c>
      <c r="F109" s="161">
        <f t="shared" si="3"/>
        <v>17.128000000000004</v>
      </c>
      <c r="G109" s="200" t="s">
        <v>1021</v>
      </c>
      <c r="H109" s="183"/>
      <c r="I109" s="184"/>
      <c r="J109" s="184"/>
      <c r="K109" s="18"/>
      <c r="Q109"/>
    </row>
    <row r="110" spans="1:17">
      <c r="A110" s="563"/>
      <c r="B110" s="167">
        <v>1</v>
      </c>
      <c r="C110" s="205">
        <v>1.833</v>
      </c>
      <c r="D110" s="205">
        <f t="shared" si="2"/>
        <v>0.83299999999999996</v>
      </c>
      <c r="E110" s="154">
        <f>SUM($D$2:D110)/SUM($B$2:B110)</f>
        <v>0.16477981651376147</v>
      </c>
      <c r="F110" s="150">
        <f t="shared" si="3"/>
        <v>17.961000000000002</v>
      </c>
      <c r="G110" s="201" t="s">
        <v>1026</v>
      </c>
      <c r="H110" s="183"/>
      <c r="I110" s="184"/>
      <c r="J110" s="184"/>
      <c r="K110" s="18"/>
      <c r="Q110"/>
    </row>
    <row r="111" spans="1:17">
      <c r="A111" s="563"/>
      <c r="B111" s="167">
        <v>1</v>
      </c>
      <c r="C111" s="205">
        <v>2</v>
      </c>
      <c r="D111" s="205">
        <f t="shared" si="2"/>
        <v>1</v>
      </c>
      <c r="E111" s="154">
        <f>SUM($D$2:D111)/SUM($B$2:B111)</f>
        <v>0.17237272727272729</v>
      </c>
      <c r="F111" s="150">
        <f t="shared" si="3"/>
        <v>18.961000000000002</v>
      </c>
      <c r="G111" s="201" t="s">
        <v>1023</v>
      </c>
      <c r="H111" s="183"/>
      <c r="I111" s="184"/>
      <c r="J111" s="184"/>
      <c r="K111" s="18"/>
      <c r="Q111"/>
    </row>
    <row r="112" spans="1:17">
      <c r="A112" s="563"/>
      <c r="B112" s="167">
        <v>1</v>
      </c>
      <c r="C112" s="205">
        <v>2.06</v>
      </c>
      <c r="D112" s="205">
        <f t="shared" si="2"/>
        <v>1.06</v>
      </c>
      <c r="E112" s="154">
        <f>SUM($D$2:D112)/SUM($B$2:B112)</f>
        <v>0.18036936936936937</v>
      </c>
      <c r="F112" s="150">
        <f t="shared" si="3"/>
        <v>20.021000000000001</v>
      </c>
      <c r="G112" s="201" t="s">
        <v>1027</v>
      </c>
      <c r="H112" s="183"/>
      <c r="I112" s="184"/>
      <c r="J112" s="184"/>
      <c r="K112" s="18"/>
      <c r="Q112"/>
    </row>
    <row r="113" spans="1:17" ht="15.75" thickBot="1">
      <c r="A113" s="576"/>
      <c r="B113" s="170">
        <v>1</v>
      </c>
      <c r="C113" s="206"/>
      <c r="D113" s="206">
        <f t="shared" si="2"/>
        <v>-1</v>
      </c>
      <c r="E113" s="193">
        <f>SUM($D$2:D113)/SUM($B$2:B113)</f>
        <v>0.16983035714285716</v>
      </c>
      <c r="F113" s="163">
        <f t="shared" si="3"/>
        <v>19.021000000000001</v>
      </c>
      <c r="G113" s="202" t="s">
        <v>1018</v>
      </c>
      <c r="H113" s="183"/>
      <c r="I113" s="184"/>
      <c r="J113" s="184"/>
      <c r="K113" s="18"/>
      <c r="Q113"/>
    </row>
    <row r="114" spans="1:17">
      <c r="A114" s="562">
        <v>45925</v>
      </c>
      <c r="B114" s="165">
        <v>1</v>
      </c>
      <c r="C114" s="204">
        <v>1.88</v>
      </c>
      <c r="D114" s="204">
        <f t="shared" si="2"/>
        <v>0.87999999999999989</v>
      </c>
      <c r="E114" s="191">
        <f>SUM($D$2:D114)/SUM($B$2:B114)</f>
        <v>0.17611504424778762</v>
      </c>
      <c r="F114" s="161">
        <f t="shared" si="3"/>
        <v>19.901</v>
      </c>
      <c r="G114" s="200" t="s">
        <v>1021</v>
      </c>
      <c r="H114" s="183"/>
      <c r="I114" s="184"/>
      <c r="J114" s="184"/>
      <c r="K114" s="18"/>
      <c r="Q114"/>
    </row>
    <row r="115" spans="1:17">
      <c r="A115" s="563"/>
      <c r="B115" s="167">
        <v>1</v>
      </c>
      <c r="C115" s="205">
        <v>1.8</v>
      </c>
      <c r="D115" s="205">
        <f t="shared" si="2"/>
        <v>0.8</v>
      </c>
      <c r="E115" s="154">
        <f>SUM($D$2:D115)/SUM($B$2:B115)</f>
        <v>0.18158771929824563</v>
      </c>
      <c r="F115" s="150">
        <f t="shared" si="3"/>
        <v>20.701000000000001</v>
      </c>
      <c r="G115" s="201" t="s">
        <v>1020</v>
      </c>
      <c r="H115" s="183"/>
      <c r="I115" s="184"/>
      <c r="J115" s="184"/>
      <c r="K115" s="18"/>
      <c r="Q115"/>
    </row>
    <row r="116" spans="1:17">
      <c r="A116" s="563"/>
      <c r="B116" s="167">
        <v>1</v>
      </c>
      <c r="C116" s="205"/>
      <c r="D116" s="205">
        <f t="shared" si="2"/>
        <v>-1</v>
      </c>
      <c r="E116" s="154">
        <f>SUM($D$2:D116)/SUM($B$2:B116)</f>
        <v>0.17131304347826087</v>
      </c>
      <c r="F116" s="150">
        <f t="shared" si="3"/>
        <v>19.701000000000001</v>
      </c>
      <c r="G116" s="201" t="s">
        <v>1023</v>
      </c>
      <c r="H116" s="183"/>
      <c r="I116" s="184"/>
      <c r="J116" s="184"/>
      <c r="K116" s="18"/>
      <c r="Q116"/>
    </row>
    <row r="117" spans="1:17">
      <c r="A117" s="563"/>
      <c r="B117" s="167">
        <v>1</v>
      </c>
      <c r="C117" s="205">
        <v>1.98</v>
      </c>
      <c r="D117" s="205">
        <f t="shared" si="2"/>
        <v>0.98</v>
      </c>
      <c r="E117" s="154">
        <f>SUM($D$2:D117)/SUM($B$2:B117)</f>
        <v>0.17828448275862069</v>
      </c>
      <c r="F117" s="150">
        <f t="shared" si="3"/>
        <v>20.681000000000001</v>
      </c>
      <c r="G117" s="201" t="s">
        <v>1028</v>
      </c>
      <c r="H117" s="183"/>
      <c r="I117" s="184"/>
      <c r="J117" s="184"/>
      <c r="K117" s="18"/>
      <c r="Q117"/>
    </row>
    <row r="118" spans="1:17">
      <c r="A118" s="563"/>
      <c r="B118" s="167">
        <v>1</v>
      </c>
      <c r="C118" s="205"/>
      <c r="D118" s="205">
        <f t="shared" si="2"/>
        <v>-1</v>
      </c>
      <c r="E118" s="154">
        <f>SUM($D$2:D118)/SUM($B$2:B118)</f>
        <v>0.16821367521367522</v>
      </c>
      <c r="F118" s="150">
        <f t="shared" si="3"/>
        <v>19.681000000000001</v>
      </c>
      <c r="G118" s="201" t="s">
        <v>1029</v>
      </c>
      <c r="H118" s="183"/>
      <c r="I118" s="184"/>
      <c r="J118" s="184"/>
      <c r="K118" s="18"/>
      <c r="Q118"/>
    </row>
    <row r="119" spans="1:17" ht="15.75" thickBot="1">
      <c r="A119" s="563"/>
      <c r="B119" s="170">
        <v>1</v>
      </c>
      <c r="C119" s="206">
        <v>2.0299999999999998</v>
      </c>
      <c r="D119" s="206">
        <f t="shared" si="2"/>
        <v>1.0299999999999998</v>
      </c>
      <c r="E119" s="193">
        <f>SUM($D$2:D119)/SUM($B$2:B119)</f>
        <v>0.1755169491525424</v>
      </c>
      <c r="F119" s="163">
        <f t="shared" si="3"/>
        <v>20.711000000000002</v>
      </c>
      <c r="G119" s="202" t="s">
        <v>1030</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1031</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1032</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1033</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1034</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1035</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1036</v>
      </c>
      <c r="H125" s="183"/>
      <c r="I125" s="184"/>
      <c r="J125" s="184"/>
      <c r="K125" s="18"/>
      <c r="Q125"/>
    </row>
    <row r="126" spans="1:17" ht="15.75" thickBot="1">
      <c r="A126" s="564"/>
      <c r="B126" s="105">
        <v>1</v>
      </c>
      <c r="C126" s="218">
        <v>1.97</v>
      </c>
      <c r="D126" s="218">
        <f>(B126*C126)-B126</f>
        <v>0.97</v>
      </c>
      <c r="E126" s="59">
        <f>SUM($D$2:D126)/SUM($B$2:B126)</f>
        <v>0.18840800000000002</v>
      </c>
      <c r="F126" s="38">
        <f>F125+D126</f>
        <v>23.551000000000002</v>
      </c>
      <c r="G126" s="141" t="s">
        <v>1037</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1038</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1039</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1032</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1036</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1037</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1035</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1040</v>
      </c>
      <c r="H133" s="183"/>
      <c r="I133" s="184"/>
      <c r="J133" s="184"/>
      <c r="K133" s="18"/>
      <c r="Q133"/>
    </row>
    <row r="134" spans="1:17" ht="15.75" thickBot="1">
      <c r="A134" s="564"/>
      <c r="B134" s="170">
        <v>1</v>
      </c>
      <c r="C134" s="206">
        <v>2.06</v>
      </c>
      <c r="D134" s="206">
        <f>(B134*C134)-B134</f>
        <v>1.06</v>
      </c>
      <c r="E134" s="193">
        <f>SUM($D$2:D134)/SUM($B$2:B134)</f>
        <v>0.20339097744360901</v>
      </c>
      <c r="F134" s="163">
        <f>F133+D134</f>
        <v>27.050999999999998</v>
      </c>
      <c r="G134" s="194" t="s">
        <v>1041</v>
      </c>
      <c r="H134" s="183"/>
      <c r="I134" s="184"/>
      <c r="J134" s="184"/>
      <c r="K134" s="18"/>
      <c r="Q134"/>
    </row>
    <row r="135" spans="1:17" ht="15.75" thickBot="1">
      <c r="A135" s="577">
        <v>45928</v>
      </c>
      <c r="B135" s="222">
        <v>1</v>
      </c>
      <c r="C135" s="223">
        <v>2.85</v>
      </c>
      <c r="D135" s="223">
        <f>(B135*C135)-B135</f>
        <v>1.85</v>
      </c>
      <c r="E135" s="224">
        <f>SUM($D$2:D135)/SUM($B$2:B135)</f>
        <v>0.21567910447761193</v>
      </c>
      <c r="F135" s="225">
        <f>F134+D135</f>
        <v>28.901</v>
      </c>
      <c r="G135" s="274" t="s">
        <v>1042</v>
      </c>
      <c r="H135" s="183"/>
      <c r="I135" s="184"/>
      <c r="J135" s="184"/>
      <c r="K135" s="18"/>
      <c r="Q135"/>
    </row>
    <row r="136" spans="1:17">
      <c r="A136" s="578"/>
      <c r="B136" s="179">
        <v>1</v>
      </c>
      <c r="C136" s="207">
        <v>1.87</v>
      </c>
      <c r="D136" s="207">
        <f>(B136*C136)-B136</f>
        <v>0.87000000000000011</v>
      </c>
      <c r="E136" s="195">
        <f>SUM($D$2:D136)/SUM($B$2:B136)</f>
        <v>0.22052592592592593</v>
      </c>
      <c r="F136" s="162">
        <f>F135+D136</f>
        <v>29.771000000000001</v>
      </c>
      <c r="G136" s="214" t="s">
        <v>1039</v>
      </c>
      <c r="H136" s="183"/>
      <c r="I136" s="184"/>
      <c r="J136" s="184"/>
      <c r="K136" s="18"/>
      <c r="Q136"/>
    </row>
    <row r="137" spans="1:17">
      <c r="A137" s="578"/>
      <c r="B137" s="167">
        <v>1</v>
      </c>
      <c r="C137" s="205"/>
      <c r="D137" s="205">
        <f>(B137*C137)-B137</f>
        <v>-1</v>
      </c>
      <c r="E137" s="154">
        <f>SUM($D$2:D137)/SUM($B$2:B137)</f>
        <v>0.21155147058823531</v>
      </c>
      <c r="F137" s="150">
        <f>F136+D137</f>
        <v>28.771000000000001</v>
      </c>
      <c r="G137" s="189" t="s">
        <v>1043</v>
      </c>
      <c r="H137" s="183"/>
      <c r="I137" s="184"/>
      <c r="J137" s="184"/>
      <c r="K137" s="18"/>
      <c r="Q137"/>
    </row>
    <row r="138" spans="1:17">
      <c r="A138" s="578"/>
      <c r="B138" s="167">
        <v>1</v>
      </c>
      <c r="C138" s="205">
        <v>1.81</v>
      </c>
      <c r="D138" s="205">
        <f>(B138*C138)-B138</f>
        <v>0.81</v>
      </c>
      <c r="E138" s="154">
        <f>SUM($D$2:D138)/SUM($B$2:B138)</f>
        <v>0.21591970802919708</v>
      </c>
      <c r="F138" s="150">
        <f>F137+D138</f>
        <v>29.581</v>
      </c>
      <c r="G138" s="189" t="s">
        <v>1044</v>
      </c>
      <c r="H138" s="183"/>
      <c r="I138" s="184"/>
      <c r="J138" s="184"/>
      <c r="K138" s="18"/>
      <c r="Q138"/>
    </row>
    <row r="139" spans="1:17">
      <c r="A139" s="578"/>
      <c r="B139" s="167">
        <v>1</v>
      </c>
      <c r="C139" s="205">
        <v>1.87</v>
      </c>
      <c r="D139" s="205">
        <f>(B139*C139)-B139</f>
        <v>0.87000000000000011</v>
      </c>
      <c r="E139" s="154">
        <f>SUM($D$2:D139)/SUM($B$2:B139)</f>
        <v>0.22065942028985508</v>
      </c>
      <c r="F139" s="150">
        <f>F138+D139</f>
        <v>30.451000000000001</v>
      </c>
      <c r="G139" s="189" t="s">
        <v>1031</v>
      </c>
      <c r="H139" s="183"/>
      <c r="I139" s="184"/>
      <c r="J139" s="184"/>
      <c r="K139" s="18"/>
      <c r="Q139"/>
    </row>
    <row r="140" spans="1:17">
      <c r="A140" s="578"/>
      <c r="B140" s="167">
        <v>1</v>
      </c>
      <c r="C140" s="205">
        <v>1.98</v>
      </c>
      <c r="D140" s="205">
        <f>(B140*C140)-B140</f>
        <v>0.98</v>
      </c>
      <c r="E140" s="154">
        <f>SUM($D$2:D140)/SUM($B$2:B140)</f>
        <v>0.22612230215827339</v>
      </c>
      <c r="F140" s="150">
        <f>F139+D140</f>
        <v>31.431000000000001</v>
      </c>
      <c r="G140" s="189" t="s">
        <v>1036</v>
      </c>
      <c r="H140" s="183"/>
      <c r="I140" s="184"/>
      <c r="J140" s="184"/>
      <c r="K140" s="18"/>
      <c r="Q140"/>
    </row>
    <row r="141" spans="1:17">
      <c r="A141" s="578"/>
      <c r="B141" s="167">
        <v>1</v>
      </c>
      <c r="C141" s="205">
        <v>2.02</v>
      </c>
      <c r="D141" s="205">
        <f>(B141*C141)-B141</f>
        <v>1.02</v>
      </c>
      <c r="E141" s="154">
        <f>SUM($D$2:D141)/SUM($B$2:B141)</f>
        <v>0.23179285714285713</v>
      </c>
      <c r="F141" s="150">
        <f>F140+D141</f>
        <v>32.451000000000001</v>
      </c>
      <c r="G141" s="189" t="s">
        <v>1041</v>
      </c>
      <c r="H141" s="183"/>
      <c r="I141" s="184"/>
      <c r="J141" s="184"/>
      <c r="K141" s="18"/>
      <c r="Q141"/>
    </row>
    <row r="142" spans="1:17" ht="15.75" thickBot="1">
      <c r="A142" s="579"/>
      <c r="B142" s="170">
        <v>1</v>
      </c>
      <c r="C142" s="206">
        <v>2</v>
      </c>
      <c r="D142" s="206">
        <f>(B142*C142)-B142</f>
        <v>1</v>
      </c>
      <c r="E142" s="193">
        <f>SUM($D$2:D142)/SUM($B$2:B142)</f>
        <v>0.23724113475177305</v>
      </c>
      <c r="F142" s="163">
        <f>F141+D142</f>
        <v>33.451000000000001</v>
      </c>
      <c r="G142" s="194" t="s">
        <v>1037</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1045</v>
      </c>
      <c r="H143" s="183"/>
      <c r="K143" s="234"/>
    </row>
    <row r="144" spans="1:17" s="184" customFormat="1" ht="15.75" thickBot="1">
      <c r="A144" s="564"/>
      <c r="B144" s="105">
        <v>1</v>
      </c>
      <c r="C144" s="218"/>
      <c r="D144" s="218">
        <f>(B144*C144)-B144</f>
        <v>-1</v>
      </c>
      <c r="E144" s="59">
        <f>SUM($D$2:D144)/SUM($B$2:B144)</f>
        <v>0.21993706293706294</v>
      </c>
      <c r="F144" s="38">
        <f>F143+D144</f>
        <v>31.451000000000001</v>
      </c>
      <c r="G144" s="141" t="s">
        <v>1046</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1045</v>
      </c>
      <c r="H145" s="183"/>
      <c r="K145" s="234"/>
    </row>
    <row r="146" spans="1:18" s="184" customFormat="1" ht="15.75" thickBot="1">
      <c r="A146" s="564"/>
      <c r="B146" s="218">
        <v>1</v>
      </c>
      <c r="C146" s="218">
        <v>2.2200000000000002</v>
      </c>
      <c r="D146" s="218">
        <f>(B146*C146)-B146</f>
        <v>1.2200000000000002</v>
      </c>
      <c r="E146" s="59">
        <f>SUM($D$2:D146)/SUM($B$2:B146)</f>
        <v>0.23269655172413792</v>
      </c>
      <c r="F146" s="38">
        <f>F145+D146</f>
        <v>33.741</v>
      </c>
      <c r="G146" s="141" t="s">
        <v>1046</v>
      </c>
      <c r="H146" s="183"/>
      <c r="K146" s="234"/>
    </row>
    <row r="147" spans="1:18" s="184" customFormat="1">
      <c r="A147" s="555">
        <v>45932</v>
      </c>
      <c r="B147" s="41">
        <v>1</v>
      </c>
      <c r="C147" s="41"/>
      <c r="D147" s="41">
        <f>(B147*C147)-B147</f>
        <v>-1</v>
      </c>
      <c r="E147" s="47">
        <f>SUM($D$2:D147)/SUM($B$2:B147)</f>
        <v>0.22425342465753426</v>
      </c>
      <c r="F147" s="37">
        <f>F146+D147</f>
        <v>32.741</v>
      </c>
      <c r="G147" s="129" t="s">
        <v>1045</v>
      </c>
      <c r="H147" s="183"/>
      <c r="K147" s="234"/>
    </row>
    <row r="148" spans="1:18" s="184" customFormat="1">
      <c r="A148" s="564"/>
      <c r="B148" s="218">
        <v>1</v>
      </c>
      <c r="C148" s="218"/>
      <c r="D148" s="218">
        <f>(B148*C148)-B148</f>
        <v>-1</v>
      </c>
      <c r="E148" s="59">
        <f>SUM($D$2:D148)/SUM($B$2:B148)</f>
        <v>0.21592517006802722</v>
      </c>
      <c r="F148" s="38">
        <f>F147+D148</f>
        <v>31.741</v>
      </c>
      <c r="G148" s="141" t="s">
        <v>1046</v>
      </c>
      <c r="H148" s="183"/>
      <c r="K148" s="234"/>
    </row>
    <row r="149" spans="1:18" s="184" customFormat="1">
      <c r="A149" s="526">
        <v>45934</v>
      </c>
      <c r="B149" s="222">
        <v>1</v>
      </c>
      <c r="C149" s="223">
        <v>1.97</v>
      </c>
      <c r="D149" s="223">
        <f>(B149*C149)-B149</f>
        <v>0.97</v>
      </c>
      <c r="E149" s="224">
        <f>SUM($D$2:D149)/SUM($B$2:B149)</f>
        <v>0.22102027027027027</v>
      </c>
      <c r="F149" s="225">
        <f t="shared" ref="F149:F156" si="4">F148+D149</f>
        <v>32.710999999999999</v>
      </c>
      <c r="G149" s="274" t="s">
        <v>1047</v>
      </c>
      <c r="H149" s="183"/>
      <c r="K149" s="234"/>
    </row>
    <row r="150" spans="1:18" s="184" customFormat="1">
      <c r="A150" s="526">
        <v>45936</v>
      </c>
      <c r="B150" s="222">
        <v>1</v>
      </c>
      <c r="C150" s="223"/>
      <c r="D150" s="223">
        <f>(B150*C150)-B150</f>
        <v>-1</v>
      </c>
      <c r="E150" s="224">
        <f>SUM($D$2:D150)/SUM($B$2:B150)</f>
        <v>0.21282550335570469</v>
      </c>
      <c r="F150" s="225">
        <f t="shared" si="4"/>
        <v>31.710999999999999</v>
      </c>
      <c r="G150" s="226" t="s">
        <v>1048</v>
      </c>
      <c r="H150" s="183"/>
      <c r="K150" s="234"/>
    </row>
    <row r="151" spans="1:18" s="184" customFormat="1">
      <c r="A151" s="526">
        <v>45937</v>
      </c>
      <c r="B151" s="222">
        <v>1</v>
      </c>
      <c r="C151" s="223"/>
      <c r="D151" s="223">
        <f>(B151*C151)-B151</f>
        <v>-1</v>
      </c>
      <c r="E151" s="224">
        <f>SUM($D$2:D151)/SUM($B$2:B151)</f>
        <v>0.20473999999999998</v>
      </c>
      <c r="F151" s="225">
        <f t="shared" si="4"/>
        <v>30.710999999999999</v>
      </c>
      <c r="G151" s="226" t="s">
        <v>1049</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995</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958</v>
      </c>
      <c r="H153" s="183"/>
      <c r="K153" s="234"/>
    </row>
    <row r="154" spans="1:18" s="184" customFormat="1">
      <c r="A154" s="564"/>
      <c r="B154" s="170">
        <v>1</v>
      </c>
      <c r="C154" s="206"/>
      <c r="D154" s="206">
        <f>(B154*C154)-B154</f>
        <v>-1</v>
      </c>
      <c r="E154" s="193">
        <f>SUM($D$2:D154)/SUM($B$2:B154)</f>
        <v>0.19366666666666668</v>
      </c>
      <c r="F154" s="163">
        <f t="shared" si="4"/>
        <v>29.631</v>
      </c>
      <c r="G154" s="194" t="s">
        <v>1049</v>
      </c>
      <c r="H154" s="183"/>
      <c r="K154" s="234"/>
    </row>
    <row r="155" spans="1:18" s="184" customFormat="1">
      <c r="A155" s="526">
        <v>45942</v>
      </c>
      <c r="B155" s="222">
        <v>1</v>
      </c>
      <c r="C155" s="225">
        <v>1.97</v>
      </c>
      <c r="D155" s="225">
        <f t="shared" ref="D155" si="5">(B155*C155)-B155</f>
        <v>0.97</v>
      </c>
      <c r="E155" s="224">
        <f>SUM($D$2:D155)/SUM($B$2:B155)</f>
        <v>0.19870779220779219</v>
      </c>
      <c r="F155" s="225">
        <f t="shared" si="4"/>
        <v>30.600999999999999</v>
      </c>
      <c r="G155" s="226" t="s">
        <v>1050</v>
      </c>
      <c r="H155" s="183"/>
      <c r="K155" s="234"/>
    </row>
    <row r="156" spans="1:18" s="184" customFormat="1">
      <c r="A156" s="526">
        <v>45946</v>
      </c>
      <c r="B156" s="251">
        <v>1</v>
      </c>
      <c r="C156" s="251"/>
      <c r="D156" s="251">
        <f>(B156*C156)-B156</f>
        <v>-1</v>
      </c>
      <c r="E156" s="252">
        <f>SUM($D$2:D156)/SUM($B$2:B156)</f>
        <v>0.1909741935483871</v>
      </c>
      <c r="F156" s="253">
        <f t="shared" si="4"/>
        <v>29.600999999999999</v>
      </c>
      <c r="G156" s="279" t="s">
        <v>1051</v>
      </c>
      <c r="H156" s="183"/>
      <c r="K156" s="234"/>
    </row>
    <row r="157" spans="1:18">
      <c r="A157" s="523"/>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1052</v>
      </c>
      <c r="C160" s="557" t="s">
        <v>1053</v>
      </c>
      <c r="D160" s="558"/>
      <c r="E160" s="559"/>
      <c r="H160" s="560">
        <f>100</f>
        <v>100</v>
      </c>
      <c r="I160" s="561"/>
      <c r="J160" s="16" t="s">
        <v>1054</v>
      </c>
      <c r="K160" s="560">
        <v>100</v>
      </c>
      <c r="L160" s="561"/>
      <c r="M160" s="16" t="s">
        <v>1054</v>
      </c>
      <c r="N160" s="19"/>
      <c r="O160" s="138"/>
      <c r="P160" s="58"/>
    </row>
    <row r="161" spans="1:16" ht="15" customHeight="1">
      <c r="A161">
        <f>COUNT(B2:B157)</f>
        <v>155</v>
      </c>
      <c r="B161" s="1"/>
      <c r="C161" s="156">
        <f>I161</f>
        <v>5</v>
      </c>
      <c r="D161" s="574">
        <v>1.32</v>
      </c>
      <c r="E161" s="157">
        <f>C161*D161-C161</f>
        <v>1.6000000000000005</v>
      </c>
      <c r="F161" s="15"/>
      <c r="G161" s="147" t="s">
        <v>1055</v>
      </c>
      <c r="H161" s="75">
        <f>H164/100</f>
        <v>1</v>
      </c>
      <c r="I161" s="149">
        <f>H161*5</f>
        <v>5</v>
      </c>
      <c r="J161" s="3" t="s">
        <v>1056</v>
      </c>
      <c r="K161" s="75">
        <f>K164/100</f>
        <v>1.2960099999999999</v>
      </c>
      <c r="L161" s="149">
        <f>K161*5</f>
        <v>6.4800499999999994</v>
      </c>
      <c r="M161" s="3" t="s">
        <v>1056</v>
      </c>
    </row>
    <row r="162" spans="1:16" ht="15" customHeight="1">
      <c r="A162" t="s">
        <v>1057</v>
      </c>
      <c r="B162" s="99"/>
      <c r="C162" s="135">
        <f>E162/(D161-1)</f>
        <v>9.3749999999999982</v>
      </c>
      <c r="D162" s="575"/>
      <c r="E162" s="136">
        <v>3</v>
      </c>
      <c r="F162" s="15"/>
      <c r="G162" s="147" t="s">
        <v>1058</v>
      </c>
      <c r="H162" s="127">
        <f>SUM(H2:H157)</f>
        <v>0</v>
      </c>
      <c r="I162" s="148"/>
      <c r="J162" s="3" t="s">
        <v>1059</v>
      </c>
      <c r="K162" s="127">
        <f>D158</f>
        <v>29.600999999999999</v>
      </c>
      <c r="L162" s="148"/>
      <c r="M162" s="3" t="s">
        <v>1059</v>
      </c>
    </row>
    <row r="163" spans="1:16">
      <c r="A163" s="18">
        <f>COUNT(C2:C157)/A161</f>
        <v>0.59354838709677415</v>
      </c>
      <c r="B163" s="18"/>
      <c r="D163" s="15">
        <f>1/A163</f>
        <v>1.6847826086956523</v>
      </c>
      <c r="E163" s="15"/>
      <c r="F163" s="15"/>
      <c r="G163" s="147" t="s">
        <v>1060</v>
      </c>
      <c r="H163" s="570">
        <f>(H162-I162)</f>
        <v>0</v>
      </c>
      <c r="I163" s="571"/>
      <c r="J163" s="128"/>
      <c r="K163" s="570">
        <f>(K162-L162)</f>
        <v>29.600999999999999</v>
      </c>
      <c r="L163" s="571"/>
      <c r="M163" s="128"/>
    </row>
    <row r="164" spans="1:16">
      <c r="A164" t="s">
        <v>4</v>
      </c>
      <c r="G164" s="147" t="s">
        <v>1061</v>
      </c>
      <c r="H164" s="572">
        <f>H160+H163</f>
        <v>100</v>
      </c>
      <c r="I164" s="573"/>
      <c r="J164" s="128">
        <f>130-H164</f>
        <v>30</v>
      </c>
      <c r="K164" s="572">
        <f>K160+K163</f>
        <v>129.601</v>
      </c>
      <c r="L164" s="573"/>
      <c r="M164" s="128"/>
      <c r="O164" s="235">
        <v>74.147999999999996</v>
      </c>
      <c r="P164" s="18"/>
    </row>
    <row r="165" spans="1:16">
      <c r="A165" s="18">
        <f>D158/B158</f>
        <v>0.1909741935483871</v>
      </c>
      <c r="F165" s="158"/>
      <c r="G165" s="147" t="s">
        <v>1062</v>
      </c>
      <c r="H165" s="45">
        <f>(H164-H160)/H160</f>
        <v>0</v>
      </c>
      <c r="I165" s="46">
        <f>B158/H160</f>
        <v>1.55</v>
      </c>
      <c r="J165" t="s">
        <v>1063</v>
      </c>
      <c r="K165" s="45">
        <f>(K164-K160)/K160</f>
        <v>0.29601</v>
      </c>
      <c r="L165" s="46">
        <f>B158/K160</f>
        <v>1.55</v>
      </c>
      <c r="M165" t="s">
        <v>1063</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519</v>
      </c>
      <c r="B209" s="140">
        <f>SUM(B2:B19)</f>
        <v>18</v>
      </c>
      <c r="C209" s="140"/>
      <c r="D209" s="140">
        <f>SUM(D2:D19)</f>
        <v>-3.4100000000000006</v>
      </c>
      <c r="E209" s="144">
        <f t="shared" ref="E209:E210" si="6">D209/B209</f>
        <v>-0.18944444444444447</v>
      </c>
      <c r="F209" s="18"/>
      <c r="G209" s="221" t="s">
        <v>518</v>
      </c>
    </row>
    <row r="210" spans="1:7">
      <c r="A210" s="139" t="s">
        <v>520</v>
      </c>
      <c r="B210" s="140">
        <f>SUM(B20:B51)</f>
        <v>32</v>
      </c>
      <c r="C210" s="140"/>
      <c r="D210" s="140">
        <f>SUM(D20:D51)</f>
        <v>5.9859999999999989</v>
      </c>
      <c r="E210" s="144">
        <f t="shared" si="6"/>
        <v>0.18706249999999996</v>
      </c>
      <c r="G210" s="220"/>
    </row>
    <row r="211" spans="1:7">
      <c r="A211" s="139" t="s">
        <v>521</v>
      </c>
      <c r="B211" s="140">
        <f>SUM(B52:B99)</f>
        <v>48</v>
      </c>
      <c r="C211" s="140"/>
      <c r="D211" s="140">
        <f>SUM(D52:D99)</f>
        <v>13.212000000000007</v>
      </c>
      <c r="E211" s="144">
        <f t="shared" ref="E211" si="7">D211/B211</f>
        <v>0.27525000000000016</v>
      </c>
      <c r="G211" s="220"/>
    </row>
    <row r="212" spans="1:7">
      <c r="A212" s="139" t="s">
        <v>523</v>
      </c>
      <c r="B212" s="140">
        <f>SUM(B100:B157)</f>
        <v>57</v>
      </c>
      <c r="C212" s="140"/>
      <c r="D212" s="140">
        <f>SUM(D100:D157)</f>
        <v>13.812999999999999</v>
      </c>
      <c r="E212" s="144">
        <f t="shared" ref="E212" si="8">D212/B212</f>
        <v>0.24233333333333332</v>
      </c>
      <c r="G212" s="220"/>
    </row>
    <row r="213" spans="1:7">
      <c r="A213" s="139" t="s">
        <v>524</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534</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1064</v>
      </c>
      <c r="P1" s="246" t="s">
        <v>1065</v>
      </c>
      <c r="Q1" s="248" t="s">
        <v>5</v>
      </c>
      <c r="R1" s="246"/>
      <c r="T1" s="569" t="s">
        <v>955</v>
      </c>
      <c r="U1" s="569"/>
      <c r="V1" s="569"/>
      <c r="W1" s="569"/>
    </row>
    <row r="2" spans="1:23">
      <c r="A2" s="527">
        <v>45905</v>
      </c>
      <c r="B2" s="257">
        <v>1</v>
      </c>
      <c r="C2" s="258">
        <v>3.04</v>
      </c>
      <c r="D2" s="258">
        <f>(B2*C2)-B2</f>
        <v>2.04</v>
      </c>
      <c r="E2" s="259">
        <f>SUM($D$2:D2)/SUM($B$2:B2)</f>
        <v>2.04</v>
      </c>
      <c r="F2" s="258">
        <f>D2</f>
        <v>2.04</v>
      </c>
      <c r="G2" s="260" t="s">
        <v>956</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961</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966</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975</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976</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80">
        <v>45917</v>
      </c>
      <c r="B7" s="165">
        <v>1</v>
      </c>
      <c r="C7" s="204">
        <v>3.14</v>
      </c>
      <c r="D7" s="204">
        <f t="shared" si="2"/>
        <v>2.14</v>
      </c>
      <c r="E7" s="191">
        <f>SUM($D$2:D7)/SUM($B$2:B7)</f>
        <v>1.0033333333333334</v>
      </c>
      <c r="F7" s="161">
        <f t="shared" si="4"/>
        <v>6.0200000000000005</v>
      </c>
      <c r="G7" s="200" t="s">
        <v>996</v>
      </c>
      <c r="H7" s="183"/>
      <c r="I7" s="184"/>
      <c r="J7" s="184"/>
      <c r="K7" s="196"/>
      <c r="L7" s="197"/>
      <c r="M7" s="198"/>
      <c r="N7" s="199"/>
      <c r="O7" s="18"/>
      <c r="P7" s="234"/>
      <c r="R7" s="18"/>
    </row>
    <row r="8" spans="1:23">
      <c r="A8" s="581"/>
      <c r="B8" s="170">
        <v>1</v>
      </c>
      <c r="C8" s="206">
        <v>2.81</v>
      </c>
      <c r="D8" s="206">
        <f t="shared" si="2"/>
        <v>1.81</v>
      </c>
      <c r="E8" s="193">
        <f>SUM($D$2:D8)/SUM($B$2:B8)</f>
        <v>1.1185714285714285</v>
      </c>
      <c r="F8" s="163">
        <f t="shared" si="4"/>
        <v>7.83</v>
      </c>
      <c r="G8" s="202" t="s">
        <v>997</v>
      </c>
      <c r="H8" s="183"/>
      <c r="I8" s="184"/>
      <c r="J8" s="184"/>
      <c r="K8" s="196"/>
      <c r="L8" s="197"/>
      <c r="M8" s="198"/>
      <c r="N8" s="199"/>
      <c r="O8" s="18"/>
      <c r="P8" s="234"/>
      <c r="R8" s="18"/>
    </row>
    <row r="9" spans="1:23">
      <c r="A9" s="580">
        <v>45921</v>
      </c>
      <c r="B9" s="165">
        <v>1</v>
      </c>
      <c r="C9" s="204"/>
      <c r="D9" s="204">
        <f t="shared" si="2"/>
        <v>-1</v>
      </c>
      <c r="E9" s="182">
        <f>SUM($D$2:D9)/SUM($B$2:B9)</f>
        <v>0.85375000000000001</v>
      </c>
      <c r="F9" s="161">
        <f t="shared" si="4"/>
        <v>6.83</v>
      </c>
      <c r="G9" s="200" t="s">
        <v>1015</v>
      </c>
      <c r="H9" s="183"/>
      <c r="I9" s="184"/>
      <c r="J9" s="184"/>
      <c r="K9" s="196"/>
      <c r="L9" s="197"/>
      <c r="M9" s="198"/>
      <c r="N9" s="199"/>
      <c r="O9" s="18"/>
      <c r="P9" s="234"/>
      <c r="R9" s="18"/>
    </row>
    <row r="10" spans="1:23">
      <c r="A10" s="581"/>
      <c r="B10" s="230">
        <v>1</v>
      </c>
      <c r="C10" s="231"/>
      <c r="D10" s="231">
        <f t="shared" si="2"/>
        <v>-1</v>
      </c>
      <c r="E10" s="249">
        <f>SUM($D$2:D10)/SUM($B$2:B10)</f>
        <v>0.64777777777777779</v>
      </c>
      <c r="F10" s="232">
        <f t="shared" si="4"/>
        <v>5.83</v>
      </c>
      <c r="G10" s="250" t="s">
        <v>1016</v>
      </c>
      <c r="H10" s="183"/>
      <c r="I10" s="184"/>
      <c r="J10" s="184"/>
      <c r="K10" s="196"/>
      <c r="L10" s="197"/>
      <c r="M10" s="198"/>
      <c r="N10" s="199"/>
      <c r="O10" s="18"/>
      <c r="P10" s="234"/>
      <c r="R10" s="18"/>
    </row>
    <row r="11" spans="1:23">
      <c r="A11" s="580">
        <v>45922</v>
      </c>
      <c r="B11" s="165">
        <v>1</v>
      </c>
      <c r="C11" s="204">
        <v>2.81</v>
      </c>
      <c r="D11" s="204">
        <f t="shared" si="2"/>
        <v>1.81</v>
      </c>
      <c r="E11" s="191">
        <f>SUM($D$2:D11)/SUM($B$2:B11)</f>
        <v>0.76400000000000001</v>
      </c>
      <c r="F11" s="161">
        <f t="shared" si="4"/>
        <v>7.6400000000000006</v>
      </c>
      <c r="G11" s="200" t="s">
        <v>975</v>
      </c>
      <c r="H11" s="183"/>
      <c r="I11" s="184"/>
      <c r="J11" s="184"/>
      <c r="K11" s="196"/>
      <c r="L11" s="197"/>
      <c r="M11" s="198"/>
      <c r="N11" s="199"/>
      <c r="O11" s="18"/>
      <c r="P11" s="234"/>
      <c r="R11" s="18"/>
    </row>
    <row r="12" spans="1:23">
      <c r="A12" s="581"/>
      <c r="B12" s="170">
        <v>1</v>
      </c>
      <c r="C12" s="206">
        <v>2.85</v>
      </c>
      <c r="D12" s="206">
        <f t="shared" si="2"/>
        <v>1.85</v>
      </c>
      <c r="E12" s="193">
        <f>SUM($D$2:D12)/SUM($B$2:B12)</f>
        <v>0.86272727272727279</v>
      </c>
      <c r="F12" s="163">
        <f t="shared" si="4"/>
        <v>9.49</v>
      </c>
      <c r="G12" s="202" t="s">
        <v>1019</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1042</v>
      </c>
      <c r="H13" s="183"/>
      <c r="I13" s="184"/>
      <c r="J13" s="184"/>
      <c r="K13" s="196"/>
      <c r="L13" s="197"/>
      <c r="M13" s="198"/>
      <c r="N13" s="199"/>
      <c r="O13" s="18"/>
      <c r="P13" s="234"/>
      <c r="R13" s="18"/>
    </row>
    <row r="14" spans="1:23">
      <c r="A14" s="523"/>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1052</v>
      </c>
      <c r="C17" s="557" t="s">
        <v>1053</v>
      </c>
      <c r="D17" s="558"/>
      <c r="E17" s="559"/>
      <c r="H17" s="560">
        <f>100</f>
        <v>100</v>
      </c>
      <c r="I17" s="561"/>
      <c r="J17" s="16" t="s">
        <v>1054</v>
      </c>
      <c r="K17" s="560">
        <v>80.89</v>
      </c>
      <c r="L17" s="561"/>
      <c r="M17" s="16" t="s">
        <v>1054</v>
      </c>
      <c r="N17" s="19"/>
      <c r="O17" s="138"/>
      <c r="P17" s="58"/>
    </row>
    <row r="18" spans="1:16" ht="15" customHeight="1">
      <c r="A18">
        <f>COUNT(B2:B14)</f>
        <v>12</v>
      </c>
      <c r="B18" s="1"/>
      <c r="C18" s="156">
        <f>I18</f>
        <v>5</v>
      </c>
      <c r="D18" s="574">
        <v>1.32</v>
      </c>
      <c r="E18" s="157">
        <f>C18*D18-C18</f>
        <v>1.6000000000000005</v>
      </c>
      <c r="F18" s="15"/>
      <c r="G18" s="147" t="s">
        <v>1055</v>
      </c>
      <c r="H18" s="75">
        <f>H21/100</f>
        <v>1</v>
      </c>
      <c r="I18" s="149">
        <f>H18*5</f>
        <v>5</v>
      </c>
      <c r="J18" s="3" t="s">
        <v>1056</v>
      </c>
      <c r="K18" s="75">
        <f>K21/100</f>
        <v>0.92230000000000001</v>
      </c>
      <c r="L18" s="149">
        <f>K18*5</f>
        <v>4.6115000000000004</v>
      </c>
      <c r="M18" s="3" t="s">
        <v>1056</v>
      </c>
    </row>
    <row r="19" spans="1:16" ht="15" customHeight="1">
      <c r="A19" t="s">
        <v>1057</v>
      </c>
      <c r="B19" s="99"/>
      <c r="C19" s="135">
        <f>E19/(D18-1)</f>
        <v>9.3749999999999982</v>
      </c>
      <c r="D19" s="575"/>
      <c r="E19" s="136">
        <v>3</v>
      </c>
      <c r="F19" s="15"/>
      <c r="G19" s="147" t="s">
        <v>1058</v>
      </c>
      <c r="H19" s="127">
        <f>SUM(H2:H14)</f>
        <v>0</v>
      </c>
      <c r="I19" s="148"/>
      <c r="J19" s="3" t="s">
        <v>1059</v>
      </c>
      <c r="K19" s="127">
        <f>D15</f>
        <v>11.34</v>
      </c>
      <c r="L19" s="148"/>
      <c r="M19" s="3" t="s">
        <v>1059</v>
      </c>
    </row>
    <row r="20" spans="1:16">
      <c r="A20" s="18">
        <f>COUNT(C2:C14)/A18</f>
        <v>0.66666666666666663</v>
      </c>
      <c r="B20" s="18"/>
      <c r="D20" s="15">
        <f>1/A20</f>
        <v>1.5</v>
      </c>
      <c r="E20" s="15"/>
      <c r="F20" s="15"/>
      <c r="G20" s="147" t="s">
        <v>1060</v>
      </c>
      <c r="H20" s="570">
        <f>(H19-I19)</f>
        <v>0</v>
      </c>
      <c r="I20" s="571"/>
      <c r="J20" s="128"/>
      <c r="K20" s="570">
        <f>(K19-L19)</f>
        <v>11.34</v>
      </c>
      <c r="L20" s="571"/>
      <c r="M20" s="128"/>
    </row>
    <row r="21" spans="1:16">
      <c r="A21" t="s">
        <v>4</v>
      </c>
      <c r="G21" s="147" t="s">
        <v>1061</v>
      </c>
      <c r="H21" s="572">
        <f>H17+H20</f>
        <v>100</v>
      </c>
      <c r="I21" s="573"/>
      <c r="J21" s="128">
        <f>130-H21</f>
        <v>30</v>
      </c>
      <c r="K21" s="572">
        <f>K17+K20</f>
        <v>92.23</v>
      </c>
      <c r="L21" s="573"/>
      <c r="M21" s="128"/>
      <c r="O21" s="235">
        <v>74.147999999999996</v>
      </c>
      <c r="P21" s="18"/>
    </row>
    <row r="22" spans="1:16">
      <c r="A22" s="18">
        <f>D15/B15</f>
        <v>0.94499999999999995</v>
      </c>
      <c r="F22" s="158"/>
      <c r="G22" s="147" t="s">
        <v>1062</v>
      </c>
      <c r="H22" s="45">
        <f>(H21-H17)/H17</f>
        <v>0</v>
      </c>
      <c r="I22" s="46">
        <f>B15/H17</f>
        <v>0.12</v>
      </c>
      <c r="J22" t="s">
        <v>1063</v>
      </c>
      <c r="K22" s="45">
        <f>(K21-K17)/K17</f>
        <v>0.14019038200024728</v>
      </c>
      <c r="L22" s="46">
        <f>B15/K17</f>
        <v>0.14834961058227222</v>
      </c>
      <c r="M22" t="s">
        <v>1063</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8" t="s">
        <v>517</v>
      </c>
      <c r="B40" s="132" t="s">
        <v>1</v>
      </c>
      <c r="C40" s="529"/>
      <c r="E40" s="134" t="s">
        <v>4</v>
      </c>
    </row>
    <row r="42" spans="1:37">
      <c r="D42" s="7" t="s">
        <v>3</v>
      </c>
    </row>
    <row r="43" spans="1:37">
      <c r="B43" s="21" t="s">
        <v>1066</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519</v>
      </c>
      <c r="B66" s="140">
        <f>SUM(B2:B4)</f>
        <v>3</v>
      </c>
      <c r="C66" s="140"/>
      <c r="D66" s="140">
        <f>SUM(D2:D4)</f>
        <v>4.0000000000000036E-2</v>
      </c>
      <c r="E66" s="152">
        <f t="shared" ref="E66:E67" si="11">D66/B66</f>
        <v>1.3333333333333345E-2</v>
      </c>
      <c r="F66" s="18"/>
      <c r="G66" s="221" t="s">
        <v>518</v>
      </c>
    </row>
    <row r="67" spans="1:7">
      <c r="A67" s="139" t="s">
        <v>520</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534</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9" t="s">
        <v>955</v>
      </c>
      <c r="N1" s="569"/>
      <c r="O1" s="569"/>
      <c r="P1" s="569"/>
      <c r="Q1"/>
    </row>
    <row r="2" spans="1:17">
      <c r="A2" s="530">
        <v>45905</v>
      </c>
      <c r="B2" s="204">
        <v>1</v>
      </c>
      <c r="C2" s="161">
        <v>1.93</v>
      </c>
      <c r="D2" s="161">
        <f t="shared" ref="D2:D65" si="0">(B2*C2)-B2</f>
        <v>0.92999999999999994</v>
      </c>
      <c r="E2" s="191">
        <f>SUM($D$2:D2)/SUM($B$2:B2)</f>
        <v>0.92999999999999994</v>
      </c>
      <c r="F2" s="161">
        <f>D2</f>
        <v>0.92999999999999994</v>
      </c>
      <c r="G2" s="169" t="s">
        <v>957</v>
      </c>
      <c r="H2" s="183"/>
      <c r="I2" s="184"/>
      <c r="J2" s="184"/>
      <c r="Q2"/>
    </row>
    <row r="3" spans="1:17">
      <c r="A3" s="531"/>
      <c r="B3" s="153">
        <v>1</v>
      </c>
      <c r="C3" s="151">
        <v>1.86</v>
      </c>
      <c r="D3" s="151">
        <f t="shared" si="0"/>
        <v>0.8600000000000001</v>
      </c>
      <c r="E3" s="190">
        <f>SUM($D$2:D3)/SUM($B$2:B3)</f>
        <v>0.89500000000000002</v>
      </c>
      <c r="F3" s="151">
        <f t="shared" ref="F3:F66" si="1">F2+D3</f>
        <v>1.79</v>
      </c>
      <c r="G3" s="192" t="s">
        <v>958</v>
      </c>
      <c r="H3" s="183"/>
      <c r="I3" s="184"/>
      <c r="J3" s="184"/>
      <c r="Q3"/>
    </row>
    <row r="4" spans="1:17">
      <c r="A4" s="531"/>
      <c r="B4" s="205">
        <v>1</v>
      </c>
      <c r="C4" s="150">
        <v>2.0099999999999998</v>
      </c>
      <c r="D4" s="150">
        <f t="shared" si="0"/>
        <v>1.0099999999999998</v>
      </c>
      <c r="E4" s="154">
        <f>SUM($D$2:D4)/SUM($B$2:B4)</f>
        <v>0.93333333333333324</v>
      </c>
      <c r="F4" s="150">
        <f t="shared" si="1"/>
        <v>2.8</v>
      </c>
      <c r="G4" s="189" t="s">
        <v>959</v>
      </c>
      <c r="H4" s="183"/>
      <c r="I4" s="184"/>
      <c r="J4" s="184"/>
      <c r="Q4"/>
    </row>
    <row r="5" spans="1:17" ht="15.75" thickBot="1">
      <c r="A5" s="532"/>
      <c r="B5" s="206">
        <v>1</v>
      </c>
      <c r="C5" s="163"/>
      <c r="D5" s="163">
        <f t="shared" si="0"/>
        <v>-1</v>
      </c>
      <c r="E5" s="193">
        <f>SUM($D$2:D5)/SUM($B$2:B5)</f>
        <v>0.44999999999999996</v>
      </c>
      <c r="F5" s="163">
        <f t="shared" si="1"/>
        <v>1.7999999999999998</v>
      </c>
      <c r="G5" s="194" t="s">
        <v>960</v>
      </c>
      <c r="H5" s="183"/>
      <c r="I5" s="184"/>
      <c r="J5" s="184"/>
      <c r="Q5"/>
    </row>
    <row r="6" spans="1:17">
      <c r="A6" s="565">
        <v>45906</v>
      </c>
      <c r="B6" s="165">
        <v>1</v>
      </c>
      <c r="C6" s="204"/>
      <c r="D6" s="204">
        <f t="shared" si="0"/>
        <v>-1</v>
      </c>
      <c r="E6" s="191">
        <f>SUM($D$2:D6)/SUM($B$2:B6)</f>
        <v>0.15999999999999998</v>
      </c>
      <c r="F6" s="161">
        <f t="shared" si="1"/>
        <v>0.79999999999999982</v>
      </c>
      <c r="G6" s="210" t="s">
        <v>958</v>
      </c>
      <c r="H6" s="183"/>
      <c r="I6" s="184"/>
      <c r="J6" s="184"/>
      <c r="K6" s="18"/>
      <c r="M6" s="2"/>
      <c r="N6" s="18"/>
      <c r="Q6"/>
    </row>
    <row r="7" spans="1:17">
      <c r="A7" s="566"/>
      <c r="B7" s="167">
        <v>1</v>
      </c>
      <c r="C7" s="205"/>
      <c r="D7" s="205">
        <f t="shared" si="0"/>
        <v>-1</v>
      </c>
      <c r="E7" s="154">
        <f>SUM($D$2:D7)/SUM($B$2:B7)</f>
        <v>-3.3333333333333361E-2</v>
      </c>
      <c r="F7" s="150">
        <f t="shared" si="1"/>
        <v>-0.20000000000000018</v>
      </c>
      <c r="G7" s="201" t="s">
        <v>962</v>
      </c>
      <c r="H7" s="183"/>
      <c r="I7" s="184"/>
      <c r="J7" s="184"/>
      <c r="K7" s="18"/>
      <c r="M7" s="2"/>
      <c r="N7" s="18"/>
      <c r="Q7"/>
    </row>
    <row r="8" spans="1:17">
      <c r="A8" s="566"/>
      <c r="B8" s="167">
        <v>1</v>
      </c>
      <c r="C8" s="205"/>
      <c r="D8" s="205">
        <f t="shared" si="0"/>
        <v>-1</v>
      </c>
      <c r="E8" s="154">
        <f>SUM($D$2:D8)/SUM($B$2:B8)</f>
        <v>-0.17142857142857146</v>
      </c>
      <c r="F8" s="150">
        <f t="shared" si="1"/>
        <v>-1.2000000000000002</v>
      </c>
      <c r="G8" s="201" t="s">
        <v>963</v>
      </c>
      <c r="H8" s="183"/>
      <c r="I8" s="184"/>
      <c r="J8" s="184"/>
      <c r="K8" s="18"/>
      <c r="M8" s="2"/>
      <c r="N8" s="18"/>
      <c r="Q8"/>
    </row>
    <row r="9" spans="1:17">
      <c r="A9" s="566"/>
      <c r="B9" s="167">
        <v>1</v>
      </c>
      <c r="C9" s="205"/>
      <c r="D9" s="205">
        <f t="shared" si="0"/>
        <v>-1</v>
      </c>
      <c r="E9" s="154">
        <f>SUM($D$2:D9)/SUM($B$2:B9)</f>
        <v>-0.27500000000000002</v>
      </c>
      <c r="F9" s="150">
        <f t="shared" si="1"/>
        <v>-2.2000000000000002</v>
      </c>
      <c r="G9" s="201" t="s">
        <v>957</v>
      </c>
      <c r="H9" s="183"/>
      <c r="I9" s="184"/>
      <c r="J9" s="184"/>
      <c r="K9" s="18"/>
      <c r="M9" s="2"/>
      <c r="N9" s="18"/>
      <c r="Q9"/>
    </row>
    <row r="10" spans="1:17">
      <c r="A10" s="566"/>
      <c r="B10" s="167">
        <v>1</v>
      </c>
      <c r="C10" s="205"/>
      <c r="D10" s="205">
        <f t="shared" si="0"/>
        <v>-1</v>
      </c>
      <c r="E10" s="154">
        <f>SUM($D$2:D10)/SUM($B$2:B10)</f>
        <v>-0.35555555555555557</v>
      </c>
      <c r="F10" s="150">
        <f t="shared" si="1"/>
        <v>-3.2</v>
      </c>
      <c r="G10" s="201" t="s">
        <v>964</v>
      </c>
      <c r="H10" s="183"/>
      <c r="I10" s="184"/>
      <c r="J10" s="184"/>
      <c r="K10" s="18"/>
      <c r="M10" s="2"/>
      <c r="N10" s="18"/>
      <c r="Q10"/>
    </row>
    <row r="11" spans="1:17" ht="15.75" thickBot="1">
      <c r="A11" s="585"/>
      <c r="B11" s="170">
        <v>1</v>
      </c>
      <c r="C11" s="206">
        <v>1.97</v>
      </c>
      <c r="D11" s="206">
        <f t="shared" si="0"/>
        <v>0.97</v>
      </c>
      <c r="E11" s="193">
        <f>SUM($D$2:D11)/SUM($B$2:B11)</f>
        <v>-0.22300000000000003</v>
      </c>
      <c r="F11" s="163">
        <f t="shared" si="1"/>
        <v>-2.2300000000000004</v>
      </c>
      <c r="G11" s="203" t="s">
        <v>965</v>
      </c>
      <c r="H11" s="183"/>
      <c r="I11" s="184"/>
      <c r="J11" s="184"/>
      <c r="K11" s="18"/>
      <c r="M11" s="2"/>
      <c r="N11" s="18"/>
      <c r="Q11"/>
    </row>
    <row r="12" spans="1:17">
      <c r="A12" s="586">
        <v>45907</v>
      </c>
      <c r="B12" s="204">
        <v>1</v>
      </c>
      <c r="C12" s="204"/>
      <c r="D12" s="204">
        <f t="shared" si="0"/>
        <v>-1</v>
      </c>
      <c r="E12" s="191">
        <f>SUM($D$2:D12)/SUM($B$2:B12)</f>
        <v>-0.2936363636363637</v>
      </c>
      <c r="F12" s="161">
        <f t="shared" si="1"/>
        <v>-3.2300000000000004</v>
      </c>
      <c r="G12" s="210" t="s">
        <v>967</v>
      </c>
      <c r="H12" s="183"/>
      <c r="I12" s="184"/>
      <c r="J12" s="184"/>
      <c r="K12" s="18"/>
      <c r="M12" s="2"/>
      <c r="N12" s="18"/>
      <c r="Q12"/>
    </row>
    <row r="13" spans="1:17">
      <c r="A13" s="587"/>
      <c r="B13" s="205">
        <v>1</v>
      </c>
      <c r="C13" s="205"/>
      <c r="D13" s="205">
        <f t="shared" si="0"/>
        <v>-1</v>
      </c>
      <c r="E13" s="154">
        <f>SUM($D$2:D13)/SUM($B$2:B13)</f>
        <v>-0.35250000000000004</v>
      </c>
      <c r="F13" s="150">
        <f t="shared" si="1"/>
        <v>-4.2300000000000004</v>
      </c>
      <c r="G13" s="201" t="s">
        <v>962</v>
      </c>
      <c r="H13" s="183"/>
      <c r="I13" s="184"/>
      <c r="J13" s="184"/>
      <c r="K13" s="18"/>
      <c r="M13" s="2"/>
      <c r="N13" s="18"/>
      <c r="Q13"/>
    </row>
    <row r="14" spans="1:17">
      <c r="A14" s="587"/>
      <c r="B14" s="205">
        <v>1</v>
      </c>
      <c r="C14" s="205">
        <v>1.9</v>
      </c>
      <c r="D14" s="205">
        <f t="shared" si="0"/>
        <v>0.89999999999999991</v>
      </c>
      <c r="E14" s="154">
        <f>SUM($D$2:D14)/SUM($B$2:B14)</f>
        <v>-0.25615384615384618</v>
      </c>
      <c r="F14" s="150">
        <f t="shared" si="1"/>
        <v>-3.3300000000000005</v>
      </c>
      <c r="G14" s="201" t="s">
        <v>958</v>
      </c>
      <c r="H14" s="183"/>
      <c r="I14" s="184"/>
      <c r="J14" s="184"/>
      <c r="K14" s="18"/>
      <c r="M14" s="2"/>
      <c r="N14" s="18"/>
      <c r="Q14"/>
    </row>
    <row r="15" spans="1:17">
      <c r="A15" s="587"/>
      <c r="B15" s="205">
        <v>1</v>
      </c>
      <c r="C15" s="205">
        <v>1.88</v>
      </c>
      <c r="D15" s="205">
        <f t="shared" si="0"/>
        <v>0.87999999999999989</v>
      </c>
      <c r="E15" s="154">
        <f>SUM($D$2:D15)/SUM($B$2:B15)</f>
        <v>-0.17500000000000004</v>
      </c>
      <c r="F15" s="150">
        <f t="shared" si="1"/>
        <v>-2.4500000000000006</v>
      </c>
      <c r="G15" s="201" t="s">
        <v>968</v>
      </c>
      <c r="H15" s="183"/>
      <c r="I15" s="184"/>
      <c r="J15" s="184"/>
      <c r="K15" s="18"/>
      <c r="M15" s="2"/>
      <c r="N15" s="18"/>
      <c r="Q15"/>
    </row>
    <row r="16" spans="1:17" ht="15.75" thickBot="1">
      <c r="A16" s="588"/>
      <c r="B16" s="153">
        <v>1</v>
      </c>
      <c r="C16" s="153"/>
      <c r="D16" s="153">
        <f t="shared" si="0"/>
        <v>-1</v>
      </c>
      <c r="E16" s="190">
        <f>SUM($D$2:D16)/SUM($B$2:B16)</f>
        <v>-0.23000000000000004</v>
      </c>
      <c r="F16" s="151">
        <f t="shared" si="1"/>
        <v>-3.4500000000000006</v>
      </c>
      <c r="G16" s="211" t="s">
        <v>964</v>
      </c>
      <c r="H16" s="183"/>
      <c r="I16" s="184"/>
      <c r="J16" s="184"/>
      <c r="K16" s="58"/>
      <c r="M16" s="2"/>
      <c r="N16" s="18"/>
      <c r="Q16"/>
    </row>
    <row r="17" spans="1:17">
      <c r="A17" s="530">
        <v>45908</v>
      </c>
      <c r="B17" s="204">
        <v>1</v>
      </c>
      <c r="C17" s="204"/>
      <c r="D17" s="204">
        <f t="shared" si="0"/>
        <v>-1</v>
      </c>
      <c r="E17" s="191">
        <f>SUM($D$2:D17)/SUM($B$2:B17)</f>
        <v>-0.27812500000000007</v>
      </c>
      <c r="F17" s="161">
        <f t="shared" si="1"/>
        <v>-4.4500000000000011</v>
      </c>
      <c r="G17" s="210" t="s">
        <v>969</v>
      </c>
      <c r="H17" s="183"/>
      <c r="I17" s="184"/>
      <c r="J17" s="184"/>
      <c r="K17" s="18"/>
      <c r="M17" s="2"/>
      <c r="N17" s="18"/>
      <c r="Q17"/>
    </row>
    <row r="18" spans="1:17">
      <c r="A18" s="531"/>
      <c r="B18" s="205">
        <v>1</v>
      </c>
      <c r="C18" s="205"/>
      <c r="D18" s="205">
        <f t="shared" si="0"/>
        <v>-1</v>
      </c>
      <c r="E18" s="154">
        <f>SUM($D$2:D18)/SUM($B$2:B18)</f>
        <v>-0.32058823529411773</v>
      </c>
      <c r="F18" s="150">
        <f t="shared" si="1"/>
        <v>-5.4500000000000011</v>
      </c>
      <c r="G18" s="201" t="s">
        <v>970</v>
      </c>
      <c r="H18" s="183"/>
      <c r="I18" s="184"/>
      <c r="J18" s="184"/>
      <c r="K18" s="18"/>
      <c r="M18" s="2"/>
      <c r="N18" s="18"/>
      <c r="Q18"/>
    </row>
    <row r="19" spans="1:17">
      <c r="A19" s="531"/>
      <c r="B19" s="205">
        <v>1</v>
      </c>
      <c r="C19" s="205">
        <v>1.909</v>
      </c>
      <c r="D19" s="205">
        <f t="shared" si="0"/>
        <v>0.90900000000000003</v>
      </c>
      <c r="E19" s="154">
        <f>SUM($D$2:D19)/SUM($B$2:B19)</f>
        <v>-0.25227777777777782</v>
      </c>
      <c r="F19" s="150">
        <f t="shared" si="1"/>
        <v>-4.5410000000000013</v>
      </c>
      <c r="G19" s="201" t="s">
        <v>971</v>
      </c>
      <c r="H19" s="183"/>
      <c r="I19" s="184"/>
      <c r="J19" s="184"/>
      <c r="K19" s="18"/>
      <c r="M19" s="2"/>
      <c r="N19" s="18"/>
      <c r="Q19"/>
    </row>
    <row r="20" spans="1:17" ht="15.75" thickBot="1">
      <c r="A20" s="531"/>
      <c r="B20" s="153">
        <v>1</v>
      </c>
      <c r="C20" s="153"/>
      <c r="D20" s="153">
        <f t="shared" si="0"/>
        <v>-1</v>
      </c>
      <c r="E20" s="190">
        <f>SUM($D$2:D20)/SUM($B$2:B20)</f>
        <v>-0.29163157894736846</v>
      </c>
      <c r="F20" s="151">
        <f t="shared" si="1"/>
        <v>-5.5410000000000013</v>
      </c>
      <c r="G20" s="211" t="s">
        <v>972</v>
      </c>
      <c r="H20" s="183"/>
      <c r="I20" s="184"/>
      <c r="J20" s="184"/>
      <c r="K20" s="18"/>
      <c r="M20" s="2"/>
      <c r="N20" s="18"/>
      <c r="Q20"/>
    </row>
    <row r="21" spans="1:17">
      <c r="A21" s="568">
        <v>45909</v>
      </c>
      <c r="B21" s="165">
        <v>1</v>
      </c>
      <c r="C21" s="204">
        <v>1.74</v>
      </c>
      <c r="D21" s="204">
        <f t="shared" si="0"/>
        <v>0.74</v>
      </c>
      <c r="E21" s="191">
        <f>SUM($D$2:D21)/SUM($B$2:B21)</f>
        <v>-0.24005000000000004</v>
      </c>
      <c r="F21" s="161">
        <f t="shared" si="1"/>
        <v>-4.801000000000001</v>
      </c>
      <c r="G21" s="210" t="s">
        <v>973</v>
      </c>
      <c r="H21" s="183"/>
      <c r="I21" s="184"/>
      <c r="J21" s="184"/>
      <c r="K21" s="18"/>
      <c r="M21" s="2"/>
      <c r="N21" s="18"/>
      <c r="Q21"/>
    </row>
    <row r="22" spans="1:17">
      <c r="A22" s="534"/>
      <c r="B22" s="167">
        <v>1</v>
      </c>
      <c r="C22" s="205">
        <v>1.89</v>
      </c>
      <c r="D22" s="205">
        <f t="shared" si="0"/>
        <v>0.8899999999999999</v>
      </c>
      <c r="E22" s="154">
        <f>SUM($D$2:D22)/SUM($B$2:B22)</f>
        <v>-0.18623809523809531</v>
      </c>
      <c r="F22" s="150">
        <f t="shared" si="1"/>
        <v>-3.9110000000000014</v>
      </c>
      <c r="G22" s="201" t="s">
        <v>974</v>
      </c>
      <c r="H22" s="183"/>
      <c r="I22" s="184"/>
      <c r="J22" s="184"/>
      <c r="K22" s="18"/>
      <c r="M22" s="2"/>
      <c r="N22" s="18"/>
      <c r="Q22"/>
    </row>
    <row r="23" spans="1:17" ht="15.75" thickBot="1">
      <c r="A23" s="534"/>
      <c r="B23" s="170">
        <v>1</v>
      </c>
      <c r="C23" s="206"/>
      <c r="D23" s="206">
        <f t="shared" si="0"/>
        <v>-1</v>
      </c>
      <c r="E23" s="193">
        <f>SUM($D$2:D23)/SUM($B$2:B23)</f>
        <v>-0.2232272727272728</v>
      </c>
      <c r="F23" s="163">
        <f t="shared" si="1"/>
        <v>-4.9110000000000014</v>
      </c>
      <c r="G23" s="203" t="s">
        <v>972</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973</v>
      </c>
      <c r="H24" s="183"/>
      <c r="I24" s="184"/>
      <c r="J24" s="184"/>
      <c r="K24" s="18"/>
      <c r="Q24"/>
    </row>
    <row r="25" spans="1:17">
      <c r="A25" s="556"/>
      <c r="B25" s="205">
        <v>1</v>
      </c>
      <c r="C25" s="205"/>
      <c r="D25" s="205">
        <f t="shared" si="0"/>
        <v>-1</v>
      </c>
      <c r="E25" s="154">
        <f>SUM($D$2:D25)/SUM($B$2:B25)</f>
        <v>-0.21600000000000005</v>
      </c>
      <c r="F25" s="150">
        <f t="shared" si="1"/>
        <v>-5.1840000000000011</v>
      </c>
      <c r="G25" s="201" t="s">
        <v>971</v>
      </c>
      <c r="H25" s="183"/>
      <c r="I25" s="184"/>
      <c r="J25" s="184"/>
      <c r="K25" s="18"/>
      <c r="Q25"/>
    </row>
    <row r="26" spans="1:17" ht="15.75" thickBot="1">
      <c r="A26" s="564"/>
      <c r="B26" s="206">
        <v>1</v>
      </c>
      <c r="C26" s="206"/>
      <c r="D26" s="206">
        <f t="shared" si="0"/>
        <v>-1</v>
      </c>
      <c r="E26" s="193">
        <f>SUM($D$2:D26)/SUM($B$2:B26)</f>
        <v>-0.24736000000000005</v>
      </c>
      <c r="F26" s="163">
        <f t="shared" si="1"/>
        <v>-6.1840000000000011</v>
      </c>
      <c r="G26" s="211" t="s">
        <v>974</v>
      </c>
      <c r="H26" s="183"/>
      <c r="I26" s="184"/>
      <c r="J26" s="184"/>
      <c r="K26" s="18"/>
      <c r="Q26"/>
    </row>
    <row r="27" spans="1:17">
      <c r="A27" s="582">
        <v>45911</v>
      </c>
      <c r="B27" s="204">
        <v>1</v>
      </c>
      <c r="C27" s="204">
        <v>1.92</v>
      </c>
      <c r="D27" s="204">
        <f t="shared" si="0"/>
        <v>0.91999999999999993</v>
      </c>
      <c r="E27" s="191">
        <f>SUM($D$2:D27)/SUM($B$2:B27)</f>
        <v>-0.2024615384615385</v>
      </c>
      <c r="F27" s="161">
        <f t="shared" si="1"/>
        <v>-5.2640000000000011</v>
      </c>
      <c r="G27" s="210" t="s">
        <v>977</v>
      </c>
      <c r="H27" s="183"/>
      <c r="I27" s="184"/>
      <c r="J27" s="184"/>
      <c r="K27" s="18"/>
      <c r="Q27"/>
    </row>
    <row r="28" spans="1:17" ht="15.75" thickBot="1">
      <c r="A28" s="583"/>
      <c r="B28" s="206">
        <v>1</v>
      </c>
      <c r="C28" s="206">
        <v>1.98</v>
      </c>
      <c r="D28" s="206">
        <f t="shared" si="0"/>
        <v>0.98</v>
      </c>
      <c r="E28" s="193">
        <f>SUM($D$2:D28)/SUM($B$2:B28)</f>
        <v>-0.15866666666666671</v>
      </c>
      <c r="F28" s="163">
        <f t="shared" si="1"/>
        <v>-4.2840000000000007</v>
      </c>
      <c r="G28" s="211" t="s">
        <v>978</v>
      </c>
      <c r="H28" s="183"/>
      <c r="I28" s="184"/>
      <c r="J28" s="184"/>
      <c r="K28" s="18"/>
      <c r="Q28"/>
    </row>
    <row r="29" spans="1:17">
      <c r="A29" s="582">
        <v>45912</v>
      </c>
      <c r="B29" s="204">
        <v>1</v>
      </c>
      <c r="C29" s="204">
        <v>1.76</v>
      </c>
      <c r="D29" s="204">
        <f t="shared" si="0"/>
        <v>0.76</v>
      </c>
      <c r="E29" s="191">
        <f>SUM($D$2:D29)/SUM($B$2:B29)</f>
        <v>-0.12585714285714289</v>
      </c>
      <c r="F29" s="161">
        <f t="shared" si="1"/>
        <v>-3.5240000000000009</v>
      </c>
      <c r="G29" s="210" t="s">
        <v>979</v>
      </c>
      <c r="H29" s="183"/>
      <c r="I29" s="184"/>
      <c r="J29" s="184"/>
      <c r="K29" s="18"/>
      <c r="Q29"/>
    </row>
    <row r="30" spans="1:17">
      <c r="A30" s="584"/>
      <c r="B30" s="205">
        <v>1</v>
      </c>
      <c r="C30" s="205"/>
      <c r="D30" s="205">
        <f t="shared" si="0"/>
        <v>-1</v>
      </c>
      <c r="E30" s="154">
        <f>SUM($D$2:D30)/SUM($B$2:B30)</f>
        <v>-0.15600000000000003</v>
      </c>
      <c r="F30" s="150">
        <f t="shared" si="1"/>
        <v>-4.5240000000000009</v>
      </c>
      <c r="G30" s="201" t="s">
        <v>980</v>
      </c>
      <c r="H30" s="183"/>
      <c r="I30" s="184"/>
      <c r="J30" s="184"/>
      <c r="K30" s="18"/>
      <c r="Q30"/>
    </row>
    <row r="31" spans="1:17">
      <c r="A31" s="584"/>
      <c r="B31" s="205">
        <v>1</v>
      </c>
      <c r="C31" s="205">
        <v>1.93</v>
      </c>
      <c r="D31" s="205">
        <f t="shared" si="0"/>
        <v>0.92999999999999994</v>
      </c>
      <c r="E31" s="154">
        <f>SUM($D$2:D31)/SUM($B$2:B31)</f>
        <v>-0.11980000000000005</v>
      </c>
      <c r="F31" s="150">
        <f t="shared" si="1"/>
        <v>-3.5940000000000012</v>
      </c>
      <c r="G31" s="201" t="s">
        <v>981</v>
      </c>
      <c r="H31" s="183"/>
      <c r="I31" s="184"/>
      <c r="J31" s="184"/>
      <c r="K31" s="18"/>
      <c r="Q31"/>
    </row>
    <row r="32" spans="1:17">
      <c r="A32" s="584"/>
      <c r="B32" s="205">
        <v>1</v>
      </c>
      <c r="C32" s="205"/>
      <c r="D32" s="205">
        <f t="shared" si="0"/>
        <v>-1</v>
      </c>
      <c r="E32" s="154">
        <f>SUM($D$2:D32)/SUM($B$2:B32)</f>
        <v>-0.14819354838709681</v>
      </c>
      <c r="F32" s="150">
        <f t="shared" si="1"/>
        <v>-4.5940000000000012</v>
      </c>
      <c r="G32" s="201" t="s">
        <v>982</v>
      </c>
      <c r="H32" s="183"/>
      <c r="I32" s="184"/>
      <c r="J32" s="184"/>
      <c r="K32" s="18"/>
      <c r="Q32"/>
    </row>
    <row r="33" spans="1:17" ht="15.75" thickBot="1">
      <c r="A33" s="583"/>
      <c r="B33" s="206">
        <v>1</v>
      </c>
      <c r="C33" s="206">
        <v>1.89</v>
      </c>
      <c r="D33" s="206">
        <f t="shared" si="0"/>
        <v>0.8899999999999999</v>
      </c>
      <c r="E33" s="193">
        <f>SUM($D$2:D33)/SUM($B$2:B33)</f>
        <v>-0.11575000000000005</v>
      </c>
      <c r="F33" s="163">
        <f t="shared" si="1"/>
        <v>-3.7040000000000015</v>
      </c>
      <c r="G33" s="202" t="s">
        <v>983</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984</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985</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983</v>
      </c>
      <c r="H36" s="183"/>
      <c r="I36" s="184"/>
      <c r="J36" s="184"/>
      <c r="K36" s="18"/>
      <c r="Q36"/>
    </row>
    <row r="37" spans="1:17">
      <c r="A37" s="556"/>
      <c r="B37" s="205">
        <v>1</v>
      </c>
      <c r="C37" s="205"/>
      <c r="D37" s="205">
        <f t="shared" si="0"/>
        <v>-1</v>
      </c>
      <c r="E37" s="154">
        <f>SUM($D$2:D37)/SUM($B$2:B37)</f>
        <v>-5.2055555555555605E-2</v>
      </c>
      <c r="F37" s="150">
        <f t="shared" si="1"/>
        <v>-1.8740000000000019</v>
      </c>
      <c r="G37" s="201" t="s">
        <v>979</v>
      </c>
      <c r="H37" s="183"/>
      <c r="I37" s="184"/>
      <c r="J37" s="184"/>
      <c r="K37" s="18"/>
      <c r="Q37"/>
    </row>
    <row r="38" spans="1:17">
      <c r="A38" s="556"/>
      <c r="B38" s="205">
        <v>1</v>
      </c>
      <c r="C38" s="205"/>
      <c r="D38" s="205">
        <f t="shared" si="0"/>
        <v>-1</v>
      </c>
      <c r="E38" s="154">
        <f>SUM($D$2:D38)/SUM($B$2:B38)</f>
        <v>-7.7675675675675723E-2</v>
      </c>
      <c r="F38" s="150">
        <f t="shared" si="1"/>
        <v>-2.8740000000000019</v>
      </c>
      <c r="G38" s="201" t="s">
        <v>986</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987</v>
      </c>
      <c r="H39" s="183"/>
      <c r="I39" s="184"/>
      <c r="J39" s="184"/>
      <c r="K39" s="18"/>
      <c r="Q39"/>
    </row>
    <row r="40" spans="1:17" ht="15.75" thickBot="1">
      <c r="A40" s="564"/>
      <c r="B40" s="206">
        <v>1</v>
      </c>
      <c r="C40" s="206">
        <v>1.9</v>
      </c>
      <c r="D40" s="206">
        <f t="shared" si="0"/>
        <v>0.89999999999999991</v>
      </c>
      <c r="E40" s="193">
        <f>SUM($D$2:D40)/SUM($B$2:B40)</f>
        <v>-2.5487179487179538E-2</v>
      </c>
      <c r="F40" s="163">
        <f t="shared" si="1"/>
        <v>-0.99400000000000199</v>
      </c>
      <c r="G40" s="202" t="s">
        <v>988</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988</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989</v>
      </c>
      <c r="H42" s="183"/>
      <c r="I42" s="184"/>
      <c r="J42" s="184"/>
      <c r="K42" s="18"/>
      <c r="Q42"/>
    </row>
    <row r="43" spans="1:17">
      <c r="A43" s="556"/>
      <c r="B43" s="205">
        <v>1</v>
      </c>
      <c r="C43" s="205">
        <v>2</v>
      </c>
      <c r="D43" s="205">
        <f t="shared" si="0"/>
        <v>1</v>
      </c>
      <c r="E43" s="154">
        <f>SUM($D$2:D43)/SUM($B$2:B43)</f>
        <v>-2.7142857142857641E-3</v>
      </c>
      <c r="F43" s="150">
        <f t="shared" si="1"/>
        <v>-0.1140000000000021</v>
      </c>
      <c r="G43" s="201" t="s">
        <v>983</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979</v>
      </c>
      <c r="H44" s="183"/>
      <c r="I44" s="184"/>
      <c r="J44" s="184"/>
      <c r="K44" s="18"/>
      <c r="Q44"/>
    </row>
    <row r="45" spans="1:17">
      <c r="A45" s="556"/>
      <c r="B45" s="205">
        <v>1</v>
      </c>
      <c r="C45" s="205"/>
      <c r="D45" s="205">
        <f t="shared" si="0"/>
        <v>-1</v>
      </c>
      <c r="E45" s="154">
        <f>SUM($D$2:D45)/SUM($B$2:B45)</f>
        <v>-6.9090909090909558E-3</v>
      </c>
      <c r="F45" s="150">
        <f t="shared" si="1"/>
        <v>-0.30400000000000205</v>
      </c>
      <c r="G45" s="201" t="s">
        <v>982</v>
      </c>
      <c r="H45" s="183"/>
      <c r="I45" s="184"/>
      <c r="J45" s="184"/>
      <c r="K45" s="18"/>
      <c r="Q45"/>
    </row>
    <row r="46" spans="1:17" ht="15.75" thickBot="1">
      <c r="A46" s="564"/>
      <c r="B46" s="206">
        <v>1</v>
      </c>
      <c r="C46" s="206"/>
      <c r="D46" s="206">
        <f t="shared" si="0"/>
        <v>-1</v>
      </c>
      <c r="E46" s="193">
        <f>SUM($D$2:D46)/SUM($B$2:B46)</f>
        <v>-2.8977777777777824E-2</v>
      </c>
      <c r="F46" s="163">
        <f t="shared" si="1"/>
        <v>-1.304000000000002</v>
      </c>
      <c r="G46" s="202" t="s">
        <v>987</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990</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991</v>
      </c>
      <c r="H48" s="183"/>
      <c r="I48" s="184"/>
      <c r="J48" s="184"/>
      <c r="K48" s="18"/>
      <c r="Q48"/>
    </row>
    <row r="49" spans="1:17" ht="15.75" thickBot="1">
      <c r="A49" s="564"/>
      <c r="B49" s="206">
        <v>1</v>
      </c>
      <c r="C49" s="206">
        <v>1.909</v>
      </c>
      <c r="D49" s="206">
        <f t="shared" si="0"/>
        <v>0.90900000000000003</v>
      </c>
      <c r="E49" s="193">
        <f>SUM($D$2:D49)/SUM($B$2:B49)</f>
        <v>2.9479166666666626E-2</v>
      </c>
      <c r="F49" s="163">
        <f t="shared" si="1"/>
        <v>1.414999999999998</v>
      </c>
      <c r="G49" s="202" t="s">
        <v>992</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990</v>
      </c>
      <c r="H50" s="183"/>
      <c r="I50" s="184"/>
      <c r="J50" s="184"/>
      <c r="K50" s="18"/>
      <c r="Q50"/>
    </row>
    <row r="51" spans="1:17">
      <c r="A51" s="556"/>
      <c r="B51" s="205">
        <v>1</v>
      </c>
      <c r="C51" s="205"/>
      <c r="D51" s="205">
        <f t="shared" si="0"/>
        <v>-1</v>
      </c>
      <c r="E51" s="154">
        <f>SUM($D$2:D51)/SUM($B$2:B51)</f>
        <v>2.5499999999999964E-2</v>
      </c>
      <c r="F51" s="150">
        <f t="shared" si="1"/>
        <v>1.2749999999999981</v>
      </c>
      <c r="G51" s="201" t="s">
        <v>993</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992</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991</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994</v>
      </c>
      <c r="H54" s="183"/>
      <c r="I54" s="184"/>
      <c r="J54" s="184"/>
      <c r="K54" s="18"/>
      <c r="Q54"/>
    </row>
    <row r="55" spans="1:17" ht="15.75" thickBot="1">
      <c r="A55" s="564"/>
      <c r="B55" s="206">
        <v>1</v>
      </c>
      <c r="C55" s="206"/>
      <c r="D55" s="206">
        <f t="shared" si="0"/>
        <v>-1</v>
      </c>
      <c r="E55" s="193">
        <f>SUM($D$2:D55)/SUM($B$2:B55)</f>
        <v>5.6944444444444402E-2</v>
      </c>
      <c r="F55" s="163">
        <f t="shared" si="1"/>
        <v>3.0749999999999975</v>
      </c>
      <c r="G55" s="202" t="s">
        <v>995</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998</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999</v>
      </c>
      <c r="H57" s="183"/>
      <c r="I57" s="184"/>
      <c r="J57" s="184"/>
      <c r="K57" s="18"/>
      <c r="Q57"/>
    </row>
    <row r="58" spans="1:17">
      <c r="A58" s="556"/>
      <c r="B58" s="205">
        <v>1</v>
      </c>
      <c r="C58" s="205"/>
      <c r="D58" s="205">
        <f t="shared" si="0"/>
        <v>-1</v>
      </c>
      <c r="E58" s="154">
        <f>SUM($D$2:D58)/SUM($B$2:B58)</f>
        <v>6.9385964912280662E-2</v>
      </c>
      <c r="F58" s="150">
        <f t="shared" si="1"/>
        <v>3.9549999999999974</v>
      </c>
      <c r="G58" s="201" t="s">
        <v>990</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1000</v>
      </c>
      <c r="H59" s="183"/>
      <c r="I59" s="184"/>
      <c r="J59" s="184"/>
      <c r="K59" s="18"/>
      <c r="Q59"/>
    </row>
    <row r="60" spans="1:17">
      <c r="A60" s="556"/>
      <c r="B60" s="205">
        <v>1</v>
      </c>
      <c r="C60" s="205"/>
      <c r="D60" s="205">
        <f t="shared" si="0"/>
        <v>-1</v>
      </c>
      <c r="E60" s="154">
        <f>SUM($D$2:D60)/SUM($B$2:B60)</f>
        <v>6.5847457627118591E-2</v>
      </c>
      <c r="F60" s="150">
        <f t="shared" si="1"/>
        <v>3.8849999999999971</v>
      </c>
      <c r="G60" s="201" t="s">
        <v>1001</v>
      </c>
      <c r="H60" s="183"/>
      <c r="I60" s="184"/>
      <c r="J60" s="184"/>
      <c r="K60" s="18"/>
      <c r="Q60"/>
    </row>
    <row r="61" spans="1:17" ht="15.75" thickBot="1">
      <c r="A61" s="564"/>
      <c r="B61" s="206">
        <v>1</v>
      </c>
      <c r="C61" s="206">
        <v>1.87</v>
      </c>
      <c r="D61" s="206">
        <f t="shared" si="0"/>
        <v>0.87000000000000011</v>
      </c>
      <c r="E61" s="193">
        <f>SUM($D$2:D61)/SUM($B$2:B61)</f>
        <v>7.9249999999999959E-2</v>
      </c>
      <c r="F61" s="163">
        <f t="shared" si="1"/>
        <v>4.7549999999999972</v>
      </c>
      <c r="G61" s="202" t="s">
        <v>994</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992</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1002</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1003</v>
      </c>
      <c r="H64" s="183"/>
      <c r="I64" s="184"/>
      <c r="J64" s="184"/>
      <c r="K64" s="18"/>
      <c r="Q64"/>
    </row>
    <row r="65" spans="1:17">
      <c r="A65" s="556"/>
      <c r="B65" s="205">
        <v>1</v>
      </c>
      <c r="C65" s="205"/>
      <c r="D65" s="205">
        <f t="shared" si="0"/>
        <v>-1</v>
      </c>
      <c r="E65" s="154">
        <f>SUM($D$2:D65)/SUM($B$2:B65)</f>
        <v>7.070312499999995E-2</v>
      </c>
      <c r="F65" s="150">
        <f t="shared" si="1"/>
        <v>4.5249999999999968</v>
      </c>
      <c r="G65" s="201" t="s">
        <v>1004</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1005</v>
      </c>
      <c r="H66" s="183"/>
      <c r="I66" s="184"/>
      <c r="J66" s="184"/>
      <c r="K66" s="18"/>
      <c r="Q66"/>
    </row>
    <row r="67" spans="1:17" ht="15.75" thickBot="1">
      <c r="A67" s="564"/>
      <c r="B67" s="206">
        <v>1</v>
      </c>
      <c r="C67" s="206"/>
      <c r="D67" s="206">
        <f t="shared" si="2"/>
        <v>-1</v>
      </c>
      <c r="E67" s="193">
        <f>SUM($D$2:D67)/SUM($B$2:B67)</f>
        <v>3.8257575757575712E-2</v>
      </c>
      <c r="F67" s="163">
        <f t="shared" ref="F67:F108" si="3">F66+D67</f>
        <v>2.5249999999999968</v>
      </c>
      <c r="G67" s="202" t="s">
        <v>1006</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1007</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1008</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1005</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1009</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1010</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1011</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1006</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1012</v>
      </c>
      <c r="H75" s="183"/>
      <c r="I75" s="184"/>
      <c r="J75" s="184"/>
      <c r="K75" s="18"/>
      <c r="Q75"/>
    </row>
    <row r="76" spans="1:17">
      <c r="A76" s="556"/>
      <c r="B76" s="205">
        <v>1</v>
      </c>
      <c r="C76" s="205"/>
      <c r="D76" s="205">
        <f t="shared" si="2"/>
        <v>-1</v>
      </c>
      <c r="E76" s="154">
        <f>SUM($D$2:D76)/SUM($B$2:B76)</f>
        <v>0.11690666666666663</v>
      </c>
      <c r="F76" s="150">
        <f t="shared" si="3"/>
        <v>8.7679999999999971</v>
      </c>
      <c r="G76" s="201" t="s">
        <v>1003</v>
      </c>
      <c r="H76" s="183"/>
      <c r="I76" s="184"/>
      <c r="J76" s="184"/>
      <c r="K76" s="18"/>
      <c r="Q76"/>
    </row>
    <row r="77" spans="1:17" ht="15.75" thickBot="1">
      <c r="A77" s="564"/>
      <c r="B77" s="206">
        <v>1</v>
      </c>
      <c r="C77" s="206">
        <v>2.13</v>
      </c>
      <c r="D77" s="206">
        <f t="shared" si="2"/>
        <v>1.1299999999999999</v>
      </c>
      <c r="E77" s="193">
        <f>SUM($D$2:D77)/SUM($B$2:B77)</f>
        <v>0.1302368421052631</v>
      </c>
      <c r="F77" s="163">
        <f t="shared" si="3"/>
        <v>9.8979999999999961</v>
      </c>
      <c r="G77" s="202" t="s">
        <v>1013</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1011</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1003</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1009</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1006</v>
      </c>
      <c r="H81" s="183"/>
      <c r="I81" s="184"/>
      <c r="J81" s="184"/>
      <c r="K81" s="18"/>
      <c r="Q81"/>
    </row>
    <row r="82" spans="1:17">
      <c r="A82" s="556"/>
      <c r="B82" s="205">
        <v>1</v>
      </c>
      <c r="C82" s="205"/>
      <c r="D82" s="205">
        <f t="shared" si="2"/>
        <v>-1</v>
      </c>
      <c r="E82" s="154">
        <f>SUM($D$2:D82)/SUM($B$2:B82)</f>
        <v>0.15367901234567896</v>
      </c>
      <c r="F82" s="150">
        <f>F81+D82</f>
        <v>12.447999999999997</v>
      </c>
      <c r="G82" s="201" t="s">
        <v>1014</v>
      </c>
      <c r="H82" s="183"/>
      <c r="I82" s="184"/>
      <c r="J82" s="184"/>
      <c r="K82" s="18"/>
      <c r="Q82"/>
    </row>
    <row r="83" spans="1:17">
      <c r="A83" s="556"/>
      <c r="B83" s="205">
        <v>1</v>
      </c>
      <c r="C83" s="205"/>
      <c r="D83" s="205">
        <f t="shared" si="2"/>
        <v>-1</v>
      </c>
      <c r="E83" s="154">
        <f>SUM($D$2:D83)/SUM($B$2:B83)</f>
        <v>0.13960975609756093</v>
      </c>
      <c r="F83" s="150">
        <f t="shared" si="3"/>
        <v>11.447999999999997</v>
      </c>
      <c r="G83" s="201" t="s">
        <v>1005</v>
      </c>
      <c r="H83" s="183"/>
      <c r="I83" s="184"/>
      <c r="J83" s="184"/>
      <c r="K83" s="18"/>
      <c r="Q83"/>
    </row>
    <row r="84" spans="1:17">
      <c r="A84" s="556"/>
      <c r="B84" s="205">
        <v>1</v>
      </c>
      <c r="C84" s="205"/>
      <c r="D84" s="205">
        <f t="shared" si="2"/>
        <v>-1</v>
      </c>
      <c r="E84" s="154">
        <f>SUM($D$2:D84)/SUM($B$2:B84)</f>
        <v>0.12587951807228911</v>
      </c>
      <c r="F84" s="150">
        <f t="shared" si="3"/>
        <v>10.447999999999997</v>
      </c>
      <c r="G84" s="201" t="s">
        <v>1010</v>
      </c>
      <c r="H84" s="183"/>
      <c r="I84" s="184"/>
      <c r="J84" s="184"/>
      <c r="K84" s="18"/>
      <c r="Q84"/>
    </row>
    <row r="85" spans="1:17" ht="15.75" thickBot="1">
      <c r="A85" s="564"/>
      <c r="B85" s="206">
        <v>1</v>
      </c>
      <c r="C85" s="206">
        <v>2</v>
      </c>
      <c r="D85" s="206">
        <f t="shared" si="2"/>
        <v>1</v>
      </c>
      <c r="E85" s="193">
        <f>SUM($D$2:D85)/SUM($B$2:B85)</f>
        <v>0.13628571428571426</v>
      </c>
      <c r="F85" s="163">
        <f t="shared" si="3"/>
        <v>11.447999999999997</v>
      </c>
      <c r="G85" s="202" t="s">
        <v>1012</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1003</v>
      </c>
      <c r="H86" s="183"/>
      <c r="I86" s="184"/>
      <c r="J86" s="184"/>
      <c r="K86" s="18"/>
      <c r="Q86"/>
    </row>
    <row r="87" spans="1:17">
      <c r="A87" s="556"/>
      <c r="B87" s="167">
        <v>1</v>
      </c>
      <c r="C87" s="205"/>
      <c r="D87" s="205">
        <f t="shared" si="2"/>
        <v>-1</v>
      </c>
      <c r="E87" s="154">
        <f>SUM($D$2:D87)/SUM($B$2:B87)</f>
        <v>0.10986046511627903</v>
      </c>
      <c r="F87" s="150">
        <f t="shared" si="3"/>
        <v>9.4479999999999968</v>
      </c>
      <c r="G87" s="201" t="s">
        <v>1017</v>
      </c>
      <c r="H87" s="183"/>
      <c r="I87" s="184"/>
      <c r="J87" s="184"/>
      <c r="K87" s="18"/>
      <c r="Q87"/>
    </row>
    <row r="88" spans="1:17">
      <c r="A88" s="556"/>
      <c r="B88" s="167">
        <v>1</v>
      </c>
      <c r="C88" s="205"/>
      <c r="D88" s="205">
        <f t="shared" si="2"/>
        <v>-1</v>
      </c>
      <c r="E88" s="154">
        <f>SUM($D$2:D88)/SUM($B$2:B88)</f>
        <v>9.7103448275862037E-2</v>
      </c>
      <c r="F88" s="150">
        <f t="shared" si="3"/>
        <v>8.4479999999999968</v>
      </c>
      <c r="G88" s="201" t="s">
        <v>1011</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1009</v>
      </c>
      <c r="H89" s="183"/>
      <c r="I89" s="184"/>
      <c r="J89" s="184"/>
      <c r="K89" s="18"/>
      <c r="Q89"/>
    </row>
    <row r="90" spans="1:17" ht="15.75" thickBot="1">
      <c r="A90" s="564"/>
      <c r="B90" s="170">
        <v>1</v>
      </c>
      <c r="C90" s="206">
        <v>1.64</v>
      </c>
      <c r="D90" s="206">
        <f t="shared" si="2"/>
        <v>0.6399999999999999</v>
      </c>
      <c r="E90" s="193">
        <f>SUM($D$2:D90)/SUM($B$2:B90)</f>
        <v>0.11188764044943818</v>
      </c>
      <c r="F90" s="163">
        <f t="shared" si="3"/>
        <v>9.9579999999999984</v>
      </c>
      <c r="G90" s="202" t="s">
        <v>1008</v>
      </c>
      <c r="H90" s="183"/>
      <c r="I90" s="184"/>
      <c r="J90" s="184"/>
      <c r="K90" s="18"/>
      <c r="Q90"/>
    </row>
    <row r="91" spans="1:17" ht="15.75" thickBot="1">
      <c r="A91" s="526">
        <v>45922</v>
      </c>
      <c r="B91" s="222">
        <v>1</v>
      </c>
      <c r="C91" s="223">
        <v>1.98</v>
      </c>
      <c r="D91" s="223">
        <f t="shared" si="2"/>
        <v>0.98</v>
      </c>
      <c r="E91" s="224">
        <f>SUM($D$2:D91)/SUM($B$2:B91)</f>
        <v>0.12153333333333333</v>
      </c>
      <c r="F91" s="225">
        <f t="shared" si="3"/>
        <v>10.937999999999999</v>
      </c>
      <c r="G91" s="276" t="s">
        <v>1018</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1020</v>
      </c>
      <c r="H92" s="183"/>
      <c r="I92" s="184"/>
      <c r="J92" s="184"/>
      <c r="K92" s="18"/>
      <c r="Q92"/>
    </row>
    <row r="93" spans="1:17">
      <c r="A93" s="556"/>
      <c r="B93" s="167">
        <v>1</v>
      </c>
      <c r="C93" s="205"/>
      <c r="D93" s="205">
        <f t="shared" si="2"/>
        <v>-1</v>
      </c>
      <c r="E93" s="154">
        <f>SUM($D$2:D93)/SUM($B$2:B93)</f>
        <v>0.11617391304347825</v>
      </c>
      <c r="F93" s="150">
        <f t="shared" si="3"/>
        <v>10.687999999999999</v>
      </c>
      <c r="G93" s="201" t="s">
        <v>1021</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1022</v>
      </c>
      <c r="H94" s="183"/>
      <c r="I94" s="184"/>
      <c r="J94" s="184"/>
      <c r="K94" s="18"/>
      <c r="Q94"/>
    </row>
    <row r="95" spans="1:17">
      <c r="A95" s="556"/>
      <c r="B95" s="167">
        <v>1</v>
      </c>
      <c r="C95" s="205"/>
      <c r="D95" s="205">
        <f t="shared" si="2"/>
        <v>-1</v>
      </c>
      <c r="E95" s="154">
        <f>SUM($D$2:D95)/SUM($B$2:B95)</f>
        <v>0.11317021276595743</v>
      </c>
      <c r="F95" s="150">
        <f t="shared" si="3"/>
        <v>10.637999999999998</v>
      </c>
      <c r="G95" s="272" t="s">
        <v>1023</v>
      </c>
      <c r="H95" s="183"/>
      <c r="I95" s="184"/>
      <c r="J95" s="184"/>
      <c r="K95" s="18"/>
      <c r="Q95"/>
    </row>
    <row r="96" spans="1:17">
      <c r="A96" s="556"/>
      <c r="B96" s="167">
        <v>1</v>
      </c>
      <c r="C96" s="205"/>
      <c r="D96" s="205">
        <f t="shared" si="2"/>
        <v>-1</v>
      </c>
      <c r="E96" s="154">
        <f>SUM($D$2:D96)/SUM($B$2:B96)</f>
        <v>0.10145263157894735</v>
      </c>
      <c r="F96" s="150">
        <f t="shared" si="3"/>
        <v>9.6379999999999981</v>
      </c>
      <c r="G96" s="201" t="s">
        <v>1024</v>
      </c>
      <c r="H96" s="183"/>
      <c r="I96" s="184"/>
      <c r="J96" s="184"/>
      <c r="K96" s="18"/>
      <c r="Q96"/>
    </row>
    <row r="97" spans="1:17" ht="15.75" thickBot="1">
      <c r="A97" s="564"/>
      <c r="B97" s="170">
        <v>1</v>
      </c>
      <c r="C97" s="206"/>
      <c r="D97" s="206">
        <f t="shared" si="2"/>
        <v>-1</v>
      </c>
      <c r="E97" s="193">
        <f>SUM($D$2:D97)/SUM($B$2:B97)</f>
        <v>8.9979166666666652E-2</v>
      </c>
      <c r="F97" s="163">
        <f t="shared" si="3"/>
        <v>8.6379999999999981</v>
      </c>
      <c r="G97" s="202" t="s">
        <v>1025</v>
      </c>
      <c r="H97" s="183"/>
      <c r="I97" s="184"/>
      <c r="J97" s="184"/>
      <c r="K97" s="18"/>
      <c r="Q97"/>
    </row>
    <row r="98" spans="1:17">
      <c r="A98" s="562">
        <v>45924</v>
      </c>
      <c r="B98" s="165">
        <v>1</v>
      </c>
      <c r="C98" s="204"/>
      <c r="D98" s="204">
        <f t="shared" si="2"/>
        <v>-1</v>
      </c>
      <c r="E98" s="191">
        <f>SUM($D$2:D98)/SUM($B$2:B98)</f>
        <v>7.8742268041237087E-2</v>
      </c>
      <c r="F98" s="161">
        <f t="shared" si="3"/>
        <v>7.6379999999999981</v>
      </c>
      <c r="G98" s="200" t="s">
        <v>1021</v>
      </c>
      <c r="H98" s="183"/>
      <c r="I98" s="184"/>
      <c r="J98" s="184"/>
      <c r="K98" s="18"/>
      <c r="Q98"/>
    </row>
    <row r="99" spans="1:17">
      <c r="A99" s="563"/>
      <c r="B99" s="167">
        <v>1</v>
      </c>
      <c r="C99" s="205">
        <v>1.833</v>
      </c>
      <c r="D99" s="205">
        <f t="shared" si="2"/>
        <v>0.83299999999999996</v>
      </c>
      <c r="E99" s="154">
        <f>SUM($D$2:D99)/SUM($B$2:B99)</f>
        <v>8.6438775510204069E-2</v>
      </c>
      <c r="F99" s="150">
        <f t="shared" si="3"/>
        <v>8.4709999999999983</v>
      </c>
      <c r="G99" s="201" t="s">
        <v>1026</v>
      </c>
      <c r="H99" s="183"/>
      <c r="I99" s="184"/>
      <c r="J99" s="184"/>
      <c r="K99" s="18"/>
      <c r="Q99"/>
    </row>
    <row r="100" spans="1:17">
      <c r="A100" s="563"/>
      <c r="B100" s="167">
        <v>1</v>
      </c>
      <c r="C100" s="205">
        <v>2</v>
      </c>
      <c r="D100" s="205">
        <f t="shared" si="2"/>
        <v>1</v>
      </c>
      <c r="E100" s="154">
        <f>SUM($D$2:D100)/SUM($B$2:B100)</f>
        <v>9.566666666666665E-2</v>
      </c>
      <c r="F100" s="150">
        <f t="shared" si="3"/>
        <v>9.4709999999999983</v>
      </c>
      <c r="G100" s="201" t="s">
        <v>1023</v>
      </c>
      <c r="H100" s="183"/>
      <c r="I100" s="184"/>
      <c r="J100" s="184"/>
      <c r="K100" s="18"/>
      <c r="Q100"/>
    </row>
    <row r="101" spans="1:17">
      <c r="A101" s="563"/>
      <c r="B101" s="167">
        <v>1</v>
      </c>
      <c r="C101" s="205">
        <v>2.06</v>
      </c>
      <c r="D101" s="205">
        <f t="shared" si="2"/>
        <v>1.06</v>
      </c>
      <c r="E101" s="154">
        <f>SUM($D$2:D101)/SUM($B$2:B101)</f>
        <v>0.10530999999999999</v>
      </c>
      <c r="F101" s="150">
        <f t="shared" si="3"/>
        <v>10.530999999999999</v>
      </c>
      <c r="G101" s="201" t="s">
        <v>1027</v>
      </c>
      <c r="H101" s="183"/>
      <c r="I101" s="184"/>
      <c r="J101" s="184"/>
      <c r="K101" s="18"/>
      <c r="Q101"/>
    </row>
    <row r="102" spans="1:17" ht="15.75" thickBot="1">
      <c r="A102" s="576"/>
      <c r="B102" s="170">
        <v>1</v>
      </c>
      <c r="C102" s="206"/>
      <c r="D102" s="206">
        <f t="shared" si="2"/>
        <v>-1</v>
      </c>
      <c r="E102" s="193">
        <f>SUM($D$2:D102)/SUM($B$2:B102)</f>
        <v>9.4366336633663353E-2</v>
      </c>
      <c r="F102" s="163">
        <f t="shared" si="3"/>
        <v>9.5309999999999988</v>
      </c>
      <c r="G102" s="202" t="s">
        <v>1018</v>
      </c>
      <c r="H102" s="183"/>
      <c r="I102" s="184"/>
      <c r="J102" s="184"/>
      <c r="K102" s="18"/>
      <c r="Q102"/>
    </row>
    <row r="103" spans="1:17">
      <c r="A103" s="562">
        <v>45925</v>
      </c>
      <c r="B103" s="165">
        <v>1</v>
      </c>
      <c r="C103" s="204">
        <v>1.88</v>
      </c>
      <c r="D103" s="204">
        <f t="shared" si="2"/>
        <v>0.87999999999999989</v>
      </c>
      <c r="E103" s="191">
        <f>SUM($D$2:D103)/SUM($B$2:B103)</f>
        <v>0.10206862745098037</v>
      </c>
      <c r="F103" s="161">
        <f t="shared" si="3"/>
        <v>10.410999999999998</v>
      </c>
      <c r="G103" s="200" t="s">
        <v>1021</v>
      </c>
      <c r="H103" s="183"/>
      <c r="I103" s="184"/>
      <c r="J103" s="184"/>
      <c r="K103" s="18"/>
      <c r="Q103"/>
    </row>
    <row r="104" spans="1:17">
      <c r="A104" s="563"/>
      <c r="B104" s="167">
        <v>1</v>
      </c>
      <c r="C104" s="205">
        <v>1.8</v>
      </c>
      <c r="D104" s="205">
        <f t="shared" si="2"/>
        <v>0.8</v>
      </c>
      <c r="E104" s="154">
        <f>SUM($D$2:D104)/SUM($B$2:B104)</f>
        <v>0.10884466019417474</v>
      </c>
      <c r="F104" s="150">
        <f t="shared" si="3"/>
        <v>11.210999999999999</v>
      </c>
      <c r="G104" s="201" t="s">
        <v>1020</v>
      </c>
      <c r="H104" s="183"/>
      <c r="I104" s="184"/>
      <c r="J104" s="184"/>
      <c r="K104" s="18"/>
      <c r="Q104"/>
    </row>
    <row r="105" spans="1:17">
      <c r="A105" s="563"/>
      <c r="B105" s="167">
        <v>1</v>
      </c>
      <c r="C105" s="205"/>
      <c r="D105" s="205">
        <f t="shared" si="2"/>
        <v>-1</v>
      </c>
      <c r="E105" s="154">
        <f>SUM($D$2:D105)/SUM($B$2:B105)</f>
        <v>9.818269230769229E-2</v>
      </c>
      <c r="F105" s="150">
        <f t="shared" si="3"/>
        <v>10.210999999999999</v>
      </c>
      <c r="G105" s="201" t="s">
        <v>1023</v>
      </c>
      <c r="H105" s="183"/>
      <c r="I105" s="184"/>
      <c r="J105" s="184"/>
      <c r="K105" s="18"/>
      <c r="Q105"/>
    </row>
    <row r="106" spans="1:17">
      <c r="A106" s="563"/>
      <c r="B106" s="167">
        <v>1</v>
      </c>
      <c r="C106" s="205">
        <v>1.98</v>
      </c>
      <c r="D106" s="205">
        <f t="shared" si="2"/>
        <v>0.98</v>
      </c>
      <c r="E106" s="154">
        <f>SUM($D$2:D106)/SUM($B$2:B106)</f>
        <v>0.10658095238095237</v>
      </c>
      <c r="F106" s="150">
        <f t="shared" si="3"/>
        <v>11.190999999999999</v>
      </c>
      <c r="G106" s="201" t="s">
        <v>1028</v>
      </c>
      <c r="H106" s="183"/>
      <c r="I106" s="184"/>
      <c r="J106" s="184"/>
      <c r="K106" s="18"/>
      <c r="Q106"/>
    </row>
    <row r="107" spans="1:17">
      <c r="A107" s="563"/>
      <c r="B107" s="167">
        <v>1</v>
      </c>
      <c r="C107" s="205"/>
      <c r="D107" s="205">
        <f t="shared" si="2"/>
        <v>-1</v>
      </c>
      <c r="E107" s="154">
        <f>SUM($D$2:D107)/SUM($B$2:B107)</f>
        <v>9.6141509433962255E-2</v>
      </c>
      <c r="F107" s="150">
        <f t="shared" si="3"/>
        <v>10.190999999999999</v>
      </c>
      <c r="G107" s="201" t="s">
        <v>1029</v>
      </c>
      <c r="H107" s="183"/>
      <c r="I107" s="184"/>
      <c r="J107" s="184"/>
      <c r="K107" s="18"/>
      <c r="Q107"/>
    </row>
    <row r="108" spans="1:17" ht="15.75" thickBot="1">
      <c r="A108" s="563"/>
      <c r="B108" s="170">
        <v>1</v>
      </c>
      <c r="C108" s="206">
        <v>2.0299999999999998</v>
      </c>
      <c r="D108" s="206">
        <f t="shared" si="2"/>
        <v>1.0299999999999998</v>
      </c>
      <c r="E108" s="193">
        <f>SUM($D$2:D108)/SUM($B$2:B108)</f>
        <v>0.10486915887850466</v>
      </c>
      <c r="F108" s="163">
        <f t="shared" si="3"/>
        <v>11.220999999999998</v>
      </c>
      <c r="G108" s="202" t="s">
        <v>1030</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1031</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1032</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1033</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1034</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1035</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1036</v>
      </c>
      <c r="H114" s="183"/>
      <c r="I114" s="184"/>
      <c r="J114" s="184"/>
      <c r="K114" s="18"/>
      <c r="Q114"/>
    </row>
    <row r="115" spans="1:17" ht="15.75" thickBot="1">
      <c r="A115" s="564"/>
      <c r="B115" s="218">
        <v>1</v>
      </c>
      <c r="C115" s="206">
        <v>1.97</v>
      </c>
      <c r="D115" s="206">
        <f>(B115*C115)-B115</f>
        <v>0.97</v>
      </c>
      <c r="E115" s="193">
        <f>SUM($D$2:D115)/SUM($B$2:B115)</f>
        <v>0.12334210526315789</v>
      </c>
      <c r="F115" s="150">
        <f>F114+D115</f>
        <v>14.061</v>
      </c>
      <c r="G115" s="202" t="s">
        <v>1037</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1038</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1039</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1032</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1036</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1037</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1035</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1040</v>
      </c>
      <c r="H122" s="183"/>
      <c r="I122" s="184"/>
      <c r="J122" s="184"/>
      <c r="K122" s="18"/>
      <c r="Q122"/>
    </row>
    <row r="123" spans="1:17" ht="15.75" thickBot="1">
      <c r="A123" s="564"/>
      <c r="B123" s="170">
        <v>1</v>
      </c>
      <c r="C123" s="206">
        <v>2.06</v>
      </c>
      <c r="D123" s="206">
        <f>(B123*C123)-B123</f>
        <v>1.06</v>
      </c>
      <c r="E123" s="193">
        <f>SUM($D$2:D123)/SUM($B$2:B123)</f>
        <v>0.14394262295081964</v>
      </c>
      <c r="F123" s="163">
        <f>F122+D123</f>
        <v>17.560999999999996</v>
      </c>
      <c r="G123" s="194" t="s">
        <v>1041</v>
      </c>
      <c r="H123" s="183"/>
      <c r="I123" s="184"/>
      <c r="J123" s="184"/>
      <c r="K123" s="18"/>
      <c r="Q123"/>
    </row>
    <row r="124" spans="1:17">
      <c r="A124" s="577">
        <v>45928</v>
      </c>
      <c r="B124" s="179">
        <v>1</v>
      </c>
      <c r="C124" s="207">
        <v>1.87</v>
      </c>
      <c r="D124" s="207">
        <f>(B124*C124)-B124</f>
        <v>0.87000000000000011</v>
      </c>
      <c r="E124" s="195">
        <f>SUM($D$2:D124)/SUM($B$2:B124)</f>
        <v>0.14984552845528454</v>
      </c>
      <c r="F124" s="162">
        <f>F123+D124</f>
        <v>18.430999999999997</v>
      </c>
      <c r="G124" s="214" t="s">
        <v>1039</v>
      </c>
      <c r="H124" s="183"/>
      <c r="I124" s="184"/>
      <c r="J124" s="184"/>
      <c r="K124" s="18"/>
      <c r="Q124"/>
    </row>
    <row r="125" spans="1:17">
      <c r="A125" s="578"/>
      <c r="B125" s="167">
        <v>1</v>
      </c>
      <c r="C125" s="205"/>
      <c r="D125" s="205">
        <f>(B125*C125)-B125</f>
        <v>-1</v>
      </c>
      <c r="E125" s="154">
        <f>SUM($D$2:D125)/SUM($B$2:B125)</f>
        <v>0.14057258064516126</v>
      </c>
      <c r="F125" s="150">
        <f>F124+D125</f>
        <v>17.430999999999997</v>
      </c>
      <c r="G125" s="189" t="s">
        <v>1043</v>
      </c>
      <c r="H125" s="183"/>
      <c r="I125" s="184"/>
      <c r="J125" s="184"/>
      <c r="K125" s="18"/>
      <c r="Q125"/>
    </row>
    <row r="126" spans="1:17">
      <c r="A126" s="578"/>
      <c r="B126" s="167">
        <v>1</v>
      </c>
      <c r="C126" s="205">
        <v>1.81</v>
      </c>
      <c r="D126" s="205">
        <f>(B126*C126)-B126</f>
        <v>0.81</v>
      </c>
      <c r="E126" s="154">
        <f>SUM($D$2:D126)/SUM($B$2:B126)</f>
        <v>0.14592799999999997</v>
      </c>
      <c r="F126" s="150">
        <f>F125+D126</f>
        <v>18.240999999999996</v>
      </c>
      <c r="G126" s="189" t="s">
        <v>1044</v>
      </c>
      <c r="H126" s="183"/>
      <c r="I126" s="184"/>
      <c r="J126" s="184"/>
      <c r="K126" s="18"/>
      <c r="Q126"/>
    </row>
    <row r="127" spans="1:17">
      <c r="A127" s="578"/>
      <c r="B127" s="167">
        <v>1</v>
      </c>
      <c r="C127" s="205">
        <v>1.87</v>
      </c>
      <c r="D127" s="205">
        <f>(B127*C127)-B127</f>
        <v>0.87000000000000011</v>
      </c>
      <c r="E127" s="154">
        <f>SUM($D$2:D127)/SUM($B$2:B127)</f>
        <v>0.15167460317460316</v>
      </c>
      <c r="F127" s="150">
        <f>F126+D127</f>
        <v>19.110999999999997</v>
      </c>
      <c r="G127" s="189" t="s">
        <v>1031</v>
      </c>
      <c r="H127" s="183"/>
      <c r="I127" s="184"/>
      <c r="J127" s="184"/>
      <c r="K127" s="18"/>
      <c r="Q127"/>
    </row>
    <row r="128" spans="1:17">
      <c r="A128" s="578"/>
      <c r="B128" s="167">
        <v>1</v>
      </c>
      <c r="C128" s="205">
        <v>1.98</v>
      </c>
      <c r="D128" s="205">
        <f>(B128*C128)-B128</f>
        <v>0.98</v>
      </c>
      <c r="E128" s="154">
        <f>SUM($D$2:D128)/SUM($B$2:B128)</f>
        <v>0.15819685039370077</v>
      </c>
      <c r="F128" s="150">
        <f>F127+D128</f>
        <v>20.090999999999998</v>
      </c>
      <c r="G128" s="189" t="s">
        <v>1036</v>
      </c>
      <c r="H128" s="183"/>
      <c r="I128" s="184"/>
      <c r="J128" s="184"/>
      <c r="K128" s="18"/>
      <c r="Q128"/>
    </row>
    <row r="129" spans="1:17">
      <c r="A129" s="578"/>
      <c r="B129" s="167">
        <v>1</v>
      </c>
      <c r="C129" s="205">
        <v>2.02</v>
      </c>
      <c r="D129" s="205">
        <f>(B129*C129)-B129</f>
        <v>1.02</v>
      </c>
      <c r="E129" s="154">
        <f>SUM($D$2:D129)/SUM($B$2:B129)</f>
        <v>0.16492968749999998</v>
      </c>
      <c r="F129" s="150">
        <f>F128+D129</f>
        <v>21.110999999999997</v>
      </c>
      <c r="G129" s="189" t="s">
        <v>1041</v>
      </c>
      <c r="H129" s="183"/>
      <c r="I129" s="184"/>
      <c r="J129" s="184"/>
      <c r="K129" s="18"/>
      <c r="Q129"/>
    </row>
    <row r="130" spans="1:17" ht="15.75" thickBot="1">
      <c r="A130" s="579"/>
      <c r="B130" s="170">
        <v>1</v>
      </c>
      <c r="C130" s="206">
        <v>2</v>
      </c>
      <c r="D130" s="206">
        <f>(B130*C130)-B130</f>
        <v>1</v>
      </c>
      <c r="E130" s="193">
        <f>SUM($D$2:D130)/SUM($B$2:B130)</f>
        <v>0.17140310077519377</v>
      </c>
      <c r="F130" s="212">
        <f>F129+D130</f>
        <v>22.110999999999997</v>
      </c>
      <c r="G130" s="194" t="s">
        <v>1037</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1045</v>
      </c>
      <c r="H131" s="2"/>
      <c r="K131" s="18"/>
      <c r="Q131"/>
    </row>
    <row r="132" spans="1:17" ht="15.75" thickBot="1">
      <c r="A132" s="564"/>
      <c r="B132" s="105">
        <v>1</v>
      </c>
      <c r="C132" s="218"/>
      <c r="D132" s="218">
        <f>(B132*C132)-B132</f>
        <v>-1</v>
      </c>
      <c r="E132" s="59">
        <f>SUM($D$2:D132)/SUM($B$2:B132)</f>
        <v>0.15351908396946562</v>
      </c>
      <c r="F132" s="38">
        <f>F131+D132</f>
        <v>20.110999999999997</v>
      </c>
      <c r="G132" s="141" t="s">
        <v>1046</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1045</v>
      </c>
      <c r="H133" s="2"/>
      <c r="K133" s="18"/>
      <c r="Q133"/>
    </row>
    <row r="134" spans="1:17" ht="15.75" thickBot="1">
      <c r="A134" s="564"/>
      <c r="B134" s="218">
        <v>1</v>
      </c>
      <c r="C134" s="218">
        <v>2.2200000000000002</v>
      </c>
      <c r="D134" s="218">
        <f>(B134*C134)-B134</f>
        <v>1.2200000000000002</v>
      </c>
      <c r="E134" s="59">
        <f>SUM($D$2:D134)/SUM($B$2:B134)</f>
        <v>0.1684285714285714</v>
      </c>
      <c r="F134" s="38">
        <f>F133+D134</f>
        <v>22.400999999999996</v>
      </c>
      <c r="G134" s="141" t="s">
        <v>1046</v>
      </c>
      <c r="H134" s="2"/>
      <c r="K134" s="18"/>
      <c r="Q134"/>
    </row>
    <row r="135" spans="1:17">
      <c r="A135" s="555">
        <v>45932</v>
      </c>
      <c r="B135" s="41">
        <v>1</v>
      </c>
      <c r="C135" s="41"/>
      <c r="D135" s="41">
        <f>(B135*C135)-B135</f>
        <v>-1</v>
      </c>
      <c r="E135" s="47">
        <f>SUM($D$2:D135)/SUM($B$2:B135)</f>
        <v>0.15970895522388057</v>
      </c>
      <c r="F135" s="37">
        <f>F134+D135</f>
        <v>21.400999999999996</v>
      </c>
      <c r="G135" s="129" t="s">
        <v>1045</v>
      </c>
      <c r="H135" s="2"/>
      <c r="K135" s="18"/>
      <c r="Q135"/>
    </row>
    <row r="136" spans="1:17">
      <c r="A136" s="564"/>
      <c r="B136" s="218">
        <v>1</v>
      </c>
      <c r="C136" s="218"/>
      <c r="D136" s="218">
        <f>(B136*C136)-B136</f>
        <v>-1</v>
      </c>
      <c r="E136" s="59">
        <f>SUM($D$2:D136)/SUM($B$2:B136)</f>
        <v>0.15111851851851849</v>
      </c>
      <c r="F136" s="38">
        <f>F135+D136</f>
        <v>20.400999999999996</v>
      </c>
      <c r="G136" s="141" t="s">
        <v>1046</v>
      </c>
      <c r="H136" s="2"/>
      <c r="K136" s="18"/>
      <c r="Q136"/>
    </row>
    <row r="137" spans="1:17" s="184" customFormat="1">
      <c r="A137" s="526">
        <v>45934</v>
      </c>
      <c r="B137" s="222">
        <v>1</v>
      </c>
      <c r="C137" s="223">
        <v>1.97</v>
      </c>
      <c r="D137" s="223">
        <f>(B137*C137)-B137</f>
        <v>0.97</v>
      </c>
      <c r="E137" s="224">
        <f>SUM($D$2:D137)/SUM($B$2:B137)</f>
        <v>0.1571397058823529</v>
      </c>
      <c r="F137" s="225">
        <f>F136+D137</f>
        <v>21.370999999999995</v>
      </c>
      <c r="G137" s="274" t="s">
        <v>1047</v>
      </c>
      <c r="H137" s="183"/>
      <c r="K137" s="234"/>
    </row>
    <row r="138" spans="1:17" s="184" customFormat="1">
      <c r="A138" s="526">
        <v>45936</v>
      </c>
      <c r="B138" s="222">
        <v>1</v>
      </c>
      <c r="C138" s="223"/>
      <c r="D138" s="223">
        <f>(B138*C138)-B138</f>
        <v>-1</v>
      </c>
      <c r="E138" s="224">
        <f>SUM($D$2:D138)/SUM($B$2:B138)</f>
        <v>0.14869343065693427</v>
      </c>
      <c r="F138" s="225">
        <f t="shared" ref="F138:F144" si="4">F137+D138</f>
        <v>20.370999999999995</v>
      </c>
      <c r="G138" s="226" t="s">
        <v>1048</v>
      </c>
      <c r="H138" s="183"/>
      <c r="K138" s="234"/>
    </row>
    <row r="139" spans="1:17" s="184" customFormat="1">
      <c r="A139" s="526">
        <v>45937</v>
      </c>
      <c r="B139" s="222">
        <v>1</v>
      </c>
      <c r="C139" s="223"/>
      <c r="D139" s="223">
        <f>(B139*C139)-B139</f>
        <v>-1</v>
      </c>
      <c r="E139" s="224">
        <f>SUM($D$2:D139)/SUM($B$2:B139)</f>
        <v>0.14036956521739127</v>
      </c>
      <c r="F139" s="225">
        <f t="shared" si="4"/>
        <v>19.370999999999995</v>
      </c>
      <c r="G139" s="226" t="s">
        <v>1049</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995</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958</v>
      </c>
      <c r="H141" s="183"/>
      <c r="K141" s="234"/>
    </row>
    <row r="142" spans="1:17" s="184" customFormat="1">
      <c r="A142" s="564"/>
      <c r="B142" s="170">
        <v>1</v>
      </c>
      <c r="C142" s="206"/>
      <c r="D142" s="206">
        <f>(B142*C142)-B142</f>
        <v>-1</v>
      </c>
      <c r="E142" s="193">
        <f>SUM($D$2:D142)/SUM($B$2:B142)</f>
        <v>0.12972340425531911</v>
      </c>
      <c r="F142" s="163">
        <f t="shared" si="4"/>
        <v>18.290999999999997</v>
      </c>
      <c r="G142" s="194" t="s">
        <v>1049</v>
      </c>
      <c r="H142" s="183"/>
      <c r="K142" s="234"/>
    </row>
    <row r="143" spans="1:17" s="184" customFormat="1">
      <c r="A143" s="526">
        <v>45942</v>
      </c>
      <c r="B143" s="222">
        <v>1</v>
      </c>
      <c r="C143" s="225">
        <v>1.97</v>
      </c>
      <c r="D143" s="225">
        <f t="shared" ref="D143" si="5">(B143*C143)-B143</f>
        <v>0.97</v>
      </c>
      <c r="E143" s="224">
        <f>SUM($D$2:D143)/SUM($B$2:B143)</f>
        <v>0.13564084507042251</v>
      </c>
      <c r="F143" s="225">
        <f t="shared" si="4"/>
        <v>19.260999999999996</v>
      </c>
      <c r="G143" s="226" t="s">
        <v>1050</v>
      </c>
      <c r="H143" s="183"/>
      <c r="K143" s="234"/>
    </row>
    <row r="144" spans="1:17" s="184" customFormat="1">
      <c r="A144" s="526">
        <v>45946</v>
      </c>
      <c r="B144" s="251">
        <v>1</v>
      </c>
      <c r="C144" s="251"/>
      <c r="D144" s="251">
        <f>(B144*C144)-B144</f>
        <v>-1</v>
      </c>
      <c r="E144" s="252">
        <f>SUM($D$2:D144)/SUM($B$2:B144)</f>
        <v>0.12769930069930066</v>
      </c>
      <c r="F144" s="253">
        <f t="shared" si="4"/>
        <v>18.260999999999996</v>
      </c>
      <c r="G144" s="279" t="s">
        <v>1051</v>
      </c>
      <c r="H144" s="183"/>
      <c r="K144" s="234"/>
    </row>
    <row r="145" spans="1:18">
      <c r="A145" s="523"/>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1052</v>
      </c>
      <c r="C148" s="557" t="s">
        <v>1053</v>
      </c>
      <c r="D148" s="558"/>
      <c r="E148" s="559"/>
      <c r="H148" s="560">
        <f>100</f>
        <v>100</v>
      </c>
      <c r="I148" s="561"/>
      <c r="J148" s="16" t="s">
        <v>1054</v>
      </c>
      <c r="K148" s="560">
        <v>80.89</v>
      </c>
      <c r="L148" s="561"/>
      <c r="M148" s="16" t="s">
        <v>1054</v>
      </c>
      <c r="N148" s="19"/>
      <c r="O148" s="138"/>
      <c r="P148" s="58"/>
    </row>
    <row r="149" spans="1:18" ht="15" customHeight="1">
      <c r="A149">
        <f>COUNT(B2:B145)</f>
        <v>143</v>
      </c>
      <c r="B149" s="1"/>
      <c r="C149" s="156">
        <f>I149</f>
        <v>5</v>
      </c>
      <c r="D149" s="574">
        <v>1.32</v>
      </c>
      <c r="E149" s="157">
        <f>C149*D149-C149</f>
        <v>1.6000000000000005</v>
      </c>
      <c r="F149" s="15"/>
      <c r="G149" s="147" t="s">
        <v>1055</v>
      </c>
      <c r="H149" s="75">
        <f>H152/100</f>
        <v>1</v>
      </c>
      <c r="I149" s="149">
        <f>H149*5</f>
        <v>5</v>
      </c>
      <c r="J149" s="3" t="s">
        <v>1056</v>
      </c>
      <c r="K149" s="75">
        <f>K152/100</f>
        <v>0.99151</v>
      </c>
      <c r="L149" s="149">
        <f>K149*5</f>
        <v>4.9575500000000003</v>
      </c>
      <c r="M149" s="3" t="s">
        <v>1056</v>
      </c>
    </row>
    <row r="150" spans="1:18" ht="15" customHeight="1">
      <c r="A150" t="s">
        <v>1057</v>
      </c>
      <c r="B150" s="99"/>
      <c r="C150" s="135">
        <f>E150/(D149-1)</f>
        <v>9.3749999999999982</v>
      </c>
      <c r="D150" s="575"/>
      <c r="E150" s="136">
        <v>3</v>
      </c>
      <c r="F150" s="15"/>
      <c r="G150" s="147" t="s">
        <v>1058</v>
      </c>
      <c r="H150" s="127">
        <f>SUM(H2:H145)</f>
        <v>0</v>
      </c>
      <c r="I150" s="148"/>
      <c r="J150" s="3" t="s">
        <v>1059</v>
      </c>
      <c r="K150" s="127">
        <f>D146</f>
        <v>18.260999999999996</v>
      </c>
      <c r="L150" s="148"/>
      <c r="M150" s="3" t="s">
        <v>1059</v>
      </c>
    </row>
    <row r="151" spans="1:18">
      <c r="A151" s="18">
        <f>COUNT(C2:C145)/A149</f>
        <v>0.58741258741258739</v>
      </c>
      <c r="B151" s="18"/>
      <c r="D151" s="15">
        <f>1/A151</f>
        <v>1.7023809523809523</v>
      </c>
      <c r="E151" s="15"/>
      <c r="F151" s="15"/>
      <c r="G151" s="147" t="s">
        <v>1060</v>
      </c>
      <c r="H151" s="570">
        <f>(H150-I150)</f>
        <v>0</v>
      </c>
      <c r="I151" s="571"/>
      <c r="J151" s="128"/>
      <c r="K151" s="570">
        <f>(K150-L150)</f>
        <v>18.260999999999996</v>
      </c>
      <c r="L151" s="571"/>
      <c r="M151" s="128"/>
    </row>
    <row r="152" spans="1:18">
      <c r="A152" t="s">
        <v>4</v>
      </c>
      <c r="G152" s="147" t="s">
        <v>1061</v>
      </c>
      <c r="H152" s="572">
        <f>H148+H151</f>
        <v>100</v>
      </c>
      <c r="I152" s="573"/>
      <c r="J152" s="128">
        <f>130-H152</f>
        <v>30</v>
      </c>
      <c r="K152" s="572">
        <f>K148+K151</f>
        <v>99.150999999999996</v>
      </c>
      <c r="L152" s="573"/>
      <c r="M152" s="128"/>
      <c r="O152" s="235">
        <v>74.147999999999996</v>
      </c>
      <c r="P152" s="18"/>
    </row>
    <row r="153" spans="1:18">
      <c r="A153" s="18">
        <f>D146/B146</f>
        <v>0.12769930069930066</v>
      </c>
      <c r="F153" s="158"/>
      <c r="G153" s="147" t="s">
        <v>1062</v>
      </c>
      <c r="H153" s="45">
        <f>(H152-H148)/H148</f>
        <v>0</v>
      </c>
      <c r="I153" s="46">
        <f>B146/H148</f>
        <v>1.43</v>
      </c>
      <c r="J153" t="s">
        <v>1063</v>
      </c>
      <c r="K153" s="45">
        <f>(K152-K148)/K148</f>
        <v>0.22575101990357269</v>
      </c>
      <c r="L153" s="46">
        <f>B146/K148</f>
        <v>1.767832859438744</v>
      </c>
      <c r="M153" t="s">
        <v>1063</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8" t="s">
        <v>517</v>
      </c>
      <c r="B171" s="132" t="s">
        <v>1</v>
      </c>
      <c r="C171" s="529"/>
      <c r="E171" s="134" t="s">
        <v>4</v>
      </c>
    </row>
    <row r="173" spans="1:37">
      <c r="D173" s="7" t="s">
        <v>3</v>
      </c>
    </row>
    <row r="174" spans="1:37">
      <c r="B174" s="21" t="s">
        <v>1066</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519</v>
      </c>
      <c r="B197" s="140">
        <f>SUM(B2:B16)</f>
        <v>15</v>
      </c>
      <c r="C197" s="140"/>
      <c r="D197" s="140">
        <f>SUM(D2:D16)</f>
        <v>-3.4500000000000006</v>
      </c>
      <c r="E197" s="144">
        <f t="shared" ref="E197:E198" si="7">D197/B197</f>
        <v>-0.23000000000000004</v>
      </c>
      <c r="F197" s="18"/>
      <c r="G197" s="221" t="s">
        <v>518</v>
      </c>
    </row>
    <row r="198" spans="1:7">
      <c r="A198" s="139" t="s">
        <v>520</v>
      </c>
      <c r="B198" s="140">
        <f>SUM(B17:B46)</f>
        <v>30</v>
      </c>
      <c r="C198" s="140"/>
      <c r="D198" s="140">
        <f>SUM(D17:D46)</f>
        <v>2.145999999999999</v>
      </c>
      <c r="E198" s="144">
        <f t="shared" si="7"/>
        <v>7.1533333333333296E-2</v>
      </c>
      <c r="G198" s="220"/>
    </row>
    <row r="199" spans="1:7">
      <c r="A199" s="139" t="s">
        <v>521</v>
      </c>
      <c r="B199" s="140">
        <f>SUM(B47:B90)</f>
        <v>44</v>
      </c>
      <c r="C199" s="140"/>
      <c r="D199" s="140">
        <f>SUM(D47:D90)</f>
        <v>11.262000000000004</v>
      </c>
      <c r="E199" s="144">
        <f t="shared" ref="E199" si="8">D199/B199</f>
        <v>0.25595454545454555</v>
      </c>
      <c r="G199" s="220"/>
    </row>
    <row r="200" spans="1:7">
      <c r="A200" s="139" t="s">
        <v>523</v>
      </c>
      <c r="B200" s="140">
        <f>SUM(B91:B145)</f>
        <v>54</v>
      </c>
      <c r="C200" s="140"/>
      <c r="D200" s="140">
        <f>SUM(D91:D145)</f>
        <v>8.3030000000000008</v>
      </c>
      <c r="E200" s="144">
        <f t="shared" ref="E200" si="9">D200/B200</f>
        <v>0.15375925925925926</v>
      </c>
      <c r="G200" s="220"/>
    </row>
    <row r="201" spans="1:7">
      <c r="A201" s="139" t="s">
        <v>524</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534</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1067</v>
      </c>
      <c r="D1" t="s">
        <v>1068</v>
      </c>
      <c r="E1" s="175" t="s">
        <v>1069</v>
      </c>
      <c r="G1" s="233" t="s">
        <v>1070</v>
      </c>
      <c r="H1" s="175" t="s">
        <v>1069</v>
      </c>
      <c r="M1" t="s">
        <v>1071</v>
      </c>
      <c r="N1" s="589" t="s">
        <v>1072</v>
      </c>
      <c r="O1" s="589"/>
      <c r="P1" s="589"/>
      <c r="Q1" s="589"/>
      <c r="R1" s="589"/>
      <c r="S1" s="589"/>
      <c r="T1" s="88" t="s">
        <v>1073</v>
      </c>
      <c r="U1" s="240" t="s">
        <v>5</v>
      </c>
      <c r="V1" s="217" t="s">
        <v>1074</v>
      </c>
    </row>
    <row r="2" spans="1:22">
      <c r="A2" s="524" t="s">
        <v>1075</v>
      </c>
      <c r="B2" s="171">
        <v>0.6</v>
      </c>
      <c r="C2" s="171"/>
      <c r="D2" s="180">
        <f>26/61</f>
        <v>0.42622950819672129</v>
      </c>
      <c r="E2" s="176">
        <f>B2*D2</f>
        <v>0.25573770491803277</v>
      </c>
      <c r="F2" s="18"/>
      <c r="G2" s="180">
        <f>15/62</f>
        <v>0.24193548387096775</v>
      </c>
      <c r="H2" s="176">
        <f>B2*G2</f>
        <v>0.14516129032258066</v>
      </c>
      <c r="M2" t="s">
        <v>1076</v>
      </c>
      <c r="N2" s="58">
        <v>2</v>
      </c>
      <c r="T2" s="241">
        <v>100</v>
      </c>
      <c r="U2" s="239">
        <v>2.5099999999999998</v>
      </c>
      <c r="V2" s="242"/>
    </row>
    <row r="3" spans="1:22">
      <c r="A3" s="524" t="s">
        <v>1077</v>
      </c>
      <c r="B3" s="171">
        <v>0.4</v>
      </c>
      <c r="C3" s="171"/>
      <c r="D3" s="180">
        <f>9/15</f>
        <v>0.6</v>
      </c>
      <c r="E3" s="177">
        <f t="shared" ref="E3" si="0">B3*D3</f>
        <v>0.24</v>
      </c>
      <c r="F3" s="18"/>
      <c r="G3" s="180">
        <f>6/15</f>
        <v>0.4</v>
      </c>
      <c r="H3" s="177">
        <f>B3*G3</f>
        <v>0.16000000000000003</v>
      </c>
      <c r="M3" t="s">
        <v>1078</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1079</v>
      </c>
      <c r="M4" t="s">
        <v>1080</v>
      </c>
      <c r="N4" s="19">
        <f>1-N3</f>
        <v>0.4</v>
      </c>
      <c r="T4" s="236"/>
      <c r="U4" s="236"/>
      <c r="V4" s="236"/>
    </row>
    <row r="5" spans="1:22">
      <c r="C5" s="164"/>
      <c r="F5" s="18"/>
      <c r="J5" s="172">
        <f>1 - J4</f>
        <v>0.62954263513887831</v>
      </c>
      <c r="K5" s="174" t="s">
        <v>1081</v>
      </c>
      <c r="M5" t="s">
        <v>1065</v>
      </c>
      <c r="N5" s="19">
        <f>(N2*N3-N4)/N2</f>
        <v>0.39999999999999997</v>
      </c>
      <c r="T5" s="236"/>
      <c r="U5" s="236"/>
      <c r="V5" s="236"/>
    </row>
    <row r="6" spans="1:22">
      <c r="A6" s="524" t="s">
        <v>1082</v>
      </c>
      <c r="B6" s="171">
        <v>0.7</v>
      </c>
      <c r="D6" s="176">
        <f>E4</f>
        <v>0.49573770491803276</v>
      </c>
      <c r="E6" s="178">
        <f>B6*D6</f>
        <v>0.34701639344262292</v>
      </c>
      <c r="G6" s="176">
        <f>H4</f>
        <v>0.30516129032258066</v>
      </c>
      <c r="H6" s="178">
        <f>B6*G6</f>
        <v>0.21361290322580645</v>
      </c>
      <c r="M6" t="s">
        <v>1083</v>
      </c>
      <c r="N6" s="19">
        <f>N5/10</f>
        <v>3.9999999999999994E-2</v>
      </c>
      <c r="T6" s="236"/>
      <c r="U6" s="236"/>
      <c r="V6" s="236"/>
    </row>
    <row r="7" spans="1:22">
      <c r="A7" s="524" t="s">
        <v>1084</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1069</v>
      </c>
      <c r="G10" t="str">
        <f>G1</f>
        <v>Cleveland</v>
      </c>
      <c r="H10" s="175" t="s">
        <v>1069</v>
      </c>
      <c r="J10" s="18">
        <f xml:space="preserve"> (1 - E11) * (1 - H11)</f>
        <v>0.760876</v>
      </c>
      <c r="K10" s="173" t="s">
        <v>1079</v>
      </c>
      <c r="T10" s="236"/>
      <c r="U10" s="236"/>
      <c r="V10" s="236"/>
    </row>
    <row r="11" spans="1:22">
      <c r="D11" s="18"/>
      <c r="E11" s="44">
        <v>0.14699999999999999</v>
      </c>
      <c r="G11" s="18"/>
      <c r="H11" s="44">
        <v>0.108</v>
      </c>
      <c r="J11" s="172">
        <f>1 - J10</f>
        <v>0.239124</v>
      </c>
      <c r="K11" s="174" t="s">
        <v>1081</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1085</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1086</v>
      </c>
      <c r="B1" s="80" t="s">
        <v>1087</v>
      </c>
      <c r="C1" s="80" t="s">
        <v>1088</v>
      </c>
      <c r="D1" s="81" t="s">
        <v>1089</v>
      </c>
      <c r="E1" s="81" t="s">
        <v>1090</v>
      </c>
      <c r="F1" s="82" t="s">
        <v>1091</v>
      </c>
      <c r="G1" s="82" t="s">
        <v>1092</v>
      </c>
      <c r="H1" s="82" t="s">
        <v>1093</v>
      </c>
      <c r="I1" s="83" t="s">
        <v>1094</v>
      </c>
      <c r="J1" s="81" t="s">
        <v>1095</v>
      </c>
      <c r="K1" s="80" t="s">
        <v>1096</v>
      </c>
      <c r="L1" s="84" t="s">
        <v>1097</v>
      </c>
      <c r="M1" s="85" t="s">
        <v>1098</v>
      </c>
      <c r="N1" s="85" t="s">
        <v>1099</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60">
        <f>P6</f>
        <v>700</v>
      </c>
      <c r="T4" s="561"/>
      <c r="U4" s="16" t="s">
        <v>1100</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0" t="s">
        <v>1101</v>
      </c>
      <c r="P5" s="590"/>
      <c r="R5" s="17" t="s">
        <v>1055</v>
      </c>
      <c r="S5" s="75">
        <f>L2</f>
        <v>7</v>
      </c>
      <c r="T5" s="76">
        <f>S5*10</f>
        <v>70</v>
      </c>
      <c r="U5" s="3" t="s">
        <v>1056</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1102</v>
      </c>
      <c r="P6" s="29">
        <v>700</v>
      </c>
      <c r="R6" s="17" t="s">
        <v>1058</v>
      </c>
      <c r="S6" s="46">
        <v>0</v>
      </c>
      <c r="T6" s="60"/>
      <c r="U6" s="3" t="s">
        <v>1059</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1103</v>
      </c>
      <c r="P7" s="30">
        <v>45951</v>
      </c>
      <c r="R7" s="17" t="s">
        <v>1060</v>
      </c>
      <c r="S7" s="560">
        <f>(S6-T6)</f>
        <v>0</v>
      </c>
      <c r="T7" s="592"/>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1104</v>
      </c>
      <c r="P8" s="31">
        <v>1</v>
      </c>
      <c r="R8" s="17" t="s">
        <v>1061</v>
      </c>
      <c r="S8" s="593">
        <f>S4+S7</f>
        <v>700</v>
      </c>
      <c r="T8" s="594"/>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1105</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1106</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1107</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1108</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0" t="s">
        <v>1109</v>
      </c>
      <c r="P13" s="590"/>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1110</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1111</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1" t="s">
        <v>1112</v>
      </c>
      <c r="P17" s="591"/>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1113</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1114</v>
      </c>
      <c r="B1" s="56" t="s">
        <v>1115</v>
      </c>
      <c r="C1" s="56" t="s">
        <v>1116</v>
      </c>
      <c r="D1" s="56" t="s">
        <v>1117</v>
      </c>
      <c r="E1" s="56" t="s">
        <v>1116</v>
      </c>
    </row>
    <row r="2" spans="1:7">
      <c r="A2" s="49" t="s">
        <v>534</v>
      </c>
      <c r="B2" s="61">
        <f>SUM(B4:B8)</f>
        <v>297.69890755043576</v>
      </c>
      <c r="C2" s="63">
        <f>SUM(C4:C8)</f>
        <v>0.99999999999999989</v>
      </c>
      <c r="D2" s="62" t="e">
        <f>#REF!+0</f>
        <v>#REF!</v>
      </c>
      <c r="E2" s="63" t="e">
        <f>(D2-B2)/B2</f>
        <v>#REF!</v>
      </c>
      <c r="F2" s="50"/>
    </row>
    <row r="3" spans="1:7">
      <c r="B3" s="50"/>
      <c r="D3" s="50"/>
    </row>
    <row r="4" spans="1:7">
      <c r="A4" t="s">
        <v>1118</v>
      </c>
      <c r="B4" s="50">
        <v>5.4938695562496047</v>
      </c>
      <c r="C4" s="18">
        <f t="shared" ref="C4:C7" si="0">B4/$B$2</f>
        <v>1.8454449838109805E-2</v>
      </c>
      <c r="D4" s="50" t="e">
        <f t="shared" ref="D4:D7" si="1">$D$2*C4</f>
        <v>#REF!</v>
      </c>
      <c r="E4" s="98"/>
      <c r="F4" s="50"/>
    </row>
    <row r="5" spans="1:7">
      <c r="A5" t="s">
        <v>1119</v>
      </c>
      <c r="B5" s="50">
        <v>5.7229409898235017</v>
      </c>
      <c r="C5" s="18">
        <f t="shared" si="0"/>
        <v>1.9223923382567093E-2</v>
      </c>
      <c r="D5" s="50" t="e">
        <f t="shared" si="1"/>
        <v>#REF!</v>
      </c>
      <c r="E5" s="98"/>
      <c r="F5" s="50"/>
    </row>
    <row r="6" spans="1:7">
      <c r="A6" t="s">
        <v>1120</v>
      </c>
      <c r="B6" s="50">
        <v>29.972097004362656</v>
      </c>
      <c r="C6" s="18">
        <f t="shared" si="0"/>
        <v>0.10067923074015588</v>
      </c>
      <c r="D6" s="50" t="e">
        <f t="shared" si="1"/>
        <v>#REF!</v>
      </c>
      <c r="E6" s="98"/>
      <c r="F6" s="50"/>
    </row>
    <row r="7" spans="1:7">
      <c r="A7" t="s">
        <v>1121</v>
      </c>
      <c r="B7" s="50">
        <v>256.51</v>
      </c>
      <c r="C7" s="18">
        <f t="shared" si="0"/>
        <v>0.86164239603916715</v>
      </c>
      <c r="D7" s="50" t="e">
        <f t="shared" si="1"/>
        <v>#REF!</v>
      </c>
      <c r="E7" s="18"/>
      <c r="F7" s="50"/>
    </row>
    <row r="8" spans="1:7">
      <c r="B8" s="50"/>
      <c r="D8" s="50"/>
    </row>
    <row r="9" spans="1:7">
      <c r="A9" t="s">
        <v>1122</v>
      </c>
      <c r="B9" s="51">
        <f>B2-SUM(B4:B8)</f>
        <v>0</v>
      </c>
      <c r="C9" s="52"/>
      <c r="D9" s="51" t="e">
        <f>D2-SUM(D4:D8)</f>
        <v>#REF!</v>
      </c>
    </row>
    <row r="10" spans="1:7">
      <c r="B10" s="50"/>
      <c r="D10" s="50"/>
      <c r="E10" s="18">
        <v>0.8</v>
      </c>
      <c r="F10" s="53" t="s">
        <v>1123</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1066</v>
      </c>
      <c r="B1" s="4" t="s">
        <v>2</v>
      </c>
      <c r="C1" s="5" t="s">
        <v>3</v>
      </c>
      <c r="D1" s="6" t="s">
        <v>4</v>
      </c>
      <c r="E1" s="6" t="s">
        <v>5</v>
      </c>
      <c r="F1" s="100"/>
      <c r="G1" s="112" t="s">
        <v>1066</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1124</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2026-04-10T16:24:02Z</dcterms:modified>
  <cp:category/>
  <cp:contentStatus/>
</cp:coreProperties>
</file>